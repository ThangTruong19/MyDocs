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mc:AlternateContent xmlns:mc="http://schemas.openxmlformats.org/markup-compatibility/2006">
    <mc:Choice Requires="x15">
      <x15ac:absPath xmlns:x15ac="http://schemas.microsoft.com/office/spreadsheetml/2010/11/ac" url="C:\Users\t-matsushita.SYSTEM-EXE\Desktop\案件管理\komtrax-r13\R1.2_ビジネスアプリ対応\11_管理\21_課題管理\"/>
    </mc:Choice>
  </mc:AlternateContent>
  <xr:revisionPtr revIDLastSave="0" documentId="13_ncr:1_{F48390FE-64C4-4CDE-B297-584C9D82D974}" xr6:coauthVersionLast="47" xr6:coauthVersionMax="47" xr10:uidLastSave="{00000000-0000-0000-0000-000000000000}"/>
  <bookViews>
    <workbookView xWindow="28680" yWindow="-120" windowWidth="29040" windowHeight="15840" xr2:uid="{00000000-000D-0000-FFFF-FFFF00000000}"/>
  </bookViews>
  <sheets>
    <sheet name="課題管理表" sheetId="1" r:id="rId1"/>
  </sheets>
  <definedNames>
    <definedName name="_xlnm._FilterDatabase" localSheetId="0" hidden="1">課題管理表!$A$2:$N$51</definedName>
    <definedName name="_xlnm.Print_Area" localSheetId="0">課題管理表!$A$1:$M$14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1" l="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9" i="1"/>
  <c r="A6" i="1"/>
  <c r="A7" i="1"/>
  <c r="A8" i="1"/>
  <c r="A10" i="1"/>
  <c r="A11" i="1"/>
  <c r="A12" i="1"/>
  <c r="A13" i="1"/>
  <c r="A14" i="1"/>
  <c r="A15" i="1"/>
  <c r="A16" i="1"/>
  <c r="A17" i="1"/>
  <c r="A18" i="1"/>
  <c r="A19" i="1"/>
  <c r="A20" i="1"/>
  <c r="A5" i="1"/>
  <c r="A3" i="1"/>
  <c r="A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f-motoyoshi</author>
  </authors>
  <commentList>
    <comment ref="B2" authorId="0" shapeId="0" xr:uid="{00000000-0006-0000-0000-000001000000}">
      <text>
        <r>
          <rPr>
            <sz val="10"/>
            <color theme="1"/>
            <rFont val="Meiryo UI"/>
            <family val="3"/>
            <charset val="128"/>
          </rPr>
          <t>QA：仕様等に関する質問、および回答を管理する。
課題：ユーザ要望、およびユーザ／ベンダ間の認識齟齬による課題を管理する。
不具合：システムの欠陥による課題を管理する。
その他：上記に分類できない場合に使用する。</t>
        </r>
      </text>
    </comment>
    <comment ref="H2" authorId="0" shapeId="0" xr:uid="{00000000-0006-0000-0000-000002000000}">
      <text>
        <r>
          <rPr>
            <sz val="10"/>
            <color theme="1"/>
            <rFont val="Meiryo UI"/>
            <family val="3"/>
            <charset val="128"/>
          </rPr>
          <t>新規：起票後、未着手の状態。
対応中：対応中の状態。
対応済：対応済、かつ未承認の状態。
完了：完了した状態。【※対応結果を承認して「完了」とする。】</t>
        </r>
      </text>
    </comment>
  </commentList>
</comments>
</file>

<file path=xl/sharedStrings.xml><?xml version="1.0" encoding="utf-8"?>
<sst xmlns="http://schemas.openxmlformats.org/spreadsheetml/2006/main" count="241" uniqueCount="97">
  <si>
    <t>No.</t>
  </si>
  <si>
    <t>区分</t>
    <rPh sb="0" eb="2">
      <t>クブン</t>
    </rPh>
    <phoneticPr fontId="2"/>
  </si>
  <si>
    <t>内容</t>
    <rPh sb="0" eb="2">
      <t>ナイヨウ</t>
    </rPh>
    <phoneticPr fontId="1"/>
  </si>
  <si>
    <t>対応</t>
    <rPh sb="0" eb="2">
      <t>タイオウ</t>
    </rPh>
    <phoneticPr fontId="1"/>
  </si>
  <si>
    <t>状態</t>
    <rPh sb="0" eb="2">
      <t>ジョウタイ</t>
    </rPh>
    <phoneticPr fontId="2"/>
  </si>
  <si>
    <t>期限</t>
    <rPh sb="0" eb="2">
      <t>キゲン</t>
    </rPh>
    <phoneticPr fontId="1"/>
  </si>
  <si>
    <t>起票者</t>
    <rPh sb="0" eb="2">
      <t>キヒョウ</t>
    </rPh>
    <rPh sb="2" eb="3">
      <t>シャ</t>
    </rPh>
    <phoneticPr fontId="1"/>
  </si>
  <si>
    <t>起票日</t>
    <rPh sb="0" eb="2">
      <t>キヒョウ</t>
    </rPh>
    <rPh sb="2" eb="3">
      <t>ビ</t>
    </rPh>
    <phoneticPr fontId="1"/>
  </si>
  <si>
    <t>対応者</t>
    <rPh sb="0" eb="2">
      <t>タイオウ</t>
    </rPh>
    <rPh sb="2" eb="3">
      <t>シャ</t>
    </rPh>
    <phoneticPr fontId="1"/>
  </si>
  <si>
    <t>完了日</t>
    <rPh sb="0" eb="3">
      <t>カンリョウビ</t>
    </rPh>
    <phoneticPr fontId="1"/>
  </si>
  <si>
    <t>備考</t>
    <rPh sb="0" eb="2">
      <t>ビコウ</t>
    </rPh>
    <phoneticPr fontId="1"/>
  </si>
  <si>
    <t>工程</t>
    <rPh sb="0" eb="2">
      <t>コウテイ</t>
    </rPh>
    <phoneticPr fontId="2"/>
  </si>
  <si>
    <t>対象機能</t>
    <rPh sb="0" eb="2">
      <t>タイショウ</t>
    </rPh>
    <rPh sb="2" eb="4">
      <t>キノウ</t>
    </rPh>
    <phoneticPr fontId="2"/>
  </si>
  <si>
    <t>【R1.2_ビジネスアプリ対応】課題管理表</t>
    <phoneticPr fontId="3"/>
  </si>
  <si>
    <t>QA</t>
  </si>
  <si>
    <t>基本設計</t>
  </si>
  <si>
    <t>松下</t>
    <rPh sb="0" eb="2">
      <t>マツシタ</t>
    </rPh>
    <phoneticPr fontId="2"/>
  </si>
  <si>
    <t>要件定義</t>
  </si>
  <si>
    <t>全般</t>
    <rPh sb="0" eb="2">
      <t>ゼンパン</t>
    </rPh>
    <phoneticPr fontId="2"/>
  </si>
  <si>
    <t>車両カスタマイズ用途定義詳細</t>
    <phoneticPr fontId="2"/>
  </si>
  <si>
    <t xml:space="preserve">システム名は『ビジネスアプリ』で問題ないでしょうか。
例：DFM/CFM、運用アプリ
</t>
    <rPh sb="4" eb="5">
      <t>メイ</t>
    </rPh>
    <rPh sb="16" eb="18">
      <t>モンダイ</t>
    </rPh>
    <rPh sb="27" eb="28">
      <t>レイ</t>
    </rPh>
    <rPh sb="37" eb="39">
      <t>ウンヨウ</t>
    </rPh>
    <phoneticPr fontId="2"/>
  </si>
  <si>
    <t xml:space="preserve">各機能の名称は下記資料に記載されているもので問題ないでしょうか。
　・R1_2開発_画面項目一覧_カスタマイズデータ送信要求.xlsx
　・R1_2開発_画面項目一覧_カスタマイズ用途定義設定.xlsx
</t>
    <rPh sb="0" eb="3">
      <t>カクキノウ</t>
    </rPh>
    <rPh sb="4" eb="6">
      <t>メイショウ</t>
    </rPh>
    <rPh sb="7" eb="9">
      <t>カキ</t>
    </rPh>
    <rPh sb="9" eb="11">
      <t>シリョウ</t>
    </rPh>
    <rPh sb="12" eb="14">
      <t>キサイ</t>
    </rPh>
    <rPh sb="22" eb="24">
      <t>モンダイ</t>
    </rPh>
    <phoneticPr fontId="2"/>
  </si>
  <si>
    <t xml:space="preserve">画面名称はどちらが正しいでしょうか？（WBSと画面遷移図で相違あり）
・車両カスタマイズ用途定義詳細
・カスタマイズ用途定義詳細
</t>
    <rPh sb="0" eb="2">
      <t>ガメン</t>
    </rPh>
    <rPh sb="2" eb="4">
      <t>メイショウ</t>
    </rPh>
    <rPh sb="9" eb="10">
      <t>タダ</t>
    </rPh>
    <rPh sb="23" eb="25">
      <t>ガメン</t>
    </rPh>
    <rPh sb="25" eb="28">
      <t>センイズ</t>
    </rPh>
    <rPh sb="29" eb="31">
      <t>ソウイ</t>
    </rPh>
    <phoneticPr fontId="2"/>
  </si>
  <si>
    <t>ダイアログ・モーダル</t>
    <phoneticPr fontId="2"/>
  </si>
  <si>
    <t xml:space="preserve">設計書内の単語で「ダイアログ／モーダル」が混在しています。
単語統一、または使い分け方法を定義する必要があります。
</t>
    <rPh sb="0" eb="2">
      <t>セッケイ</t>
    </rPh>
    <rPh sb="2" eb="3">
      <t>ショ</t>
    </rPh>
    <rPh sb="3" eb="4">
      <t>ナイ</t>
    </rPh>
    <rPh sb="5" eb="7">
      <t>タンゴ</t>
    </rPh>
    <rPh sb="21" eb="23">
      <t>コンザイ</t>
    </rPh>
    <rPh sb="30" eb="32">
      <t>タンゴ</t>
    </rPh>
    <rPh sb="32" eb="34">
      <t>トウイツ</t>
    </rPh>
    <rPh sb="38" eb="39">
      <t>ツカ</t>
    </rPh>
    <rPh sb="40" eb="41">
      <t>ワ</t>
    </rPh>
    <rPh sb="42" eb="44">
      <t>ホウホウ</t>
    </rPh>
    <rPh sb="45" eb="47">
      <t>テイギ</t>
    </rPh>
    <rPh sb="49" eb="51">
      <t>ヒツヨウ</t>
    </rPh>
    <phoneticPr fontId="2"/>
  </si>
  <si>
    <t>本吉</t>
    <rPh sb="0" eb="2">
      <t>モトヨシ</t>
    </rPh>
    <phoneticPr fontId="2"/>
  </si>
  <si>
    <t>表示項目</t>
    <rPh sb="0" eb="2">
      <t>ヒョウジ</t>
    </rPh>
    <rPh sb="2" eb="4">
      <t>コウモク</t>
    </rPh>
    <phoneticPr fontId="2"/>
  </si>
  <si>
    <t xml:space="preserve">車両カスタマイズ用途定義詳細では表示項目数が多いため、固定列／スクロール列を定義する必要があります。表項目として列を追加するべきでしょうか。
</t>
    <rPh sb="16" eb="18">
      <t>ヒョウジ</t>
    </rPh>
    <rPh sb="18" eb="20">
      <t>コウモク</t>
    </rPh>
    <rPh sb="20" eb="21">
      <t>スウ</t>
    </rPh>
    <rPh sb="22" eb="23">
      <t>オオ</t>
    </rPh>
    <rPh sb="27" eb="29">
      <t>コテイ</t>
    </rPh>
    <rPh sb="29" eb="30">
      <t>レツ</t>
    </rPh>
    <rPh sb="36" eb="37">
      <t>レツ</t>
    </rPh>
    <rPh sb="38" eb="40">
      <t>テイギ</t>
    </rPh>
    <rPh sb="42" eb="44">
      <t>ヒツヨウ</t>
    </rPh>
    <rPh sb="50" eb="51">
      <t>ヒョウ</t>
    </rPh>
    <rPh sb="51" eb="53">
      <t>コウモク</t>
    </rPh>
    <rPh sb="56" eb="57">
      <t>レツ</t>
    </rPh>
    <rPh sb="58" eb="60">
      <t>ツイカ</t>
    </rPh>
    <phoneticPr fontId="2"/>
  </si>
  <si>
    <t>入力値の項目タイプ</t>
    <rPh sb="0" eb="3">
      <t>ニュウリョクチ</t>
    </rPh>
    <rPh sb="4" eb="6">
      <t>コウモク</t>
    </rPh>
    <phoneticPr fontId="2"/>
  </si>
  <si>
    <t xml:space="preserve">項目タイプをプルダウンから選択できるようにしたほうが記載ミスを防止できます。
プルダウン項目を定義する必要がある。
</t>
    <rPh sb="0" eb="2">
      <t>コウモク</t>
    </rPh>
    <rPh sb="13" eb="15">
      <t>センタク</t>
    </rPh>
    <rPh sb="26" eb="28">
      <t>キサイ</t>
    </rPh>
    <rPh sb="31" eb="33">
      <t>ボウシ</t>
    </rPh>
    <rPh sb="44" eb="46">
      <t>コウモク</t>
    </rPh>
    <rPh sb="47" eb="49">
      <t>テイギ</t>
    </rPh>
    <rPh sb="51" eb="53">
      <t>ヒツヨウ</t>
    </rPh>
    <phoneticPr fontId="2"/>
  </si>
  <si>
    <t>モーダルに統一する。</t>
    <rPh sb="5" eb="7">
      <t>トウイツ</t>
    </rPh>
    <phoneticPr fontId="2"/>
  </si>
  <si>
    <t>完了</t>
  </si>
  <si>
    <t>列は追加しない。
（固定）（横スクロール）で表現する。</t>
    <rPh sb="0" eb="1">
      <t>レツ</t>
    </rPh>
    <rPh sb="2" eb="4">
      <t>ツイカ</t>
    </rPh>
    <rPh sb="10" eb="12">
      <t>コテイ</t>
    </rPh>
    <rPh sb="14" eb="15">
      <t>ヨコ</t>
    </rPh>
    <rPh sb="22" eb="24">
      <t>ヒョウゲン</t>
    </rPh>
    <phoneticPr fontId="2"/>
  </si>
  <si>
    <t xml:space="preserve">再送ボタン押下した際、どの画面に遷移するのか？（画面遷移図に定義なし）
</t>
    <rPh sb="0" eb="2">
      <t>サイソウ</t>
    </rPh>
    <rPh sb="5" eb="7">
      <t>オウカ</t>
    </rPh>
    <rPh sb="9" eb="10">
      <t>サイ</t>
    </rPh>
    <rPh sb="13" eb="15">
      <t>ガメン</t>
    </rPh>
    <rPh sb="16" eb="18">
      <t>センイ</t>
    </rPh>
    <rPh sb="24" eb="26">
      <t>ガメン</t>
    </rPh>
    <rPh sb="26" eb="29">
      <t>センイズ</t>
    </rPh>
    <rPh sb="30" eb="32">
      <t>テイギ</t>
    </rPh>
    <phoneticPr fontId="2"/>
  </si>
  <si>
    <t>編集内容破棄ボタン押下した際、確認モーダルを表示する。画面遷移図に未定義だが追加するべきか？</t>
    <rPh sb="0" eb="2">
      <t>ヘンシュウ</t>
    </rPh>
    <rPh sb="2" eb="4">
      <t>ナイヨウ</t>
    </rPh>
    <rPh sb="4" eb="6">
      <t>ハキ</t>
    </rPh>
    <rPh sb="9" eb="11">
      <t>オウカ</t>
    </rPh>
    <rPh sb="13" eb="14">
      <t>サイ</t>
    </rPh>
    <rPh sb="15" eb="17">
      <t>カクニン</t>
    </rPh>
    <rPh sb="22" eb="24">
      <t>ヒョウジ</t>
    </rPh>
    <rPh sb="27" eb="29">
      <t>ガメン</t>
    </rPh>
    <rPh sb="29" eb="32">
      <t>センイズ</t>
    </rPh>
    <rPh sb="33" eb="36">
      <t>ミテイギ</t>
    </rPh>
    <rPh sb="38" eb="40">
      <t>ツイカ</t>
    </rPh>
    <phoneticPr fontId="2"/>
  </si>
  <si>
    <t>チケットNo</t>
    <phoneticPr fontId="2"/>
  </si>
  <si>
    <t>#8393</t>
    <phoneticPr fontId="2"/>
  </si>
  <si>
    <t>#8394</t>
    <phoneticPr fontId="2"/>
  </si>
  <si>
    <t>-</t>
    <phoneticPr fontId="2"/>
  </si>
  <si>
    <t>元となる資料を確認したところ変更履歴シートのJ列に隠されていました。
-,ボタン,エリア・ボタン,リンク,テキストリンク,テキスト,テキストボックス,テキストエリア,ラジオボタン,チェックボックス,プルダウン,ボタン、プルダウン,プルダウン or テキスト,アイコン,タブ,アイコン,デートピッカー,マンスピッカー,その他
K列には入力値の必須タイプが設定されておりました。
-,〇,○(新中古車区分が新車区分の場合),○(新中古車区分が中古車区分の場合),△</t>
    <rPh sb="0" eb="1">
      <t>モト</t>
    </rPh>
    <rPh sb="4" eb="6">
      <t>シリョウ</t>
    </rPh>
    <rPh sb="7" eb="9">
      <t>カクニン</t>
    </rPh>
    <rPh sb="14" eb="16">
      <t>ヘンコウ</t>
    </rPh>
    <rPh sb="16" eb="18">
      <t>リレキ</t>
    </rPh>
    <rPh sb="23" eb="24">
      <t>レツ</t>
    </rPh>
    <rPh sb="25" eb="26">
      <t>カク</t>
    </rPh>
    <rPh sb="167" eb="169">
      <t>ニュウリョク</t>
    </rPh>
    <rPh sb="169" eb="170">
      <t>チ</t>
    </rPh>
    <rPh sb="171" eb="173">
      <t>ヒッス</t>
    </rPh>
    <rPh sb="177" eb="179">
      <t>セッテイ</t>
    </rPh>
    <phoneticPr fontId="2"/>
  </si>
  <si>
    <t>詳細設計</t>
  </si>
  <si>
    <t>対応中</t>
  </si>
  <si>
    <t>チケットでコマツ様に確認</t>
    <rPh sb="8" eb="9">
      <t>サマ</t>
    </rPh>
    <rPh sb="10" eb="12">
      <t>カクニン</t>
    </rPh>
    <phoneticPr fontId="2"/>
  </si>
  <si>
    <t>#8442</t>
    <phoneticPr fontId="2"/>
  </si>
  <si>
    <t>コマツ</t>
    <phoneticPr fontId="2"/>
  </si>
  <si>
    <t>#8443</t>
    <phoneticPr fontId="2"/>
  </si>
  <si>
    <t>車両検索</t>
    <rPh sb="0" eb="2">
      <t>シャリョウ</t>
    </rPh>
    <rPh sb="2" eb="4">
      <t>ケンサク</t>
    </rPh>
    <phoneticPr fontId="2"/>
  </si>
  <si>
    <t>一覧テーブルへ表示する項目数が多くなると思われるため、固定列と横スクロール列の定義を行っていただく必要がある。</t>
    <rPh sb="0" eb="2">
      <t>イチラン</t>
    </rPh>
    <rPh sb="7" eb="9">
      <t>ヒョウジ</t>
    </rPh>
    <rPh sb="11" eb="13">
      <t>コウモク</t>
    </rPh>
    <rPh sb="13" eb="14">
      <t>スウ</t>
    </rPh>
    <rPh sb="15" eb="16">
      <t>オオ</t>
    </rPh>
    <rPh sb="20" eb="21">
      <t>オモ</t>
    </rPh>
    <rPh sb="27" eb="29">
      <t>コテイ</t>
    </rPh>
    <rPh sb="29" eb="30">
      <t>レツ</t>
    </rPh>
    <rPh sb="31" eb="32">
      <t>ヨコ</t>
    </rPh>
    <rPh sb="37" eb="38">
      <t>レツ</t>
    </rPh>
    <rPh sb="39" eb="41">
      <t>テイギ</t>
    </rPh>
    <rPh sb="42" eb="43">
      <t>オコナ</t>
    </rPh>
    <rPh sb="49" eb="51">
      <t>ヒツヨウ</t>
    </rPh>
    <phoneticPr fontId="2"/>
  </si>
  <si>
    <t>APIのSwagger提供タイミングをコマツ様を通してNTCS様にご確認する必要がある。</t>
    <rPh sb="11" eb="13">
      <t>テイキョウ</t>
    </rPh>
    <rPh sb="22" eb="23">
      <t>サマ</t>
    </rPh>
    <rPh sb="24" eb="25">
      <t>トオ</t>
    </rPh>
    <rPh sb="31" eb="32">
      <t>サマ</t>
    </rPh>
    <rPh sb="34" eb="36">
      <t>カクニン</t>
    </rPh>
    <rPh sb="38" eb="40">
      <t>ヒツヨウ</t>
    </rPh>
    <phoneticPr fontId="2"/>
  </si>
  <si>
    <t>付録4_要件定義書_カスタマイズ用途定義設定.xlsx
要件定義書で付箋にて『通信機種に関する情報も表示する』という記載があるため具体的な表示項目を確認する必要がある。</t>
    <rPh sb="28" eb="30">
      <t>ヨウケン</t>
    </rPh>
    <rPh sb="30" eb="32">
      <t>テイギ</t>
    </rPh>
    <rPh sb="32" eb="33">
      <t>ショ</t>
    </rPh>
    <rPh sb="34" eb="36">
      <t>フセン</t>
    </rPh>
    <rPh sb="58" eb="60">
      <t>キサイ</t>
    </rPh>
    <rPh sb="65" eb="68">
      <t>グタイテキ</t>
    </rPh>
    <rPh sb="69" eb="71">
      <t>ヒョウジ</t>
    </rPh>
    <rPh sb="71" eb="73">
      <t>コウモク</t>
    </rPh>
    <rPh sb="74" eb="76">
      <t>カクニン</t>
    </rPh>
    <rPh sb="78" eb="80">
      <t>ヒツヨウ</t>
    </rPh>
    <phoneticPr fontId="2"/>
  </si>
  <si>
    <t>#8444</t>
    <phoneticPr fontId="2"/>
  </si>
  <si>
    <t>新しいアプリコードは存在するのか。</t>
    <rPh sb="10" eb="12">
      <t>ソンザイ</t>
    </rPh>
    <phoneticPr fontId="2"/>
  </si>
  <si>
    <t>機能コードはエグゼ／コマツ様どちらで決めるのか。</t>
    <rPh sb="0" eb="2">
      <t>キノウ</t>
    </rPh>
    <rPh sb="13" eb="14">
      <t>サマ</t>
    </rPh>
    <rPh sb="18" eb="19">
      <t>キ</t>
    </rPh>
    <phoneticPr fontId="2"/>
  </si>
  <si>
    <t>送信要求（送信番号単位）</t>
    <phoneticPr fontId="2"/>
  </si>
  <si>
    <t>検索条件の開始日・終了日にカレンダーで指定できるがミリ秒まで指定可能なデートピッカーが存在するのか。</t>
    <rPh sb="0" eb="2">
      <t>ケンサク</t>
    </rPh>
    <rPh sb="2" eb="4">
      <t>ジョウケン</t>
    </rPh>
    <rPh sb="5" eb="8">
      <t>カイシビ</t>
    </rPh>
    <rPh sb="9" eb="12">
      <t>シュウリョウビ</t>
    </rPh>
    <rPh sb="19" eb="21">
      <t>シテイ</t>
    </rPh>
    <rPh sb="27" eb="28">
      <t>ビョウ</t>
    </rPh>
    <rPh sb="30" eb="32">
      <t>シテイ</t>
    </rPh>
    <rPh sb="32" eb="34">
      <t>カノウ</t>
    </rPh>
    <rPh sb="43" eb="45">
      <t>ソンザイ</t>
    </rPh>
    <phoneticPr fontId="2"/>
  </si>
  <si>
    <t>開始日・終了日の初期値はAPIで設定を行うのか。画面で設定を行うのか。</t>
    <rPh sb="0" eb="3">
      <t>カイシビ</t>
    </rPh>
    <rPh sb="4" eb="7">
      <t>シュウリョウビ</t>
    </rPh>
    <rPh sb="8" eb="11">
      <t>ショキチ</t>
    </rPh>
    <rPh sb="16" eb="18">
      <t>セッテイ</t>
    </rPh>
    <rPh sb="19" eb="20">
      <t>オコナ</t>
    </rPh>
    <rPh sb="24" eb="26">
      <t>ガメン</t>
    </rPh>
    <rPh sb="27" eb="29">
      <t>セッテイ</t>
    </rPh>
    <phoneticPr fontId="2"/>
  </si>
  <si>
    <t>想定通信量確認モーダル の合計(車両毎)[KB]、合計(全体)[KB]はAPIで算出を行うのか、APIで算出を行うのか。</t>
    <rPh sb="40" eb="42">
      <t>サンシュツ</t>
    </rPh>
    <rPh sb="43" eb="44">
      <t>オコナ</t>
    </rPh>
    <rPh sb="52" eb="54">
      <t>サンシュツ</t>
    </rPh>
    <rPh sb="55" eb="56">
      <t>オコナ</t>
    </rPh>
    <phoneticPr fontId="2"/>
  </si>
  <si>
    <t>管理メニュー</t>
    <rPh sb="0" eb="2">
      <t>カンリ</t>
    </rPh>
    <phoneticPr fontId="2"/>
  </si>
  <si>
    <t>当システムではKOMTRAX NEWSは不要か。</t>
    <rPh sb="0" eb="1">
      <t>トウ</t>
    </rPh>
    <rPh sb="20" eb="22">
      <t>フヨウ</t>
    </rPh>
    <phoneticPr fontId="2"/>
  </si>
  <si>
    <t>#8451</t>
    <phoneticPr fontId="2"/>
  </si>
  <si>
    <t>暫定でエグゼにて作成し、コマツ様にご確認いただく。</t>
    <rPh sb="0" eb="2">
      <t>ザンテイ</t>
    </rPh>
    <rPh sb="8" eb="10">
      <t>サクセイ</t>
    </rPh>
    <rPh sb="15" eb="16">
      <t>サマ</t>
    </rPh>
    <rPh sb="18" eb="20">
      <t>カクニン</t>
    </rPh>
    <phoneticPr fontId="2"/>
  </si>
  <si>
    <t>#8452</t>
    <phoneticPr fontId="2"/>
  </si>
  <si>
    <r>
      <t xml:space="preserve">チケットでコマツ様に確認
</t>
    </r>
    <r>
      <rPr>
        <sz val="10"/>
        <color rgb="FFFF0000"/>
        <rFont val="Meiryo UI"/>
        <family val="3"/>
        <charset val="128"/>
      </rPr>
      <t>2022/3/25 松下
チケットにて回答ありました。
モーダルの形式としてはOK/キャンセルボタンと文言が表示されるモーダル
　→カスタマイズ設定取得要求と同様の構成
表示される文言は編集内容破棄に合わせて定義が必要となります。
画面遷移図にカスタマイズ編集内容破棄を追加しました。</t>
    </r>
    <rPh sb="8" eb="9">
      <t>サマ</t>
    </rPh>
    <rPh sb="10" eb="12">
      <t>カクニン</t>
    </rPh>
    <rPh sb="93" eb="95">
      <t>ドウヨウ</t>
    </rPh>
    <rPh sb="96" eb="98">
      <t>コウセイ</t>
    </rPh>
    <rPh sb="118" eb="120">
      <t>テイギ</t>
    </rPh>
    <rPh sb="121" eb="123">
      <t>ヒツヨウ</t>
    </rPh>
    <phoneticPr fontId="2"/>
  </si>
  <si>
    <r>
      <t xml:space="preserve">チケットでコマツ様に確認
</t>
    </r>
    <r>
      <rPr>
        <sz val="10"/>
        <color rgb="FFFF0000"/>
        <rFont val="Meiryo UI"/>
        <family val="3"/>
        <charset val="128"/>
      </rPr>
      <t>2022/3/25 松下
チケットにて回答ありました。
通信機種も含めた要件定義書の再提示あり。</t>
    </r>
    <rPh sb="8" eb="9">
      <t>サマ</t>
    </rPh>
    <rPh sb="10" eb="12">
      <t>カクニン</t>
    </rPh>
    <rPh sb="24" eb="26">
      <t>マツシタ</t>
    </rPh>
    <rPh sb="42" eb="44">
      <t>ツウシン</t>
    </rPh>
    <rPh sb="44" eb="46">
      <t>キシュ</t>
    </rPh>
    <rPh sb="47" eb="48">
      <t>フク</t>
    </rPh>
    <rPh sb="50" eb="52">
      <t>ヨウケン</t>
    </rPh>
    <rPh sb="52" eb="55">
      <t>テイギショ</t>
    </rPh>
    <rPh sb="56" eb="57">
      <t>サイ</t>
    </rPh>
    <rPh sb="57" eb="59">
      <t>テイジ</t>
    </rPh>
    <phoneticPr fontId="2"/>
  </si>
  <si>
    <r>
      <t xml:space="preserve">チケットでコマツ様に確認
</t>
    </r>
    <r>
      <rPr>
        <sz val="10"/>
        <color rgb="FFFF0000"/>
        <rFont val="Meiryo UI"/>
        <family val="3"/>
        <charset val="128"/>
      </rPr>
      <t>2022/3/25 松下
チケットにて回答ありました。
カスタマイズ用途定義設定更新要求に遷移が正しい挙動となります。
表示される文言は再送に合わせて定義が必要となります。
画面遷移図にカスタマイズ用途定義設定再送を追加しました。</t>
    </r>
    <rPh sb="8" eb="9">
      <t>サマ</t>
    </rPh>
    <rPh sb="10" eb="12">
      <t>カクニン</t>
    </rPh>
    <rPh sb="24" eb="26">
      <t>マツシタ</t>
    </rPh>
    <rPh sb="33" eb="35">
      <t>カイトウ</t>
    </rPh>
    <rPh sb="59" eb="61">
      <t>センイ</t>
    </rPh>
    <rPh sb="62" eb="63">
      <t>タダ</t>
    </rPh>
    <rPh sb="65" eb="67">
      <t>キョドウ</t>
    </rPh>
    <rPh sb="74" eb="76">
      <t>ヒョウジ</t>
    </rPh>
    <rPh sb="79" eb="81">
      <t>モンゴン</t>
    </rPh>
    <rPh sb="82" eb="84">
      <t>サイソウ</t>
    </rPh>
    <rPh sb="85" eb="86">
      <t>ア</t>
    </rPh>
    <rPh sb="89" eb="91">
      <t>テイギ</t>
    </rPh>
    <rPh sb="92" eb="94">
      <t>ヒツヨウ</t>
    </rPh>
    <phoneticPr fontId="2"/>
  </si>
  <si>
    <t>カスタマイズ用途定義追加</t>
    <phoneticPr fontId="2"/>
  </si>
  <si>
    <t>初期表示時の「開始日・終了日」の初期値はどのような日付を設定するべきか。</t>
    <rPh sb="0" eb="2">
      <t>ショキ</t>
    </rPh>
    <rPh sb="2" eb="4">
      <t>ヒョウジ</t>
    </rPh>
    <rPh sb="4" eb="5">
      <t>ジ</t>
    </rPh>
    <rPh sb="7" eb="10">
      <t>カイシビ</t>
    </rPh>
    <rPh sb="11" eb="14">
      <t>シュウリョウビ</t>
    </rPh>
    <rPh sb="16" eb="19">
      <t>ショキチ</t>
    </rPh>
    <rPh sb="25" eb="27">
      <t>ヒヅケ</t>
    </rPh>
    <rPh sb="28" eb="30">
      <t>セッテイ</t>
    </rPh>
    <phoneticPr fontId="2"/>
  </si>
  <si>
    <r>
      <t xml:space="preserve">チケットでコマツ様に確認
</t>
    </r>
    <r>
      <rPr>
        <sz val="10"/>
        <color rgb="FFFF0000"/>
        <rFont val="Meiryo UI"/>
        <family val="3"/>
        <charset val="128"/>
      </rPr>
      <t>2022/3/25 松下
チケットにて回答ありました。
通信機種も含めた要件定義書の再提示あり。
再提示いただいた項目数であれば1ページに収まると思われるため、課題を取り下げます。</t>
    </r>
    <rPh sb="8" eb="9">
      <t>サマ</t>
    </rPh>
    <rPh sb="10" eb="12">
      <t>カクニン</t>
    </rPh>
    <rPh sb="63" eb="66">
      <t>サイテイジ</t>
    </rPh>
    <rPh sb="71" eb="73">
      <t>コウモク</t>
    </rPh>
    <rPh sb="73" eb="74">
      <t>スウ</t>
    </rPh>
    <rPh sb="83" eb="84">
      <t>オサ</t>
    </rPh>
    <rPh sb="87" eb="88">
      <t>オモ</t>
    </rPh>
    <rPh sb="94" eb="96">
      <t>カダイ</t>
    </rPh>
    <rPh sb="97" eb="98">
      <t>ト</t>
    </rPh>
    <rPh sb="99" eb="100">
      <t>サ</t>
    </rPh>
    <phoneticPr fontId="2"/>
  </si>
  <si>
    <t>作業履歴</t>
    <rPh sb="0" eb="2">
      <t>サギョウ</t>
    </rPh>
    <rPh sb="2" eb="4">
      <t>リレキ</t>
    </rPh>
    <phoneticPr fontId="2"/>
  </si>
  <si>
    <t>一覧テーブルへ表示する項目数が多くなると思われるため、固定列と横スクロール列の定義を行っていただく必要がある。</t>
    <phoneticPr fontId="2"/>
  </si>
  <si>
    <t>アップロード実行後、アップロード結果モーダルは必要か確認。</t>
    <rPh sb="6" eb="8">
      <t>ジッコウ</t>
    </rPh>
    <rPh sb="8" eb="9">
      <t>ゴ</t>
    </rPh>
    <rPh sb="16" eb="18">
      <t>ケッカ</t>
    </rPh>
    <rPh sb="23" eb="25">
      <t>ヒツヨウ</t>
    </rPh>
    <rPh sb="26" eb="28">
      <t>カクニン</t>
    </rPh>
    <phoneticPr fontId="2"/>
  </si>
  <si>
    <t>Excelアップロードボタン押下後は確認モーダルが必要か確認。</t>
    <rPh sb="14" eb="16">
      <t>オウカ</t>
    </rPh>
    <rPh sb="16" eb="17">
      <t>ゴ</t>
    </rPh>
    <rPh sb="18" eb="20">
      <t>カクニン</t>
    </rPh>
    <rPh sb="25" eb="27">
      <t>ヒツヨウ</t>
    </rPh>
    <phoneticPr fontId="2"/>
  </si>
  <si>
    <t>#8506</t>
    <phoneticPr fontId="2"/>
  </si>
  <si>
    <t>#8514</t>
    <phoneticPr fontId="2"/>
  </si>
  <si>
    <t>既存システム(DFM/CFM、運用アプリ)は画面で設定を行っているため、
当システムでも画面で設定を行う。</t>
    <rPh sb="0" eb="2">
      <t>キゾン</t>
    </rPh>
    <rPh sb="15" eb="17">
      <t>ウンヨウ</t>
    </rPh>
    <rPh sb="22" eb="24">
      <t>ガメン</t>
    </rPh>
    <rPh sb="25" eb="27">
      <t>セッテイ</t>
    </rPh>
    <rPh sb="28" eb="29">
      <t>オコナ</t>
    </rPh>
    <rPh sb="37" eb="38">
      <t>トウ</t>
    </rPh>
    <rPh sb="44" eb="46">
      <t>ガメン</t>
    </rPh>
    <rPh sb="47" eb="49">
      <t>セッテイ</t>
    </rPh>
    <rPh sb="50" eb="51">
      <t>オコナ</t>
    </rPh>
    <phoneticPr fontId="2"/>
  </si>
  <si>
    <r>
      <t xml:space="preserve">チケットでコマツ様に確認
</t>
    </r>
    <r>
      <rPr>
        <sz val="10"/>
        <color rgb="FFFF0000"/>
        <rFont val="Meiryo UI"/>
        <family val="3"/>
        <charset val="128"/>
      </rPr>
      <t>2022/4/4 松下
チケットにて回答ありました。
カスタマイズデータ・設定管理アプリ
CDSM = CustomizedData Setting Management App</t>
    </r>
    <rPh sb="8" eb="9">
      <t>サマ</t>
    </rPh>
    <rPh sb="10" eb="12">
      <t>カクニン</t>
    </rPh>
    <rPh sb="23" eb="25">
      <t>マツシタ</t>
    </rPh>
    <phoneticPr fontId="2"/>
  </si>
  <si>
    <r>
      <t xml:space="preserve">チケットでコマツ様に確認
</t>
    </r>
    <r>
      <rPr>
        <sz val="10"/>
        <color rgb="FFFF0000"/>
        <rFont val="Meiryo UI"/>
        <family val="3"/>
        <charset val="128"/>
      </rPr>
      <t>2022/4/4 松下
チケットにて回答ありました。
詳細はチケット参照</t>
    </r>
    <rPh sb="8" eb="9">
      <t>サマ</t>
    </rPh>
    <rPh sb="10" eb="12">
      <t>カクニン</t>
    </rPh>
    <rPh sb="41" eb="43">
      <t>ショウサイ</t>
    </rPh>
    <rPh sb="48" eb="50">
      <t>サンショウ</t>
    </rPh>
    <phoneticPr fontId="2"/>
  </si>
  <si>
    <r>
      <t xml:space="preserve">No.2と同様
</t>
    </r>
    <r>
      <rPr>
        <sz val="10"/>
        <color rgb="FFFF0000"/>
        <rFont val="Meiryo UI"/>
        <family val="3"/>
        <charset val="128"/>
      </rPr>
      <t>2022/4/4 松下
チケットにて回答ありました。
詳細はチケット参照</t>
    </r>
    <rPh sb="5" eb="7">
      <t>ドウヨウ</t>
    </rPh>
    <phoneticPr fontId="2"/>
  </si>
  <si>
    <t>No.2、3での確認後に
未確定モーダルの発覚、仕様変更によるモーダル追加が発生したため再度チケットで確認</t>
    <rPh sb="8" eb="10">
      <t>カクニン</t>
    </rPh>
    <rPh sb="10" eb="11">
      <t>ゴ</t>
    </rPh>
    <rPh sb="21" eb="23">
      <t>ハッカク</t>
    </rPh>
    <phoneticPr fontId="2"/>
  </si>
  <si>
    <t>#8644</t>
    <phoneticPr fontId="2"/>
  </si>
  <si>
    <t>カスタマイズ要求ステータス</t>
    <phoneticPr fontId="2"/>
  </si>
  <si>
    <t>カスタマイズ設定一括登録／変更</t>
    <phoneticPr fontId="2"/>
  </si>
  <si>
    <t>検索条件の項目名誤りかを確認
　履歴日付　→　要求日付　or 要求日時</t>
    <rPh sb="0" eb="2">
      <t>ケンサク</t>
    </rPh>
    <rPh sb="2" eb="4">
      <t>ジョウケン</t>
    </rPh>
    <rPh sb="5" eb="7">
      <t>コウモク</t>
    </rPh>
    <rPh sb="7" eb="8">
      <t>メイ</t>
    </rPh>
    <rPh sb="8" eb="9">
      <t>アヤマ</t>
    </rPh>
    <rPh sb="12" eb="14">
      <t>カクニン</t>
    </rPh>
    <rPh sb="16" eb="18">
      <t>リレキ</t>
    </rPh>
    <rPh sb="18" eb="20">
      <t>ヒヅケ</t>
    </rPh>
    <rPh sb="31" eb="33">
      <t>ヨウキュウ</t>
    </rPh>
    <rPh sb="33" eb="35">
      <t>ニチジ</t>
    </rPh>
    <phoneticPr fontId="2"/>
  </si>
  <si>
    <r>
      <t xml:space="preserve">チケットではNTCS社も見えるため定例会で確認
</t>
    </r>
    <r>
      <rPr>
        <sz val="10"/>
        <color rgb="FFFF0000"/>
        <rFont val="Meiryo UI"/>
        <family val="3"/>
        <charset val="128"/>
      </rPr>
      <t xml:space="preserve">
2022/4/5 松下
コマツ様より参照してもよいSwaggerはご連絡いただけることとなった。
また、参照可となったSwagger UIに変更が入った場合にもご連絡いただける。</t>
    </r>
    <rPh sb="10" eb="11">
      <t>シャ</t>
    </rPh>
    <rPh sb="12" eb="13">
      <t>ミ</t>
    </rPh>
    <rPh sb="17" eb="20">
      <t>テイレイカイ</t>
    </rPh>
    <rPh sb="21" eb="23">
      <t>カクニン</t>
    </rPh>
    <rPh sb="34" eb="36">
      <t>マツシタ</t>
    </rPh>
    <rPh sb="40" eb="41">
      <t>サマ</t>
    </rPh>
    <rPh sb="43" eb="45">
      <t>サンショウ</t>
    </rPh>
    <rPh sb="59" eb="61">
      <t>レンラク</t>
    </rPh>
    <rPh sb="77" eb="79">
      <t>サンショウ</t>
    </rPh>
    <rPh sb="106" eb="108">
      <t>レンラク</t>
    </rPh>
    <phoneticPr fontId="2"/>
  </si>
  <si>
    <t>スクロール不要で表示できると思われるため、取り下げを行う。</t>
    <rPh sb="5" eb="7">
      <t>フヨウ</t>
    </rPh>
    <rPh sb="8" eb="10">
      <t>ヒョウジ</t>
    </rPh>
    <rPh sb="14" eb="15">
      <t>オモ</t>
    </rPh>
    <rPh sb="21" eb="22">
      <t>ト</t>
    </rPh>
    <rPh sb="23" eb="24">
      <t>サ</t>
    </rPh>
    <rPh sb="26" eb="27">
      <t>オコナ</t>
    </rPh>
    <phoneticPr fontId="2"/>
  </si>
  <si>
    <t>#8645</t>
    <phoneticPr fontId="2"/>
  </si>
  <si>
    <t>チケットでコマツ様に確認
2022/4/8
ビジネスアプリ対応の管理メニューには不要との回答をいただいた。</t>
    <rPh sb="8" eb="9">
      <t>サマ</t>
    </rPh>
    <rPh sb="10" eb="12">
      <t>カクニン</t>
    </rPh>
    <rPh sb="30" eb="32">
      <t>タイオウ</t>
    </rPh>
    <rPh sb="33" eb="35">
      <t>カンリ</t>
    </rPh>
    <rPh sb="41" eb="43">
      <t>フヨウ</t>
    </rPh>
    <rPh sb="45" eb="47">
      <t>カイトウ</t>
    </rPh>
    <phoneticPr fontId="2"/>
  </si>
  <si>
    <r>
      <t xml:space="preserve">チケットでコマツ様に確認
</t>
    </r>
    <r>
      <rPr>
        <sz val="10"/>
        <color rgb="FFFF0000"/>
        <rFont val="Meiryo UI"/>
        <family val="3"/>
        <charset val="128"/>
      </rPr>
      <t>2022/4/7
必要というご回答をいただいた。</t>
    </r>
    <rPh sb="8" eb="9">
      <t>サマ</t>
    </rPh>
    <rPh sb="10" eb="12">
      <t>カクニン</t>
    </rPh>
    <rPh sb="23" eb="25">
      <t>ヒツヨウ</t>
    </rPh>
    <rPh sb="29" eb="31">
      <t>カイトウ</t>
    </rPh>
    <phoneticPr fontId="2"/>
  </si>
  <si>
    <r>
      <t xml:space="preserve">チケットでコマツ様に確認
</t>
    </r>
    <r>
      <rPr>
        <sz val="10"/>
        <color rgb="FFFF0000"/>
        <rFont val="Meiryo UI"/>
        <family val="3"/>
        <charset val="128"/>
      </rPr>
      <t xml:space="preserve">
2022/4/7
必要というご回答をいただいた。</t>
    </r>
    <rPh sb="8" eb="9">
      <t>サマ</t>
    </rPh>
    <rPh sb="10" eb="12">
      <t>カクニン</t>
    </rPh>
    <phoneticPr fontId="2"/>
  </si>
  <si>
    <t>カスタマイズ用途定義編集</t>
    <rPh sb="10" eb="12">
      <t>ヘンシュウ</t>
    </rPh>
    <phoneticPr fontId="2"/>
  </si>
  <si>
    <t>新規</t>
  </si>
  <si>
    <t>カスタマイズデータ送信要求(期間指定)</t>
    <phoneticPr fontId="2"/>
  </si>
  <si>
    <t>APIのリクエスト.要求経路区分に何を設定すればよいか不明</t>
    <rPh sb="17" eb="18">
      <t>ナニ</t>
    </rPh>
    <rPh sb="19" eb="21">
      <t>セッテイ</t>
    </rPh>
    <rPh sb="27" eb="29">
      <t>フメイ</t>
    </rPh>
    <phoneticPr fontId="2"/>
  </si>
  <si>
    <t>APIのリクエストで下記項目には何を設定すればよいか不明
・要求経路区分
・継続有無</t>
    <rPh sb="10" eb="12">
      <t>カキ</t>
    </rPh>
    <rPh sb="12" eb="14">
      <t>コウモク</t>
    </rPh>
    <rPh sb="16" eb="17">
      <t>ナニ</t>
    </rPh>
    <rPh sb="18" eb="20">
      <t>セッテイ</t>
    </rPh>
    <rPh sb="26" eb="28">
      <t>フメイ</t>
    </rPh>
    <phoneticPr fontId="2"/>
  </si>
  <si>
    <t>操作履歴</t>
    <rPh sb="0" eb="2">
      <t>ソウサ</t>
    </rPh>
    <rPh sb="2" eb="4">
      <t>リレキ</t>
    </rPh>
    <phoneticPr fontId="2"/>
  </si>
  <si>
    <t>カスタマイズ操作履歴ファイル作成APIのリクエストで下記項目には何を設定すればよいか不明
・グループ種別ID
・メーカコード
・ファイル名
・ファイル形式
・処理区分
・ファイル要求名</t>
    <rPh sb="26" eb="28">
      <t>カキ</t>
    </rPh>
    <rPh sb="28" eb="30">
      <t>コウモク</t>
    </rPh>
    <rPh sb="32" eb="33">
      <t>ナニ</t>
    </rPh>
    <rPh sb="34" eb="36">
      <t>セッテイ</t>
    </rPh>
    <rPh sb="42" eb="44">
      <t>フメイ</t>
    </rPh>
    <phoneticPr fontId="2"/>
  </si>
  <si>
    <t>カスタマイズ操作履歴一覧取得APIのリクエスト.メーカーコードに何を設定すればよいか不明</t>
    <rPh sb="32" eb="33">
      <t>ナニ</t>
    </rPh>
    <rPh sb="34" eb="36">
      <t>セッテイ</t>
    </rPh>
    <rPh sb="42" eb="44">
      <t>フメイ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</si>
</sst>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
  </numFmts>
  <fonts count="10" x14ac:knownFonts="1">
    <font>
      <sz val="10"/>
      <color theme="1"/>
      <name val="Meiryo UI"/>
      <family val="2"/>
      <charset val="128"/>
    </font>
    <font>
      <sz val="10"/>
      <color theme="1"/>
      <name val="Meiryo UI"/>
      <family val="2"/>
      <charset val="128"/>
    </font>
    <font>
      <sz val="6"/>
      <name val="Meiryo UI"/>
      <family val="2"/>
      <charset val="128"/>
    </font>
    <font>
      <sz val="6"/>
      <name val="ＭＳ Ｐゴシック"/>
      <family val="3"/>
      <charset val="128"/>
    </font>
    <font>
      <sz val="10"/>
      <color theme="1"/>
      <name val="Meiryo UI"/>
      <family val="3"/>
      <charset val="128"/>
    </font>
    <font>
      <b/>
      <sz val="14"/>
      <name val="Meiryo UI"/>
      <family val="3"/>
      <charset val="128"/>
    </font>
    <font>
      <sz val="10"/>
      <name val="Meiryo UI"/>
      <family val="3"/>
      <charset val="128"/>
    </font>
    <font>
      <b/>
      <sz val="10"/>
      <color theme="0"/>
      <name val="Meiryo UI"/>
      <family val="3"/>
      <charset val="128"/>
    </font>
    <font>
      <sz val="10"/>
      <color rgb="FFFF0000"/>
      <name val="Meiryo UI"/>
      <family val="3"/>
      <charset val="128"/>
    </font>
    <font>
      <u/>
      <sz val="10"/>
      <color theme="10"/>
      <name val="Meiryo UI"/>
      <family val="2"/>
      <charset val="128"/>
    </font>
  </fonts>
  <fills count="3">
    <fill>
      <patternFill patternType="none"/>
    </fill>
    <fill>
      <patternFill patternType="gray125"/>
    </fill>
    <fill>
      <patternFill patternType="solid">
        <fgColor theme="1"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18">
    <xf numFmtId="0" fontId="0" fillId="0" borderId="0" xfId="0">
      <alignment vertical="center"/>
    </xf>
    <xf numFmtId="0" fontId="5" fillId="0" borderId="0" xfId="0" applyFont="1" applyAlignment="1">
      <alignment vertical="top"/>
    </xf>
    <xf numFmtId="0" fontId="6" fillId="0" borderId="0" xfId="0" applyFont="1" applyAlignment="1">
      <alignment vertical="top"/>
    </xf>
    <xf numFmtId="0" fontId="6" fillId="0" borderId="1" xfId="0" applyFont="1" applyBorder="1" applyAlignment="1">
      <alignment horizontal="center" vertical="top"/>
    </xf>
    <xf numFmtId="0" fontId="6" fillId="0" borderId="1" xfId="0" applyFont="1" applyBorder="1" applyAlignment="1">
      <alignment vertical="top" wrapText="1"/>
    </xf>
    <xf numFmtId="176" fontId="6" fillId="0" borderId="1" xfId="0" applyNumberFormat="1" applyFont="1" applyBorder="1" applyAlignment="1">
      <alignment horizontal="center" vertical="top"/>
    </xf>
    <xf numFmtId="0" fontId="6" fillId="0" borderId="1" xfId="0" applyFont="1" applyBorder="1" applyAlignment="1">
      <alignment horizontal="center" vertical="top" wrapText="1"/>
    </xf>
    <xf numFmtId="0" fontId="7" fillId="2" borderId="1" xfId="0" applyFont="1" applyFill="1" applyBorder="1" applyAlignment="1">
      <alignment horizontal="center" vertical="top"/>
    </xf>
    <xf numFmtId="0" fontId="5" fillId="0" borderId="2" xfId="0" applyFont="1" applyBorder="1" applyAlignment="1">
      <alignment vertical="top"/>
    </xf>
    <xf numFmtId="0" fontId="8" fillId="0" borderId="1" xfId="0" applyFont="1" applyBorder="1" applyAlignment="1">
      <alignment vertical="top" wrapText="1"/>
    </xf>
    <xf numFmtId="0" fontId="8" fillId="0" borderId="0" xfId="0" applyFont="1" applyAlignment="1">
      <alignment vertical="top"/>
    </xf>
    <xf numFmtId="0" fontId="6" fillId="0" borderId="1" xfId="0" applyFont="1" applyFill="1" applyBorder="1" applyAlignment="1">
      <alignment horizontal="center" vertical="top"/>
    </xf>
    <xf numFmtId="0" fontId="6" fillId="0" borderId="1" xfId="0" applyFont="1" applyFill="1" applyBorder="1" applyAlignment="1">
      <alignment vertical="top" wrapText="1"/>
    </xf>
    <xf numFmtId="176" fontId="6" fillId="0" borderId="1" xfId="0" applyNumberFormat="1" applyFont="1" applyFill="1" applyBorder="1" applyAlignment="1">
      <alignment horizontal="center" vertical="top"/>
    </xf>
    <xf numFmtId="0" fontId="5" fillId="0" borderId="2" xfId="0" applyFont="1" applyBorder="1" applyAlignment="1">
      <alignment vertical="top"/>
    </xf>
    <xf numFmtId="0" fontId="6" fillId="0" borderId="1" xfId="0" applyFont="1" applyBorder="1" applyAlignment="1">
      <alignment vertical="center" wrapText="1"/>
    </xf>
    <xf numFmtId="0" fontId="9" fillId="0" borderId="1" xfId="1" applyBorder="1" applyAlignment="1">
      <alignment vertical="center" wrapText="1"/>
    </xf>
    <xf numFmtId="0" fontId="5" fillId="0" borderId="2" xfId="0" applyFont="1" applyBorder="1" applyAlignment="1">
      <alignment vertical="top"/>
    </xf>
  </cellXfs>
  <cellStyles count="2">
    <cellStyle name="ハイパーリンク" xfId="1" builtinId="8"/>
    <cellStyle name="標準" xfId="0" builtinId="0"/>
  </cellStyles>
  <dxfs count="92">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0000FF"/>
      <color rgb="FFFFCCFF"/>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gk-redmine.japaneast.cloudapp.azure.com/redmine/projects/ngk-r1-2/issues/8451" TargetMode="External"/><Relationship Id="rId13" Type="http://schemas.openxmlformats.org/officeDocument/2006/relationships/hyperlink" Target="https://ngk-redmine.japaneast.cloudapp.azure.com/redmine/issues/8394" TargetMode="External"/><Relationship Id="rId18" Type="http://schemas.openxmlformats.org/officeDocument/2006/relationships/printerSettings" Target="../printerSettings/printerSettings1.bin"/><Relationship Id="rId3" Type="http://schemas.openxmlformats.org/officeDocument/2006/relationships/hyperlink" Target="https://ngk-redmine.japaneast.cloudapp.azure.com/redmine/issues/8394" TargetMode="External"/><Relationship Id="rId7" Type="http://schemas.openxmlformats.org/officeDocument/2006/relationships/hyperlink" Target="https://ngk-redmine.japaneast.cloudapp.azure.com/redmine/issues/8444" TargetMode="External"/><Relationship Id="rId12" Type="http://schemas.openxmlformats.org/officeDocument/2006/relationships/hyperlink" Target="https://ngk-redmine.japaneast.cloudapp.azure.com/redmine/issues/8514" TargetMode="External"/><Relationship Id="rId17" Type="http://schemas.openxmlformats.org/officeDocument/2006/relationships/hyperlink" Target="https://ngk-redmine.japaneast.cloudapp.azure.com/redmine/issues/8645" TargetMode="External"/><Relationship Id="rId2" Type="http://schemas.openxmlformats.org/officeDocument/2006/relationships/hyperlink" Target="https://ngk-redmine.japaneast.cloudapp.azure.com/redmine/issues/8394" TargetMode="External"/><Relationship Id="rId16" Type="http://schemas.openxmlformats.org/officeDocument/2006/relationships/hyperlink" Target="https://ngk-redmine.japaneast.cloudapp.azure.com/redmine/issues/8645" TargetMode="External"/><Relationship Id="rId20" Type="http://schemas.openxmlformats.org/officeDocument/2006/relationships/comments" Target="../comments1.xml"/><Relationship Id="rId1" Type="http://schemas.openxmlformats.org/officeDocument/2006/relationships/hyperlink" Target="https://ngk-redmine.japaneast.cloudapp.azure.com/redmine/issues/8393" TargetMode="External"/><Relationship Id="rId6" Type="http://schemas.openxmlformats.org/officeDocument/2006/relationships/hyperlink" Target="https://ngk-redmine.japaneast.cloudapp.azure.com/redmine/issues/8444" TargetMode="External"/><Relationship Id="rId11" Type="http://schemas.openxmlformats.org/officeDocument/2006/relationships/hyperlink" Target="https://ngk-redmine.japaneast.cloudapp.azure.com/redmine/issues/8514" TargetMode="External"/><Relationship Id="rId5" Type="http://schemas.openxmlformats.org/officeDocument/2006/relationships/hyperlink" Target="https://ngk-redmine.japaneast.cloudapp.azure.com/redmine/issues/8443" TargetMode="External"/><Relationship Id="rId15" Type="http://schemas.openxmlformats.org/officeDocument/2006/relationships/hyperlink" Target="https://ngk-redmine.japaneast.cloudapp.azure.com/redmine/issues/8645" TargetMode="External"/><Relationship Id="rId10" Type="http://schemas.openxmlformats.org/officeDocument/2006/relationships/hyperlink" Target="https://ngk-redmine.japaneast.cloudapp.azure.com/redmine/issues/8506" TargetMode="External"/><Relationship Id="rId19" Type="http://schemas.openxmlformats.org/officeDocument/2006/relationships/vmlDrawing" Target="../drawings/vmlDrawing1.vml"/><Relationship Id="rId4" Type="http://schemas.openxmlformats.org/officeDocument/2006/relationships/hyperlink" Target="https://ngk-redmine.japaneast.cloudapp.azure.com/redmine/issues/8442" TargetMode="External"/><Relationship Id="rId9" Type="http://schemas.openxmlformats.org/officeDocument/2006/relationships/hyperlink" Target="https://ngk-redmine.japaneast.cloudapp.azure.com/redmine/issues/8452" TargetMode="External"/><Relationship Id="rId14" Type="http://schemas.openxmlformats.org/officeDocument/2006/relationships/hyperlink" Target="https://ngk-redmine.japaneast.cloudapp.azure.com/redmine/issues/86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51"/>
  <sheetViews>
    <sheetView showGridLines="0" tabSelected="1" zoomScaleNormal="100" zoomScaleSheetLayoutView="100" workbookViewId="0">
      <pane ySplit="2" topLeftCell="A24" activePane="bottomLeft" state="frozen"/>
      <selection pane="bottomLeft" activeCell="E29" sqref="E29"/>
    </sheetView>
  </sheetViews>
  <sheetFormatPr defaultColWidth="9" defaultRowHeight="14.25" x14ac:dyDescent="0.25"/>
  <cols>
    <col min="1" max="1" width="4.5" style="2" customWidth="1"/>
    <col min="2" max="2" width="4.75" style="2" customWidth="1"/>
    <col min="3" max="3" width="8.625" style="2" customWidth="1"/>
    <col min="4" max="4" width="18" style="2" customWidth="1"/>
    <col min="5" max="5" width="60.5" style="2" customWidth="1"/>
    <col min="6" max="6" width="8.875" style="2" bestFit="1" customWidth="1"/>
    <col min="7" max="7" width="60.5" style="2" customWidth="1"/>
    <col min="8" max="8" width="7.5" style="2" customWidth="1"/>
    <col min="9" max="9" width="6.25" style="2" bestFit="1" customWidth="1"/>
    <col min="10" max="10" width="8.375" style="2" customWidth="1"/>
    <col min="11" max="11" width="6.5" style="2" bestFit="1" customWidth="1"/>
    <col min="12" max="12" width="9.5" style="2" customWidth="1"/>
    <col min="13" max="13" width="6.5" style="2" bestFit="1" customWidth="1"/>
    <col min="14" max="14" width="20.25" style="2" customWidth="1"/>
    <col min="15" max="16384" width="9" style="2"/>
  </cols>
  <sheetData>
    <row r="1" spans="1:14" ht="19.5" x14ac:dyDescent="0.25">
      <c r="A1" s="17" t="s">
        <v>13</v>
      </c>
      <c r="B1" s="17"/>
      <c r="C1" s="17"/>
      <c r="D1" s="17"/>
      <c r="E1" s="17"/>
      <c r="F1" s="14"/>
      <c r="G1" s="8"/>
      <c r="H1" s="1"/>
      <c r="I1" s="1"/>
      <c r="J1" s="1"/>
      <c r="K1" s="1"/>
      <c r="L1" s="1"/>
      <c r="M1" s="1"/>
    </row>
    <row r="2" spans="1:14" x14ac:dyDescent="0.25">
      <c r="A2" s="7" t="s">
        <v>0</v>
      </c>
      <c r="B2" s="7" t="s">
        <v>1</v>
      </c>
      <c r="C2" s="7" t="s">
        <v>11</v>
      </c>
      <c r="D2" s="7" t="s">
        <v>12</v>
      </c>
      <c r="E2" s="7" t="s">
        <v>2</v>
      </c>
      <c r="F2" s="7" t="s">
        <v>35</v>
      </c>
      <c r="G2" s="7" t="s">
        <v>3</v>
      </c>
      <c r="H2" s="7" t="s">
        <v>4</v>
      </c>
      <c r="I2" s="7" t="s">
        <v>5</v>
      </c>
      <c r="J2" s="7" t="s">
        <v>6</v>
      </c>
      <c r="K2" s="7" t="s">
        <v>7</v>
      </c>
      <c r="L2" s="7" t="s">
        <v>8</v>
      </c>
      <c r="M2" s="7" t="s">
        <v>9</v>
      </c>
      <c r="N2" s="7" t="s">
        <v>10</v>
      </c>
    </row>
    <row r="3" spans="1:14" ht="85.5" x14ac:dyDescent="0.25">
      <c r="A3" s="3">
        <f>ROW()-ROW($A$2)</f>
        <v>1</v>
      </c>
      <c r="B3" s="3" t="s">
        <v>14</v>
      </c>
      <c r="C3" s="4" t="s">
        <v>15</v>
      </c>
      <c r="D3" s="4" t="s">
        <v>18</v>
      </c>
      <c r="E3" s="4" t="s">
        <v>20</v>
      </c>
      <c r="F3" s="16" t="s">
        <v>36</v>
      </c>
      <c r="G3" s="4" t="s">
        <v>75</v>
      </c>
      <c r="H3" s="3" t="s">
        <v>31</v>
      </c>
      <c r="I3" s="5">
        <v>44637</v>
      </c>
      <c r="J3" s="6" t="s">
        <v>16</v>
      </c>
      <c r="K3" s="5">
        <v>44635</v>
      </c>
      <c r="L3" s="3" t="s">
        <v>44</v>
      </c>
      <c r="M3" s="5">
        <v>44655</v>
      </c>
      <c r="N3" s="4"/>
    </row>
    <row r="4" spans="1:14" ht="71.25" x14ac:dyDescent="0.25">
      <c r="A4" s="3">
        <f t="shared" ref="A4:A51" si="0">ROW()-ROW($A$2)</f>
        <v>2</v>
      </c>
      <c r="B4" s="3" t="s">
        <v>14</v>
      </c>
      <c r="C4" s="4" t="s">
        <v>17</v>
      </c>
      <c r="D4" s="4" t="s">
        <v>18</v>
      </c>
      <c r="E4" s="4" t="s">
        <v>21</v>
      </c>
      <c r="F4" s="16" t="s">
        <v>37</v>
      </c>
      <c r="G4" s="4" t="s">
        <v>76</v>
      </c>
      <c r="H4" s="3" t="s">
        <v>31</v>
      </c>
      <c r="I4" s="5">
        <v>44637</v>
      </c>
      <c r="J4" s="6" t="s">
        <v>16</v>
      </c>
      <c r="K4" s="5">
        <v>44635</v>
      </c>
      <c r="L4" s="3" t="s">
        <v>44</v>
      </c>
      <c r="M4" s="5">
        <v>44655</v>
      </c>
      <c r="N4" s="4"/>
    </row>
    <row r="5" spans="1:14" s="10" customFormat="1" ht="71.25" x14ac:dyDescent="0.25">
      <c r="A5" s="3">
        <f t="shared" si="0"/>
        <v>3</v>
      </c>
      <c r="B5" s="3" t="s">
        <v>14</v>
      </c>
      <c r="C5" s="4" t="s">
        <v>15</v>
      </c>
      <c r="D5" s="4" t="s">
        <v>19</v>
      </c>
      <c r="E5" s="4" t="s">
        <v>22</v>
      </c>
      <c r="F5" s="16" t="s">
        <v>37</v>
      </c>
      <c r="G5" s="4" t="s">
        <v>77</v>
      </c>
      <c r="H5" s="3" t="s">
        <v>31</v>
      </c>
      <c r="I5" s="5">
        <v>44637</v>
      </c>
      <c r="J5" s="6" t="s">
        <v>25</v>
      </c>
      <c r="K5" s="5">
        <v>44637</v>
      </c>
      <c r="L5" s="3" t="s">
        <v>44</v>
      </c>
      <c r="M5" s="5">
        <v>44655</v>
      </c>
      <c r="N5" s="9"/>
    </row>
    <row r="6" spans="1:14" s="10" customFormat="1" ht="42.75" x14ac:dyDescent="0.25">
      <c r="A6" s="3">
        <f t="shared" si="0"/>
        <v>4</v>
      </c>
      <c r="B6" s="3" t="s">
        <v>14</v>
      </c>
      <c r="C6" s="4" t="s">
        <v>15</v>
      </c>
      <c r="D6" s="4" t="s">
        <v>23</v>
      </c>
      <c r="E6" s="4" t="s">
        <v>24</v>
      </c>
      <c r="F6" s="15"/>
      <c r="G6" s="4" t="s">
        <v>30</v>
      </c>
      <c r="H6" s="3" t="s">
        <v>31</v>
      </c>
      <c r="I6" s="5">
        <v>44637</v>
      </c>
      <c r="J6" s="6" t="s">
        <v>25</v>
      </c>
      <c r="K6" s="5">
        <v>44637</v>
      </c>
      <c r="L6" s="3" t="s">
        <v>16</v>
      </c>
      <c r="M6" s="5">
        <v>44637</v>
      </c>
      <c r="N6" s="9"/>
    </row>
    <row r="7" spans="1:14" s="10" customFormat="1" ht="42.75" x14ac:dyDescent="0.25">
      <c r="A7" s="3">
        <f t="shared" si="0"/>
        <v>5</v>
      </c>
      <c r="B7" s="3" t="s">
        <v>14</v>
      </c>
      <c r="C7" s="4" t="s">
        <v>15</v>
      </c>
      <c r="D7" s="4" t="s">
        <v>26</v>
      </c>
      <c r="E7" s="4" t="s">
        <v>27</v>
      </c>
      <c r="F7" s="15"/>
      <c r="G7" s="4" t="s">
        <v>32</v>
      </c>
      <c r="H7" s="3" t="s">
        <v>31</v>
      </c>
      <c r="I7" s="5">
        <v>44637</v>
      </c>
      <c r="J7" s="6" t="s">
        <v>25</v>
      </c>
      <c r="K7" s="5">
        <v>44637</v>
      </c>
      <c r="L7" s="3" t="s">
        <v>16</v>
      </c>
      <c r="M7" s="5">
        <v>44637</v>
      </c>
      <c r="N7" s="9"/>
    </row>
    <row r="8" spans="1:14" s="10" customFormat="1" ht="99.75" x14ac:dyDescent="0.25">
      <c r="A8" s="3">
        <f t="shared" si="0"/>
        <v>6</v>
      </c>
      <c r="B8" s="3" t="s">
        <v>14</v>
      </c>
      <c r="C8" s="4" t="s">
        <v>15</v>
      </c>
      <c r="D8" s="4" t="s">
        <v>28</v>
      </c>
      <c r="E8" s="4" t="s">
        <v>29</v>
      </c>
      <c r="F8" s="15" t="s">
        <v>38</v>
      </c>
      <c r="G8" s="4" t="s">
        <v>39</v>
      </c>
      <c r="H8" s="3" t="s">
        <v>31</v>
      </c>
      <c r="I8" s="5">
        <v>44637</v>
      </c>
      <c r="J8" s="6" t="s">
        <v>25</v>
      </c>
      <c r="K8" s="5">
        <v>44637</v>
      </c>
      <c r="L8" s="3" t="s">
        <v>16</v>
      </c>
      <c r="M8" s="5">
        <v>44638</v>
      </c>
      <c r="N8" s="9"/>
    </row>
    <row r="9" spans="1:14" s="10" customFormat="1" ht="99.75" x14ac:dyDescent="0.25">
      <c r="A9" s="3">
        <f t="shared" si="0"/>
        <v>7</v>
      </c>
      <c r="B9" s="3" t="s">
        <v>14</v>
      </c>
      <c r="C9" s="4" t="s">
        <v>15</v>
      </c>
      <c r="D9" s="4" t="s">
        <v>19</v>
      </c>
      <c r="E9" s="4" t="s">
        <v>33</v>
      </c>
      <c r="F9" s="16" t="s">
        <v>43</v>
      </c>
      <c r="G9" s="4" t="s">
        <v>64</v>
      </c>
      <c r="H9" s="3" t="s">
        <v>31</v>
      </c>
      <c r="I9" s="5">
        <v>44637</v>
      </c>
      <c r="J9" s="6" t="s">
        <v>25</v>
      </c>
      <c r="K9" s="5">
        <v>44637</v>
      </c>
      <c r="L9" s="3" t="s">
        <v>44</v>
      </c>
      <c r="M9" s="5">
        <v>44645</v>
      </c>
      <c r="N9" s="9"/>
    </row>
    <row r="10" spans="1:14" ht="114" x14ac:dyDescent="0.25">
      <c r="A10" s="3">
        <f t="shared" si="0"/>
        <v>8</v>
      </c>
      <c r="B10" s="3" t="s">
        <v>14</v>
      </c>
      <c r="C10" s="4" t="s">
        <v>15</v>
      </c>
      <c r="D10" s="4" t="s">
        <v>19</v>
      </c>
      <c r="E10" s="4" t="s">
        <v>34</v>
      </c>
      <c r="F10" s="16" t="s">
        <v>45</v>
      </c>
      <c r="G10" s="4" t="s">
        <v>62</v>
      </c>
      <c r="H10" s="3" t="s">
        <v>31</v>
      </c>
      <c r="I10" s="5">
        <v>44637</v>
      </c>
      <c r="J10" s="6" t="s">
        <v>25</v>
      </c>
      <c r="K10" s="5">
        <v>44637</v>
      </c>
      <c r="L10" s="3" t="s">
        <v>44</v>
      </c>
      <c r="M10" s="5">
        <v>44645</v>
      </c>
      <c r="N10" s="4"/>
    </row>
    <row r="11" spans="1:14" ht="71.25" x14ac:dyDescent="0.25">
      <c r="A11" s="3">
        <f t="shared" si="0"/>
        <v>9</v>
      </c>
      <c r="B11" s="3" t="s">
        <v>14</v>
      </c>
      <c r="C11" s="4" t="s">
        <v>15</v>
      </c>
      <c r="D11" s="4" t="s">
        <v>46</v>
      </c>
      <c r="E11" s="4" t="s">
        <v>49</v>
      </c>
      <c r="F11" s="16" t="s">
        <v>50</v>
      </c>
      <c r="G11" s="4" t="s">
        <v>63</v>
      </c>
      <c r="H11" s="3" t="s">
        <v>31</v>
      </c>
      <c r="I11" s="5">
        <v>44638</v>
      </c>
      <c r="J11" s="6" t="s">
        <v>16</v>
      </c>
      <c r="K11" s="5">
        <v>44638</v>
      </c>
      <c r="L11" s="3" t="s">
        <v>44</v>
      </c>
      <c r="M11" s="5">
        <v>44645</v>
      </c>
      <c r="N11" s="4"/>
    </row>
    <row r="12" spans="1:14" ht="85.5" x14ac:dyDescent="0.25">
      <c r="A12" s="3">
        <f t="shared" si="0"/>
        <v>10</v>
      </c>
      <c r="B12" s="3" t="s">
        <v>14</v>
      </c>
      <c r="C12" s="4" t="s">
        <v>15</v>
      </c>
      <c r="D12" s="4" t="s">
        <v>46</v>
      </c>
      <c r="E12" s="4" t="s">
        <v>47</v>
      </c>
      <c r="F12" s="16" t="s">
        <v>50</v>
      </c>
      <c r="G12" s="4" t="s">
        <v>67</v>
      </c>
      <c r="H12" s="3" t="s">
        <v>31</v>
      </c>
      <c r="I12" s="5">
        <v>44638</v>
      </c>
      <c r="J12" s="6" t="s">
        <v>16</v>
      </c>
      <c r="K12" s="5">
        <v>44638</v>
      </c>
      <c r="L12" s="3" t="s">
        <v>44</v>
      </c>
      <c r="M12" s="5">
        <v>44645</v>
      </c>
      <c r="N12" s="4"/>
    </row>
    <row r="13" spans="1:14" ht="71.25" x14ac:dyDescent="0.25">
      <c r="A13" s="3">
        <f t="shared" si="0"/>
        <v>11</v>
      </c>
      <c r="B13" s="3" t="s">
        <v>14</v>
      </c>
      <c r="C13" s="4" t="s">
        <v>40</v>
      </c>
      <c r="D13" s="4" t="s">
        <v>18</v>
      </c>
      <c r="E13" s="4" t="s">
        <v>48</v>
      </c>
      <c r="F13" s="15"/>
      <c r="G13" s="4" t="s">
        <v>83</v>
      </c>
      <c r="H13" s="3" t="s">
        <v>41</v>
      </c>
      <c r="I13" s="5">
        <v>44638</v>
      </c>
      <c r="J13" s="6" t="s">
        <v>16</v>
      </c>
      <c r="K13" s="5">
        <v>44638</v>
      </c>
      <c r="L13" s="3" t="s">
        <v>44</v>
      </c>
      <c r="M13" s="5"/>
      <c r="N13" s="4"/>
    </row>
    <row r="14" spans="1:14" x14ac:dyDescent="0.25">
      <c r="A14" s="3">
        <f t="shared" si="0"/>
        <v>12</v>
      </c>
      <c r="B14" s="3" t="s">
        <v>14</v>
      </c>
      <c r="C14" s="4" t="s">
        <v>40</v>
      </c>
      <c r="D14" s="4" t="s">
        <v>18</v>
      </c>
      <c r="E14" s="4" t="s">
        <v>51</v>
      </c>
      <c r="F14" s="16" t="s">
        <v>59</v>
      </c>
      <c r="G14" s="4" t="s">
        <v>42</v>
      </c>
      <c r="H14" s="3" t="s">
        <v>41</v>
      </c>
      <c r="I14" s="5">
        <v>44638</v>
      </c>
      <c r="J14" s="6" t="s">
        <v>16</v>
      </c>
      <c r="K14" s="5">
        <v>44638</v>
      </c>
      <c r="L14" s="3" t="s">
        <v>44</v>
      </c>
      <c r="M14" s="5"/>
      <c r="N14" s="4"/>
    </row>
    <row r="15" spans="1:14" x14ac:dyDescent="0.25">
      <c r="A15" s="3">
        <f t="shared" si="0"/>
        <v>13</v>
      </c>
      <c r="B15" s="3" t="s">
        <v>14</v>
      </c>
      <c r="C15" s="4" t="s">
        <v>40</v>
      </c>
      <c r="D15" s="4" t="s">
        <v>18</v>
      </c>
      <c r="E15" s="4" t="s">
        <v>52</v>
      </c>
      <c r="F15" s="15"/>
      <c r="G15" s="4" t="s">
        <v>60</v>
      </c>
      <c r="H15" s="3" t="s">
        <v>31</v>
      </c>
      <c r="I15" s="5">
        <v>44638</v>
      </c>
      <c r="J15" s="6" t="s">
        <v>16</v>
      </c>
      <c r="K15" s="5">
        <v>44638</v>
      </c>
      <c r="L15" s="3" t="s">
        <v>44</v>
      </c>
      <c r="M15" s="5">
        <v>44642</v>
      </c>
      <c r="N15" s="4"/>
    </row>
    <row r="16" spans="1:14" ht="28.5" x14ac:dyDescent="0.25">
      <c r="A16" s="3">
        <f t="shared" si="0"/>
        <v>14</v>
      </c>
      <c r="B16" s="3" t="s">
        <v>14</v>
      </c>
      <c r="C16" s="4" t="s">
        <v>15</v>
      </c>
      <c r="D16" s="4" t="s">
        <v>53</v>
      </c>
      <c r="E16" s="4" t="s">
        <v>54</v>
      </c>
      <c r="F16" s="16" t="s">
        <v>72</v>
      </c>
      <c r="G16" s="4" t="s">
        <v>42</v>
      </c>
      <c r="H16" s="3" t="s">
        <v>41</v>
      </c>
      <c r="I16" s="5">
        <v>44638</v>
      </c>
      <c r="J16" s="6" t="s">
        <v>16</v>
      </c>
      <c r="K16" s="5">
        <v>44648</v>
      </c>
      <c r="L16" s="3" t="s">
        <v>44</v>
      </c>
      <c r="M16" s="5"/>
      <c r="N16" s="4"/>
    </row>
    <row r="17" spans="1:14" ht="28.5" x14ac:dyDescent="0.25">
      <c r="A17" s="11">
        <f t="shared" si="0"/>
        <v>15</v>
      </c>
      <c r="B17" s="3" t="s">
        <v>14</v>
      </c>
      <c r="C17" s="4" t="s">
        <v>40</v>
      </c>
      <c r="D17" s="4" t="s">
        <v>53</v>
      </c>
      <c r="E17" s="4" t="s">
        <v>55</v>
      </c>
      <c r="F17" s="16" t="s">
        <v>85</v>
      </c>
      <c r="G17" s="4" t="s">
        <v>74</v>
      </c>
      <c r="H17" s="3" t="s">
        <v>41</v>
      </c>
      <c r="I17" s="5">
        <v>44638</v>
      </c>
      <c r="J17" s="6" t="s">
        <v>16</v>
      </c>
      <c r="K17" s="5">
        <v>44658</v>
      </c>
      <c r="L17" s="3" t="s">
        <v>44</v>
      </c>
      <c r="M17" s="13"/>
      <c r="N17" s="12"/>
    </row>
    <row r="18" spans="1:14" ht="28.5" x14ac:dyDescent="0.25">
      <c r="A18" s="11">
        <f t="shared" si="0"/>
        <v>16</v>
      </c>
      <c r="B18" s="3" t="s">
        <v>14</v>
      </c>
      <c r="C18" s="4" t="s">
        <v>40</v>
      </c>
      <c r="D18" s="4" t="s">
        <v>53</v>
      </c>
      <c r="E18" s="4" t="s">
        <v>56</v>
      </c>
      <c r="F18" s="16"/>
      <c r="G18" s="4"/>
      <c r="H18" s="3" t="s">
        <v>41</v>
      </c>
      <c r="I18" s="5">
        <v>44658</v>
      </c>
      <c r="J18" s="6"/>
      <c r="K18" s="5"/>
      <c r="L18" s="3"/>
      <c r="M18" s="13"/>
      <c r="N18" s="12"/>
    </row>
    <row r="19" spans="1:14" ht="57" x14ac:dyDescent="0.25">
      <c r="A19" s="11">
        <f t="shared" si="0"/>
        <v>17</v>
      </c>
      <c r="B19" s="3" t="s">
        <v>14</v>
      </c>
      <c r="C19" s="4" t="s">
        <v>15</v>
      </c>
      <c r="D19" s="4" t="s">
        <v>57</v>
      </c>
      <c r="E19" s="4" t="s">
        <v>58</v>
      </c>
      <c r="F19" s="16" t="s">
        <v>61</v>
      </c>
      <c r="G19" s="4" t="s">
        <v>86</v>
      </c>
      <c r="H19" s="3" t="s">
        <v>31</v>
      </c>
      <c r="I19" s="5">
        <v>44638</v>
      </c>
      <c r="J19" s="6" t="s">
        <v>16</v>
      </c>
      <c r="K19" s="5">
        <v>44638</v>
      </c>
      <c r="L19" s="3" t="s">
        <v>44</v>
      </c>
      <c r="M19" s="13">
        <v>44659</v>
      </c>
      <c r="N19" s="12"/>
    </row>
    <row r="20" spans="1:14" x14ac:dyDescent="0.25">
      <c r="A20" s="3">
        <f t="shared" si="0"/>
        <v>18</v>
      </c>
      <c r="B20" s="3" t="s">
        <v>14</v>
      </c>
      <c r="C20" s="4" t="s">
        <v>15</v>
      </c>
      <c r="D20" s="4" t="s">
        <v>65</v>
      </c>
      <c r="E20" s="4" t="s">
        <v>66</v>
      </c>
      <c r="F20" s="16" t="s">
        <v>85</v>
      </c>
      <c r="G20" s="4" t="s">
        <v>42</v>
      </c>
      <c r="H20" s="3" t="s">
        <v>41</v>
      </c>
      <c r="I20" s="5">
        <v>44645</v>
      </c>
      <c r="J20" s="6" t="s">
        <v>25</v>
      </c>
      <c r="K20" s="5">
        <v>44658</v>
      </c>
      <c r="L20" s="3" t="s">
        <v>44</v>
      </c>
      <c r="M20" s="5"/>
      <c r="N20" s="4"/>
    </row>
    <row r="21" spans="1:14" ht="28.5" x14ac:dyDescent="0.25">
      <c r="A21" s="3">
        <f t="shared" si="0"/>
        <v>19</v>
      </c>
      <c r="B21" s="3" t="s">
        <v>14</v>
      </c>
      <c r="C21" s="4" t="s">
        <v>15</v>
      </c>
      <c r="D21" s="4" t="s">
        <v>68</v>
      </c>
      <c r="E21" s="4" t="s">
        <v>69</v>
      </c>
      <c r="F21" s="15"/>
      <c r="G21" s="4" t="s">
        <v>84</v>
      </c>
      <c r="H21" s="3" t="s">
        <v>31</v>
      </c>
      <c r="I21" s="5">
        <v>44645</v>
      </c>
      <c r="J21" s="6" t="s">
        <v>16</v>
      </c>
      <c r="K21" s="5"/>
      <c r="L21" s="3"/>
      <c r="M21" s="5">
        <v>44658</v>
      </c>
      <c r="N21" s="4"/>
    </row>
    <row r="22" spans="1:14" x14ac:dyDescent="0.25">
      <c r="A22" s="3">
        <f t="shared" si="0"/>
        <v>20</v>
      </c>
      <c r="B22" s="3" t="s">
        <v>14</v>
      </c>
      <c r="C22" s="4" t="s">
        <v>15</v>
      </c>
      <c r="D22" s="4" t="s">
        <v>68</v>
      </c>
      <c r="E22" s="4" t="s">
        <v>66</v>
      </c>
      <c r="F22" s="16" t="s">
        <v>85</v>
      </c>
      <c r="G22" s="4" t="s">
        <v>42</v>
      </c>
      <c r="H22" s="3" t="s">
        <v>41</v>
      </c>
      <c r="I22" s="5">
        <v>44645</v>
      </c>
      <c r="J22" s="6" t="s">
        <v>16</v>
      </c>
      <c r="K22" s="5">
        <v>44658</v>
      </c>
      <c r="L22" s="3" t="s">
        <v>44</v>
      </c>
      <c r="M22" s="5"/>
      <c r="N22" s="4"/>
    </row>
    <row r="23" spans="1:14" ht="57" x14ac:dyDescent="0.25">
      <c r="A23" s="3">
        <f t="shared" si="0"/>
        <v>21</v>
      </c>
      <c r="B23" s="3" t="s">
        <v>14</v>
      </c>
      <c r="C23" s="4" t="s">
        <v>15</v>
      </c>
      <c r="D23" s="4" t="s">
        <v>81</v>
      </c>
      <c r="E23" s="4" t="s">
        <v>70</v>
      </c>
      <c r="F23" s="16" t="s">
        <v>73</v>
      </c>
      <c r="G23" s="4" t="s">
        <v>88</v>
      </c>
      <c r="H23" s="3" t="s">
        <v>31</v>
      </c>
      <c r="I23" s="5">
        <v>44645</v>
      </c>
      <c r="J23" s="6" t="s">
        <v>16</v>
      </c>
      <c r="K23" s="5">
        <v>44648</v>
      </c>
      <c r="L23" s="3" t="s">
        <v>44</v>
      </c>
      <c r="M23" s="5">
        <v>44659</v>
      </c>
      <c r="N23" s="4"/>
    </row>
    <row r="24" spans="1:14" ht="57" x14ac:dyDescent="0.25">
      <c r="A24" s="3">
        <f t="shared" si="0"/>
        <v>22</v>
      </c>
      <c r="B24" s="3" t="s">
        <v>14</v>
      </c>
      <c r="C24" s="4" t="s">
        <v>15</v>
      </c>
      <c r="D24" s="4" t="s">
        <v>81</v>
      </c>
      <c r="E24" s="4" t="s">
        <v>71</v>
      </c>
      <c r="F24" s="16" t="s">
        <v>73</v>
      </c>
      <c r="G24" s="4" t="s">
        <v>87</v>
      </c>
      <c r="H24" s="3" t="s">
        <v>31</v>
      </c>
      <c r="I24" s="5">
        <v>44645</v>
      </c>
      <c r="J24" s="6" t="s">
        <v>16</v>
      </c>
      <c r="K24" s="5">
        <v>44648</v>
      </c>
      <c r="L24" s="3" t="s">
        <v>44</v>
      </c>
      <c r="M24" s="5">
        <v>44659</v>
      </c>
      <c r="N24" s="4"/>
    </row>
    <row r="25" spans="1:14" ht="28.5" x14ac:dyDescent="0.25">
      <c r="A25" s="3">
        <f t="shared" si="0"/>
        <v>23</v>
      </c>
      <c r="B25" s="3" t="s">
        <v>14</v>
      </c>
      <c r="C25" s="4" t="s">
        <v>15</v>
      </c>
      <c r="D25" s="4" t="s">
        <v>18</v>
      </c>
      <c r="E25" s="4" t="s">
        <v>78</v>
      </c>
      <c r="F25" s="16" t="s">
        <v>37</v>
      </c>
      <c r="G25" s="4" t="s">
        <v>42</v>
      </c>
      <c r="H25" s="3" t="s">
        <v>41</v>
      </c>
      <c r="I25" s="5">
        <v>44658</v>
      </c>
      <c r="J25" s="6" t="s">
        <v>16</v>
      </c>
      <c r="K25" s="5">
        <v>44655</v>
      </c>
      <c r="L25" s="3" t="s">
        <v>44</v>
      </c>
      <c r="M25" s="5"/>
      <c r="N25" s="4"/>
    </row>
    <row r="26" spans="1:14" ht="28.5" x14ac:dyDescent="0.25">
      <c r="A26" s="3">
        <f t="shared" si="0"/>
        <v>24</v>
      </c>
      <c r="B26" s="3" t="s">
        <v>14</v>
      </c>
      <c r="C26" s="4" t="s">
        <v>15</v>
      </c>
      <c r="D26" s="4" t="s">
        <v>80</v>
      </c>
      <c r="E26" s="4" t="s">
        <v>82</v>
      </c>
      <c r="F26" s="16" t="s">
        <v>79</v>
      </c>
      <c r="G26" s="4" t="s">
        <v>42</v>
      </c>
      <c r="H26" s="3" t="s">
        <v>41</v>
      </c>
      <c r="I26" s="5">
        <v>44666</v>
      </c>
      <c r="J26" s="6" t="s">
        <v>16</v>
      </c>
      <c r="K26" s="5">
        <v>44658</v>
      </c>
      <c r="L26" s="3" t="s">
        <v>44</v>
      </c>
      <c r="M26" s="5"/>
      <c r="N26" s="4"/>
    </row>
    <row r="27" spans="1:14" ht="42.75" x14ac:dyDescent="0.25">
      <c r="A27" s="3">
        <f t="shared" si="0"/>
        <v>25</v>
      </c>
      <c r="B27" s="3" t="s">
        <v>14</v>
      </c>
      <c r="C27" s="4" t="s">
        <v>40</v>
      </c>
      <c r="D27" s="4" t="s">
        <v>89</v>
      </c>
      <c r="E27" s="4" t="s">
        <v>93</v>
      </c>
      <c r="F27" s="16"/>
      <c r="G27" s="4"/>
      <c r="H27" s="3" t="s">
        <v>90</v>
      </c>
      <c r="I27" s="5">
        <v>44670</v>
      </c>
      <c r="J27" s="6"/>
      <c r="K27" s="5"/>
      <c r="L27" s="3"/>
      <c r="M27" s="5"/>
      <c r="N27" s="4"/>
    </row>
    <row r="28" spans="1:14" ht="28.5" x14ac:dyDescent="0.25">
      <c r="A28" s="3">
        <f t="shared" si="0"/>
        <v>26</v>
      </c>
      <c r="B28" s="3" t="s">
        <v>14</v>
      </c>
      <c r="C28" s="4" t="s">
        <v>40</v>
      </c>
      <c r="D28" s="4" t="s">
        <v>91</v>
      </c>
      <c r="E28" s="4" t="s">
        <v>92</v>
      </c>
      <c r="F28" s="15"/>
      <c r="G28" s="4"/>
      <c r="H28" s="3" t="s">
        <v>90</v>
      </c>
      <c r="I28" s="5">
        <v>44670</v>
      </c>
      <c r="J28" s="6"/>
      <c r="K28" s="5"/>
      <c r="L28" s="3"/>
      <c r="M28" s="5"/>
      <c r="N28" s="4"/>
    </row>
    <row r="29" spans="1:14" x14ac:dyDescent="0.25">
      <c r="A29" s="3">
        <f t="shared" si="0"/>
        <v>27</v>
      </c>
      <c r="B29" s="3" t="s">
        <v>14</v>
      </c>
      <c r="C29" s="4" t="s">
        <v>40</v>
      </c>
      <c r="D29" s="4" t="s">
        <v>94</v>
      </c>
      <c r="E29" s="4" t="s">
        <v>96</v>
      </c>
      <c r="F29" s="15"/>
      <c r="G29" s="4"/>
      <c r="H29" s="3" t="s">
        <v>90</v>
      </c>
      <c r="I29" s="5">
        <v>44670</v>
      </c>
      <c r="J29" s="6"/>
      <c r="K29" s="5"/>
      <c r="L29" s="3"/>
      <c r="M29" s="5"/>
      <c r="N29" s="4"/>
    </row>
    <row r="30" spans="1:14" ht="99.75" x14ac:dyDescent="0.25">
      <c r="A30" s="3">
        <f t="shared" si="0"/>
        <v>28</v>
      </c>
      <c r="B30" s="3" t="s">
        <v>14</v>
      </c>
      <c r="C30" s="4" t="s">
        <v>40</v>
      </c>
      <c r="D30" s="4" t="s">
        <v>94</v>
      </c>
      <c r="E30" s="4" t="s">
        <v>95</v>
      </c>
      <c r="F30" s="15"/>
      <c r="G30" s="4"/>
      <c r="H30" s="3" t="s">
        <v>90</v>
      </c>
      <c r="I30" s="5">
        <v>44670</v>
      </c>
      <c r="J30" s="6"/>
      <c r="K30" s="5"/>
      <c r="L30" s="3"/>
      <c r="M30" s="5"/>
      <c r="N30" s="4"/>
    </row>
    <row r="31" spans="1:14" x14ac:dyDescent="0.25">
      <c r="A31" s="3">
        <f t="shared" si="0"/>
        <v>29</v>
      </c>
      <c r="B31" s="3"/>
      <c r="C31" s="4"/>
      <c r="D31" s="4"/>
      <c r="E31" s="4"/>
      <c r="F31" s="15"/>
      <c r="G31" s="4"/>
      <c r="H31" s="3"/>
      <c r="I31" s="5"/>
      <c r="J31" s="6"/>
      <c r="K31" s="5"/>
      <c r="L31" s="3"/>
      <c r="M31" s="5"/>
      <c r="N31" s="4"/>
    </row>
    <row r="32" spans="1:14" x14ac:dyDescent="0.25">
      <c r="A32" s="3">
        <f t="shared" si="0"/>
        <v>30</v>
      </c>
      <c r="B32" s="3"/>
      <c r="C32" s="4"/>
      <c r="D32" s="4"/>
      <c r="E32" s="4"/>
      <c r="F32" s="15"/>
      <c r="G32" s="4"/>
      <c r="H32" s="3"/>
      <c r="I32" s="5"/>
      <c r="J32" s="6"/>
      <c r="K32" s="5"/>
      <c r="L32" s="3"/>
      <c r="M32" s="5"/>
      <c r="N32" s="4"/>
    </row>
    <row r="33" spans="1:14" x14ac:dyDescent="0.25">
      <c r="A33" s="3">
        <f t="shared" si="0"/>
        <v>31</v>
      </c>
      <c r="B33" s="3"/>
      <c r="C33" s="4"/>
      <c r="D33" s="4"/>
      <c r="E33" s="4"/>
      <c r="F33" s="15"/>
      <c r="G33" s="4"/>
      <c r="H33" s="3"/>
      <c r="I33" s="5"/>
      <c r="J33" s="6"/>
      <c r="K33" s="5"/>
      <c r="L33" s="3"/>
      <c r="M33" s="5"/>
      <c r="N33" s="4"/>
    </row>
    <row r="34" spans="1:14" x14ac:dyDescent="0.25">
      <c r="A34" s="3">
        <f t="shared" si="0"/>
        <v>32</v>
      </c>
      <c r="B34" s="3"/>
      <c r="C34" s="4"/>
      <c r="D34" s="4"/>
      <c r="E34" s="4"/>
      <c r="F34" s="15"/>
      <c r="G34" s="4"/>
      <c r="H34" s="3"/>
      <c r="I34" s="5"/>
      <c r="J34" s="6"/>
      <c r="K34" s="5"/>
      <c r="L34" s="3"/>
      <c r="M34" s="5"/>
      <c r="N34" s="4"/>
    </row>
    <row r="35" spans="1:14" x14ac:dyDescent="0.25">
      <c r="A35" s="3">
        <f t="shared" si="0"/>
        <v>33</v>
      </c>
      <c r="B35" s="3"/>
      <c r="C35" s="4"/>
      <c r="D35" s="4"/>
      <c r="E35" s="4"/>
      <c r="F35" s="15"/>
      <c r="G35" s="4"/>
      <c r="H35" s="3"/>
      <c r="I35" s="5"/>
      <c r="J35" s="6"/>
      <c r="K35" s="5"/>
      <c r="L35" s="3"/>
      <c r="M35" s="5"/>
      <c r="N35" s="4"/>
    </row>
    <row r="36" spans="1:14" x14ac:dyDescent="0.25">
      <c r="A36" s="3">
        <f t="shared" si="0"/>
        <v>34</v>
      </c>
      <c r="B36" s="3"/>
      <c r="C36" s="4"/>
      <c r="D36" s="4"/>
      <c r="E36" s="4"/>
      <c r="F36" s="15"/>
      <c r="G36" s="4"/>
      <c r="H36" s="3"/>
      <c r="I36" s="5"/>
      <c r="J36" s="6"/>
      <c r="K36" s="5"/>
      <c r="L36" s="3"/>
      <c r="M36" s="5"/>
      <c r="N36" s="4"/>
    </row>
    <row r="37" spans="1:14" x14ac:dyDescent="0.25">
      <c r="A37" s="3">
        <f t="shared" si="0"/>
        <v>35</v>
      </c>
      <c r="B37" s="3"/>
      <c r="C37" s="4"/>
      <c r="D37" s="4"/>
      <c r="E37" s="4"/>
      <c r="F37" s="15"/>
      <c r="G37" s="4"/>
      <c r="H37" s="3"/>
      <c r="I37" s="5"/>
      <c r="J37" s="6"/>
      <c r="K37" s="5"/>
      <c r="L37" s="3"/>
      <c r="M37" s="5"/>
      <c r="N37" s="4"/>
    </row>
    <row r="38" spans="1:14" x14ac:dyDescent="0.25">
      <c r="A38" s="3">
        <f t="shared" si="0"/>
        <v>36</v>
      </c>
      <c r="B38" s="3"/>
      <c r="C38" s="4"/>
      <c r="D38" s="4"/>
      <c r="E38" s="4"/>
      <c r="F38" s="15"/>
      <c r="G38" s="4"/>
      <c r="H38" s="3"/>
      <c r="I38" s="5"/>
      <c r="J38" s="6"/>
      <c r="K38" s="5"/>
      <c r="L38" s="3"/>
      <c r="M38" s="5"/>
      <c r="N38" s="4"/>
    </row>
    <row r="39" spans="1:14" x14ac:dyDescent="0.25">
      <c r="A39" s="3">
        <f t="shared" si="0"/>
        <v>37</v>
      </c>
      <c r="B39" s="3"/>
      <c r="C39" s="4"/>
      <c r="D39" s="4"/>
      <c r="E39" s="4"/>
      <c r="F39" s="15"/>
      <c r="G39" s="4"/>
      <c r="H39" s="3"/>
      <c r="I39" s="5"/>
      <c r="J39" s="6"/>
      <c r="K39" s="5"/>
      <c r="L39" s="3"/>
      <c r="M39" s="5"/>
      <c r="N39" s="4"/>
    </row>
    <row r="40" spans="1:14" x14ac:dyDescent="0.25">
      <c r="A40" s="3">
        <f t="shared" si="0"/>
        <v>38</v>
      </c>
      <c r="B40" s="3"/>
      <c r="C40" s="4"/>
      <c r="D40" s="4"/>
      <c r="E40" s="4"/>
      <c r="F40" s="15"/>
      <c r="G40" s="4"/>
      <c r="H40" s="3"/>
      <c r="I40" s="5"/>
      <c r="J40" s="6"/>
      <c r="K40" s="5"/>
      <c r="L40" s="3"/>
      <c r="M40" s="5"/>
      <c r="N40" s="4"/>
    </row>
    <row r="41" spans="1:14" x14ac:dyDescent="0.25">
      <c r="A41" s="3">
        <f t="shared" si="0"/>
        <v>39</v>
      </c>
      <c r="B41" s="3"/>
      <c r="C41" s="4"/>
      <c r="D41" s="4"/>
      <c r="E41" s="4"/>
      <c r="F41" s="15"/>
      <c r="G41" s="4"/>
      <c r="H41" s="3"/>
      <c r="I41" s="5"/>
      <c r="J41" s="6"/>
      <c r="K41" s="5"/>
      <c r="L41" s="3"/>
      <c r="M41" s="5"/>
      <c r="N41" s="4"/>
    </row>
    <row r="42" spans="1:14" x14ac:dyDescent="0.25">
      <c r="A42" s="3">
        <f t="shared" si="0"/>
        <v>40</v>
      </c>
      <c r="B42" s="3"/>
      <c r="C42" s="4"/>
      <c r="D42" s="4"/>
      <c r="E42" s="4"/>
      <c r="F42" s="15"/>
      <c r="G42" s="4"/>
      <c r="H42" s="3"/>
      <c r="I42" s="5"/>
      <c r="J42" s="6"/>
      <c r="K42" s="5"/>
      <c r="L42" s="3"/>
      <c r="M42" s="5"/>
      <c r="N42" s="4"/>
    </row>
    <row r="43" spans="1:14" x14ac:dyDescent="0.25">
      <c r="A43" s="3">
        <f t="shared" si="0"/>
        <v>41</v>
      </c>
      <c r="B43" s="3"/>
      <c r="C43" s="4"/>
      <c r="D43" s="4"/>
      <c r="E43" s="4"/>
      <c r="F43" s="15"/>
      <c r="G43" s="4"/>
      <c r="H43" s="3"/>
      <c r="I43" s="5"/>
      <c r="J43" s="6"/>
      <c r="K43" s="5"/>
      <c r="L43" s="3"/>
      <c r="M43" s="5"/>
      <c r="N43" s="4"/>
    </row>
    <row r="44" spans="1:14" x14ac:dyDescent="0.25">
      <c r="A44" s="3">
        <f t="shared" si="0"/>
        <v>42</v>
      </c>
      <c r="B44" s="3"/>
      <c r="C44" s="4"/>
      <c r="D44" s="4"/>
      <c r="E44" s="4"/>
      <c r="F44" s="15"/>
      <c r="G44" s="4"/>
      <c r="H44" s="3"/>
      <c r="I44" s="5"/>
      <c r="J44" s="6"/>
      <c r="K44" s="5"/>
      <c r="L44" s="3"/>
      <c r="M44" s="5"/>
      <c r="N44" s="4"/>
    </row>
    <row r="45" spans="1:14" x14ac:dyDescent="0.25">
      <c r="A45" s="3">
        <f t="shared" si="0"/>
        <v>43</v>
      </c>
      <c r="B45" s="3"/>
      <c r="C45" s="4"/>
      <c r="D45" s="4"/>
      <c r="E45" s="4"/>
      <c r="F45" s="15"/>
      <c r="G45" s="4"/>
      <c r="H45" s="3"/>
      <c r="I45" s="5"/>
      <c r="J45" s="6"/>
      <c r="K45" s="5"/>
      <c r="L45" s="3"/>
      <c r="M45" s="5"/>
      <c r="N45" s="4"/>
    </row>
    <row r="46" spans="1:14" x14ac:dyDescent="0.25">
      <c r="A46" s="3">
        <f t="shared" si="0"/>
        <v>44</v>
      </c>
      <c r="B46" s="3"/>
      <c r="C46" s="4"/>
      <c r="D46" s="4"/>
      <c r="E46" s="4"/>
      <c r="F46" s="15"/>
      <c r="G46" s="4"/>
      <c r="H46" s="3"/>
      <c r="I46" s="5"/>
      <c r="J46" s="6"/>
      <c r="K46" s="5"/>
      <c r="L46" s="3"/>
      <c r="M46" s="5"/>
      <c r="N46" s="4"/>
    </row>
    <row r="47" spans="1:14" x14ac:dyDescent="0.25">
      <c r="A47" s="3">
        <f t="shared" si="0"/>
        <v>45</v>
      </c>
      <c r="B47" s="3"/>
      <c r="C47" s="4"/>
      <c r="D47" s="4"/>
      <c r="E47" s="4"/>
      <c r="F47" s="15"/>
      <c r="G47" s="4"/>
      <c r="H47" s="3"/>
      <c r="I47" s="5"/>
      <c r="J47" s="6"/>
      <c r="K47" s="5"/>
      <c r="L47" s="3"/>
      <c r="M47" s="5"/>
      <c r="N47" s="4"/>
    </row>
    <row r="48" spans="1:14" x14ac:dyDescent="0.25">
      <c r="A48" s="3">
        <f t="shared" si="0"/>
        <v>46</v>
      </c>
      <c r="B48" s="3"/>
      <c r="C48" s="4"/>
      <c r="D48" s="4"/>
      <c r="E48" s="4"/>
      <c r="F48" s="15"/>
      <c r="G48" s="4"/>
      <c r="H48" s="3"/>
      <c r="I48" s="5"/>
      <c r="J48" s="6"/>
      <c r="K48" s="5"/>
      <c r="L48" s="3"/>
      <c r="M48" s="5"/>
      <c r="N48" s="4"/>
    </row>
    <row r="49" spans="1:14" x14ac:dyDescent="0.25">
      <c r="A49" s="3">
        <f t="shared" si="0"/>
        <v>47</v>
      </c>
      <c r="B49" s="3"/>
      <c r="C49" s="4"/>
      <c r="D49" s="4"/>
      <c r="E49" s="4"/>
      <c r="F49" s="15"/>
      <c r="G49" s="4"/>
      <c r="H49" s="3"/>
      <c r="I49" s="5"/>
      <c r="J49" s="6"/>
      <c r="K49" s="5"/>
      <c r="L49" s="3"/>
      <c r="M49" s="5"/>
      <c r="N49" s="4"/>
    </row>
    <row r="50" spans="1:14" x14ac:dyDescent="0.25">
      <c r="A50" s="3">
        <f t="shared" si="0"/>
        <v>48</v>
      </c>
      <c r="B50" s="3"/>
      <c r="C50" s="4"/>
      <c r="D50" s="4"/>
      <c r="E50" s="4"/>
      <c r="F50" s="15"/>
      <c r="G50" s="4"/>
      <c r="H50" s="3"/>
      <c r="I50" s="5"/>
      <c r="J50" s="6"/>
      <c r="K50" s="5"/>
      <c r="L50" s="3"/>
      <c r="M50" s="5"/>
      <c r="N50" s="4"/>
    </row>
    <row r="51" spans="1:14" x14ac:dyDescent="0.25">
      <c r="A51" s="3">
        <f t="shared" si="0"/>
        <v>49</v>
      </c>
      <c r="B51" s="3"/>
      <c r="C51" s="4"/>
      <c r="D51" s="4"/>
      <c r="E51" s="4"/>
      <c r="F51" s="15"/>
      <c r="G51" s="4"/>
      <c r="H51" s="3"/>
      <c r="I51" s="5"/>
      <c r="J51" s="6"/>
      <c r="K51" s="5"/>
      <c r="L51" s="3"/>
      <c r="M51" s="5"/>
      <c r="N51" s="4"/>
    </row>
  </sheetData>
  <autoFilter ref="A2:N51" xr:uid="{00000000-0001-0000-0000-000000000000}"/>
  <mergeCells count="1">
    <mergeCell ref="A1:E1"/>
  </mergeCells>
  <phoneticPr fontId="2"/>
  <conditionalFormatting sqref="M18 A10:A51 M11:N11 N5:N10 M13:N17 A5:D9 B10:D10 A3:G4 E5:L10 L3:N4 B11:G11 E12:F12 B21:K21 B21:B22 D23:F23 B20:E20 H20:J20 E24:F24 H22:J24 D25:K25 M19:N25 B31:N51 D26:N27 K28:N28 F28:G30 J29:N30">
    <cfRule type="expression" dxfId="91" priority="167">
      <formula>$H3="完了"</formula>
    </cfRule>
  </conditionalFormatting>
  <conditionalFormatting sqref="F13:G13">
    <cfRule type="expression" dxfId="90" priority="140">
      <formula>$H13="完了"</formula>
    </cfRule>
  </conditionalFormatting>
  <conditionalFormatting sqref="M12:N12">
    <cfRule type="expression" dxfId="89" priority="132">
      <formula>$H12="完了"</formula>
    </cfRule>
  </conditionalFormatting>
  <conditionalFormatting sqref="N18">
    <cfRule type="expression" dxfId="88" priority="103">
      <formula>$H18="完了"</formula>
    </cfRule>
  </conditionalFormatting>
  <conditionalFormatting sqref="M5:M10">
    <cfRule type="expression" dxfId="87" priority="102">
      <formula>$H5="完了"</formula>
    </cfRule>
  </conditionalFormatting>
  <conditionalFormatting sqref="L21">
    <cfRule type="expression" dxfId="86" priority="100">
      <formula>$H21="完了"</formula>
    </cfRule>
  </conditionalFormatting>
  <conditionalFormatting sqref="H4:K4">
    <cfRule type="expression" dxfId="85" priority="99">
      <formula>$H4="完了"</formula>
    </cfRule>
  </conditionalFormatting>
  <conditionalFormatting sqref="H3:K3">
    <cfRule type="expression" dxfId="84" priority="98">
      <formula>$H3="完了"</formula>
    </cfRule>
  </conditionalFormatting>
  <conditionalFormatting sqref="H11:K12">
    <cfRule type="expression" dxfId="83" priority="92">
      <formula>$H11="完了"</formula>
    </cfRule>
  </conditionalFormatting>
  <conditionalFormatting sqref="L11:L12">
    <cfRule type="expression" dxfId="82" priority="91">
      <formula>$H11="完了"</formula>
    </cfRule>
  </conditionalFormatting>
  <conditionalFormatting sqref="B12:D12">
    <cfRule type="expression" dxfId="81" priority="90">
      <formula>$H12="完了"</formula>
    </cfRule>
  </conditionalFormatting>
  <conditionalFormatting sqref="H13:K13">
    <cfRule type="expression" dxfId="80" priority="89">
      <formula>$H13="完了"</formula>
    </cfRule>
  </conditionalFormatting>
  <conditionalFormatting sqref="L13">
    <cfRule type="expression" dxfId="79" priority="88">
      <formula>$H13="完了"</formula>
    </cfRule>
  </conditionalFormatting>
  <conditionalFormatting sqref="B13:E13">
    <cfRule type="expression" dxfId="78" priority="87">
      <formula>$H13="完了"</formula>
    </cfRule>
  </conditionalFormatting>
  <conditionalFormatting sqref="G12">
    <cfRule type="expression" dxfId="77" priority="86">
      <formula>$H12="完了"</formula>
    </cfRule>
  </conditionalFormatting>
  <conditionalFormatting sqref="G15 E17 D16:F16 E19:F19">
    <cfRule type="expression" dxfId="76" priority="85">
      <formula>$H15="完了"</formula>
    </cfRule>
  </conditionalFormatting>
  <conditionalFormatting sqref="E18:G18">
    <cfRule type="expression" dxfId="75" priority="84">
      <formula>$H18="完了"</formula>
    </cfRule>
  </conditionalFormatting>
  <conditionalFormatting sqref="E15:F15">
    <cfRule type="expression" dxfId="74" priority="83">
      <formula>$H15="完了"</formula>
    </cfRule>
  </conditionalFormatting>
  <conditionalFormatting sqref="E14:F14">
    <cfRule type="expression" dxfId="73" priority="82">
      <formula>$H14="完了"</formula>
    </cfRule>
  </conditionalFormatting>
  <conditionalFormatting sqref="B14">
    <cfRule type="expression" dxfId="72" priority="81">
      <formula>$H14="完了"</formula>
    </cfRule>
  </conditionalFormatting>
  <conditionalFormatting sqref="B15">
    <cfRule type="expression" dxfId="71" priority="80">
      <formula>$H15="完了"</formula>
    </cfRule>
  </conditionalFormatting>
  <conditionalFormatting sqref="C14:C15">
    <cfRule type="expression" dxfId="70" priority="79">
      <formula>$H14="完了"</formula>
    </cfRule>
  </conditionalFormatting>
  <conditionalFormatting sqref="D14:D15">
    <cfRule type="expression" dxfId="69" priority="78">
      <formula>$H14="完了"</formula>
    </cfRule>
  </conditionalFormatting>
  <conditionalFormatting sqref="H14:K14">
    <cfRule type="expression" dxfId="68" priority="77">
      <formula>$H14="完了"</formula>
    </cfRule>
  </conditionalFormatting>
  <conditionalFormatting sqref="L14">
    <cfRule type="expression" dxfId="67" priority="76">
      <formula>$H14="完了"</formula>
    </cfRule>
  </conditionalFormatting>
  <conditionalFormatting sqref="H15:K15">
    <cfRule type="expression" dxfId="66" priority="75">
      <formula>$H15="完了"</formula>
    </cfRule>
  </conditionalFormatting>
  <conditionalFormatting sqref="L15">
    <cfRule type="expression" dxfId="65" priority="74">
      <formula>$H15="完了"</formula>
    </cfRule>
  </conditionalFormatting>
  <conditionalFormatting sqref="B16">
    <cfRule type="expression" dxfId="64" priority="73">
      <formula>$H16="完了"</formula>
    </cfRule>
  </conditionalFormatting>
  <conditionalFormatting sqref="C16">
    <cfRule type="expression" dxfId="63" priority="72">
      <formula>$H16="完了"</formula>
    </cfRule>
  </conditionalFormatting>
  <conditionalFormatting sqref="H16:K16">
    <cfRule type="expression" dxfId="62" priority="71">
      <formula>$H16="完了"</formula>
    </cfRule>
  </conditionalFormatting>
  <conditionalFormatting sqref="L16">
    <cfRule type="expression" dxfId="61" priority="70">
      <formula>$H16="完了"</formula>
    </cfRule>
  </conditionalFormatting>
  <conditionalFormatting sqref="D17">
    <cfRule type="expression" dxfId="60" priority="69">
      <formula>$H17="完了"</formula>
    </cfRule>
  </conditionalFormatting>
  <conditionalFormatting sqref="B17">
    <cfRule type="expression" dxfId="59" priority="68">
      <formula>$H17="完了"</formula>
    </cfRule>
  </conditionalFormatting>
  <conditionalFormatting sqref="C17">
    <cfRule type="expression" dxfId="58" priority="67">
      <formula>$H17="完了"</formula>
    </cfRule>
  </conditionalFormatting>
  <conditionalFormatting sqref="D18">
    <cfRule type="expression" dxfId="57" priority="66">
      <formula>$H18="完了"</formula>
    </cfRule>
  </conditionalFormatting>
  <conditionalFormatting sqref="B18">
    <cfRule type="expression" dxfId="56" priority="65">
      <formula>$H18="完了"</formula>
    </cfRule>
  </conditionalFormatting>
  <conditionalFormatting sqref="D19">
    <cfRule type="expression" dxfId="55" priority="63">
      <formula>$H19="完了"</formula>
    </cfRule>
  </conditionalFormatting>
  <conditionalFormatting sqref="H18:K18 H17:J17">
    <cfRule type="expression" dxfId="54" priority="62">
      <formula>$H17="完了"</formula>
    </cfRule>
  </conditionalFormatting>
  <conditionalFormatting sqref="L18">
    <cfRule type="expression" dxfId="53" priority="61">
      <formula>$H18="完了"</formula>
    </cfRule>
  </conditionalFormatting>
  <conditionalFormatting sqref="B19">
    <cfRule type="expression" dxfId="52" priority="60">
      <formula>$H19="完了"</formula>
    </cfRule>
  </conditionalFormatting>
  <conditionalFormatting sqref="C19">
    <cfRule type="expression" dxfId="51" priority="59">
      <formula>$H19="完了"</formula>
    </cfRule>
  </conditionalFormatting>
  <conditionalFormatting sqref="H19:K19">
    <cfRule type="expression" dxfId="50" priority="58">
      <formula>$H19="完了"</formula>
    </cfRule>
  </conditionalFormatting>
  <conditionalFormatting sqref="L19">
    <cfRule type="expression" dxfId="49" priority="57">
      <formula>$H19="完了"</formula>
    </cfRule>
  </conditionalFormatting>
  <conditionalFormatting sqref="G14">
    <cfRule type="expression" dxfId="48" priority="56">
      <formula>$H14="完了"</formula>
    </cfRule>
  </conditionalFormatting>
  <conditionalFormatting sqref="C18">
    <cfRule type="expression" dxfId="47" priority="55">
      <formula>$H18="完了"</formula>
    </cfRule>
  </conditionalFormatting>
  <conditionalFormatting sqref="G19">
    <cfRule type="expression" dxfId="46" priority="54">
      <formula>$H19="完了"</formula>
    </cfRule>
  </conditionalFormatting>
  <conditionalFormatting sqref="C22 E22">
    <cfRule type="expression" dxfId="45" priority="53">
      <formula>$H22="完了"</formula>
    </cfRule>
  </conditionalFormatting>
  <conditionalFormatting sqref="D22">
    <cfRule type="expression" dxfId="44" priority="52">
      <formula>$H22="完了"</formula>
    </cfRule>
  </conditionalFormatting>
  <conditionalFormatting sqref="B23">
    <cfRule type="expression" dxfId="43" priority="51">
      <formula>$H23="完了"</formula>
    </cfRule>
  </conditionalFormatting>
  <conditionalFormatting sqref="C23">
    <cfRule type="expression" dxfId="42" priority="50">
      <formula>$H23="完了"</formula>
    </cfRule>
  </conditionalFormatting>
  <conditionalFormatting sqref="D24">
    <cfRule type="expression" dxfId="41" priority="49">
      <formula>$H24="完了"</formula>
    </cfRule>
  </conditionalFormatting>
  <conditionalFormatting sqref="B24">
    <cfRule type="expression" dxfId="40" priority="48">
      <formula>$H24="完了"</formula>
    </cfRule>
  </conditionalFormatting>
  <conditionalFormatting sqref="C24">
    <cfRule type="expression" dxfId="39" priority="47">
      <formula>$H24="完了"</formula>
    </cfRule>
  </conditionalFormatting>
  <conditionalFormatting sqref="G16">
    <cfRule type="expression" dxfId="38" priority="46">
      <formula>$H16="完了"</formula>
    </cfRule>
  </conditionalFormatting>
  <conditionalFormatting sqref="G17">
    <cfRule type="expression" dxfId="37" priority="43">
      <formula>$H17="完了"</formula>
    </cfRule>
  </conditionalFormatting>
  <conditionalFormatting sqref="G20">
    <cfRule type="expression" dxfId="36" priority="41">
      <formula>$H20="完了"</formula>
    </cfRule>
  </conditionalFormatting>
  <conditionalFormatting sqref="G22">
    <cfRule type="expression" dxfId="35" priority="39">
      <formula>$H22="完了"</formula>
    </cfRule>
  </conditionalFormatting>
  <conditionalFormatting sqref="G23">
    <cfRule type="expression" dxfId="34" priority="38">
      <formula>$H23="完了"</formula>
    </cfRule>
  </conditionalFormatting>
  <conditionalFormatting sqref="G24">
    <cfRule type="expression" dxfId="33" priority="37">
      <formula>$H24="完了"</formula>
    </cfRule>
  </conditionalFormatting>
  <conditionalFormatting sqref="K23">
    <cfRule type="expression" dxfId="32" priority="33">
      <formula>$H23="完了"</formula>
    </cfRule>
  </conditionalFormatting>
  <conditionalFormatting sqref="L23">
    <cfRule type="expression" dxfId="31" priority="32">
      <formula>$H23="完了"</formula>
    </cfRule>
  </conditionalFormatting>
  <conditionalFormatting sqref="K24">
    <cfRule type="expression" dxfId="30" priority="31">
      <formula>$H24="完了"</formula>
    </cfRule>
  </conditionalFormatting>
  <conditionalFormatting sqref="L24">
    <cfRule type="expression" dxfId="29" priority="30">
      <formula>$H24="完了"</formula>
    </cfRule>
  </conditionalFormatting>
  <conditionalFormatting sqref="B25">
    <cfRule type="expression" dxfId="28" priority="29">
      <formula>$H25="完了"</formula>
    </cfRule>
  </conditionalFormatting>
  <conditionalFormatting sqref="C25">
    <cfRule type="expression" dxfId="27" priority="28">
      <formula>$H25="完了"</formula>
    </cfRule>
  </conditionalFormatting>
  <conditionalFormatting sqref="L25">
    <cfRule type="expression" dxfId="26" priority="27">
      <formula>$H25="完了"</formula>
    </cfRule>
  </conditionalFormatting>
  <conditionalFormatting sqref="B26">
    <cfRule type="expression" dxfId="25" priority="26">
      <formula>$H26="完了"</formula>
    </cfRule>
  </conditionalFormatting>
  <conditionalFormatting sqref="C26">
    <cfRule type="expression" dxfId="24" priority="25">
      <formula>$H26="完了"</formula>
    </cfRule>
  </conditionalFormatting>
  <conditionalFormatting sqref="B27">
    <cfRule type="expression" dxfId="23" priority="24">
      <formula>$H27="完了"</formula>
    </cfRule>
  </conditionalFormatting>
  <conditionalFormatting sqref="C27">
    <cfRule type="expression" dxfId="22" priority="23">
      <formula>$H27="完了"</formula>
    </cfRule>
  </conditionalFormatting>
  <conditionalFormatting sqref="F20">
    <cfRule type="expression" dxfId="21" priority="22">
      <formula>$H20="完了"</formula>
    </cfRule>
  </conditionalFormatting>
  <conditionalFormatting sqref="F22">
    <cfRule type="expression" dxfId="20" priority="21">
      <formula>$H22="完了"</formula>
    </cfRule>
  </conditionalFormatting>
  <conditionalFormatting sqref="F17">
    <cfRule type="expression" dxfId="19" priority="20">
      <formula>$H17="完了"</formula>
    </cfRule>
  </conditionalFormatting>
  <conditionalFormatting sqref="K22:L22">
    <cfRule type="expression" dxfId="18" priority="19">
      <formula>$H22="完了"</formula>
    </cfRule>
  </conditionalFormatting>
  <conditionalFormatting sqref="K20:L20">
    <cfRule type="expression" dxfId="17" priority="18">
      <formula>$H20="完了"</formula>
    </cfRule>
  </conditionalFormatting>
  <conditionalFormatting sqref="K17:L17">
    <cfRule type="expression" dxfId="16" priority="17">
      <formula>$H17="完了"</formula>
    </cfRule>
  </conditionalFormatting>
  <conditionalFormatting sqref="D28:E28">
    <cfRule type="expression" dxfId="15" priority="16">
      <formula>$H28="完了"</formula>
    </cfRule>
  </conditionalFormatting>
  <conditionalFormatting sqref="B28">
    <cfRule type="expression" dxfId="14" priority="15">
      <formula>$H28="完了"</formula>
    </cfRule>
  </conditionalFormatting>
  <conditionalFormatting sqref="C28">
    <cfRule type="expression" dxfId="13" priority="14">
      <formula>$H28="完了"</formula>
    </cfRule>
  </conditionalFormatting>
  <conditionalFormatting sqref="H28 J28">
    <cfRule type="expression" dxfId="12" priority="13">
      <formula>$H28="完了"</formula>
    </cfRule>
  </conditionalFormatting>
  <conditionalFormatting sqref="D29">
    <cfRule type="expression" dxfId="11" priority="12">
      <formula>$H29="完了"</formula>
    </cfRule>
  </conditionalFormatting>
  <conditionalFormatting sqref="B29">
    <cfRule type="expression" dxfId="10" priority="11">
      <formula>$H29="完了"</formula>
    </cfRule>
  </conditionalFormatting>
  <conditionalFormatting sqref="C29">
    <cfRule type="expression" dxfId="9" priority="10">
      <formula>$H29="完了"</formula>
    </cfRule>
  </conditionalFormatting>
  <conditionalFormatting sqref="E29">
    <cfRule type="expression" dxfId="8" priority="9">
      <formula>$H29="完了"</formula>
    </cfRule>
  </conditionalFormatting>
  <conditionalFormatting sqref="H29:I29">
    <cfRule type="expression" dxfId="7" priority="8">
      <formula>$H29="完了"</formula>
    </cfRule>
  </conditionalFormatting>
  <conditionalFormatting sqref="I28">
    <cfRule type="expression" dxfId="6" priority="7">
      <formula>$H28="完了"</formula>
    </cfRule>
  </conditionalFormatting>
  <conditionalFormatting sqref="D30">
    <cfRule type="expression" dxfId="5" priority="6">
      <formula>$H30="完了"</formula>
    </cfRule>
  </conditionalFormatting>
  <conditionalFormatting sqref="B30">
    <cfRule type="expression" dxfId="4" priority="5">
      <formula>$H30="完了"</formula>
    </cfRule>
  </conditionalFormatting>
  <conditionalFormatting sqref="C30">
    <cfRule type="expression" dxfId="3" priority="4">
      <formula>$H30="完了"</formula>
    </cfRule>
  </conditionalFormatting>
  <conditionalFormatting sqref="E30">
    <cfRule type="expression" dxfId="1" priority="2">
      <formula>$H30="完了"</formula>
    </cfRule>
  </conditionalFormatting>
  <conditionalFormatting sqref="H30:I30">
    <cfRule type="expression" dxfId="0" priority="1">
      <formula>$H30="完了"</formula>
    </cfRule>
  </conditionalFormatting>
  <dataValidations count="3">
    <dataValidation type="list" allowBlank="1" showInputMessage="1" showErrorMessage="1" sqref="B3:B51" xr:uid="{00000000-0002-0000-0000-000000000000}">
      <formula1>"QA,タスク,課題,不具合,その他"</formula1>
    </dataValidation>
    <dataValidation type="list" allowBlank="1" showInputMessage="1" showErrorMessage="1" sqref="H3:H51" xr:uid="{00000000-0002-0000-0000-000001000000}">
      <formula1>"新規,対応中,対応済,完了"</formula1>
    </dataValidation>
    <dataValidation type="list" allowBlank="1" showInputMessage="1" showErrorMessage="1" sqref="C3:C51" xr:uid="{D35B5B42-8891-4260-95C9-0529CCFBC51B}">
      <formula1>"要件定義,基本設計,詳細設計,製造,単体テスト,結合テスト"</formula1>
    </dataValidation>
  </dataValidations>
  <hyperlinks>
    <hyperlink ref="F3" r:id="rId1" xr:uid="{7466BB32-FFD2-4773-82FD-186B53C02B67}"/>
    <hyperlink ref="F4" r:id="rId2" xr:uid="{DEB4E81E-9DF8-4FA8-A1E5-E76FB7369513}"/>
    <hyperlink ref="F5" r:id="rId3" xr:uid="{8FB68100-0953-4443-9D13-EBABEF6A4846}"/>
    <hyperlink ref="F9" r:id="rId4" xr:uid="{603C3BB5-A717-4B61-BC7D-439CB540DCE2}"/>
    <hyperlink ref="F10" r:id="rId5" xr:uid="{B71F640E-4CA9-4C4B-9029-69FABA261DFB}"/>
    <hyperlink ref="F11" r:id="rId6" xr:uid="{D1E13426-6FD7-4713-982E-93F0B0F58FA9}"/>
    <hyperlink ref="F12" r:id="rId7" xr:uid="{DF0513DA-1697-42F0-A494-E5934E4C5459}"/>
    <hyperlink ref="F14" r:id="rId8" xr:uid="{4BF698F1-ACE2-43DE-BFF0-4B6DD87CBD96}"/>
    <hyperlink ref="F19" r:id="rId9" xr:uid="{3A316639-F685-48DD-B8D1-F953CD8438CD}"/>
    <hyperlink ref="F16" r:id="rId10" xr:uid="{793B64D9-0B37-4464-825A-39512558DF31}"/>
    <hyperlink ref="F23" r:id="rId11" xr:uid="{CFCD0E68-96C9-45B3-831D-67B9DFDD9B5F}"/>
    <hyperlink ref="F24" r:id="rId12" xr:uid="{7F0929DF-9E69-4DFF-B4AA-81A56FE0ACD8}"/>
    <hyperlink ref="F25" r:id="rId13" xr:uid="{BD3E6E63-7145-4560-A427-42981D53BED5}"/>
    <hyperlink ref="F26" r:id="rId14" xr:uid="{A4BCD6A9-879B-4544-8335-5971D89F574D}"/>
    <hyperlink ref="F20" r:id="rId15" xr:uid="{FF38F060-9429-4CC4-B014-54868785ADD2}"/>
    <hyperlink ref="F22" r:id="rId16" xr:uid="{16F0E15D-2DA5-4E1C-A1D4-88B651B3FC7B}"/>
    <hyperlink ref="F17" r:id="rId17" xr:uid="{03DA5A61-BB63-449D-A1A3-53A58A5C573B}"/>
  </hyperlinks>
  <pageMargins left="0.39370078740157483" right="0.39370078740157483" top="0.39370078740157483" bottom="0.39370078740157483" header="0.31496062992125984" footer="0.31496062992125984"/>
  <pageSetup paperSize="9" scale="64" orientation="landscape" r:id="rId18"/>
  <headerFooter>
    <oddFooter>&amp;C&amp;P / &amp;N ページ</oddFooter>
  </headerFooter>
  <legacyDrawing r:id="rId1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A51F9B798A7384ABC3E3C9227488141" ma:contentTypeVersion="11" ma:contentTypeDescription="Create a new document." ma:contentTypeScope="" ma:versionID="bd1bcaa21074d74c17efe1ae21d8ae29">
  <xsd:schema xmlns:xsd="http://www.w3.org/2001/XMLSchema" xmlns:xs="http://www.w3.org/2001/XMLSchema" xmlns:p="http://schemas.microsoft.com/office/2006/metadata/properties" xmlns:ns2="d2bb71a1-c948-4664-9e27-c6a49ea5b5c4" xmlns:ns3="92e7d41a-a9b0-45ab-8eaf-f8dcd5cbedf9" targetNamespace="http://schemas.microsoft.com/office/2006/metadata/properties" ma:root="true" ma:fieldsID="a451da39cafcdeaf40c48ea5f42a00c0" ns2:_="" ns3:_="">
    <xsd:import namespace="d2bb71a1-c948-4664-9e27-c6a49ea5b5c4"/>
    <xsd:import namespace="92e7d41a-a9b0-45ab-8eaf-f8dcd5cbedf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bb71a1-c948-4664-9e27-c6a49ea5b5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e7d41a-a9b0-45ab-8eaf-f8dcd5cbedf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E3A8A2-3502-4014-8A6E-B4D1F2DCE59F}">
  <ds:schemaRefs>
    <ds:schemaRef ds:uri="http://schemas.microsoft.com/sharepoint/v3/contenttype/forms"/>
  </ds:schemaRefs>
</ds:datastoreItem>
</file>

<file path=customXml/itemProps2.xml><?xml version="1.0" encoding="utf-8"?>
<ds:datastoreItem xmlns:ds="http://schemas.openxmlformats.org/officeDocument/2006/customXml" ds:itemID="{3D7E828F-B534-498B-8300-3E51D1D90BA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B968B7F-8B9B-4707-B195-33A64ED52A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bb71a1-c948-4664-9e27-c6a49ea5b5c4"/>
    <ds:schemaRef ds:uri="92e7d41a-a9b0-45ab-8eaf-f8dcd5cbed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課題管理表</vt:lpstr>
      <vt:lpstr>課題管理表!Print_Area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f-motoyoshi</dc:creator>
  <cp:keywords/>
  <dc:description/>
  <cp:lastModifiedBy>松下智一</cp:lastModifiedBy>
  <cp:revision/>
  <dcterms:created xsi:type="dcterms:W3CDTF">2016-03-25T06:33:22Z</dcterms:created>
  <dcterms:modified xsi:type="dcterms:W3CDTF">2022-04-13T00:42:50Z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0x0101003A51F9B798A7384ABC3E3C9227488141</vt:lpwstr>
  </property>
</Properties>
</file>