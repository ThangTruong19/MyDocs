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200" windowHeight="7770" tabRatio="920"/>
  </bookViews>
  <sheets>
    <sheet name="表紙" sheetId="15" r:id="rId1"/>
    <sheet name="変更履歴" sheetId="16" r:id="rId2"/>
    <sheet name="テスト項目" sheetId="19" r:id="rId3"/>
    <sheet name="画面項目マトリクス" sheetId="24" r:id="rId4"/>
    <sheet name="ヘッダ項目クリック_マトリクス" sheetId="27" r:id="rId5"/>
    <sheet name="ヘッダ項目マトリクス" sheetId="26" r:id="rId6"/>
    <sheet name="リクエストパラメータチェックシート" sheetId="21" r:id="rId7"/>
    <sheet name="IT、ST（案）テスト項目" sheetId="14"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7"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7" hidden="1">[2]FEM92SIM!#REF!</definedName>
    <definedName name="_Fill" localSheetId="3" hidden="1">[2]FEM92SIM!#REF!</definedName>
    <definedName name="_Fill" hidden="1">[2]FEM92SIM!#REF!</definedName>
    <definedName name="_xlnm._FilterDatabase" localSheetId="7" hidden="1">'IT、ST（案）テスト項目'!#REF!</definedName>
    <definedName name="_xlnm._FilterDatabase" localSheetId="2" hidden="1">テスト項目!$B$7:$U$363</definedName>
    <definedName name="_xlnm._FilterDatabase" localSheetId="3" hidden="1">画面項目マトリクス!$C$5:$H$47</definedName>
    <definedName name="_Key1" localSheetId="7" hidden="1">#REF!</definedName>
    <definedName name="_Key1" localSheetId="2" hidden="1">#REF!</definedName>
    <definedName name="_Key1" localSheetId="3" hidden="1">#REF!</definedName>
    <definedName name="_Key1" hidden="1">#REF!</definedName>
    <definedName name="_Order1" hidden="1">0</definedName>
    <definedName name="_Order2" hidden="1">0</definedName>
    <definedName name="_Sort" localSheetId="7" hidden="1">#REF!</definedName>
    <definedName name="_Sort" localSheetId="2" hidden="1">#REF!</definedName>
    <definedName name="_Sort" localSheetId="3" hidden="1">#REF!</definedName>
    <definedName name="_Sort" hidden="1">#REF!</definedName>
    <definedName name="_Table1_In1" localSheetId="7" hidden="1">#REF!</definedName>
    <definedName name="_Table1_In1" localSheetId="2" hidden="1">#REF!</definedName>
    <definedName name="_Table1_In1" localSheetId="3" hidden="1">#REF!</definedName>
    <definedName name="_Table1_In1" hidden="1">#REF!</definedName>
    <definedName name="_Table1_Out" localSheetId="7" hidden="1">#REF!</definedName>
    <definedName name="_Table1_Out" localSheetId="2" hidden="1">#REF!</definedName>
    <definedName name="_Table1_Out" localSheetId="3" hidden="1">#REF!</definedName>
    <definedName name="_Table1_Out" hidden="1">#REF!</definedName>
    <definedName name="_ZA1" localSheetId="7">#REF!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7">[3]ﾃﾞｰﾀﾍﾞｰｽ変更点!#REF!</definedName>
    <definedName name="A_ACT_DATA" localSheetId="3">[3]ﾃﾞｰﾀﾍﾞｰｽ変更点!#REF!</definedName>
    <definedName name="A_ACT_DATA">[3]ﾃﾞｰﾀﾍﾞｰｽ変更点!#REF!</definedName>
    <definedName name="A_ACTUAL_OPERATION" localSheetId="7">[4]TableDesign!#REF!</definedName>
    <definedName name="A_ACTUAL_OPERATION" localSheetId="3">[4]TableDesign!#REF!</definedName>
    <definedName name="A_ACTUAL_OPERATION">[4]TableDesign!#REF!</definedName>
    <definedName name="A_AREA" localSheetId="7">[3]ﾃﾞｰﾀﾍﾞｰｽ変更点!#REF!</definedName>
    <definedName name="A_AREA" localSheetId="3">[3]ﾃﾞｰﾀﾍﾞｰｽ変更点!#REF!</definedName>
    <definedName name="A_AREA">[3]ﾃﾞｰﾀﾍﾞｰｽ変更点!#REF!</definedName>
    <definedName name="A_AREA_DEFINE" localSheetId="7">[3]ﾃﾞｰﾀﾍﾞｰｽ変更点!#REF!</definedName>
    <definedName name="A_AREA_DEFINE" localSheetId="3">[3]ﾃﾞｰﾀﾍﾞｰｽ変更点!#REF!</definedName>
    <definedName name="A_AREA_DEFINE">[3]ﾃﾞｰﾀﾍﾞｰｽ変更点!#REF!</definedName>
    <definedName name="A_AREA_INIT" localSheetId="7">[3]ﾃﾞｰﾀﾍﾞｰｽ変更点!#REF!</definedName>
    <definedName name="A_AREA_INIT" localSheetId="3">[3]ﾃﾞｰﾀﾍﾞｰｽ変更点!#REF!</definedName>
    <definedName name="A_AREA_INIT">[3]ﾃﾞｰﾀﾍﾞｰｽ変更点!#REF!</definedName>
    <definedName name="A_AREA_MASTER" localSheetId="7">[3]ﾃﾞｰﾀﾍﾞｰｽ変更点!#REF!</definedName>
    <definedName name="A_AREA_MASTER" localSheetId="3">[3]ﾃﾞｰﾀﾍﾞｰｽ変更点!#REF!</definedName>
    <definedName name="A_AREA_MASTER">[3]ﾃﾞｰﾀﾍﾞｰｽ変更点!#REF!</definedName>
    <definedName name="A_ASK" localSheetId="7">[3]ﾃﾞｰﾀﾍﾞｰｽ変更点!#REF!</definedName>
    <definedName name="A_ASK" localSheetId="3">[3]ﾃﾞｰﾀﾍﾞｰｽ変更点!#REF!</definedName>
    <definedName name="A_ASK">[3]ﾃﾞｰﾀﾍﾞｰｽ変更点!#REF!</definedName>
    <definedName name="A_ASK_LOG" localSheetId="7">[5]テーブル設計!#REF!</definedName>
    <definedName name="A_ASK_LOG" localSheetId="3">[5]テーブル設計!#REF!</definedName>
    <definedName name="A_ASK_LOG">[5]テーブル設計!#REF!</definedName>
    <definedName name="A_ASK_SYSTEM" localSheetId="7">[3]ﾃﾞｰﾀﾍﾞｰｽ変更点!#REF!</definedName>
    <definedName name="A_ASK_SYSTEM" localSheetId="3">[3]ﾃﾞｰﾀﾍﾞｰｽ変更点!#REF!</definedName>
    <definedName name="A_ASK_SYSTEM">[3]ﾃﾞｰﾀﾍﾞｰｽ変更点!#REF!</definedName>
    <definedName name="A_ATC_ERROR" localSheetId="7">[5]テーブル設計!#REF!</definedName>
    <definedName name="A_ATC_ERROR" localSheetId="3">[5]テーブル設計!#REF!</definedName>
    <definedName name="A_ATC_ERROR">[5]テーブル設計!#REF!</definedName>
    <definedName name="A_AUTHORITY_GROUP" localSheetId="7">[3]ﾃﾞｰﾀﾍﾞｰｽ変更点!#REF!</definedName>
    <definedName name="A_AUTHORITY_GROUP" localSheetId="3">[3]ﾃﾞｰﾀﾍﾞｰｽ変更点!#REF!</definedName>
    <definedName name="A_AUTHORITY_GROUP">[3]ﾃﾞｰﾀﾍﾞｰｽ変更点!#REF!</definedName>
    <definedName name="A_AUTHORITY_GROUP_DATA" localSheetId="7">[3]ﾃﾞｰﾀﾍﾞｰｽ変更点!#REF!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7">[5]テーブル設計!#REF!</definedName>
    <definedName name="A_AUTHORITY_MASTER" localSheetId="3">[5]テーブル設計!#REF!</definedName>
    <definedName name="A_AUTHORITY_MASTER">[5]テーブル設計!#REF!</definedName>
    <definedName name="A_BONDED_STORE" localSheetId="7">[5]テーブル設計!#REF!</definedName>
    <definedName name="A_BONDED_STORE" localSheetId="3">[5]テーブル設計!#REF!</definedName>
    <definedName name="A_BONDED_STORE">[5]テーブル設計!#REF!</definedName>
    <definedName name="A_CAR_DATA" localSheetId="7">[3]ﾃﾞｰﾀﾍﾞｰｽ変更点!#REF!</definedName>
    <definedName name="A_CAR_DATA" localSheetId="3">[3]ﾃﾞｰﾀﾍﾞｰｽ変更点!#REF!</definedName>
    <definedName name="A_CAR_DATA">[3]ﾃﾞｰﾀﾍﾞｰｽ変更点!#REF!</definedName>
    <definedName name="A_CAR_MASTER" localSheetId="7">[3]ﾃﾞｰﾀﾍﾞｰｽ変更点!#REF!</definedName>
    <definedName name="A_CAR_MASTER" localSheetId="3">[3]ﾃﾞｰﾀﾍﾞｰｽ変更点!#REF!</definedName>
    <definedName name="A_CAR_MASTER">[3]ﾃﾞｰﾀﾍﾞｰｽ変更点!#REF!</definedName>
    <definedName name="A_CAR_MONTHLY_DATA" localSheetId="7">[3]ﾃﾞｰﾀﾍﾞｰｽ変更点!#REF!</definedName>
    <definedName name="A_CAR_MONTHLY_DATA" localSheetId="3">[3]ﾃﾞｰﾀﾍﾞｰｽ変更点!#REF!</definedName>
    <definedName name="A_CAR_MONTHLY_DATA">[3]ﾃﾞｰﾀﾍﾞｰｽ変更点!#REF!</definedName>
    <definedName name="A_CAR_OWNER_HISTORY" localSheetId="7">[3]ﾃﾞｰﾀﾍﾞｰｽ変更点!#REF!</definedName>
    <definedName name="A_CAR_OWNER_HISTORY" localSheetId="3">[3]ﾃﾞｰﾀﾍﾞｰｽ変更点!#REF!</definedName>
    <definedName name="A_CAR_OWNER_HISTORY">[3]ﾃﾞｰﾀﾍﾞｰｽ変更点!#REF!</definedName>
    <definedName name="A_CAUTION" localSheetId="7">[4]TableDesign!#REF!</definedName>
    <definedName name="A_CAUTION" localSheetId="3">[4]TableDesign!#REF!</definedName>
    <definedName name="A_CAUTION">[4]TableDesign!#REF!</definedName>
    <definedName name="A_CAUTION_DATA" localSheetId="7">[3]ﾃﾞｰﾀﾍﾞｰｽ変更点!#REF!</definedName>
    <definedName name="A_CAUTION_DATA" localSheetId="3">[3]ﾃﾞｰﾀﾍﾞｰｽ変更点!#REF!</definedName>
    <definedName name="A_CAUTION_DATA">[3]ﾃﾞｰﾀﾍﾞｰｽ変更点!#REF!</definedName>
    <definedName name="A_CAUTION_ENABLED" localSheetId="7">[3]ﾃﾞｰﾀﾍﾞｰｽ変更点!#REF!</definedName>
    <definedName name="A_CAUTION_ENABLED" localSheetId="3">[3]ﾃﾞｰﾀﾍﾞｰｽ変更点!#REF!</definedName>
    <definedName name="A_CAUTION_ENABLED">[3]ﾃﾞｰﾀﾍﾞｰｽ変更点!#REF!</definedName>
    <definedName name="A_CAUTION_ICON" localSheetId="7">[3]ﾃﾞｰﾀﾍﾞｰｽ変更点!#REF!</definedName>
    <definedName name="A_CAUTION_ICON" localSheetId="3">[3]ﾃﾞｰﾀﾍﾞｰｽ変更点!#REF!</definedName>
    <definedName name="A_CAUTION_ICON">[3]ﾃﾞｰﾀﾍﾞｰｽ変更点!#REF!</definedName>
    <definedName name="A_CAUTION_INIT" localSheetId="7">[3]ﾃﾞｰﾀﾍﾞｰｽ変更点!#REF!</definedName>
    <definedName name="A_CAUTION_INIT" localSheetId="3">[3]ﾃﾞｰﾀﾍﾞｰｽ変更点!#REF!</definedName>
    <definedName name="A_CAUTION_INIT">[3]ﾃﾞｰﾀﾍﾞｰｽ変更点!#REF!</definedName>
    <definedName name="A_CAUTION_MASTER" localSheetId="7">[3]ﾃﾞｰﾀﾍﾞｰｽ変更点!#REF!</definedName>
    <definedName name="A_CAUTION_MASTER" localSheetId="3">[3]ﾃﾞｰﾀﾍﾞｰｽ変更点!#REF!</definedName>
    <definedName name="A_CAUTION_MASTER">[3]ﾃﾞｰﾀﾍﾞｰｽ変更点!#REF!</definedName>
    <definedName name="A_CLASS1_MASTER" localSheetId="7">[3]ﾃﾞｰﾀﾍﾞｰｽ変更点!#REF!</definedName>
    <definedName name="A_CLASS1_MASTER" localSheetId="3">[3]ﾃﾞｰﾀﾍﾞｰｽ変更点!#REF!</definedName>
    <definedName name="A_CLASS1_MASTER">[3]ﾃﾞｰﾀﾍﾞｰｽ変更点!#REF!</definedName>
    <definedName name="A_CLASS2_MASTER" localSheetId="7">[3]ﾃﾞｰﾀﾍﾞｰｽ変更点!#REF!</definedName>
    <definedName name="A_CLASS2_MASTER" localSheetId="3">[3]ﾃﾞｰﾀﾍﾞｰｽ変更点!#REF!</definedName>
    <definedName name="A_CLASS2_MASTER">[3]ﾃﾞｰﾀﾍﾞｰｽ変更点!#REF!</definedName>
    <definedName name="A_COMM_DATA" localSheetId="7">[3]ﾃﾞｰﾀﾍﾞｰｽ変更点!#REF!</definedName>
    <definedName name="A_COMM_DATA" localSheetId="3">[3]ﾃﾞｰﾀﾍﾞｰｽ変更点!#REF!</definedName>
    <definedName name="A_COMM_DATA">[3]ﾃﾞｰﾀﾍﾞｰｽ変更点!#REF!</definedName>
    <definedName name="A_COMM_STATUS_MASTER" localSheetId="7">[3]ﾃﾞｰﾀﾍﾞｰｽ変更点!#REF!</definedName>
    <definedName name="A_COMM_STATUS_MASTER" localSheetId="3">[3]ﾃﾞｰﾀﾍﾞｰｽ変更点!#REF!</definedName>
    <definedName name="A_COMM_STATUS_MASTER">[3]ﾃﾞｰﾀﾍﾞｰｽ変更点!#REF!</definedName>
    <definedName name="A_CONFIG_DEFINE" localSheetId="7">[3]ﾃﾞｰﾀﾍﾞｰｽ変更点!#REF!</definedName>
    <definedName name="A_CONFIG_DEFINE" localSheetId="3">[3]ﾃﾞｰﾀﾍﾞｰｽ変更点!#REF!</definedName>
    <definedName name="A_CONFIG_DEFINE">[3]ﾃﾞｰﾀﾍﾞｰｽ変更点!#REF!</definedName>
    <definedName name="A_CONFIG_FLAG" localSheetId="7">[5]テーブル設計!#REF!</definedName>
    <definedName name="A_CONFIG_FLAG" localSheetId="3">[5]テーブル設計!#REF!</definedName>
    <definedName name="A_CONFIG_FLAG">[5]テーブル設計!#REF!</definedName>
    <definedName name="A_CONFIG_INIT" localSheetId="7">[3]ﾃﾞｰﾀﾍﾞｰｽ変更点!#REF!</definedName>
    <definedName name="A_CONFIG_INIT" localSheetId="3">[3]ﾃﾞｰﾀﾍﾞｰｽ変更点!#REF!</definedName>
    <definedName name="A_CONFIG_INIT">[3]ﾃﾞｰﾀﾍﾞｰｽ変更点!#REF!</definedName>
    <definedName name="A_CONFIG_PATTERN" localSheetId="7">[3]ﾃﾞｰﾀﾍﾞｰｽ変更点!#REF!</definedName>
    <definedName name="A_CONFIG_PATTERN" localSheetId="3">[3]ﾃﾞｰﾀﾍﾞｰｽ変更点!#REF!</definedName>
    <definedName name="A_CONFIG_PATTERN">[3]ﾃﾞｰﾀﾍﾞｰｽ変更点!#REF!</definedName>
    <definedName name="A_CONFIG_PATTERN_DATA" localSheetId="7">[3]ﾃﾞｰﾀﾍﾞｰｽ変更点!#REF!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7">[5]テーブル設計!#REF!</definedName>
    <definedName name="A_CONFIG_USER_FLAG" localSheetId="3">[5]テーブル設計!#REF!</definedName>
    <definedName name="A_CONFIG_USER_FLAG">[5]テーブル設計!#REF!</definedName>
    <definedName name="A_CONTRACT" localSheetId="7">[5]テーブル設計!#REF!</definedName>
    <definedName name="A_CONTRACT" localSheetId="3">[5]テーブル設計!#REF!</definedName>
    <definedName name="A_CONTRACT">[5]テーブル設計!#REF!</definedName>
    <definedName name="A_CUSTOMER" localSheetId="7">[3]ﾃﾞｰﾀﾍﾞｰｽ変更点!#REF!</definedName>
    <definedName name="A_CUSTOMER" localSheetId="3">[3]ﾃﾞｰﾀﾍﾞｰｽ変更点!#REF!</definedName>
    <definedName name="A_CUSTOMER">[3]ﾃﾞｰﾀﾍﾞｰｽ変更点!#REF!</definedName>
    <definedName name="A_CUSTOMER_CAR" localSheetId="7">[3]ﾃﾞｰﾀﾍﾞｰｽ変更点!#REF!</definedName>
    <definedName name="A_CUSTOMER_CAR" localSheetId="3">[3]ﾃﾞｰﾀﾍﾞｰｽ変更点!#REF!</definedName>
    <definedName name="A_CUSTOMER_CAR">[3]ﾃﾞｰﾀﾍﾞｰｽ変更点!#REF!</definedName>
    <definedName name="A_CUSTOMER_MASTER" localSheetId="7">[4]TableDesign!#REF!</definedName>
    <definedName name="A_CUSTOMER_MASTER" localSheetId="3">[4]TableDesign!#REF!</definedName>
    <definedName name="A_CUSTOMER_MASTER">[4]TableDesign!#REF!</definedName>
    <definedName name="A_DIVISION_MASTER" localSheetId="7">[3]ﾃﾞｰﾀﾍﾞｰｽ変更点!#REF!</definedName>
    <definedName name="A_DIVISION_MASTER" localSheetId="3">[3]ﾃﾞｰﾀﾍﾞｰｽ変更点!#REF!</definedName>
    <definedName name="A_DIVISION_MASTER">[3]ﾃﾞｰﾀﾍﾞｰｽ変更点!#REF!</definedName>
    <definedName name="A_DOPA" localSheetId="7">[3]ﾃﾞｰﾀﾍﾞｰｽ変更点!#REF!</definedName>
    <definedName name="A_DOPA" localSheetId="3">[3]ﾃﾞｰﾀﾍﾞｰｽ変更点!#REF!</definedName>
    <definedName name="A_DOPA">[3]ﾃﾞｰﾀﾍﾞｰｽ変更点!#REF!</definedName>
    <definedName name="A_DOPA_OWNER_HISTORY" localSheetId="7">[3]ﾃﾞｰﾀﾍﾞｰｽ変更点!#REF!</definedName>
    <definedName name="A_DOPA_OWNER_HISTORY" localSheetId="3">[3]ﾃﾞｰﾀﾍﾞｰｽ変更点!#REF!</definedName>
    <definedName name="A_DOPA_OWNER_HISTORY">[3]ﾃﾞｰﾀﾍﾞｰｽ変更点!#REF!</definedName>
    <definedName name="A_DOPA_SERVER" localSheetId="7">[3]ﾃﾞｰﾀﾍﾞｰｽ変更点!#REF!</definedName>
    <definedName name="A_DOPA_SERVER" localSheetId="3">[3]ﾃﾞｰﾀﾍﾞｰｽ変更点!#REF!</definedName>
    <definedName name="A_DOPA_SERVER">[3]ﾃﾞｰﾀﾍﾞｰｽ変更点!#REF!</definedName>
    <definedName name="A_EQUIPMENT_HISTORY" localSheetId="7">[3]ﾃﾞｰﾀﾍﾞｰｽ変更点!#REF!</definedName>
    <definedName name="A_EQUIPMENT_HISTORY" localSheetId="3">[3]ﾃﾞｰﾀﾍﾞｰｽ変更点!#REF!</definedName>
    <definedName name="A_EQUIPMENT_HISTORY">[3]ﾃﾞｰﾀﾍﾞｰｽ変更点!#REF!</definedName>
    <definedName name="A_ERROR" localSheetId="7">[3]ﾃﾞｰﾀﾍﾞｰｽ変更点!#REF!</definedName>
    <definedName name="A_ERROR" localSheetId="3">[3]ﾃﾞｰﾀﾍﾞｰｽ変更点!#REF!</definedName>
    <definedName name="A_ERROR">[3]ﾃﾞｰﾀﾍﾞｰｽ変更点!#REF!</definedName>
    <definedName name="A_ERROR_ENABLED" localSheetId="7">[3]ﾃﾞｰﾀﾍﾞｰｽ変更点!#REF!</definedName>
    <definedName name="A_ERROR_ENABLED" localSheetId="3">[3]ﾃﾞｰﾀﾍﾞｰｽ変更点!#REF!</definedName>
    <definedName name="A_ERROR_ENABLED">[3]ﾃﾞｰﾀﾍﾞｰｽ変更点!#REF!</definedName>
    <definedName name="A_ERROR_MASTER" localSheetId="7">[3]ﾃﾞｰﾀﾍﾞｰｽ変更点!#REF!</definedName>
    <definedName name="A_ERROR_MASTER" localSheetId="3">[3]ﾃﾞｰﾀﾍﾞｰｽ変更点!#REF!</definedName>
    <definedName name="A_ERROR_MASTER">[3]ﾃﾞｰﾀﾍﾞｰｽ変更点!#REF!</definedName>
    <definedName name="A_EVENT_CATEGORY" localSheetId="7">[4]TableDesign!#REF!</definedName>
    <definedName name="A_EVENT_CATEGORY" localSheetId="3">[4]TableDesign!#REF!</definedName>
    <definedName name="A_EVENT_CATEGORY">[4]TableDesign!#REF!</definedName>
    <definedName name="A_EVENT_DIVISION" localSheetId="7">[3]ﾃﾞｰﾀﾍﾞｰｽ変更点!#REF!</definedName>
    <definedName name="A_EVENT_DIVISION" localSheetId="3">[3]ﾃﾞｰﾀﾍﾞｰｽ変更点!#REF!</definedName>
    <definedName name="A_EVENT_DIVISION">[3]ﾃﾞｰﾀﾍﾞｰｽ変更点!#REF!</definedName>
    <definedName name="A_EVENT_MASTER" localSheetId="7">[3]ﾃﾞｰﾀﾍﾞｰｽ変更点!#REF!</definedName>
    <definedName name="A_EVENT_MASTER" localSheetId="3">[3]ﾃﾞｰﾀﾍﾞｰｽ変更点!#REF!</definedName>
    <definedName name="A_EVENT_MASTER">[3]ﾃﾞｰﾀﾍﾞｰｽ変更点!#REF!</definedName>
    <definedName name="A_EVENT_NOTICE" localSheetId="7">[3]ﾃﾞｰﾀﾍﾞｰｽ変更点!#REF!</definedName>
    <definedName name="A_EVENT_NOTICE" localSheetId="3">[3]ﾃﾞｰﾀﾍﾞｰｽ変更点!#REF!</definedName>
    <definedName name="A_EVENT_NOTICE">[3]ﾃﾞｰﾀﾍﾞｰｽ変更点!#REF!</definedName>
    <definedName name="A_FUEL_GAUGE" localSheetId="7">[4]TableDesign!#REF!</definedName>
    <definedName name="A_FUEL_GAUGE" localSheetId="3">[4]TableDesign!#REF!</definedName>
    <definedName name="A_FUEL_GAUGE">[4]TableDesign!#REF!</definedName>
    <definedName name="A_GAUGE_FUEL_WTTEMP" localSheetId="7">[3]ﾃﾞｰﾀﾍﾞｰｽ変更点!#REF!</definedName>
    <definedName name="A_GAUGE_FUEL_WTTEMP" localSheetId="3">[3]ﾃﾞｰﾀﾍﾞｰｽ変更点!#REF!</definedName>
    <definedName name="A_GAUGE_FUEL_WTTEMP">[3]ﾃﾞｰﾀﾍﾞｰｽ変更点!#REF!</definedName>
    <definedName name="A_GIS_DEFINE" localSheetId="7">[4]TableDesign!#REF!</definedName>
    <definedName name="A_GIS_DEFINE" localSheetId="3">[4]TableDesign!#REF!</definedName>
    <definedName name="A_GIS_DEFINE">[4]TableDesign!#REF!</definedName>
    <definedName name="A_GPS" localSheetId="7">[3]ﾃﾞｰﾀﾍﾞｰｽ変更点!#REF!</definedName>
    <definedName name="A_GPS" localSheetId="3">[3]ﾃﾞｰﾀﾍﾞｰｽ変更点!#REF!</definedName>
    <definedName name="A_GPS">[3]ﾃﾞｰﾀﾍﾞｰｽ変更点!#REF!</definedName>
    <definedName name="A_GRANT_AUTHORITY" localSheetId="7">[3]ﾃﾞｰﾀﾍﾞｰｽ変更点!#REF!</definedName>
    <definedName name="A_GRANT_AUTHORITY" localSheetId="3">[3]ﾃﾞｰﾀﾍﾞｰｽ変更点!#REF!</definedName>
    <definedName name="A_GRANT_AUTHORITY">[3]ﾃﾞｰﾀﾍﾞｰｽ変更点!#REF!</definedName>
    <definedName name="A_GROUP_MASTER" localSheetId="7">[3]ﾃﾞｰﾀﾍﾞｰｽ変更点!#REF!</definedName>
    <definedName name="A_GROUP_MASTER" localSheetId="3">[3]ﾃﾞｰﾀﾍﾞｰｽ変更点!#REF!</definedName>
    <definedName name="A_GROUP_MASTER">[3]ﾃﾞｰﾀﾍﾞｰｽ変更点!#REF!</definedName>
    <definedName name="A_IGNORE_CAUTION" localSheetId="7">[5]テーブル設計!#REF!</definedName>
    <definedName name="A_IGNORE_CAUTION" localSheetId="3">[5]テーブル設計!#REF!</definedName>
    <definedName name="A_IGNORE_CAUTION">[5]テーブル設計!#REF!</definedName>
    <definedName name="A_IGNORE_ERROR" localSheetId="7">[5]テーブル設計!#REF!</definedName>
    <definedName name="A_IGNORE_ERROR" localSheetId="3">[5]テーブル設計!#REF!</definedName>
    <definedName name="A_IGNORE_ERROR">[5]テーブル設計!#REF!</definedName>
    <definedName name="A_INFORM_MASTER" localSheetId="7">[3]ﾃﾞｰﾀﾍﾞｰｽ変更点!#REF!</definedName>
    <definedName name="A_INFORM_MASTER" localSheetId="3">[3]ﾃﾞｰﾀﾍﾞｰｽ変更点!#REF!</definedName>
    <definedName name="A_INFORM_MASTER">[3]ﾃﾞｰﾀﾍﾞｰｽ変更点!#REF!</definedName>
    <definedName name="A_INFORMATION" localSheetId="7">[3]ﾃﾞｰﾀﾍﾞｰｽ変更点!#REF!</definedName>
    <definedName name="A_INFORMATION" localSheetId="3">[3]ﾃﾞｰﾀﾍﾞｰｽ変更点!#REF!</definedName>
    <definedName name="A_INFORMATION">[3]ﾃﾞｰﾀﾍﾞｰｽ変更点!#REF!</definedName>
    <definedName name="A_INFORMATION_READED" localSheetId="7">[3]ﾃﾞｰﾀﾍﾞｰｽ変更点!#REF!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7">[5]テーブル設計!#REF!</definedName>
    <definedName name="A_INVALID_PART_TERMINAL" localSheetId="3">[5]テーブル設計!#REF!</definedName>
    <definedName name="A_INVALID_PART_TERMINAL">[5]テーブル設計!#REF!</definedName>
    <definedName name="A_KIND_MASTER" localSheetId="7">[3]ﾃﾞｰﾀﾍﾞｰｽ変更点!#REF!</definedName>
    <definedName name="A_KIND_MASTER" localSheetId="3">[3]ﾃﾞｰﾀﾍﾞｰｽ変更点!#REF!</definedName>
    <definedName name="A_KIND_MASTER">[3]ﾃﾞｰﾀﾍﾞｰｽ変更点!#REF!</definedName>
    <definedName name="A_KRO_APPLICATION" localSheetId="7">[3]ﾃﾞｰﾀﾍﾞｰｽ変更点!#REF!</definedName>
    <definedName name="A_KRO_APPLICATION" localSheetId="3">[3]ﾃﾞｰﾀﾍﾞｰｽ変更点!#REF!</definedName>
    <definedName name="A_KRO_APPLICATION">[3]ﾃﾞｰﾀﾍﾞｰｽ変更点!#REF!</definedName>
    <definedName name="A_KRO_APPLICATION_DATA" localSheetId="7">[3]ﾃﾞｰﾀﾍﾞｰｽ変更点!#REF!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7">[3]ﾃﾞｰﾀﾍﾞｰｽ変更点!#REF!</definedName>
    <definedName name="A_KRO_COMPLETION" localSheetId="3">[3]ﾃﾞｰﾀﾍﾞｰｽ変更点!#REF!</definedName>
    <definedName name="A_KRO_COMPLETION">[3]ﾃﾞｰﾀﾍﾞｰｽ変更点!#REF!</definedName>
    <definedName name="A_KRO_COMPLETION_DATA" localSheetId="7">[3]ﾃﾞｰﾀﾍﾞｰｽ変更点!#REF!</definedName>
    <definedName name="A_KRO_COMPLETION_DATA" localSheetId="3">[3]ﾃﾞｰﾀﾍﾞｰｽ変更点!#REF!</definedName>
    <definedName name="A_KRO_COMPLETION_DATA">[3]ﾃﾞｰﾀﾍﾞｰｽ変更点!#REF!</definedName>
    <definedName name="A_KRO_EMERGENCY" localSheetId="7">[5]テーブル設計!#REF!</definedName>
    <definedName name="A_KRO_EMERGENCY" localSheetId="3">[5]テーブル設計!#REF!</definedName>
    <definedName name="A_KRO_EMERGENCY">[5]テーブル設計!#REF!</definedName>
    <definedName name="A_KRO_REPORT" localSheetId="7">[3]ﾃﾞｰﾀﾍﾞｰｽ変更点!#REF!</definedName>
    <definedName name="A_KRO_REPORT" localSheetId="3">[3]ﾃﾞｰﾀﾍﾞｰｽ変更点!#REF!</definedName>
    <definedName name="A_KRO_REPORT">[3]ﾃﾞｰﾀﾍﾞｰｽ変更点!#REF!</definedName>
    <definedName name="A_LANDMARK" localSheetId="7">[3]ﾃﾞｰﾀﾍﾞｰｽ変更点!#REF!</definedName>
    <definedName name="A_LANDMARK" localSheetId="3">[3]ﾃﾞｰﾀﾍﾞｰｽ変更点!#REF!</definedName>
    <definedName name="A_LANDMARK">[3]ﾃﾞｰﾀﾍﾞｰｽ変更点!#REF!</definedName>
    <definedName name="A_LANDMARK_CLASS" localSheetId="7">[3]ﾃﾞｰﾀﾍﾞｰｽ変更点!#REF!</definedName>
    <definedName name="A_LANDMARK_CLASS" localSheetId="3">[3]ﾃﾞｰﾀﾍﾞｰｽ変更点!#REF!</definedName>
    <definedName name="A_LANDMARK_CLASS">[3]ﾃﾞｰﾀﾍﾞｰｽ変更点!#REF!</definedName>
    <definedName name="A_LOGON_HISTORY" localSheetId="7">[3]ﾃﾞｰﾀﾍﾞｰｽ変更点!#REF!</definedName>
    <definedName name="A_LOGON_HISTORY" localSheetId="3">[3]ﾃﾞｰﾀﾍﾞｰｽ変更点!#REF!</definedName>
    <definedName name="A_LOGON_HISTORY">[3]ﾃﾞｰﾀﾍﾞｰｽ変更点!#REF!</definedName>
    <definedName name="A_MACHINE_ERROR" localSheetId="7">[4]TableDesign!#REF!</definedName>
    <definedName name="A_MACHINE_ERROR" localSheetId="3">[4]TableDesign!#REF!</definedName>
    <definedName name="A_MACHINE_ERROR">[4]TableDesign!#REF!</definedName>
    <definedName name="A_MACHINE_STATUS_MASTER" localSheetId="7">[3]ﾃﾞｰﾀﾍﾞｰｽ変更点!#REF!</definedName>
    <definedName name="A_MACHINE_STATUS_MASTER" localSheetId="3">[3]ﾃﾞｰﾀﾍﾞｰｽ変更点!#REF!</definedName>
    <definedName name="A_MACHINE_STATUS_MASTER">[3]ﾃﾞｰﾀﾍﾞｰｽ変更点!#REF!</definedName>
    <definedName name="A_MAINTENANCE_DATA" localSheetId="7">[3]ﾃﾞｰﾀﾍﾞｰｽ変更点!#REF!</definedName>
    <definedName name="A_MAINTENANCE_DATA" localSheetId="3">[3]ﾃﾞｰﾀﾍﾞｰｽ変更点!#REF!</definedName>
    <definedName name="A_MAINTENANCE_DATA">[3]ﾃﾞｰﾀﾍﾞｰｽ変更点!#REF!</definedName>
    <definedName name="A_MAINTENANCE_INFORM" localSheetId="7">[3]ﾃﾞｰﾀﾍﾞｰｽ変更点!#REF!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7">[3]ﾃﾞｰﾀﾍﾞｰｽ変更点!#REF!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7">[4]TableDesign!#REF!</definedName>
    <definedName name="A_MAINTENANCE_TIME" localSheetId="3">[4]TableDesign!#REF!</definedName>
    <definedName name="A_MAINTENANCE_TIME">[4]TableDesign!#REF!</definedName>
    <definedName name="A_MAKER_MASTER" localSheetId="7">[3]ﾃﾞｰﾀﾍﾞｰｽ変更点!#REF!</definedName>
    <definedName name="A_MAKER_MASTER" localSheetId="3">[3]ﾃﾞｰﾀﾍﾞｰｽ変更点!#REF!</definedName>
    <definedName name="A_MAKER_MASTER">[3]ﾃﾞｰﾀﾍﾞｰｽ変更点!#REF!</definedName>
    <definedName name="A_MARK_MACHINE" localSheetId="7">[4]TableDesign!#REF!</definedName>
    <definedName name="A_MARK_MACHINE" localSheetId="3">[4]TableDesign!#REF!</definedName>
    <definedName name="A_MARK_MACHINE">[4]TableDesign!#REF!</definedName>
    <definedName name="A_MARK_NOTIFICATION" localSheetId="7">[4]TableDesign!#REF!</definedName>
    <definedName name="A_MARK_NOTIFICATION" localSheetId="3">[4]TableDesign!#REF!</definedName>
    <definedName name="A_MARK_NOTIFICATION">[4]TableDesign!#REF!</definedName>
    <definedName name="A_MARK_NOTIFICATION_DETAIL" localSheetId="7">[4]TableDesign!#REF!</definedName>
    <definedName name="A_MARK_NOTIFICATION_DETAIL" localSheetId="3">[4]TableDesign!#REF!</definedName>
    <definedName name="A_MARK_NOTIFICATION_DETAIL">[4]TableDesign!#REF!</definedName>
    <definedName name="A_MEMO" localSheetId="7">[3]ﾃﾞｰﾀﾍﾞｰｽ変更点!#REF!</definedName>
    <definedName name="A_MEMO" localSheetId="3">[3]ﾃﾞｰﾀﾍﾞｰｽ変更点!#REF!</definedName>
    <definedName name="A_MEMO">[3]ﾃﾞｰﾀﾍﾞｰｽ変更点!#REF!</definedName>
    <definedName name="A_MEMORY_MODIFY" localSheetId="7">[3]ﾃﾞｰﾀﾍﾞｰｽ変更点!#REF!</definedName>
    <definedName name="A_MEMORY_MODIFY" localSheetId="3">[3]ﾃﾞｰﾀﾍﾞｰｽ変更点!#REF!</definedName>
    <definedName name="A_MEMORY_MODIFY">[3]ﾃﾞｰﾀﾍﾞｰｽ変更点!#REF!</definedName>
    <definedName name="A_MEMORY_MODIFY_DATA" localSheetId="7">[3]ﾃﾞｰﾀﾍﾞｰｽ変更点!#REF!</definedName>
    <definedName name="A_MEMORY_MODIFY_DATA" localSheetId="3">[3]ﾃﾞｰﾀﾍﾞｰｽ変更点!#REF!</definedName>
    <definedName name="A_MEMORY_MODIFY_DATA">[3]ﾃﾞｰﾀﾍﾞｰｽ変更点!#REF!</definedName>
    <definedName name="A_MESSAGE" localSheetId="7">[3]ﾃﾞｰﾀﾍﾞｰｽ変更点!#REF!</definedName>
    <definedName name="A_MESSAGE" localSheetId="3">[3]ﾃﾞｰﾀﾍﾞｰｽ変更点!#REF!</definedName>
    <definedName name="A_MESSAGE">[3]ﾃﾞｰﾀﾍﾞｰｽ変更点!#REF!</definedName>
    <definedName name="A_MESSAGE_MASTER" localSheetId="7">[3]ﾃﾞｰﾀﾍﾞｰｽ変更点!#REF!</definedName>
    <definedName name="A_MESSAGE_MASTER" localSheetId="3">[3]ﾃﾞｰﾀﾍﾞｰｽ変更点!#REF!</definedName>
    <definedName name="A_MESSAGE_MASTER">[3]ﾃﾞｰﾀﾍﾞｰｽ変更点!#REF!</definedName>
    <definedName name="A_MONTHLY_ATT_SMR" localSheetId="7">[4]TableDesign!#REF!</definedName>
    <definedName name="A_MONTHLY_ATT_SMR" localSheetId="3">[4]TableDesign!#REF!</definedName>
    <definedName name="A_MONTHLY_ATT_SMR">[4]TableDesign!#REF!</definedName>
    <definedName name="A_MONTHLY_ERROR" localSheetId="7">[4]TableDesign!#REF!</definedName>
    <definedName name="A_MONTHLY_ERROR" localSheetId="3">[4]TableDesign!#REF!</definedName>
    <definedName name="A_MONTHLY_ERROR">[4]TableDesign!#REF!</definedName>
    <definedName name="A_MONTHLY_LOAD" localSheetId="7">[4]TableDesign!#REF!</definedName>
    <definedName name="A_MONTHLY_LOAD" localSheetId="3">[4]TableDesign!#REF!</definedName>
    <definedName name="A_MONTHLY_LOAD">[4]TableDesign!#REF!</definedName>
    <definedName name="A_MONTHLY_MOVEMENT" localSheetId="7">[4]TableDesign!#REF!</definedName>
    <definedName name="A_MONTHLY_MOVEMENT" localSheetId="3">[4]TableDesign!#REF!</definedName>
    <definedName name="A_MONTHLY_MOVEMENT">[4]TableDesign!#REF!</definedName>
    <definedName name="A_MONTHLY_OPERATION" localSheetId="7">[4]TableDesign!#REF!</definedName>
    <definedName name="A_MONTHLY_OPERATION" localSheetId="3">[4]TableDesign!#REF!</definedName>
    <definedName name="A_MONTHLY_OPERATION">[4]TableDesign!#REF!</definedName>
    <definedName name="A_MONTHLY_SMR" localSheetId="7">[4]TableDesign!#REF!</definedName>
    <definedName name="A_MONTHLY_SMR" localSheetId="3">[4]TableDesign!#REF!</definedName>
    <definedName name="A_MONTHLY_SMR">[4]TableDesign!#REF!</definedName>
    <definedName name="A_MONTHLY_WORKING_SMR" localSheetId="7">[4]TableDesign!#REF!</definedName>
    <definedName name="A_MONTHLY_WORKING_SMR" localSheetId="3">[4]TableDesign!#REF!</definedName>
    <definedName name="A_MONTHLY_WORKING_SMR">[4]TableDesign!#REF!</definedName>
    <definedName name="A_MONTLY_LOAD" localSheetId="7">[4]TableDesign!#REF!</definedName>
    <definedName name="A_MONTLY_LOAD" localSheetId="3">[4]TableDesign!#REF!</definedName>
    <definedName name="A_MONTLY_LOAD">[4]TableDesign!#REF!</definedName>
    <definedName name="A_MULTI_OPE" localSheetId="7">[3]ﾃﾞｰﾀﾍﾞｰｽ変更点!#REF!</definedName>
    <definedName name="A_MULTI_OPE" localSheetId="3">[3]ﾃﾞｰﾀﾍﾞｰｽ変更点!#REF!</definedName>
    <definedName name="A_MULTI_OPE">[3]ﾃﾞｰﾀﾍﾞｰｽ変更点!#REF!</definedName>
    <definedName name="A_MULTI_OPE_DATA" localSheetId="7">[5]テーブル設計!#REF!</definedName>
    <definedName name="A_MULTI_OPE_DATA" localSheetId="3">[5]テーブル設計!#REF!</definedName>
    <definedName name="A_MULTI_OPE_DATA">[5]テーブル設計!#REF!</definedName>
    <definedName name="A_NLS_DB_RESOURCE" localSheetId="7">[4]TableDesign!#REF!</definedName>
    <definedName name="A_NLS_DB_RESOURCE" localSheetId="3">[4]TableDesign!#REF!</definedName>
    <definedName name="A_NLS_DB_RESOURCE">[4]TableDesign!#REF!</definedName>
    <definedName name="A_NLS_LANG" localSheetId="7">[4]TableDesign!#REF!</definedName>
    <definedName name="A_NLS_LANG" localSheetId="3">[4]TableDesign!#REF!</definedName>
    <definedName name="A_NLS_LANG">[4]TableDesign!#REF!</definedName>
    <definedName name="A_NLS_RESOURCE" localSheetId="7">[4]TableDesign!#REF!</definedName>
    <definedName name="A_NLS_RESOURCE" localSheetId="3">[4]TableDesign!#REF!</definedName>
    <definedName name="A_NLS_RESOURCE">[4]TableDesign!#REF!</definedName>
    <definedName name="A_NOT_ACTIVE" localSheetId="7">[3]ﾃﾞｰﾀﾍﾞｰｽ変更点!#REF!</definedName>
    <definedName name="A_NOT_ACTIVE" localSheetId="3">[3]ﾃﾞｰﾀﾍﾞｰｽ変更点!#REF!</definedName>
    <definedName name="A_NOT_ACTIVE">[3]ﾃﾞｰﾀﾍﾞｰｽ変更点!#REF!</definedName>
    <definedName name="A_OPERATION_CATEGORY" localSheetId="7">[4]TableDesign!#REF!</definedName>
    <definedName name="A_OPERATION_CATEGORY" localSheetId="3">[4]TableDesign!#REF!</definedName>
    <definedName name="A_OPERATION_CATEGORY">[4]TableDesign!#REF!</definedName>
    <definedName name="A_OPERATION_CLASS" localSheetId="7">[5]テーブル設計!#REF!</definedName>
    <definedName name="A_OPERATION_CLASS" localSheetId="3">[5]テーブル設計!#REF!</definedName>
    <definedName name="A_OPERATION_CLASS">[5]テーブル設計!#REF!</definedName>
    <definedName name="A_OPERATION_LOG" localSheetId="7">[3]ﾃﾞｰﾀﾍﾞｰｽ変更点!#REF!</definedName>
    <definedName name="A_OPERATION_LOG" localSheetId="3">[3]ﾃﾞｰﾀﾍﾞｰｽ変更点!#REF!</definedName>
    <definedName name="A_OPERATION_LOG">[3]ﾃﾞｰﾀﾍﾞｰｽ変更点!#REF!</definedName>
    <definedName name="A_OPERATION_LOG2" localSheetId="7">[5]テーブル設計!#REF!</definedName>
    <definedName name="A_OPERATION_LOG2" localSheetId="3">[5]テーブル設計!#REF!</definedName>
    <definedName name="A_OPERATION_LOG2">[5]テーブル設計!#REF!</definedName>
    <definedName name="A_OPERATION_MAP" localSheetId="7">[4]TableDesign!#REF!</definedName>
    <definedName name="A_OPERATION_MAP" localSheetId="3">[4]TableDesign!#REF!</definedName>
    <definedName name="A_OPERATION_MAP">[4]TableDesign!#REF!</definedName>
    <definedName name="A_OPERATION_MASTER" localSheetId="7">[5]テーブル設計!#REF!</definedName>
    <definedName name="A_OPERATION_MASTER" localSheetId="3">[5]テーブル設計!#REF!</definedName>
    <definedName name="A_OPERATION_MASTER">[5]テーブル設計!#REF!</definedName>
    <definedName name="A_ORBCOMM" localSheetId="7">[3]ﾃﾞｰﾀﾍﾞｰｽ変更点!#REF!</definedName>
    <definedName name="A_ORBCOMM" localSheetId="3">[3]ﾃﾞｰﾀﾍﾞｰｽ変更点!#REF!</definedName>
    <definedName name="A_ORBCOMM">[3]ﾃﾞｰﾀﾍﾞｰｽ変更点!#REF!</definedName>
    <definedName name="A_ORBCOMM_OWNER_HISTORY" localSheetId="7">[3]ﾃﾞｰﾀﾍﾞｰｽ変更点!#REF!</definedName>
    <definedName name="A_ORBCOMM_OWNER_HISTORY" localSheetId="3">[3]ﾃﾞｰﾀﾍﾞｰｽ変更点!#REF!</definedName>
    <definedName name="A_ORBCOMM_OWNER_HISTORY">[3]ﾃﾞｰﾀﾍﾞｰｽ変更点!#REF!</definedName>
    <definedName name="A_PLANT_CAR" localSheetId="7">[5]テーブル設計!#REF!</definedName>
    <definedName name="A_PLANT_CAR" localSheetId="3">[5]テーブル設計!#REF!</definedName>
    <definedName name="A_PLANT_CAR">[5]テーブル設計!#REF!</definedName>
    <definedName name="A_PLANT_ERROR" localSheetId="7">[5]テーブル設計!#REF!</definedName>
    <definedName name="A_PLANT_ERROR" localSheetId="3">[5]テーブル設計!#REF!</definedName>
    <definedName name="A_PLANT_ERROR">[5]テーブル設計!#REF!</definedName>
    <definedName name="A_PLANT_GPS" localSheetId="7">[5]テーブル設計!#REF!</definedName>
    <definedName name="A_PLANT_GPS" localSheetId="3">[5]テーブル設計!#REF!</definedName>
    <definedName name="A_PLANT_GPS">[5]テーブル設計!#REF!</definedName>
    <definedName name="A_PREVENT_THEFT_KEY" localSheetId="7">[3]ﾃﾞｰﾀﾍﾞｰｽ変更点!#REF!</definedName>
    <definedName name="A_PREVENT_THEFT_KEY" localSheetId="3">[3]ﾃﾞｰﾀﾍﾞｰｽ変更点!#REF!</definedName>
    <definedName name="A_PREVENT_THEFT_KEY">[3]ﾃﾞｰﾀﾍﾞｰｽ変更点!#REF!</definedName>
    <definedName name="A_PRIVATE_TARGET_CAR" localSheetId="7">[3]ﾃﾞｰﾀﾍﾞｰｽ変更点!#REF!</definedName>
    <definedName name="A_PRIVATE_TARGET_CAR" localSheetId="3">[3]ﾃﾞｰﾀﾍﾞｰｽ変更点!#REF!</definedName>
    <definedName name="A_PRIVATE_TARGET_CAR">[3]ﾃﾞｰﾀﾍﾞｰｽ変更点!#REF!</definedName>
    <definedName name="A_RECEIVE_LIST" localSheetId="7">[5]テーブル設計!#REF!</definedName>
    <definedName name="A_RECEIVE_LIST" localSheetId="3">[5]テーブル設計!#REF!</definedName>
    <definedName name="A_RECEIVE_LIST">[5]テーブル設計!#REF!</definedName>
    <definedName name="A_RECEIVE_LOG" localSheetId="7">[3]ﾃﾞｰﾀﾍﾞｰｽ変更点!#REF!</definedName>
    <definedName name="A_RECEIVE_LOG" localSheetId="3">[3]ﾃﾞｰﾀﾍﾞｰｽ変更点!#REF!</definedName>
    <definedName name="A_RECEIVE_LOG">[3]ﾃﾞｰﾀﾍﾞｰｽ変更点!#REF!</definedName>
    <definedName name="A_REGION_DATA" localSheetId="7">[4]TableDesign!#REF!</definedName>
    <definedName name="A_REGION_DATA" localSheetId="3">[4]TableDesign!#REF!</definedName>
    <definedName name="A_REGION_DATA">[4]TableDesign!#REF!</definedName>
    <definedName name="A_REGION_MASTER" localSheetId="7">[4]TableDesign!#REF!</definedName>
    <definedName name="A_REGION_MASTER" localSheetId="3">[4]TableDesign!#REF!</definedName>
    <definedName name="A_REGION_MASTER">[4]TableDesign!#REF!</definedName>
    <definedName name="A_RENTAL_TERMINAL" localSheetId="7">[5]テーブル設計!#REF!</definedName>
    <definedName name="A_RENTAL_TERMINAL" localSheetId="3">[5]テーブル設計!#REF!</definedName>
    <definedName name="A_RENTAL_TERMINAL">[5]テーブル設計!#REF!</definedName>
    <definedName name="A_REQUEST" localSheetId="7">[3]ﾃﾞｰﾀﾍﾞｰｽ変更点!#REF!</definedName>
    <definedName name="A_REQUEST" localSheetId="3">[3]ﾃﾞｰﾀﾍﾞｰｽ変更点!#REF!</definedName>
    <definedName name="A_REQUEST">[3]ﾃﾞｰﾀﾍﾞｰｽ変更点!#REF!</definedName>
    <definedName name="A_REQUEST_COUNT" localSheetId="7">[3]ﾃﾞｰﾀﾍﾞｰｽ変更点!#REF!</definedName>
    <definedName name="A_REQUEST_COUNT" localSheetId="3">[3]ﾃﾞｰﾀﾍﾞｰｽ変更点!#REF!</definedName>
    <definedName name="A_REQUEST_COUNT">[3]ﾃﾞｰﾀﾍﾞｰｽ変更点!#REF!</definedName>
    <definedName name="A_REQUEST_LOG" localSheetId="7">[3]ﾃﾞｰﾀﾍﾞｰｽ変更点!#REF!</definedName>
    <definedName name="A_REQUEST_LOG" localSheetId="3">[3]ﾃﾞｰﾀﾍﾞｰｽ変更点!#REF!</definedName>
    <definedName name="A_REQUEST_LOG">[3]ﾃﾞｰﾀﾍﾞｰｽ変更点!#REF!</definedName>
    <definedName name="A_RIVATE_TARGET_CAR" localSheetId="7">[4]TableDesign!#REF!</definedName>
    <definedName name="A_RIVATE_TARGET_CAR" localSheetId="3">[4]TableDesign!#REF!</definedName>
    <definedName name="A_RIVATE_TARGET_CAR">[4]TableDesign!#REF!</definedName>
    <definedName name="A_RUNNING_LOG" localSheetId="7">[3]ﾃﾞｰﾀﾍﾞｰｽ変更点!#REF!</definedName>
    <definedName name="A_RUNNING_LOG" localSheetId="3">[3]ﾃﾞｰﾀﾍﾞｰｽ変更点!#REF!</definedName>
    <definedName name="A_RUNNING_LOG">[3]ﾃﾞｰﾀﾍﾞｰｽ変更点!#REF!</definedName>
    <definedName name="A_SAVE_INFORMATION" localSheetId="7">[5]テーブル設計!#REF!</definedName>
    <definedName name="A_SAVE_INFORMATION" localSheetId="3">[5]テーブル設計!#REF!</definedName>
    <definedName name="A_SAVE_INFORMATION">[5]テーブル設計!#REF!</definedName>
    <definedName name="A_SELFCARINSPECTION" localSheetId="7">[3]ﾃﾞｰﾀﾍﾞｰｽ変更点!#REF!</definedName>
    <definedName name="A_SELFCARINSPECTION" localSheetId="3">[3]ﾃﾞｰﾀﾍﾞｰｽ変更点!#REF!</definedName>
    <definedName name="A_SELFCARINSPECTION">[3]ﾃﾞｰﾀﾍﾞｰｽ変更点!#REF!</definedName>
    <definedName name="A_SEND_LIST" localSheetId="7">[5]テーブル設計!#REF!</definedName>
    <definedName name="A_SEND_LIST" localSheetId="3">[5]テーブル設計!#REF!</definedName>
    <definedName name="A_SEND_LIST">[5]テーブル設計!#REF!</definedName>
    <definedName name="A_SEND_LOG" localSheetId="7">[5]テーブル設計!#REF!</definedName>
    <definedName name="A_SEND_LOG" localSheetId="3">[5]テーブル設計!#REF!</definedName>
    <definedName name="A_SEND_LOG">[5]テーブル設計!#REF!</definedName>
    <definedName name="A_SERVER_COMMUNICATION" localSheetId="7">[4]TableDesign!#REF!</definedName>
    <definedName name="A_SERVER_COMMUNICATION" localSheetId="3">[4]TableDesign!#REF!</definedName>
    <definedName name="A_SERVER_COMMUNICATION">[4]TableDesign!#REF!</definedName>
    <definedName name="A_SERVER_INFORMATION" localSheetId="7">[3]ﾃﾞｰﾀﾍﾞｰｽ変更点!#REF!</definedName>
    <definedName name="A_SERVER_INFORMATION" localSheetId="3">[3]ﾃﾞｰﾀﾍﾞｰｽ変更点!#REF!</definedName>
    <definedName name="A_SERVER_INFORMATION">[3]ﾃﾞｰﾀﾍﾞｰｽ変更点!#REF!</definedName>
    <definedName name="A_SERVICE_METER" localSheetId="7">[3]ﾃﾞｰﾀﾍﾞｰｽ変更点!#REF!</definedName>
    <definedName name="A_SERVICE_METER" localSheetId="3">[3]ﾃﾞｰﾀﾍﾞｰｽ変更点!#REF!</definedName>
    <definedName name="A_SERVICE_METER">[3]ﾃﾞｰﾀﾍﾞｰｽ変更点!#REF!</definedName>
    <definedName name="A_SERVICE_METER2" localSheetId="7">[5]テーブル設計!#REF!</definedName>
    <definedName name="A_SERVICE_METER2" localSheetId="3">[5]テーブル設計!#REF!</definedName>
    <definedName name="A_SERVICE_METER2">[5]テーブル設計!#REF!</definedName>
    <definedName name="A_SERVICEMAN" localSheetId="7">[5]テーブル設計!#REF!</definedName>
    <definedName name="A_SERVICEMAN" localSheetId="3">[5]テーブル設計!#REF!</definedName>
    <definedName name="A_SERVICEMAN">[5]テーブル設計!#REF!</definedName>
    <definedName name="A_SERVICEMAN_CHARGE" localSheetId="7">[5]テーブル設計!#REF!</definedName>
    <definedName name="A_SERVICEMAN_CHARGE" localSheetId="3">[5]テーブル設計!#REF!</definedName>
    <definedName name="A_SERVICEMAN_CHARGE">[5]テーブル設計!#REF!</definedName>
    <definedName name="A_SHIPMENT" localSheetId="7">[3]ﾃﾞｰﾀﾍﾞｰｽ変更点!#REF!</definedName>
    <definedName name="A_SHIPMENT" localSheetId="3">[3]ﾃﾞｰﾀﾍﾞｰｽ変更点!#REF!</definedName>
    <definedName name="A_SHIPMENT">[3]ﾃﾞｰﾀﾍﾞｰｽ変更点!#REF!</definedName>
    <definedName name="A_SHOW" localSheetId="7">[3]ﾃﾞｰﾀﾍﾞｰｽ変更点!#REF!</definedName>
    <definedName name="A_SHOW" localSheetId="3">[3]ﾃﾞｰﾀﾍﾞｰｽ変更点!#REF!</definedName>
    <definedName name="A_SHOW">[3]ﾃﾞｰﾀﾍﾞｰｽ変更点!#REF!</definedName>
    <definedName name="A_SHOW_GROUP" localSheetId="7">[3]ﾃﾞｰﾀﾍﾞｰｽ変更点!#REF!</definedName>
    <definedName name="A_SHOW_GROUP" localSheetId="3">[3]ﾃﾞｰﾀﾍﾞｰｽ変更点!#REF!</definedName>
    <definedName name="A_SHOW_GROUP">[3]ﾃﾞｰﾀﾍﾞｰｽ変更点!#REF!</definedName>
    <definedName name="A_SPECIAL_AREA" localSheetId="7">[3]ﾃﾞｰﾀﾍﾞｰｽ変更点!#REF!</definedName>
    <definedName name="A_SPECIAL_AREA" localSheetId="3">[3]ﾃﾞｰﾀﾍﾞｰｽ変更点!#REF!</definedName>
    <definedName name="A_SPECIAL_AREA">[3]ﾃﾞｰﾀﾍﾞｰｽ変更点!#REF!</definedName>
    <definedName name="A_SUB_GROUP" localSheetId="7">[4]TableDesign!#REF!</definedName>
    <definedName name="A_SUB_GROUP" localSheetId="3">[4]TableDesign!#REF!</definedName>
    <definedName name="A_SUB_GROUP">[4]TableDesign!#REF!</definedName>
    <definedName name="A_SUB_GROUP_CAR" localSheetId="7">[4]TableDesign!#REF!</definedName>
    <definedName name="A_SUB_GROUP_CAR" localSheetId="3">[4]TableDesign!#REF!</definedName>
    <definedName name="A_SUB_GROUP_CAR">[4]TableDesign!#REF!</definedName>
    <definedName name="A_SYSTEM_COMMTERM_INFO" localSheetId="7">[3]ﾃﾞｰﾀﾍﾞｰｽ変更点!#REF!</definedName>
    <definedName name="A_SYSTEM_COMMTERM_INFO" localSheetId="3">[3]ﾃﾞｰﾀﾍﾞｰｽ変更点!#REF!</definedName>
    <definedName name="A_SYSTEM_COMMTERM_INFO">[3]ﾃﾞｰﾀﾍﾞｰｽ変更点!#REF!</definedName>
    <definedName name="A_SYSTEM_LOG" localSheetId="7">[3]ﾃﾞｰﾀﾍﾞｰｽ変更点!#REF!</definedName>
    <definedName name="A_SYSTEM_LOG" localSheetId="3">[3]ﾃﾞｰﾀﾍﾞｰｽ変更点!#REF!</definedName>
    <definedName name="A_SYSTEM_LOG">[3]ﾃﾞｰﾀﾍﾞｰｽ変更点!#REF!</definedName>
    <definedName name="A_SYSTEM_NOTICE" localSheetId="7">[3]ﾃﾞｰﾀﾍﾞｰｽ変更点!#REF!</definedName>
    <definedName name="A_SYSTEM_NOTICE" localSheetId="3">[3]ﾃﾞｰﾀﾍﾞｰｽ変更点!#REF!</definedName>
    <definedName name="A_SYSTEM_NOTICE">[3]ﾃﾞｰﾀﾍﾞｰｽ変更点!#REF!</definedName>
    <definedName name="A_TARGET" localSheetId="7">[3]ﾃﾞｰﾀﾍﾞｰｽ変更点!#REF!</definedName>
    <definedName name="A_TARGET" localSheetId="3">[3]ﾃﾞｰﾀﾍﾞｰｽ変更点!#REF!</definedName>
    <definedName name="A_TARGET">[3]ﾃﾞｰﾀﾍﾞｰｽ変更点!#REF!</definedName>
    <definedName name="A_TARGET_CAR" localSheetId="7">[3]ﾃﾞｰﾀﾍﾞｰｽ変更点!#REF!</definedName>
    <definedName name="A_TARGET_CAR" localSheetId="3">[3]ﾃﾞｰﾀﾍﾞｰｽ変更点!#REF!</definedName>
    <definedName name="A_TARGET_CAR">[3]ﾃﾞｰﾀﾍﾞｰｽ変更点!#REF!</definedName>
    <definedName name="A_TERMINAL_AREA" localSheetId="7">[3]ﾃﾞｰﾀﾍﾞｰｽ変更点!#REF!</definedName>
    <definedName name="A_TERMINAL_AREA" localSheetId="3">[3]ﾃﾞｰﾀﾍﾞｰｽ変更点!#REF!</definedName>
    <definedName name="A_TERMINAL_AREA">[3]ﾃﾞｰﾀﾍﾞｰｽ変更点!#REF!</definedName>
    <definedName name="A_TERMINAL_CAUTION" localSheetId="7">[3]ﾃﾞｰﾀﾍﾞｰｽ変更点!#REF!</definedName>
    <definedName name="A_TERMINAL_CAUTION" localSheetId="3">[3]ﾃﾞｰﾀﾍﾞｰｽ変更点!#REF!</definedName>
    <definedName name="A_TERMINAL_CAUTION">[3]ﾃﾞｰﾀﾍﾞｰｽ変更点!#REF!</definedName>
    <definedName name="A_TERMINAL_ERROR" localSheetId="7">[3]ﾃﾞｰﾀﾍﾞｰｽ変更点!#REF!</definedName>
    <definedName name="A_TERMINAL_ERROR" localSheetId="3">[3]ﾃﾞｰﾀﾍﾞｰｽ変更点!#REF!</definedName>
    <definedName name="A_TERMINAL_ERROR">[3]ﾃﾞｰﾀﾍﾞｰｽ変更点!#REF!</definedName>
    <definedName name="A_TERMINAL_KIND" localSheetId="7">[3]ﾃﾞｰﾀﾍﾞｰｽ変更点!#REF!</definedName>
    <definedName name="A_TERMINAL_KIND" localSheetId="3">[3]ﾃﾞｰﾀﾍﾞｰｽ変更点!#REF!</definedName>
    <definedName name="A_TERMINAL_KIND">[3]ﾃﾞｰﾀﾍﾞｰｽ変更点!#REF!</definedName>
    <definedName name="A_TERMINAL_MASTER" localSheetId="7">[3]ﾃﾞｰﾀﾍﾞｰｽ変更点!#REF!</definedName>
    <definedName name="A_TERMINAL_MASTER" localSheetId="3">[3]ﾃﾞｰﾀﾍﾞｰｽ変更点!#REF!</definedName>
    <definedName name="A_TERMINAL_MASTER">[3]ﾃﾞｰﾀﾍﾞｰｽ変更点!#REF!</definedName>
    <definedName name="A_TERMINAL_PART_MASTER" localSheetId="7">[3]ﾃﾞｰﾀﾍﾞｰｽ変更点!#REF!</definedName>
    <definedName name="A_TERMINAL_PART_MASTER" localSheetId="3">[3]ﾃﾞｰﾀﾍﾞｰｽ変更点!#REF!</definedName>
    <definedName name="A_TERMINAL_PART_MASTER">[3]ﾃﾞｰﾀﾍﾞｰｽ変更点!#REF!</definedName>
    <definedName name="A_TYPE_MASTER" localSheetId="7">[3]ﾃﾞｰﾀﾍﾞｰｽ変更点!#REF!</definedName>
    <definedName name="A_TYPE_MASTER" localSheetId="3">[3]ﾃﾞｰﾀﾍﾞｰｽ変更点!#REF!</definedName>
    <definedName name="A_TYPE_MASTER">[3]ﾃﾞｰﾀﾍﾞｰｽ変更点!#REF!</definedName>
    <definedName name="A_UFO" localSheetId="7">[3]ﾃﾞｰﾀﾍﾞｰｽ変更点!#REF!</definedName>
    <definedName name="A_UFO" localSheetId="3">[3]ﾃﾞｰﾀﾍﾞｰｽ変更点!#REF!</definedName>
    <definedName name="A_UFO">[3]ﾃﾞｰﾀﾍﾞｰｽ変更点!#REF!</definedName>
    <definedName name="A_UNRELIABLE_RECEIVE" localSheetId="7">[3]ﾃﾞｰﾀﾍﾞｰｽ変更点!#REF!</definedName>
    <definedName name="A_UNRELIABLE_RECEIVE" localSheetId="3">[3]ﾃﾞｰﾀﾍﾞｰｽ変更点!#REF!</definedName>
    <definedName name="A_UNRELIABLE_RECEIVE">[3]ﾃﾞｰﾀﾍﾞｰｽ変更点!#REF!</definedName>
    <definedName name="A_USER_MASTER" localSheetId="7">[3]ﾃﾞｰﾀﾍﾞｰｽ変更点!#REF!</definedName>
    <definedName name="A_USER_MASTER" localSheetId="3">[3]ﾃﾞｰﾀﾍﾞｰｽ変更点!#REF!</definedName>
    <definedName name="A_USER_MASTER">[3]ﾃﾞｰﾀﾍﾞｰｽ変更点!#REF!</definedName>
    <definedName name="A_USER_TEMP" localSheetId="7">[3]ﾃﾞｰﾀﾍﾞｰｽ変更点!#REF!</definedName>
    <definedName name="A_USER_TEMP" localSheetId="3">[3]ﾃﾞｰﾀﾍﾞｰｽ変更点!#REF!</definedName>
    <definedName name="A_USER_TEMP">[3]ﾃﾞｰﾀﾍﾞｰｽ変更点!#REF!</definedName>
    <definedName name="A_WATER_TEMP_GAUGE" localSheetId="7">[4]TableDesign!#REF!</definedName>
    <definedName name="A_WATER_TEMP_GAUGE" localSheetId="3">[4]TableDesign!#REF!</definedName>
    <definedName name="A_WATER_TEMP_GAUGE">[4]TableDesign!#REF!</definedName>
    <definedName name="AA" localSheetId="7">'[6]DATA-COMMUNICATION-FORMAT'!#REF!</definedName>
    <definedName name="AA" localSheetId="3">'[6]DATA-COMMUNICATION-FORMAT'!#REF!</definedName>
    <definedName name="AA">'[6]DATA-COMMUNICATION-FORMAT'!#REF!</definedName>
    <definedName name="AAA" localSheetId="7">#REF!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7" hidden="1">[7]基本仕様１!#REF!</definedName>
    <definedName name="abc" localSheetId="3"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7">[3]ﾃﾞｰﾀﾍﾞｰｽ変更点!#REF!</definedName>
    <definedName name="B__PREVENT_THEFT_KEY" localSheetId="3">[3]ﾃﾞｰﾀﾍﾞｰｽ変更点!#REF!</definedName>
    <definedName name="B__PREVENT_THEFT_KEY">[3]ﾃﾞｰﾀﾍﾞｰｽ変更点!#REF!</definedName>
    <definedName name="B_ACT_DATA" localSheetId="7">[3]ﾃﾞｰﾀﾍﾞｰｽ変更点!#REF!</definedName>
    <definedName name="B_ACT_DATA" localSheetId="3">[3]ﾃﾞｰﾀﾍﾞｰｽ変更点!#REF!</definedName>
    <definedName name="B_ACT_DATA">[3]ﾃﾞｰﾀﾍﾞｰｽ変更点!#REF!</definedName>
    <definedName name="B_ACTUAL_OPERATION" localSheetId="7">[4]TableDesign!#REF!</definedName>
    <definedName name="B_ACTUAL_OPERATION" localSheetId="3">[4]TableDesign!#REF!</definedName>
    <definedName name="B_ACTUAL_OPERATION">[4]TableDesign!#REF!</definedName>
    <definedName name="B_AREA" localSheetId="7">[3]ﾃﾞｰﾀﾍﾞｰｽ変更点!#REF!</definedName>
    <definedName name="B_AREA" localSheetId="3">[3]ﾃﾞｰﾀﾍﾞｰｽ変更点!#REF!</definedName>
    <definedName name="B_AREA">[3]ﾃﾞｰﾀﾍﾞｰｽ変更点!#REF!</definedName>
    <definedName name="B_AREA_DEFINE" localSheetId="7">[3]ﾃﾞｰﾀﾍﾞｰｽ変更点!#REF!</definedName>
    <definedName name="B_AREA_DEFINE" localSheetId="3">[3]ﾃﾞｰﾀﾍﾞｰｽ変更点!#REF!</definedName>
    <definedName name="B_AREA_DEFINE">[3]ﾃﾞｰﾀﾍﾞｰｽ変更点!#REF!</definedName>
    <definedName name="B_AREA_INIT" localSheetId="7">[3]ﾃﾞｰﾀﾍﾞｰｽ変更点!#REF!</definedName>
    <definedName name="B_AREA_INIT" localSheetId="3">[3]ﾃﾞｰﾀﾍﾞｰｽ変更点!#REF!</definedName>
    <definedName name="B_AREA_INIT">[3]ﾃﾞｰﾀﾍﾞｰｽ変更点!#REF!</definedName>
    <definedName name="B_AREA_MASTER" localSheetId="7">[3]ﾃﾞｰﾀﾍﾞｰｽ変更点!#REF!</definedName>
    <definedName name="B_AREA_MASTER" localSheetId="3">[3]ﾃﾞｰﾀﾍﾞｰｽ変更点!#REF!</definedName>
    <definedName name="B_AREA_MASTER">[3]ﾃﾞｰﾀﾍﾞｰｽ変更点!#REF!</definedName>
    <definedName name="B_ASK" localSheetId="7">[3]ﾃﾞｰﾀﾍﾞｰｽ変更点!#REF!</definedName>
    <definedName name="B_ASK" localSheetId="3">[3]ﾃﾞｰﾀﾍﾞｰｽ変更点!#REF!</definedName>
    <definedName name="B_ASK">[3]ﾃﾞｰﾀﾍﾞｰｽ変更点!#REF!</definedName>
    <definedName name="B_ASK_LOG" localSheetId="7">[5]テーブル設計!#REF!</definedName>
    <definedName name="B_ASK_LOG" localSheetId="3">[5]テーブル設計!#REF!</definedName>
    <definedName name="B_ASK_LOG">[5]テーブル設計!#REF!</definedName>
    <definedName name="B_ASK_SYSTEM" localSheetId="7">[3]ﾃﾞｰﾀﾍﾞｰｽ変更点!#REF!</definedName>
    <definedName name="B_ASK_SYSTEM" localSheetId="3">[3]ﾃﾞｰﾀﾍﾞｰｽ変更点!#REF!</definedName>
    <definedName name="B_ASK_SYSTEM">[3]ﾃﾞｰﾀﾍﾞｰｽ変更点!#REF!</definedName>
    <definedName name="B_ATC_ERROR" localSheetId="7">[5]テーブル設計!#REF!</definedName>
    <definedName name="B_ATC_ERROR" localSheetId="3">[5]テーブル設計!#REF!</definedName>
    <definedName name="B_ATC_ERROR">[5]テーブル設計!#REF!</definedName>
    <definedName name="B_AUTHORITY_GROUP" localSheetId="7">[3]ﾃﾞｰﾀﾍﾞｰｽ変更点!#REF!</definedName>
    <definedName name="B_AUTHORITY_GROUP" localSheetId="3">[3]ﾃﾞｰﾀﾍﾞｰｽ変更点!#REF!</definedName>
    <definedName name="B_AUTHORITY_GROUP">[3]ﾃﾞｰﾀﾍﾞｰｽ変更点!#REF!</definedName>
    <definedName name="B_AUTHORITY_GROUP_DATA" localSheetId="7">[3]ﾃﾞｰﾀﾍﾞｰｽ変更点!#REF!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7">[5]テーブル設計!#REF!</definedName>
    <definedName name="B_AUTHORITY_MASTER" localSheetId="3">[5]テーブル設計!#REF!</definedName>
    <definedName name="B_AUTHORITY_MASTER">[5]テーブル設計!#REF!</definedName>
    <definedName name="B_BONDED_STORE" localSheetId="7">[5]テーブル設計!#REF!</definedName>
    <definedName name="B_BONDED_STORE" localSheetId="3">[5]テーブル設計!#REF!</definedName>
    <definedName name="B_BONDED_STORE">[5]テーブル設計!#REF!</definedName>
    <definedName name="B_CAR_DATA" localSheetId="7">[3]ﾃﾞｰﾀﾍﾞｰｽ変更点!#REF!</definedName>
    <definedName name="B_CAR_DATA" localSheetId="3">[3]ﾃﾞｰﾀﾍﾞｰｽ変更点!#REF!</definedName>
    <definedName name="B_CAR_DATA">[3]ﾃﾞｰﾀﾍﾞｰｽ変更点!#REF!</definedName>
    <definedName name="B_CAR_MASTER" localSheetId="7">[3]ﾃﾞｰﾀﾍﾞｰｽ変更点!#REF!</definedName>
    <definedName name="B_CAR_MASTER" localSheetId="3">[3]ﾃﾞｰﾀﾍﾞｰｽ変更点!#REF!</definedName>
    <definedName name="B_CAR_MASTER">[3]ﾃﾞｰﾀﾍﾞｰｽ変更点!#REF!</definedName>
    <definedName name="B_CAR_MONTHLY_DATA" localSheetId="7">[3]ﾃﾞｰﾀﾍﾞｰｽ変更点!#REF!</definedName>
    <definedName name="B_CAR_MONTHLY_DATA" localSheetId="3">[3]ﾃﾞｰﾀﾍﾞｰｽ変更点!#REF!</definedName>
    <definedName name="B_CAR_MONTHLY_DATA">[3]ﾃﾞｰﾀﾍﾞｰｽ変更点!#REF!</definedName>
    <definedName name="B_CAR_OWNER_HISTORY" localSheetId="7">[3]ﾃﾞｰﾀﾍﾞｰｽ変更点!#REF!</definedName>
    <definedName name="B_CAR_OWNER_HISTORY" localSheetId="3">[3]ﾃﾞｰﾀﾍﾞｰｽ変更点!#REF!</definedName>
    <definedName name="B_CAR_OWNER_HISTORY">[3]ﾃﾞｰﾀﾍﾞｰｽ変更点!#REF!</definedName>
    <definedName name="B_CAUTION" localSheetId="7">[4]TableDesign!#REF!</definedName>
    <definedName name="B_CAUTION" localSheetId="3">[4]TableDesign!#REF!</definedName>
    <definedName name="B_CAUTION">[4]TableDesign!#REF!</definedName>
    <definedName name="B_CAUTION_DATA" localSheetId="7">[3]ﾃﾞｰﾀﾍﾞｰｽ変更点!#REF!</definedName>
    <definedName name="B_CAUTION_DATA" localSheetId="3">[3]ﾃﾞｰﾀﾍﾞｰｽ変更点!#REF!</definedName>
    <definedName name="B_CAUTION_DATA">[3]ﾃﾞｰﾀﾍﾞｰｽ変更点!#REF!</definedName>
    <definedName name="B_CAUTION_ENABLED" localSheetId="7">[3]ﾃﾞｰﾀﾍﾞｰｽ変更点!#REF!</definedName>
    <definedName name="B_CAUTION_ENABLED" localSheetId="3">[3]ﾃﾞｰﾀﾍﾞｰｽ変更点!#REF!</definedName>
    <definedName name="B_CAUTION_ENABLED">[3]ﾃﾞｰﾀﾍﾞｰｽ変更点!#REF!</definedName>
    <definedName name="B_CAUTION_ICON" localSheetId="7">[3]ﾃﾞｰﾀﾍﾞｰｽ変更点!#REF!</definedName>
    <definedName name="B_CAUTION_ICON" localSheetId="3">[3]ﾃﾞｰﾀﾍﾞｰｽ変更点!#REF!</definedName>
    <definedName name="B_CAUTION_ICON">[3]ﾃﾞｰﾀﾍﾞｰｽ変更点!#REF!</definedName>
    <definedName name="B_CAUTION_INIT" localSheetId="7">[3]ﾃﾞｰﾀﾍﾞｰｽ変更点!#REF!</definedName>
    <definedName name="B_CAUTION_INIT" localSheetId="3">[3]ﾃﾞｰﾀﾍﾞｰｽ変更点!#REF!</definedName>
    <definedName name="B_CAUTION_INIT">[3]ﾃﾞｰﾀﾍﾞｰｽ変更点!#REF!</definedName>
    <definedName name="B_CAUTION_MASTER" localSheetId="7">[3]ﾃﾞｰﾀﾍﾞｰｽ変更点!#REF!</definedName>
    <definedName name="B_CAUTION_MASTER" localSheetId="3">[3]ﾃﾞｰﾀﾍﾞｰｽ変更点!#REF!</definedName>
    <definedName name="B_CAUTION_MASTER">[3]ﾃﾞｰﾀﾍﾞｰｽ変更点!#REF!</definedName>
    <definedName name="B_CLASS1_MASTER" localSheetId="7">[3]ﾃﾞｰﾀﾍﾞｰｽ変更点!#REF!</definedName>
    <definedName name="B_CLASS1_MASTER" localSheetId="3">[3]ﾃﾞｰﾀﾍﾞｰｽ変更点!#REF!</definedName>
    <definedName name="B_CLASS1_MASTER">[3]ﾃﾞｰﾀﾍﾞｰｽ変更点!#REF!</definedName>
    <definedName name="B_CLASS2_MASTER" localSheetId="7">[3]ﾃﾞｰﾀﾍﾞｰｽ変更点!#REF!</definedName>
    <definedName name="B_CLASS2_MASTER" localSheetId="3">[3]ﾃﾞｰﾀﾍﾞｰｽ変更点!#REF!</definedName>
    <definedName name="B_CLASS2_MASTER">[3]ﾃﾞｰﾀﾍﾞｰｽ変更点!#REF!</definedName>
    <definedName name="B_COMM_DATA" localSheetId="7">[3]ﾃﾞｰﾀﾍﾞｰｽ変更点!#REF!</definedName>
    <definedName name="B_COMM_DATA" localSheetId="3">[3]ﾃﾞｰﾀﾍﾞｰｽ変更点!#REF!</definedName>
    <definedName name="B_COMM_DATA">[3]ﾃﾞｰﾀﾍﾞｰｽ変更点!#REF!</definedName>
    <definedName name="B_COMM_STATUS_MASTER" localSheetId="7">[3]ﾃﾞｰﾀﾍﾞｰｽ変更点!#REF!</definedName>
    <definedName name="B_COMM_STATUS_MASTER" localSheetId="3">[3]ﾃﾞｰﾀﾍﾞｰｽ変更点!#REF!</definedName>
    <definedName name="B_COMM_STATUS_MASTER">[3]ﾃﾞｰﾀﾍﾞｰｽ変更点!#REF!</definedName>
    <definedName name="B_CONFIG_DEFINE" localSheetId="7">[3]ﾃﾞｰﾀﾍﾞｰｽ変更点!#REF!</definedName>
    <definedName name="B_CONFIG_DEFINE" localSheetId="3">[3]ﾃﾞｰﾀﾍﾞｰｽ変更点!#REF!</definedName>
    <definedName name="B_CONFIG_DEFINE">[3]ﾃﾞｰﾀﾍﾞｰｽ変更点!#REF!</definedName>
    <definedName name="B_CONFIG_FLAG" localSheetId="7">[5]テーブル設計!#REF!</definedName>
    <definedName name="B_CONFIG_FLAG" localSheetId="3">[5]テーブル設計!#REF!</definedName>
    <definedName name="B_CONFIG_FLAG">[5]テーブル設計!#REF!</definedName>
    <definedName name="B_CONFIG_INIT" localSheetId="7">[3]ﾃﾞｰﾀﾍﾞｰｽ変更点!#REF!</definedName>
    <definedName name="B_CONFIG_INIT" localSheetId="3">[3]ﾃﾞｰﾀﾍﾞｰｽ変更点!#REF!</definedName>
    <definedName name="B_CONFIG_INIT">[3]ﾃﾞｰﾀﾍﾞｰｽ変更点!#REF!</definedName>
    <definedName name="B_CONFIG_PATTERN" localSheetId="7">[3]ﾃﾞｰﾀﾍﾞｰｽ変更点!#REF!</definedName>
    <definedName name="B_CONFIG_PATTERN" localSheetId="3">[3]ﾃﾞｰﾀﾍﾞｰｽ変更点!#REF!</definedName>
    <definedName name="B_CONFIG_PATTERN">[3]ﾃﾞｰﾀﾍﾞｰｽ変更点!#REF!</definedName>
    <definedName name="B_CONFIG_PATTERN_DATA" localSheetId="7">[3]ﾃﾞｰﾀﾍﾞｰｽ変更点!#REF!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7">[5]テーブル設計!#REF!</definedName>
    <definedName name="B_CONFIG_USER_FLAG" localSheetId="3">[5]テーブル設計!#REF!</definedName>
    <definedName name="B_CONFIG_USER_FLAG">[5]テーブル設計!#REF!</definedName>
    <definedName name="B_CONTRACT" localSheetId="7">[5]テーブル設計!#REF!</definedName>
    <definedName name="B_CONTRACT" localSheetId="3">[5]テーブル設計!#REF!</definedName>
    <definedName name="B_CONTRACT">[5]テーブル設計!#REF!</definedName>
    <definedName name="B_CUSTOMER" localSheetId="7">[3]ﾃﾞｰﾀﾍﾞｰｽ変更点!#REF!</definedName>
    <definedName name="B_CUSTOMER" localSheetId="3">[3]ﾃﾞｰﾀﾍﾞｰｽ変更点!#REF!</definedName>
    <definedName name="B_CUSTOMER">[3]ﾃﾞｰﾀﾍﾞｰｽ変更点!#REF!</definedName>
    <definedName name="B_CUSTOMER_CAR" localSheetId="7">[3]ﾃﾞｰﾀﾍﾞｰｽ変更点!#REF!</definedName>
    <definedName name="B_CUSTOMER_CAR" localSheetId="3">[3]ﾃﾞｰﾀﾍﾞｰｽ変更点!#REF!</definedName>
    <definedName name="B_CUSTOMER_CAR">[3]ﾃﾞｰﾀﾍﾞｰｽ変更点!#REF!</definedName>
    <definedName name="B_CUSTOMER_MASTER" localSheetId="7">[4]TableDesign!#REF!</definedName>
    <definedName name="B_CUSTOMER_MASTER" localSheetId="3">[4]TableDesign!#REF!</definedName>
    <definedName name="B_CUSTOMER_MASTER">[4]TableDesign!#REF!</definedName>
    <definedName name="B_DIVISION_MASTER" localSheetId="7">[3]ﾃﾞｰﾀﾍﾞｰｽ変更点!#REF!</definedName>
    <definedName name="B_DIVISION_MASTER" localSheetId="3">[3]ﾃﾞｰﾀﾍﾞｰｽ変更点!#REF!</definedName>
    <definedName name="B_DIVISION_MASTER">[3]ﾃﾞｰﾀﾍﾞｰｽ変更点!#REF!</definedName>
    <definedName name="B_DOPA" localSheetId="7">[3]ﾃﾞｰﾀﾍﾞｰｽ変更点!#REF!</definedName>
    <definedName name="B_DOPA" localSheetId="3">[3]ﾃﾞｰﾀﾍﾞｰｽ変更点!#REF!</definedName>
    <definedName name="B_DOPA">[3]ﾃﾞｰﾀﾍﾞｰｽ変更点!#REF!</definedName>
    <definedName name="B_DOPA_OWNER_HISTORY" localSheetId="7">[3]ﾃﾞｰﾀﾍﾞｰｽ変更点!#REF!</definedName>
    <definedName name="B_DOPA_OWNER_HISTORY" localSheetId="3">[3]ﾃﾞｰﾀﾍﾞｰｽ変更点!#REF!</definedName>
    <definedName name="B_DOPA_OWNER_HISTORY">[3]ﾃﾞｰﾀﾍﾞｰｽ変更点!#REF!</definedName>
    <definedName name="B_DOPA_SERVER" localSheetId="7">[3]ﾃﾞｰﾀﾍﾞｰｽ変更点!#REF!</definedName>
    <definedName name="B_DOPA_SERVER" localSheetId="3">[3]ﾃﾞｰﾀﾍﾞｰｽ変更点!#REF!</definedName>
    <definedName name="B_DOPA_SERVER">[3]ﾃﾞｰﾀﾍﾞｰｽ変更点!#REF!</definedName>
    <definedName name="B_EQUIPMENT_HISTORY" localSheetId="7">[3]ﾃﾞｰﾀﾍﾞｰｽ変更点!#REF!</definedName>
    <definedName name="B_EQUIPMENT_HISTORY" localSheetId="3">[3]ﾃﾞｰﾀﾍﾞｰｽ変更点!#REF!</definedName>
    <definedName name="B_EQUIPMENT_HISTORY">[3]ﾃﾞｰﾀﾍﾞｰｽ変更点!#REF!</definedName>
    <definedName name="B_ERROR" localSheetId="7">[3]ﾃﾞｰﾀﾍﾞｰｽ変更点!#REF!</definedName>
    <definedName name="B_ERROR" localSheetId="3">[3]ﾃﾞｰﾀﾍﾞｰｽ変更点!#REF!</definedName>
    <definedName name="B_ERROR">[3]ﾃﾞｰﾀﾍﾞｰｽ変更点!#REF!</definedName>
    <definedName name="B_ERROR_ENABLED" localSheetId="7">[3]ﾃﾞｰﾀﾍﾞｰｽ変更点!#REF!</definedName>
    <definedName name="B_ERROR_ENABLED" localSheetId="3">[3]ﾃﾞｰﾀﾍﾞｰｽ変更点!#REF!</definedName>
    <definedName name="B_ERROR_ENABLED">[3]ﾃﾞｰﾀﾍﾞｰｽ変更点!#REF!</definedName>
    <definedName name="B_ERROR_MASTER" localSheetId="7">[3]ﾃﾞｰﾀﾍﾞｰｽ変更点!#REF!</definedName>
    <definedName name="B_ERROR_MASTER" localSheetId="3">[3]ﾃﾞｰﾀﾍﾞｰｽ変更点!#REF!</definedName>
    <definedName name="B_ERROR_MASTER">[3]ﾃﾞｰﾀﾍﾞｰｽ変更点!#REF!</definedName>
    <definedName name="B_EVENT_CATEGORY" localSheetId="7">[4]TableDesign!#REF!</definedName>
    <definedName name="B_EVENT_CATEGORY" localSheetId="3">[4]TableDesign!#REF!</definedName>
    <definedName name="B_EVENT_CATEGORY">[4]TableDesign!#REF!</definedName>
    <definedName name="B_EVENT_DIVISION" localSheetId="7">[3]ﾃﾞｰﾀﾍﾞｰｽ変更点!#REF!</definedName>
    <definedName name="B_EVENT_DIVISION" localSheetId="3">[3]ﾃﾞｰﾀﾍﾞｰｽ変更点!#REF!</definedName>
    <definedName name="B_EVENT_DIVISION">[3]ﾃﾞｰﾀﾍﾞｰｽ変更点!#REF!</definedName>
    <definedName name="B_EVENT_MASTER" localSheetId="7">[3]ﾃﾞｰﾀﾍﾞｰｽ変更点!#REF!</definedName>
    <definedName name="B_EVENT_MASTER" localSheetId="3">[3]ﾃﾞｰﾀﾍﾞｰｽ変更点!#REF!</definedName>
    <definedName name="B_EVENT_MASTER">[3]ﾃﾞｰﾀﾍﾞｰｽ変更点!#REF!</definedName>
    <definedName name="B_EVENT_NOTICE" localSheetId="7">[3]ﾃﾞｰﾀﾍﾞｰｽ変更点!#REF!</definedName>
    <definedName name="B_EVENT_NOTICE" localSheetId="3">[3]ﾃﾞｰﾀﾍﾞｰｽ変更点!#REF!</definedName>
    <definedName name="B_EVENT_NOTICE">[3]ﾃﾞｰﾀﾍﾞｰｽ変更点!#REF!</definedName>
    <definedName name="B_FUEL_GAUGE" localSheetId="7">[4]TableDesign!#REF!</definedName>
    <definedName name="B_FUEL_GAUGE" localSheetId="3">[4]TableDesign!#REF!</definedName>
    <definedName name="B_FUEL_GAUGE">[4]TableDesign!#REF!</definedName>
    <definedName name="B_GAUGE_FUEL_WTTEMP" localSheetId="7">[3]ﾃﾞｰﾀﾍﾞｰｽ変更点!#REF!</definedName>
    <definedName name="B_GAUGE_FUEL_WTTEMP" localSheetId="3">[3]ﾃﾞｰﾀﾍﾞｰｽ変更点!#REF!</definedName>
    <definedName name="B_GAUGE_FUEL_WTTEMP">[3]ﾃﾞｰﾀﾍﾞｰｽ変更点!#REF!</definedName>
    <definedName name="B_GIS_DEFINE" localSheetId="7">[4]TableDesign!#REF!</definedName>
    <definedName name="B_GIS_DEFINE" localSheetId="3">[4]TableDesign!#REF!</definedName>
    <definedName name="B_GIS_DEFINE">[4]TableDesign!#REF!</definedName>
    <definedName name="B_GPS" localSheetId="7">[3]ﾃﾞｰﾀﾍﾞｰｽ変更点!#REF!</definedName>
    <definedName name="B_GPS" localSheetId="3">[3]ﾃﾞｰﾀﾍﾞｰｽ変更点!#REF!</definedName>
    <definedName name="B_GPS">[3]ﾃﾞｰﾀﾍﾞｰｽ変更点!#REF!</definedName>
    <definedName name="B_GRANT_AUTHORITY" localSheetId="7">[3]ﾃﾞｰﾀﾍﾞｰｽ変更点!#REF!</definedName>
    <definedName name="B_GRANT_AUTHORITY" localSheetId="3">[3]ﾃﾞｰﾀﾍﾞｰｽ変更点!#REF!</definedName>
    <definedName name="B_GRANT_AUTHORITY">[3]ﾃﾞｰﾀﾍﾞｰｽ変更点!#REF!</definedName>
    <definedName name="B_GROUP_MASTER" localSheetId="7">[3]ﾃﾞｰﾀﾍﾞｰｽ変更点!#REF!</definedName>
    <definedName name="B_GROUP_MASTER" localSheetId="3">[3]ﾃﾞｰﾀﾍﾞｰｽ変更点!#REF!</definedName>
    <definedName name="B_GROUP_MASTER">[3]ﾃﾞｰﾀﾍﾞｰｽ変更点!#REF!</definedName>
    <definedName name="B_IGNORE_CAUTION" localSheetId="7">[5]テーブル設計!#REF!</definedName>
    <definedName name="B_IGNORE_CAUTION" localSheetId="3">[5]テーブル設計!#REF!</definedName>
    <definedName name="B_IGNORE_CAUTION">[5]テーブル設計!#REF!</definedName>
    <definedName name="B_IGNORE_ERROR" localSheetId="7">[5]テーブル設計!#REF!</definedName>
    <definedName name="B_IGNORE_ERROR" localSheetId="3">[5]テーブル設計!#REF!</definedName>
    <definedName name="B_IGNORE_ERROR">[5]テーブル設計!#REF!</definedName>
    <definedName name="B_INFORM_MASTER" localSheetId="7">[3]ﾃﾞｰﾀﾍﾞｰｽ変更点!#REF!</definedName>
    <definedName name="B_INFORM_MASTER" localSheetId="3">[3]ﾃﾞｰﾀﾍﾞｰｽ変更点!#REF!</definedName>
    <definedName name="B_INFORM_MASTER">[3]ﾃﾞｰﾀﾍﾞｰｽ変更点!#REF!</definedName>
    <definedName name="B_INFORMATION" localSheetId="7">[3]ﾃﾞｰﾀﾍﾞｰｽ変更点!#REF!</definedName>
    <definedName name="B_INFORMATION" localSheetId="3">[3]ﾃﾞｰﾀﾍﾞｰｽ変更点!#REF!</definedName>
    <definedName name="B_INFORMATION">[3]ﾃﾞｰﾀﾍﾞｰｽ変更点!#REF!</definedName>
    <definedName name="B_INFORMATION_READED" localSheetId="7">[3]ﾃﾞｰﾀﾍﾞｰｽ変更点!#REF!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7">[5]テーブル設計!#REF!</definedName>
    <definedName name="B_INVALID_PART_TERMINAL" localSheetId="3">[5]テーブル設計!#REF!</definedName>
    <definedName name="B_INVALID_PART_TERMINAL">[5]テーブル設計!#REF!</definedName>
    <definedName name="B_KIND_MASTER" localSheetId="7">[3]ﾃﾞｰﾀﾍﾞｰｽ変更点!#REF!</definedName>
    <definedName name="B_KIND_MASTER" localSheetId="3">[3]ﾃﾞｰﾀﾍﾞｰｽ変更点!#REF!</definedName>
    <definedName name="B_KIND_MASTER">[3]ﾃﾞｰﾀﾍﾞｰｽ変更点!#REF!</definedName>
    <definedName name="B_KRO_APPLICATION" localSheetId="7">[3]ﾃﾞｰﾀﾍﾞｰｽ変更点!#REF!</definedName>
    <definedName name="B_KRO_APPLICATION" localSheetId="3">[3]ﾃﾞｰﾀﾍﾞｰｽ変更点!#REF!</definedName>
    <definedName name="B_KRO_APPLICATION">[3]ﾃﾞｰﾀﾍﾞｰｽ変更点!#REF!</definedName>
    <definedName name="B_KRO_APPLICATION_DATA" localSheetId="7">[3]ﾃﾞｰﾀﾍﾞｰｽ変更点!#REF!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7">[3]ﾃﾞｰﾀﾍﾞｰｽ変更点!#REF!</definedName>
    <definedName name="B_KRO_COMPLETION" localSheetId="3">[3]ﾃﾞｰﾀﾍﾞｰｽ変更点!#REF!</definedName>
    <definedName name="B_KRO_COMPLETION">[3]ﾃﾞｰﾀﾍﾞｰｽ変更点!#REF!</definedName>
    <definedName name="B_KRO_COMPLETION_DATA" localSheetId="7">[3]ﾃﾞｰﾀﾍﾞｰｽ変更点!#REF!</definedName>
    <definedName name="B_KRO_COMPLETION_DATA" localSheetId="3">[3]ﾃﾞｰﾀﾍﾞｰｽ変更点!#REF!</definedName>
    <definedName name="B_KRO_COMPLETION_DATA">[3]ﾃﾞｰﾀﾍﾞｰｽ変更点!#REF!</definedName>
    <definedName name="B_KRO_EMERGENCY" localSheetId="7">[5]テーブル設計!#REF!</definedName>
    <definedName name="B_KRO_EMERGENCY" localSheetId="3">[5]テーブル設計!#REF!</definedName>
    <definedName name="B_KRO_EMERGENCY">[5]テーブル設計!#REF!</definedName>
    <definedName name="B_KRO_REPORT" localSheetId="7">[3]ﾃﾞｰﾀﾍﾞｰｽ変更点!#REF!</definedName>
    <definedName name="B_KRO_REPORT" localSheetId="3">[3]ﾃﾞｰﾀﾍﾞｰｽ変更点!#REF!</definedName>
    <definedName name="B_KRO_REPORT">[3]ﾃﾞｰﾀﾍﾞｰｽ変更点!#REF!</definedName>
    <definedName name="B_LANDMARK" localSheetId="7">[3]ﾃﾞｰﾀﾍﾞｰｽ変更点!#REF!</definedName>
    <definedName name="B_LANDMARK" localSheetId="3">[3]ﾃﾞｰﾀﾍﾞｰｽ変更点!#REF!</definedName>
    <definedName name="B_LANDMARK">[3]ﾃﾞｰﾀﾍﾞｰｽ変更点!#REF!</definedName>
    <definedName name="B_LANDMARK_CLASS" localSheetId="7">[3]ﾃﾞｰﾀﾍﾞｰｽ変更点!#REF!</definedName>
    <definedName name="B_LANDMARK_CLASS" localSheetId="3">[3]ﾃﾞｰﾀﾍﾞｰｽ変更点!#REF!</definedName>
    <definedName name="B_LANDMARK_CLASS">[3]ﾃﾞｰﾀﾍﾞｰｽ変更点!#REF!</definedName>
    <definedName name="B_LOGON_HISTORY" localSheetId="7">[3]ﾃﾞｰﾀﾍﾞｰｽ変更点!#REF!</definedName>
    <definedName name="B_LOGON_HISTORY" localSheetId="3">[3]ﾃﾞｰﾀﾍﾞｰｽ変更点!#REF!</definedName>
    <definedName name="B_LOGON_HISTORY">[3]ﾃﾞｰﾀﾍﾞｰｽ変更点!#REF!</definedName>
    <definedName name="B_MACHINE_ERROR" localSheetId="7">[4]TableDesign!#REF!</definedName>
    <definedName name="B_MACHINE_ERROR" localSheetId="3">[4]TableDesign!#REF!</definedName>
    <definedName name="B_MACHINE_ERROR">[4]TableDesign!#REF!</definedName>
    <definedName name="B_MACHINE_STATUS_MASTER" localSheetId="7">[3]ﾃﾞｰﾀﾍﾞｰｽ変更点!#REF!</definedName>
    <definedName name="B_MACHINE_STATUS_MASTER" localSheetId="3">[3]ﾃﾞｰﾀﾍﾞｰｽ変更点!#REF!</definedName>
    <definedName name="B_MACHINE_STATUS_MASTER">[3]ﾃﾞｰﾀﾍﾞｰｽ変更点!#REF!</definedName>
    <definedName name="B_MAINTENANCE_DATA" localSheetId="7">[3]ﾃﾞｰﾀﾍﾞｰｽ変更点!#REF!</definedName>
    <definedName name="B_MAINTENANCE_DATA" localSheetId="3">[3]ﾃﾞｰﾀﾍﾞｰｽ変更点!#REF!</definedName>
    <definedName name="B_MAINTENANCE_DATA">[3]ﾃﾞｰﾀﾍﾞｰｽ変更点!#REF!</definedName>
    <definedName name="B_MAINTENANCE_INFORM" localSheetId="7">[3]ﾃﾞｰﾀﾍﾞｰｽ変更点!#REF!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7">[3]ﾃﾞｰﾀﾍﾞｰｽ変更点!#REF!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7">[4]TableDesign!#REF!</definedName>
    <definedName name="B_MAINTENANCE_TIME" localSheetId="3">[4]TableDesign!#REF!</definedName>
    <definedName name="B_MAINTENANCE_TIME">[4]TableDesign!#REF!</definedName>
    <definedName name="B_MAKER_MASTER" localSheetId="7">[3]ﾃﾞｰﾀﾍﾞｰｽ変更点!#REF!</definedName>
    <definedName name="B_MAKER_MASTER" localSheetId="3">[3]ﾃﾞｰﾀﾍﾞｰｽ変更点!#REF!</definedName>
    <definedName name="B_MAKER_MASTER">[3]ﾃﾞｰﾀﾍﾞｰｽ変更点!#REF!</definedName>
    <definedName name="B_MARK_MACHINE" localSheetId="7">[4]TableDesign!#REF!</definedName>
    <definedName name="B_MARK_MACHINE" localSheetId="3">[4]TableDesign!#REF!</definedName>
    <definedName name="B_MARK_MACHINE">[4]TableDesign!#REF!</definedName>
    <definedName name="B_MARK_NOTIFICATION" localSheetId="7">[4]TableDesign!#REF!</definedName>
    <definedName name="B_MARK_NOTIFICATION" localSheetId="3">[4]TableDesign!#REF!</definedName>
    <definedName name="B_MARK_NOTIFICATION">[4]TableDesign!#REF!</definedName>
    <definedName name="B_MARK_NOTIFICATION_DETAIL" localSheetId="7">[4]TableDesign!#REF!</definedName>
    <definedName name="B_MARK_NOTIFICATION_DETAIL" localSheetId="3">[4]TableDesign!#REF!</definedName>
    <definedName name="B_MARK_NOTIFICATION_DETAIL">[4]TableDesign!#REF!</definedName>
    <definedName name="B_MEMO" localSheetId="7">[3]ﾃﾞｰﾀﾍﾞｰｽ変更点!#REF!</definedName>
    <definedName name="B_MEMO" localSheetId="3">[3]ﾃﾞｰﾀﾍﾞｰｽ変更点!#REF!</definedName>
    <definedName name="B_MEMO">[3]ﾃﾞｰﾀﾍﾞｰｽ変更点!#REF!</definedName>
    <definedName name="B_MEMORY_MODIFY" localSheetId="7">[3]ﾃﾞｰﾀﾍﾞｰｽ変更点!#REF!</definedName>
    <definedName name="B_MEMORY_MODIFY" localSheetId="3">[3]ﾃﾞｰﾀﾍﾞｰｽ変更点!#REF!</definedName>
    <definedName name="B_MEMORY_MODIFY">[3]ﾃﾞｰﾀﾍﾞｰｽ変更点!#REF!</definedName>
    <definedName name="B_MEMORY_MODIFY_DATA" localSheetId="7">[3]ﾃﾞｰﾀﾍﾞｰｽ変更点!#REF!</definedName>
    <definedName name="B_MEMORY_MODIFY_DATA" localSheetId="3">[3]ﾃﾞｰﾀﾍﾞｰｽ変更点!#REF!</definedName>
    <definedName name="B_MEMORY_MODIFY_DATA">[3]ﾃﾞｰﾀﾍﾞｰｽ変更点!#REF!</definedName>
    <definedName name="B_MESSAGE" localSheetId="7">[3]ﾃﾞｰﾀﾍﾞｰｽ変更点!#REF!</definedName>
    <definedName name="B_MESSAGE" localSheetId="3">[3]ﾃﾞｰﾀﾍﾞｰｽ変更点!#REF!</definedName>
    <definedName name="B_MESSAGE">[3]ﾃﾞｰﾀﾍﾞｰｽ変更点!#REF!</definedName>
    <definedName name="B_MESSAGE_MASTER" localSheetId="7">[3]ﾃﾞｰﾀﾍﾞｰｽ変更点!#REF!</definedName>
    <definedName name="B_MESSAGE_MASTER" localSheetId="3">[3]ﾃﾞｰﾀﾍﾞｰｽ変更点!#REF!</definedName>
    <definedName name="B_MESSAGE_MASTER">[3]ﾃﾞｰﾀﾍﾞｰｽ変更点!#REF!</definedName>
    <definedName name="B_MONTHLY_ATT_SMR" localSheetId="7">[4]TableDesign!#REF!</definedName>
    <definedName name="B_MONTHLY_ATT_SMR" localSheetId="3">[4]TableDesign!#REF!</definedName>
    <definedName name="B_MONTHLY_ATT_SMR">[4]TableDesign!#REF!</definedName>
    <definedName name="B_MONTHLY_ERROR" localSheetId="7">[4]TableDesign!#REF!</definedName>
    <definedName name="B_MONTHLY_ERROR" localSheetId="3">[4]TableDesign!#REF!</definedName>
    <definedName name="B_MONTHLY_ERROR">[4]TableDesign!#REF!</definedName>
    <definedName name="B_MONTHLY_LOAD" localSheetId="7">[4]TableDesign!#REF!</definedName>
    <definedName name="B_MONTHLY_LOAD" localSheetId="3">[4]TableDesign!#REF!</definedName>
    <definedName name="B_MONTHLY_LOAD">[4]TableDesign!#REF!</definedName>
    <definedName name="B_MONTHLY_MOVEMENT" localSheetId="7">[4]TableDesign!#REF!</definedName>
    <definedName name="B_MONTHLY_MOVEMENT" localSheetId="3">[4]TableDesign!#REF!</definedName>
    <definedName name="B_MONTHLY_MOVEMENT">[4]TableDesign!#REF!</definedName>
    <definedName name="B_MONTHLY_OPERATION" localSheetId="7">[4]TableDesign!#REF!</definedName>
    <definedName name="B_MONTHLY_OPERATION" localSheetId="3">[4]TableDesign!#REF!</definedName>
    <definedName name="B_MONTHLY_OPERATION">[4]TableDesign!#REF!</definedName>
    <definedName name="B_MONTHLY_SMR" localSheetId="7">[4]TableDesign!#REF!</definedName>
    <definedName name="B_MONTHLY_SMR" localSheetId="3">[4]TableDesign!#REF!</definedName>
    <definedName name="B_MONTHLY_SMR">[4]TableDesign!#REF!</definedName>
    <definedName name="B_MONTHLY_WORKING_SMR" localSheetId="7">[4]TableDesign!#REF!</definedName>
    <definedName name="B_MONTHLY_WORKING_SMR" localSheetId="3">[4]TableDesign!#REF!</definedName>
    <definedName name="B_MONTHLY_WORKING_SMR">[4]TableDesign!#REF!</definedName>
    <definedName name="B_MONTLY_LOAD" localSheetId="7">[4]TableDesign!#REF!</definedName>
    <definedName name="B_MONTLY_LOAD" localSheetId="3">[4]TableDesign!#REF!</definedName>
    <definedName name="B_MONTLY_LOAD">[4]TableDesign!#REF!</definedName>
    <definedName name="B_MULTI_OPE" localSheetId="7">[3]ﾃﾞｰﾀﾍﾞｰｽ変更点!#REF!</definedName>
    <definedName name="B_MULTI_OPE" localSheetId="3">[3]ﾃﾞｰﾀﾍﾞｰｽ変更点!#REF!</definedName>
    <definedName name="B_MULTI_OPE">[3]ﾃﾞｰﾀﾍﾞｰｽ変更点!#REF!</definedName>
    <definedName name="B_MULTI_OPE_DATA" localSheetId="7">[5]テーブル設計!#REF!</definedName>
    <definedName name="B_MULTI_OPE_DATA" localSheetId="3">[5]テーブル設計!#REF!</definedName>
    <definedName name="B_MULTI_OPE_DATA">[5]テーブル設計!#REF!</definedName>
    <definedName name="B_NLS_DB_RESOURCE" localSheetId="7">[4]TableDesign!#REF!</definedName>
    <definedName name="B_NLS_DB_RESOURCE" localSheetId="3">[4]TableDesign!#REF!</definedName>
    <definedName name="B_NLS_DB_RESOURCE">[4]TableDesign!#REF!</definedName>
    <definedName name="B_NLS_LANG" localSheetId="7">[4]TableDesign!#REF!</definedName>
    <definedName name="B_NLS_LANG" localSheetId="3">[4]TableDesign!#REF!</definedName>
    <definedName name="B_NLS_LANG">[4]TableDesign!#REF!</definedName>
    <definedName name="B_NLS_RESOURCE" localSheetId="7">[4]TableDesign!#REF!</definedName>
    <definedName name="B_NLS_RESOURCE" localSheetId="3">[4]TableDesign!#REF!</definedName>
    <definedName name="B_NLS_RESOURCE">[4]TableDesign!#REF!</definedName>
    <definedName name="B_NOT_ACTIVE" localSheetId="7">[3]ﾃﾞｰﾀﾍﾞｰｽ変更点!#REF!</definedName>
    <definedName name="B_NOT_ACTIVE" localSheetId="3">[3]ﾃﾞｰﾀﾍﾞｰｽ変更点!#REF!</definedName>
    <definedName name="B_NOT_ACTIVE">[3]ﾃﾞｰﾀﾍﾞｰｽ変更点!#REF!</definedName>
    <definedName name="B_OPERATION_CATEGORY" localSheetId="7">[4]TableDesign!#REF!</definedName>
    <definedName name="B_OPERATION_CATEGORY" localSheetId="3">[4]TableDesign!#REF!</definedName>
    <definedName name="B_OPERATION_CATEGORY">[4]TableDesign!#REF!</definedName>
    <definedName name="B_OPERATION_CLASS" localSheetId="7">[5]テーブル設計!#REF!</definedName>
    <definedName name="B_OPERATION_CLASS" localSheetId="3">[5]テーブル設計!#REF!</definedName>
    <definedName name="B_OPERATION_CLASS">[5]テーブル設計!#REF!</definedName>
    <definedName name="B_OPERATION_LOG" localSheetId="7">[3]ﾃﾞｰﾀﾍﾞｰｽ変更点!#REF!</definedName>
    <definedName name="B_OPERATION_LOG" localSheetId="3">[3]ﾃﾞｰﾀﾍﾞｰｽ変更点!#REF!</definedName>
    <definedName name="B_OPERATION_LOG">[3]ﾃﾞｰﾀﾍﾞｰｽ変更点!#REF!</definedName>
    <definedName name="B_OPERATION_LOG2" localSheetId="7">[5]テーブル設計!#REF!</definedName>
    <definedName name="B_OPERATION_LOG2" localSheetId="3">[5]テーブル設計!#REF!</definedName>
    <definedName name="B_OPERATION_LOG2">[5]テーブル設計!#REF!</definedName>
    <definedName name="B_OPERATION_MAP" localSheetId="7">[4]TableDesign!#REF!</definedName>
    <definedName name="B_OPERATION_MAP" localSheetId="3">[4]TableDesign!#REF!</definedName>
    <definedName name="B_OPERATION_MAP">[4]TableDesign!#REF!</definedName>
    <definedName name="B_OPERATION_MASTER" localSheetId="7">[5]テーブル設計!#REF!</definedName>
    <definedName name="B_OPERATION_MASTER" localSheetId="3">[5]テーブル設計!#REF!</definedName>
    <definedName name="B_OPERATION_MASTER">[5]テーブル設計!#REF!</definedName>
    <definedName name="B_ORBCOMM" localSheetId="7">[3]ﾃﾞｰﾀﾍﾞｰｽ変更点!#REF!</definedName>
    <definedName name="B_ORBCOMM" localSheetId="3">[3]ﾃﾞｰﾀﾍﾞｰｽ変更点!#REF!</definedName>
    <definedName name="B_ORBCOMM">[3]ﾃﾞｰﾀﾍﾞｰｽ変更点!#REF!</definedName>
    <definedName name="B_ORBCOMM_OWNER_HISTORY" localSheetId="7">[3]ﾃﾞｰﾀﾍﾞｰｽ変更点!#REF!</definedName>
    <definedName name="B_ORBCOMM_OWNER_HISTORY" localSheetId="3">[3]ﾃﾞｰﾀﾍﾞｰｽ変更点!#REF!</definedName>
    <definedName name="B_ORBCOMM_OWNER_HISTORY">[3]ﾃﾞｰﾀﾍﾞｰｽ変更点!#REF!</definedName>
    <definedName name="B_PLANT_CAR" localSheetId="7">[5]テーブル設計!#REF!</definedName>
    <definedName name="B_PLANT_CAR" localSheetId="3">[5]テーブル設計!#REF!</definedName>
    <definedName name="B_PLANT_CAR">[5]テーブル設計!#REF!</definedName>
    <definedName name="B_PLANT_ERROR" localSheetId="7">[5]テーブル設計!#REF!</definedName>
    <definedName name="B_PLANT_ERROR" localSheetId="3">[5]テーブル設計!#REF!</definedName>
    <definedName name="B_PLANT_ERROR">[5]テーブル設計!#REF!</definedName>
    <definedName name="B_PLANT_GPS" localSheetId="7">[5]テーブル設計!#REF!</definedName>
    <definedName name="B_PLANT_GPS" localSheetId="3">[5]テーブル設計!#REF!</definedName>
    <definedName name="B_PLANT_GPS">[5]テーブル設計!#REF!</definedName>
    <definedName name="B_PREVENT_THEFT_KEY" localSheetId="7">[3]ﾃﾞｰﾀﾍﾞｰｽ変更点!#REF!</definedName>
    <definedName name="B_PREVENT_THEFT_KEY" localSheetId="3">[3]ﾃﾞｰﾀﾍﾞｰｽ変更点!#REF!</definedName>
    <definedName name="B_PREVENT_THEFT_KEY">[3]ﾃﾞｰﾀﾍﾞｰｽ変更点!#REF!</definedName>
    <definedName name="B_PRIVATE_TARGET_CAR" localSheetId="7">[3]ﾃﾞｰﾀﾍﾞｰｽ変更点!#REF!</definedName>
    <definedName name="B_PRIVATE_TARGET_CAR" localSheetId="3">[3]ﾃﾞｰﾀﾍﾞｰｽ変更点!#REF!</definedName>
    <definedName name="B_PRIVATE_TARGET_CAR">[3]ﾃﾞｰﾀﾍﾞｰｽ変更点!#REF!</definedName>
    <definedName name="B_RECEIVE_LIST" localSheetId="7">[5]テーブル設計!#REF!</definedName>
    <definedName name="B_RECEIVE_LIST" localSheetId="3">[5]テーブル設計!#REF!</definedName>
    <definedName name="B_RECEIVE_LIST">[5]テーブル設計!#REF!</definedName>
    <definedName name="B_RECEIVE_LOG" localSheetId="7">[3]ﾃﾞｰﾀﾍﾞｰｽ変更点!#REF!</definedName>
    <definedName name="B_RECEIVE_LOG" localSheetId="3">[3]ﾃﾞｰﾀﾍﾞｰｽ変更点!#REF!</definedName>
    <definedName name="B_RECEIVE_LOG">[3]ﾃﾞｰﾀﾍﾞｰｽ変更点!#REF!</definedName>
    <definedName name="B_REGION_DATA" localSheetId="7">[4]TableDesign!#REF!</definedName>
    <definedName name="B_REGION_DATA" localSheetId="3">[4]TableDesign!#REF!</definedName>
    <definedName name="B_REGION_DATA">[4]TableDesign!#REF!</definedName>
    <definedName name="B_REGION_MASTER" localSheetId="7">[4]TableDesign!#REF!</definedName>
    <definedName name="B_REGION_MASTER" localSheetId="3">[4]TableDesign!#REF!</definedName>
    <definedName name="B_REGION_MASTER">[4]TableDesign!#REF!</definedName>
    <definedName name="B_RENTAL_TERMINAL" localSheetId="7">[5]テーブル設計!#REF!</definedName>
    <definedName name="B_RENTAL_TERMINAL" localSheetId="3">[5]テーブル設計!#REF!</definedName>
    <definedName name="B_RENTAL_TERMINAL">[5]テーブル設計!#REF!</definedName>
    <definedName name="B_REQUEST" localSheetId="7">[3]ﾃﾞｰﾀﾍﾞｰｽ変更点!#REF!</definedName>
    <definedName name="B_REQUEST" localSheetId="3">[3]ﾃﾞｰﾀﾍﾞｰｽ変更点!#REF!</definedName>
    <definedName name="B_REQUEST">[3]ﾃﾞｰﾀﾍﾞｰｽ変更点!#REF!</definedName>
    <definedName name="B_REQUEST_COUNT" localSheetId="7">[3]ﾃﾞｰﾀﾍﾞｰｽ変更点!#REF!</definedName>
    <definedName name="B_REQUEST_COUNT" localSheetId="3">[3]ﾃﾞｰﾀﾍﾞｰｽ変更点!#REF!</definedName>
    <definedName name="B_REQUEST_COUNT">[3]ﾃﾞｰﾀﾍﾞｰｽ変更点!#REF!</definedName>
    <definedName name="B_REQUEST_LOG" localSheetId="7">[3]ﾃﾞｰﾀﾍﾞｰｽ変更点!#REF!</definedName>
    <definedName name="B_REQUEST_LOG" localSheetId="3">[3]ﾃﾞｰﾀﾍﾞｰｽ変更点!#REF!</definedName>
    <definedName name="B_REQUEST_LOG">[3]ﾃﾞｰﾀﾍﾞｰｽ変更点!#REF!</definedName>
    <definedName name="B_RIVATE_TARGET_CAR" localSheetId="7">[4]TableDesign!#REF!</definedName>
    <definedName name="B_RIVATE_TARGET_CAR" localSheetId="3">[4]TableDesign!#REF!</definedName>
    <definedName name="B_RIVATE_TARGET_CAR">[4]TableDesign!#REF!</definedName>
    <definedName name="B_RUNNING_LOG" localSheetId="7">[3]ﾃﾞｰﾀﾍﾞｰｽ変更点!#REF!</definedName>
    <definedName name="B_RUNNING_LOG" localSheetId="3">[3]ﾃﾞｰﾀﾍﾞｰｽ変更点!#REF!</definedName>
    <definedName name="B_RUNNING_LOG">[3]ﾃﾞｰﾀﾍﾞｰｽ変更点!#REF!</definedName>
    <definedName name="B_SAVE_INFORMATION" localSheetId="7">[5]テーブル設計!#REF!</definedName>
    <definedName name="B_SAVE_INFORMATION" localSheetId="3">[5]テーブル設計!#REF!</definedName>
    <definedName name="B_SAVE_INFORMATION">[5]テーブル設計!#REF!</definedName>
    <definedName name="B_SELFCARINSPECTION" localSheetId="7">[3]ﾃﾞｰﾀﾍﾞｰｽ変更点!#REF!</definedName>
    <definedName name="B_SELFCARINSPECTION" localSheetId="3">[3]ﾃﾞｰﾀﾍﾞｰｽ変更点!#REF!</definedName>
    <definedName name="B_SELFCARINSPECTION">[3]ﾃﾞｰﾀﾍﾞｰｽ変更点!#REF!</definedName>
    <definedName name="B_SEND_LIST" localSheetId="7">[5]テーブル設計!#REF!</definedName>
    <definedName name="B_SEND_LIST" localSheetId="3">[5]テーブル設計!#REF!</definedName>
    <definedName name="B_SEND_LIST">[5]テーブル設計!#REF!</definedName>
    <definedName name="B_SEND_LOG" localSheetId="7">[5]テーブル設計!#REF!</definedName>
    <definedName name="B_SEND_LOG" localSheetId="3">[5]テーブル設計!#REF!</definedName>
    <definedName name="B_SEND_LOG">[5]テーブル設計!#REF!</definedName>
    <definedName name="B_SERVER_COMMUNICATION" localSheetId="7">[4]TableDesign!#REF!</definedName>
    <definedName name="B_SERVER_COMMUNICATION" localSheetId="3">[4]TableDesign!#REF!</definedName>
    <definedName name="B_SERVER_COMMUNICATION">[4]TableDesign!#REF!</definedName>
    <definedName name="B_SERVER_INFORMATION" localSheetId="7">[3]ﾃﾞｰﾀﾍﾞｰｽ変更点!#REF!</definedName>
    <definedName name="B_SERVER_INFORMATION" localSheetId="3">[3]ﾃﾞｰﾀﾍﾞｰｽ変更点!#REF!</definedName>
    <definedName name="B_SERVER_INFORMATION">[3]ﾃﾞｰﾀﾍﾞｰｽ変更点!#REF!</definedName>
    <definedName name="B_SERVICE_METER" localSheetId="7">[3]ﾃﾞｰﾀﾍﾞｰｽ変更点!#REF!</definedName>
    <definedName name="B_SERVICE_METER" localSheetId="3">[3]ﾃﾞｰﾀﾍﾞｰｽ変更点!#REF!</definedName>
    <definedName name="B_SERVICE_METER">[3]ﾃﾞｰﾀﾍﾞｰｽ変更点!#REF!</definedName>
    <definedName name="B_SERVICE_METER2" localSheetId="7">[5]テーブル設計!#REF!</definedName>
    <definedName name="B_SERVICE_METER2" localSheetId="3">[5]テーブル設計!#REF!</definedName>
    <definedName name="B_SERVICE_METER2">[5]テーブル設計!#REF!</definedName>
    <definedName name="B_SERVICEMAN" localSheetId="7">[5]テーブル設計!#REF!</definedName>
    <definedName name="B_SERVICEMAN" localSheetId="3">[5]テーブル設計!#REF!</definedName>
    <definedName name="B_SERVICEMAN">[5]テーブル設計!#REF!</definedName>
    <definedName name="B_SERVICEMAN_CHARGE" localSheetId="7">[5]テーブル設計!#REF!</definedName>
    <definedName name="B_SERVICEMAN_CHARGE" localSheetId="3">[5]テーブル設計!#REF!</definedName>
    <definedName name="B_SERVICEMAN_CHARGE">[5]テーブル設計!#REF!</definedName>
    <definedName name="B_SHIPMENT" localSheetId="7">[3]ﾃﾞｰﾀﾍﾞｰｽ変更点!#REF!</definedName>
    <definedName name="B_SHIPMENT" localSheetId="3">[3]ﾃﾞｰﾀﾍﾞｰｽ変更点!#REF!</definedName>
    <definedName name="B_SHIPMENT">[3]ﾃﾞｰﾀﾍﾞｰｽ変更点!#REF!</definedName>
    <definedName name="B_SHOW" localSheetId="7">[3]ﾃﾞｰﾀﾍﾞｰｽ変更点!#REF!</definedName>
    <definedName name="B_SHOW" localSheetId="3">[3]ﾃﾞｰﾀﾍﾞｰｽ変更点!#REF!</definedName>
    <definedName name="B_SHOW">[3]ﾃﾞｰﾀﾍﾞｰｽ変更点!#REF!</definedName>
    <definedName name="B_SHOW_GROUP" localSheetId="7">[3]ﾃﾞｰﾀﾍﾞｰｽ変更点!#REF!</definedName>
    <definedName name="B_SHOW_GROUP" localSheetId="3">[3]ﾃﾞｰﾀﾍﾞｰｽ変更点!#REF!</definedName>
    <definedName name="B_SHOW_GROUP">[3]ﾃﾞｰﾀﾍﾞｰｽ変更点!#REF!</definedName>
    <definedName name="B_SPECIAL_AREA" localSheetId="7">[3]ﾃﾞｰﾀﾍﾞｰｽ変更点!#REF!</definedName>
    <definedName name="B_SPECIAL_AREA" localSheetId="3">[3]ﾃﾞｰﾀﾍﾞｰｽ変更点!#REF!</definedName>
    <definedName name="B_SPECIAL_AREA">[3]ﾃﾞｰﾀﾍﾞｰｽ変更点!#REF!</definedName>
    <definedName name="B_SUB_GROUP" localSheetId="7">[4]TableDesign!#REF!</definedName>
    <definedName name="B_SUB_GROUP" localSheetId="3">[4]TableDesign!#REF!</definedName>
    <definedName name="B_SUB_GROUP">[4]TableDesign!#REF!</definedName>
    <definedName name="B_SUB_GROUP_CAR" localSheetId="7">[4]TableDesign!#REF!</definedName>
    <definedName name="B_SUB_GROUP_CAR" localSheetId="3">[4]TableDesign!#REF!</definedName>
    <definedName name="B_SUB_GROUP_CAR">[4]TableDesign!#REF!</definedName>
    <definedName name="B_SYSTEM_COMMTERM_INFO" localSheetId="7">[3]ﾃﾞｰﾀﾍﾞｰｽ変更点!#REF!</definedName>
    <definedName name="B_SYSTEM_COMMTERM_INFO" localSheetId="3">[3]ﾃﾞｰﾀﾍﾞｰｽ変更点!#REF!</definedName>
    <definedName name="B_SYSTEM_COMMTERM_INFO">[3]ﾃﾞｰﾀﾍﾞｰｽ変更点!#REF!</definedName>
    <definedName name="B_SYSTEM_LOG" localSheetId="7">[3]ﾃﾞｰﾀﾍﾞｰｽ変更点!#REF!</definedName>
    <definedName name="B_SYSTEM_LOG" localSheetId="3">[3]ﾃﾞｰﾀﾍﾞｰｽ変更点!#REF!</definedName>
    <definedName name="B_SYSTEM_LOG">[3]ﾃﾞｰﾀﾍﾞｰｽ変更点!#REF!</definedName>
    <definedName name="B_SYSTEM_NOTICE" localSheetId="7">[3]ﾃﾞｰﾀﾍﾞｰｽ変更点!#REF!</definedName>
    <definedName name="B_SYSTEM_NOTICE" localSheetId="3">[3]ﾃﾞｰﾀﾍﾞｰｽ変更点!#REF!</definedName>
    <definedName name="B_SYSTEM_NOTICE">[3]ﾃﾞｰﾀﾍﾞｰｽ変更点!#REF!</definedName>
    <definedName name="B_TARGET" localSheetId="7">[3]ﾃﾞｰﾀﾍﾞｰｽ変更点!#REF!</definedName>
    <definedName name="B_TARGET" localSheetId="3">[3]ﾃﾞｰﾀﾍﾞｰｽ変更点!#REF!</definedName>
    <definedName name="B_TARGET">[3]ﾃﾞｰﾀﾍﾞｰｽ変更点!#REF!</definedName>
    <definedName name="B_TARGET_CAR" localSheetId="7">[3]ﾃﾞｰﾀﾍﾞｰｽ変更点!#REF!</definedName>
    <definedName name="B_TARGET_CAR" localSheetId="3">[3]ﾃﾞｰﾀﾍﾞｰｽ変更点!#REF!</definedName>
    <definedName name="B_TARGET_CAR">[3]ﾃﾞｰﾀﾍﾞｰｽ変更点!#REF!</definedName>
    <definedName name="B_TERMINAL_AREA" localSheetId="7">[3]ﾃﾞｰﾀﾍﾞｰｽ変更点!#REF!</definedName>
    <definedName name="B_TERMINAL_AREA" localSheetId="3">[3]ﾃﾞｰﾀﾍﾞｰｽ変更点!#REF!</definedName>
    <definedName name="B_TERMINAL_AREA">[3]ﾃﾞｰﾀﾍﾞｰｽ変更点!#REF!</definedName>
    <definedName name="B_TERMINAL_CAUTION" localSheetId="7">[3]ﾃﾞｰﾀﾍﾞｰｽ変更点!#REF!</definedName>
    <definedName name="B_TERMINAL_CAUTION" localSheetId="3">[3]ﾃﾞｰﾀﾍﾞｰｽ変更点!#REF!</definedName>
    <definedName name="B_TERMINAL_CAUTION">[3]ﾃﾞｰﾀﾍﾞｰｽ変更点!#REF!</definedName>
    <definedName name="B_TERMINAL_ERROR" localSheetId="7">[3]ﾃﾞｰﾀﾍﾞｰｽ変更点!#REF!</definedName>
    <definedName name="B_TERMINAL_ERROR" localSheetId="3">[3]ﾃﾞｰﾀﾍﾞｰｽ変更点!#REF!</definedName>
    <definedName name="B_TERMINAL_ERROR">[3]ﾃﾞｰﾀﾍﾞｰｽ変更点!#REF!</definedName>
    <definedName name="B_TERMINAL_KIND" localSheetId="7">[3]ﾃﾞｰﾀﾍﾞｰｽ変更点!#REF!</definedName>
    <definedName name="B_TERMINAL_KIND" localSheetId="3">[3]ﾃﾞｰﾀﾍﾞｰｽ変更点!#REF!</definedName>
    <definedName name="B_TERMINAL_KIND">[3]ﾃﾞｰﾀﾍﾞｰｽ変更点!#REF!</definedName>
    <definedName name="B_TERMINAL_MASTER" localSheetId="7">[3]ﾃﾞｰﾀﾍﾞｰｽ変更点!#REF!</definedName>
    <definedName name="B_TERMINAL_MASTER" localSheetId="3">[3]ﾃﾞｰﾀﾍﾞｰｽ変更点!#REF!</definedName>
    <definedName name="B_TERMINAL_MASTER">[3]ﾃﾞｰﾀﾍﾞｰｽ変更点!#REF!</definedName>
    <definedName name="B_TERMINAL_PART_MASTER" localSheetId="7">[3]ﾃﾞｰﾀﾍﾞｰｽ変更点!#REF!</definedName>
    <definedName name="B_TERMINAL_PART_MASTER" localSheetId="3">[3]ﾃﾞｰﾀﾍﾞｰｽ変更点!#REF!</definedName>
    <definedName name="B_TERMINAL_PART_MASTER">[3]ﾃﾞｰﾀﾍﾞｰｽ変更点!#REF!</definedName>
    <definedName name="B_TYPE_MASTER" localSheetId="7">[3]ﾃﾞｰﾀﾍﾞｰｽ変更点!#REF!</definedName>
    <definedName name="B_TYPE_MASTER" localSheetId="3">[3]ﾃﾞｰﾀﾍﾞｰｽ変更点!#REF!</definedName>
    <definedName name="B_TYPE_MASTER">[3]ﾃﾞｰﾀﾍﾞｰｽ変更点!#REF!</definedName>
    <definedName name="B_UFO" localSheetId="7">[3]ﾃﾞｰﾀﾍﾞｰｽ変更点!#REF!</definedName>
    <definedName name="B_UFO" localSheetId="3">[3]ﾃﾞｰﾀﾍﾞｰｽ変更点!#REF!</definedName>
    <definedName name="B_UFO">[3]ﾃﾞｰﾀﾍﾞｰｽ変更点!#REF!</definedName>
    <definedName name="B_UNRELIABLE_RECEIVE" localSheetId="7">[3]ﾃﾞｰﾀﾍﾞｰｽ変更点!#REF!</definedName>
    <definedName name="B_UNRELIABLE_RECEIVE" localSheetId="3">[3]ﾃﾞｰﾀﾍﾞｰｽ変更点!#REF!</definedName>
    <definedName name="B_UNRELIABLE_RECEIVE">[3]ﾃﾞｰﾀﾍﾞｰｽ変更点!#REF!</definedName>
    <definedName name="B_USER_MASTER" localSheetId="7">[3]ﾃﾞｰﾀﾍﾞｰｽ変更点!#REF!</definedName>
    <definedName name="B_USER_MASTER" localSheetId="3">[3]ﾃﾞｰﾀﾍﾞｰｽ変更点!#REF!</definedName>
    <definedName name="B_USER_MASTER">[3]ﾃﾞｰﾀﾍﾞｰｽ変更点!#REF!</definedName>
    <definedName name="B_USER_TEMP" localSheetId="7">[3]ﾃﾞｰﾀﾍﾞｰｽ変更点!#REF!</definedName>
    <definedName name="B_USER_TEMP" localSheetId="3">[3]ﾃﾞｰﾀﾍﾞｰｽ変更点!#REF!</definedName>
    <definedName name="B_USER_TEMP">[3]ﾃﾞｰﾀﾍﾞｰｽ変更点!#REF!</definedName>
    <definedName name="B_WATER_TEMP_GAUGE" localSheetId="7">[4]TableDesign!#REF!</definedName>
    <definedName name="B_WATER_TEMP_GAUGE" localSheetId="3">[4]TableDesign!#REF!</definedName>
    <definedName name="B_WATER_TEMP_GAUGE">[4]TableDesign!#REF!</definedName>
    <definedName name="BB" localSheetId="7">'[8]DATA-COMMUNICATION-FORMAT'!#REF!</definedName>
    <definedName name="BB" localSheetId="3">'[8]DATA-COMMUNICATION-FORMAT'!#REF!</definedName>
    <definedName name="BB">'[8]DATA-COMMUNICATION-FORMAT'!#REF!</definedName>
    <definedName name="bbb" localSheetId="7" hidden="1">#REF!</definedName>
    <definedName name="bbb" localSheetId="2" hidden="1">#REF!</definedName>
    <definedName name="bbb" localSheetId="3"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7">[5]テーブル設計!#REF!</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7">[3]ﾃﾞｰﾀﾍﾞｰｽ変更点!#REF!</definedName>
    <definedName name="C_ACT_DATA" localSheetId="3">[3]ﾃﾞｰﾀﾍﾞｰｽ変更点!#REF!</definedName>
    <definedName name="C_ACT_DATA">[3]ﾃﾞｰﾀﾍﾞｰｽ変更点!#REF!</definedName>
    <definedName name="C_ACTUAL_OPERATION" localSheetId="7">[4]TableDesign!#REF!</definedName>
    <definedName name="C_ACTUAL_OPERATION" localSheetId="3">[4]TableDesign!#REF!</definedName>
    <definedName name="C_ACTUAL_OPERATION">[4]TableDesign!#REF!</definedName>
    <definedName name="C_AREA" localSheetId="7">[3]ﾃﾞｰﾀﾍﾞｰｽ変更点!#REF!</definedName>
    <definedName name="C_AREA" localSheetId="3">[3]ﾃﾞｰﾀﾍﾞｰｽ変更点!#REF!</definedName>
    <definedName name="C_AREA">[3]ﾃﾞｰﾀﾍﾞｰｽ変更点!#REF!</definedName>
    <definedName name="C_AREA_DEFINE" localSheetId="7">[3]ﾃﾞｰﾀﾍﾞｰｽ変更点!#REF!</definedName>
    <definedName name="C_AREA_DEFINE" localSheetId="3">[3]ﾃﾞｰﾀﾍﾞｰｽ変更点!#REF!</definedName>
    <definedName name="C_AREA_DEFINE">[3]ﾃﾞｰﾀﾍﾞｰｽ変更点!#REF!</definedName>
    <definedName name="C_AREA_INIT" localSheetId="7">[3]ﾃﾞｰﾀﾍﾞｰｽ変更点!#REF!</definedName>
    <definedName name="C_AREA_INIT" localSheetId="3">[3]ﾃﾞｰﾀﾍﾞｰｽ変更点!#REF!</definedName>
    <definedName name="C_AREA_INIT">[3]ﾃﾞｰﾀﾍﾞｰｽ変更点!#REF!</definedName>
    <definedName name="C_AREA_MASTER" localSheetId="7">[3]ﾃﾞｰﾀﾍﾞｰｽ変更点!#REF!</definedName>
    <definedName name="C_AREA_MASTER" localSheetId="3">[3]ﾃﾞｰﾀﾍﾞｰｽ変更点!#REF!</definedName>
    <definedName name="C_AREA_MASTER">[3]ﾃﾞｰﾀﾍﾞｰｽ変更点!#REF!</definedName>
    <definedName name="C_ASK" localSheetId="7">[3]ﾃﾞｰﾀﾍﾞｰｽ変更点!#REF!</definedName>
    <definedName name="C_ASK" localSheetId="3">[3]ﾃﾞｰﾀﾍﾞｰｽ変更点!#REF!</definedName>
    <definedName name="C_ASK">[3]ﾃﾞｰﾀﾍﾞｰｽ変更点!#REF!</definedName>
    <definedName name="C_ASK_LOG" localSheetId="7">[5]テーブル設計!#REF!</definedName>
    <definedName name="C_ASK_LOG" localSheetId="3">[5]テーブル設計!#REF!</definedName>
    <definedName name="C_ASK_LOG">[5]テーブル設計!#REF!</definedName>
    <definedName name="C_ASK_SYSTEM" localSheetId="7">[3]ﾃﾞｰﾀﾍﾞｰｽ変更点!#REF!</definedName>
    <definedName name="C_ASK_SYSTEM" localSheetId="3">[3]ﾃﾞｰﾀﾍﾞｰｽ変更点!#REF!</definedName>
    <definedName name="C_ASK_SYSTEM">[3]ﾃﾞｰﾀﾍﾞｰｽ変更点!#REF!</definedName>
    <definedName name="C_ATC_ERROR" localSheetId="7">[5]テーブル設計!#REF!</definedName>
    <definedName name="C_ATC_ERROR" localSheetId="3">[5]テーブル設計!#REF!</definedName>
    <definedName name="C_ATC_ERROR">[5]テーブル設計!#REF!</definedName>
    <definedName name="C_AUTHORITY_GROUP" localSheetId="7">[3]ﾃﾞｰﾀﾍﾞｰｽ変更点!#REF!</definedName>
    <definedName name="C_AUTHORITY_GROUP" localSheetId="3">[3]ﾃﾞｰﾀﾍﾞｰｽ変更点!#REF!</definedName>
    <definedName name="C_AUTHORITY_GROUP">[3]ﾃﾞｰﾀﾍﾞｰｽ変更点!#REF!</definedName>
    <definedName name="C_AUTHORITY_GROUP_DATA" localSheetId="7">[3]ﾃﾞｰﾀﾍﾞｰｽ変更点!#REF!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7">[5]テーブル設計!#REF!</definedName>
    <definedName name="C_AUTHORITY_MASTER" localSheetId="3">[5]テーブル設計!#REF!</definedName>
    <definedName name="C_AUTHORITY_MASTER">[5]テーブル設計!#REF!</definedName>
    <definedName name="C_BONDED_STORE" localSheetId="7">[5]テーブル設計!#REF!</definedName>
    <definedName name="C_BONDED_STORE" localSheetId="3">[5]テーブル設計!#REF!</definedName>
    <definedName name="C_BONDED_STORE">[5]テーブル設計!#REF!</definedName>
    <definedName name="C_CAR_DATA" localSheetId="7">[3]ﾃﾞｰﾀﾍﾞｰｽ変更点!#REF!</definedName>
    <definedName name="C_CAR_DATA" localSheetId="3">[3]ﾃﾞｰﾀﾍﾞｰｽ変更点!#REF!</definedName>
    <definedName name="C_CAR_DATA">[3]ﾃﾞｰﾀﾍﾞｰｽ変更点!#REF!</definedName>
    <definedName name="C_CAR_MASTER" localSheetId="7">[3]ﾃﾞｰﾀﾍﾞｰｽ変更点!#REF!</definedName>
    <definedName name="C_CAR_MASTER" localSheetId="3">[3]ﾃﾞｰﾀﾍﾞｰｽ変更点!#REF!</definedName>
    <definedName name="C_CAR_MASTER">[3]ﾃﾞｰﾀﾍﾞｰｽ変更点!#REF!</definedName>
    <definedName name="C_CAR_MONTHLY_DATA" localSheetId="7">[3]ﾃﾞｰﾀﾍﾞｰｽ変更点!#REF!</definedName>
    <definedName name="C_CAR_MONTHLY_DATA" localSheetId="3">[3]ﾃﾞｰﾀﾍﾞｰｽ変更点!#REF!</definedName>
    <definedName name="C_CAR_MONTHLY_DATA">[3]ﾃﾞｰﾀﾍﾞｰｽ変更点!#REF!</definedName>
    <definedName name="C_CAR_OWNER_HISTORY" localSheetId="7">[3]ﾃﾞｰﾀﾍﾞｰｽ変更点!#REF!</definedName>
    <definedName name="C_CAR_OWNER_HISTORY" localSheetId="3">[3]ﾃﾞｰﾀﾍﾞｰｽ変更点!#REF!</definedName>
    <definedName name="C_CAR_OWNER_HISTORY">[3]ﾃﾞｰﾀﾍﾞｰｽ変更点!#REF!</definedName>
    <definedName name="C_CAUTION" localSheetId="7">[4]TableDesign!#REF!</definedName>
    <definedName name="C_CAUTION" localSheetId="3">[4]TableDesign!#REF!</definedName>
    <definedName name="C_CAUTION">[4]TableDesign!#REF!</definedName>
    <definedName name="C_CAUTION_DATA" localSheetId="7">[3]ﾃﾞｰﾀﾍﾞｰｽ変更点!#REF!</definedName>
    <definedName name="C_CAUTION_DATA" localSheetId="3">[3]ﾃﾞｰﾀﾍﾞｰｽ変更点!#REF!</definedName>
    <definedName name="C_CAUTION_DATA">[3]ﾃﾞｰﾀﾍﾞｰｽ変更点!#REF!</definedName>
    <definedName name="C_CAUTION_ENABLED" localSheetId="7">[3]ﾃﾞｰﾀﾍﾞｰｽ変更点!#REF!</definedName>
    <definedName name="C_CAUTION_ENABLED" localSheetId="3">[3]ﾃﾞｰﾀﾍﾞｰｽ変更点!#REF!</definedName>
    <definedName name="C_CAUTION_ENABLED">[3]ﾃﾞｰﾀﾍﾞｰｽ変更点!#REF!</definedName>
    <definedName name="C_CAUTION_ICON" localSheetId="7">[3]ﾃﾞｰﾀﾍﾞｰｽ変更点!#REF!</definedName>
    <definedName name="C_CAUTION_ICON" localSheetId="3">[3]ﾃﾞｰﾀﾍﾞｰｽ変更点!#REF!</definedName>
    <definedName name="C_CAUTION_ICON">[3]ﾃﾞｰﾀﾍﾞｰｽ変更点!#REF!</definedName>
    <definedName name="C_CAUTION_INIT" localSheetId="7">[3]ﾃﾞｰﾀﾍﾞｰｽ変更点!#REF!</definedName>
    <definedName name="C_CAUTION_INIT" localSheetId="3">[3]ﾃﾞｰﾀﾍﾞｰｽ変更点!#REF!</definedName>
    <definedName name="C_CAUTION_INIT">[3]ﾃﾞｰﾀﾍﾞｰｽ変更点!#REF!</definedName>
    <definedName name="C_CAUTION_MASTER" localSheetId="7">[3]ﾃﾞｰﾀﾍﾞｰｽ変更点!#REF!</definedName>
    <definedName name="C_CAUTION_MASTER" localSheetId="3">[3]ﾃﾞｰﾀﾍﾞｰｽ変更点!#REF!</definedName>
    <definedName name="C_CAUTION_MASTER">[3]ﾃﾞｰﾀﾍﾞｰｽ変更点!#REF!</definedName>
    <definedName name="C_CLASS1_MASTER" localSheetId="7">[3]ﾃﾞｰﾀﾍﾞｰｽ変更点!#REF!</definedName>
    <definedName name="C_CLASS1_MASTER" localSheetId="3">[3]ﾃﾞｰﾀﾍﾞｰｽ変更点!#REF!</definedName>
    <definedName name="C_CLASS1_MASTER">[3]ﾃﾞｰﾀﾍﾞｰｽ変更点!#REF!</definedName>
    <definedName name="C_CLASS2_MASTER" localSheetId="7">[3]ﾃﾞｰﾀﾍﾞｰｽ変更点!#REF!</definedName>
    <definedName name="C_CLASS2_MASTER" localSheetId="3">[3]ﾃﾞｰﾀﾍﾞｰｽ変更点!#REF!</definedName>
    <definedName name="C_CLASS2_MASTER">[3]ﾃﾞｰﾀﾍﾞｰｽ変更点!#REF!</definedName>
    <definedName name="C_COMM_DATA" localSheetId="7">[3]ﾃﾞｰﾀﾍﾞｰｽ変更点!#REF!</definedName>
    <definedName name="C_COMM_DATA" localSheetId="3">[3]ﾃﾞｰﾀﾍﾞｰｽ変更点!#REF!</definedName>
    <definedName name="C_COMM_DATA">[3]ﾃﾞｰﾀﾍﾞｰｽ変更点!#REF!</definedName>
    <definedName name="C_COMM_STATUS_MASTER" localSheetId="7">[3]ﾃﾞｰﾀﾍﾞｰｽ変更点!#REF!</definedName>
    <definedName name="C_COMM_STATUS_MASTER" localSheetId="3">[3]ﾃﾞｰﾀﾍﾞｰｽ変更点!#REF!</definedName>
    <definedName name="C_COMM_STATUS_MASTER">[3]ﾃﾞｰﾀﾍﾞｰｽ変更点!#REF!</definedName>
    <definedName name="C_CONFIG_DEFINE" localSheetId="7">[3]ﾃﾞｰﾀﾍﾞｰｽ変更点!#REF!</definedName>
    <definedName name="C_CONFIG_DEFINE" localSheetId="3">[3]ﾃﾞｰﾀﾍﾞｰｽ変更点!#REF!</definedName>
    <definedName name="C_CONFIG_DEFINE">[3]ﾃﾞｰﾀﾍﾞｰｽ変更点!#REF!</definedName>
    <definedName name="C_CONFIG_FLAG" localSheetId="7">[5]テーブル設計!#REF!</definedName>
    <definedName name="C_CONFIG_FLAG" localSheetId="3">[5]テーブル設計!#REF!</definedName>
    <definedName name="C_CONFIG_FLAG">[5]テーブル設計!#REF!</definedName>
    <definedName name="C_CONFIG_INIT" localSheetId="7">[3]ﾃﾞｰﾀﾍﾞｰｽ変更点!#REF!</definedName>
    <definedName name="C_CONFIG_INIT" localSheetId="3">[3]ﾃﾞｰﾀﾍﾞｰｽ変更点!#REF!</definedName>
    <definedName name="C_CONFIG_INIT">[3]ﾃﾞｰﾀﾍﾞｰｽ変更点!#REF!</definedName>
    <definedName name="C_CONFIG_PATTERN" localSheetId="7">[3]ﾃﾞｰﾀﾍﾞｰｽ変更点!#REF!</definedName>
    <definedName name="C_CONFIG_PATTERN" localSheetId="3">[3]ﾃﾞｰﾀﾍﾞｰｽ変更点!#REF!</definedName>
    <definedName name="C_CONFIG_PATTERN">[3]ﾃﾞｰﾀﾍﾞｰｽ変更点!#REF!</definedName>
    <definedName name="C_CONFIG_PATTERN_DATA" localSheetId="7">[3]ﾃﾞｰﾀﾍﾞｰｽ変更点!#REF!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7">[5]テーブル設計!#REF!</definedName>
    <definedName name="C_CONFIG_USER_FLAG" localSheetId="3">[5]テーブル設計!#REF!</definedName>
    <definedName name="C_CONFIG_USER_FLAG">[5]テーブル設計!#REF!</definedName>
    <definedName name="C_CONTRACT" localSheetId="7">[5]テーブル設計!#REF!</definedName>
    <definedName name="C_CONTRACT" localSheetId="3">[5]テーブル設計!#REF!</definedName>
    <definedName name="C_CONTRACT">[5]テーブル設計!#REF!</definedName>
    <definedName name="C_CUSTOMER" localSheetId="7">[3]ﾃﾞｰﾀﾍﾞｰｽ変更点!#REF!</definedName>
    <definedName name="C_CUSTOMER" localSheetId="3">[3]ﾃﾞｰﾀﾍﾞｰｽ変更点!#REF!</definedName>
    <definedName name="C_CUSTOMER">[3]ﾃﾞｰﾀﾍﾞｰｽ変更点!#REF!</definedName>
    <definedName name="C_CUSTOMER_CAR" localSheetId="7">[3]ﾃﾞｰﾀﾍﾞｰｽ変更点!#REF!</definedName>
    <definedName name="C_CUSTOMER_CAR" localSheetId="3">[3]ﾃﾞｰﾀﾍﾞｰｽ変更点!#REF!</definedName>
    <definedName name="C_CUSTOMER_CAR">[3]ﾃﾞｰﾀﾍﾞｰｽ変更点!#REF!</definedName>
    <definedName name="C_CUSTOMER_MASTER" localSheetId="7">[4]TableDesign!#REF!</definedName>
    <definedName name="C_CUSTOMER_MASTER" localSheetId="3">[4]TableDesign!#REF!</definedName>
    <definedName name="C_CUSTOMER_MASTER">[4]TableDesign!#REF!</definedName>
    <definedName name="C_DIVISION_MASTER" localSheetId="7">[3]ﾃﾞｰﾀﾍﾞｰｽ変更点!#REF!</definedName>
    <definedName name="C_DIVISION_MASTER" localSheetId="3">[3]ﾃﾞｰﾀﾍﾞｰｽ変更点!#REF!</definedName>
    <definedName name="C_DIVISION_MASTER">[3]ﾃﾞｰﾀﾍﾞｰｽ変更点!#REF!</definedName>
    <definedName name="C_DOPA" localSheetId="7">[3]ﾃﾞｰﾀﾍﾞｰｽ変更点!#REF!</definedName>
    <definedName name="C_DOPA" localSheetId="3">[3]ﾃﾞｰﾀﾍﾞｰｽ変更点!#REF!</definedName>
    <definedName name="C_DOPA">[3]ﾃﾞｰﾀﾍﾞｰｽ変更点!#REF!</definedName>
    <definedName name="C_DOPA_OWNER_HISTORY" localSheetId="7">[3]ﾃﾞｰﾀﾍﾞｰｽ変更点!#REF!</definedName>
    <definedName name="C_DOPA_OWNER_HISTORY" localSheetId="3">[3]ﾃﾞｰﾀﾍﾞｰｽ変更点!#REF!</definedName>
    <definedName name="C_DOPA_OWNER_HISTORY">[3]ﾃﾞｰﾀﾍﾞｰｽ変更点!#REF!</definedName>
    <definedName name="C_DOPA_SERVER" localSheetId="7">[3]ﾃﾞｰﾀﾍﾞｰｽ変更点!#REF!</definedName>
    <definedName name="C_DOPA_SERVER" localSheetId="3">[3]ﾃﾞｰﾀﾍﾞｰｽ変更点!#REF!</definedName>
    <definedName name="C_DOPA_SERVER">[3]ﾃﾞｰﾀﾍﾞｰｽ変更点!#REF!</definedName>
    <definedName name="C_EQUIPMENT_HISTORY" localSheetId="7">[3]ﾃﾞｰﾀﾍﾞｰｽ変更点!#REF!</definedName>
    <definedName name="C_EQUIPMENT_HISTORY" localSheetId="3">[3]ﾃﾞｰﾀﾍﾞｰｽ変更点!#REF!</definedName>
    <definedName name="C_EQUIPMENT_HISTORY">[3]ﾃﾞｰﾀﾍﾞｰｽ変更点!#REF!</definedName>
    <definedName name="C_ERROR" localSheetId="7">[3]ﾃﾞｰﾀﾍﾞｰｽ変更点!#REF!</definedName>
    <definedName name="C_ERROR" localSheetId="3">[3]ﾃﾞｰﾀﾍﾞｰｽ変更点!#REF!</definedName>
    <definedName name="C_ERROR">[3]ﾃﾞｰﾀﾍﾞｰｽ変更点!#REF!</definedName>
    <definedName name="C_ERROR_ENABLED" localSheetId="7">[3]ﾃﾞｰﾀﾍﾞｰｽ変更点!#REF!</definedName>
    <definedName name="C_ERROR_ENABLED" localSheetId="3">[3]ﾃﾞｰﾀﾍﾞｰｽ変更点!#REF!</definedName>
    <definedName name="C_ERROR_ENABLED">[3]ﾃﾞｰﾀﾍﾞｰｽ変更点!#REF!</definedName>
    <definedName name="C_ERROR_MASTER" localSheetId="7">[3]ﾃﾞｰﾀﾍﾞｰｽ変更点!#REF!</definedName>
    <definedName name="C_ERROR_MASTER" localSheetId="3">[3]ﾃﾞｰﾀﾍﾞｰｽ変更点!#REF!</definedName>
    <definedName name="C_ERROR_MASTER">[3]ﾃﾞｰﾀﾍﾞｰｽ変更点!#REF!</definedName>
    <definedName name="C_EVENT_CATEGORY" localSheetId="7">[4]TableDesign!#REF!</definedName>
    <definedName name="C_EVENT_CATEGORY" localSheetId="3">[4]TableDesign!#REF!</definedName>
    <definedName name="C_EVENT_CATEGORY">[4]TableDesign!#REF!</definedName>
    <definedName name="C_EVENT_DIVISION" localSheetId="7">[3]ﾃﾞｰﾀﾍﾞｰｽ変更点!#REF!</definedName>
    <definedName name="C_EVENT_DIVISION" localSheetId="3">[3]ﾃﾞｰﾀﾍﾞｰｽ変更点!#REF!</definedName>
    <definedName name="C_EVENT_DIVISION">[3]ﾃﾞｰﾀﾍﾞｰｽ変更点!#REF!</definedName>
    <definedName name="C_EVENT_MASTER" localSheetId="7">[3]ﾃﾞｰﾀﾍﾞｰｽ変更点!#REF!</definedName>
    <definedName name="C_EVENT_MASTER" localSheetId="3">[3]ﾃﾞｰﾀﾍﾞｰｽ変更点!#REF!</definedName>
    <definedName name="C_EVENT_MASTER">[3]ﾃﾞｰﾀﾍﾞｰｽ変更点!#REF!</definedName>
    <definedName name="C_EVENT_NOTICE" localSheetId="7">[3]ﾃﾞｰﾀﾍﾞｰｽ変更点!#REF!</definedName>
    <definedName name="C_EVENT_NOTICE" localSheetId="3">[3]ﾃﾞｰﾀﾍﾞｰｽ変更点!#REF!</definedName>
    <definedName name="C_EVENT_NOTICE">[3]ﾃﾞｰﾀﾍﾞｰｽ変更点!#REF!</definedName>
    <definedName name="C_FUEL_GAUGE" localSheetId="7">[4]TableDesign!#REF!</definedName>
    <definedName name="C_FUEL_GAUGE" localSheetId="3">[4]TableDesign!#REF!</definedName>
    <definedName name="C_FUEL_GAUGE">[4]TableDesign!#REF!</definedName>
    <definedName name="C_GAUGE_FUEL_WTTEMP" localSheetId="7">[3]ﾃﾞｰﾀﾍﾞｰｽ変更点!#REF!</definedName>
    <definedName name="C_GAUGE_FUEL_WTTEMP" localSheetId="3">[3]ﾃﾞｰﾀﾍﾞｰｽ変更点!#REF!</definedName>
    <definedName name="C_GAUGE_FUEL_WTTEMP">[3]ﾃﾞｰﾀﾍﾞｰｽ変更点!#REF!</definedName>
    <definedName name="C_GIS_DEFINE" localSheetId="7">[4]TableDesign!#REF!</definedName>
    <definedName name="C_GIS_DEFINE" localSheetId="3">[4]TableDesign!#REF!</definedName>
    <definedName name="C_GIS_DEFINE">[4]TableDesign!#REF!</definedName>
    <definedName name="C_GPS" localSheetId="7">[3]ﾃﾞｰﾀﾍﾞｰｽ変更点!#REF!</definedName>
    <definedName name="C_GPS" localSheetId="3">[3]ﾃﾞｰﾀﾍﾞｰｽ変更点!#REF!</definedName>
    <definedName name="C_GPS">[3]ﾃﾞｰﾀﾍﾞｰｽ変更点!#REF!</definedName>
    <definedName name="C_GRANT_AUTHORITY" localSheetId="7">[3]ﾃﾞｰﾀﾍﾞｰｽ変更点!#REF!</definedName>
    <definedName name="C_GRANT_AUTHORITY" localSheetId="3">[3]ﾃﾞｰﾀﾍﾞｰｽ変更点!#REF!</definedName>
    <definedName name="C_GRANT_AUTHORITY">[3]ﾃﾞｰﾀﾍﾞｰｽ変更点!#REF!</definedName>
    <definedName name="C_GROUP_MASTER" localSheetId="7">[3]ﾃﾞｰﾀﾍﾞｰｽ変更点!#REF!</definedName>
    <definedName name="C_GROUP_MASTER" localSheetId="3">[3]ﾃﾞｰﾀﾍﾞｰｽ変更点!#REF!</definedName>
    <definedName name="C_GROUP_MASTER">[3]ﾃﾞｰﾀﾍﾞｰｽ変更点!#REF!</definedName>
    <definedName name="C_IGNORE_CAUTION" localSheetId="7">[5]テーブル設計!#REF!</definedName>
    <definedName name="C_IGNORE_CAUTION" localSheetId="3">[5]テーブル設計!#REF!</definedName>
    <definedName name="C_IGNORE_CAUTION">[5]テーブル設計!#REF!</definedName>
    <definedName name="C_IGNORE_ERROR" localSheetId="7">[5]テーブル設計!#REF!</definedName>
    <definedName name="C_IGNORE_ERROR" localSheetId="3">[5]テーブル設計!#REF!</definedName>
    <definedName name="C_IGNORE_ERROR">[5]テーブル設計!#REF!</definedName>
    <definedName name="C_INFORM_MASTER" localSheetId="7">[3]ﾃﾞｰﾀﾍﾞｰｽ変更点!#REF!</definedName>
    <definedName name="C_INFORM_MASTER" localSheetId="3">[3]ﾃﾞｰﾀﾍﾞｰｽ変更点!#REF!</definedName>
    <definedName name="C_INFORM_MASTER">[3]ﾃﾞｰﾀﾍﾞｰｽ変更点!#REF!</definedName>
    <definedName name="C_INFORMATION" localSheetId="7">[3]ﾃﾞｰﾀﾍﾞｰｽ変更点!#REF!</definedName>
    <definedName name="C_INFORMATION" localSheetId="3">[3]ﾃﾞｰﾀﾍﾞｰｽ変更点!#REF!</definedName>
    <definedName name="C_INFORMATION">[3]ﾃﾞｰﾀﾍﾞｰｽ変更点!#REF!</definedName>
    <definedName name="C_INFORMATION_READED" localSheetId="7">[3]ﾃﾞｰﾀﾍﾞｰｽ変更点!#REF!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7">[5]テーブル設計!#REF!</definedName>
    <definedName name="C_INVALID_PART_TERMINAL" localSheetId="3">[5]テーブル設計!#REF!</definedName>
    <definedName name="C_INVALID_PART_TERMINAL">[5]テーブル設計!#REF!</definedName>
    <definedName name="C_KIND_MASTER" localSheetId="7">[3]ﾃﾞｰﾀﾍﾞｰｽ変更点!#REF!</definedName>
    <definedName name="C_KIND_MASTER" localSheetId="3">[3]ﾃﾞｰﾀﾍﾞｰｽ変更点!#REF!</definedName>
    <definedName name="C_KIND_MASTER">[3]ﾃﾞｰﾀﾍﾞｰｽ変更点!#REF!</definedName>
    <definedName name="C_KRO_APPLICATION" localSheetId="7">[3]ﾃﾞｰﾀﾍﾞｰｽ変更点!#REF!</definedName>
    <definedName name="C_KRO_APPLICATION" localSheetId="3">[3]ﾃﾞｰﾀﾍﾞｰｽ変更点!#REF!</definedName>
    <definedName name="C_KRO_APPLICATION">[3]ﾃﾞｰﾀﾍﾞｰｽ変更点!#REF!</definedName>
    <definedName name="C_KRO_APPLICATION_DATA" localSheetId="7">[3]ﾃﾞｰﾀﾍﾞｰｽ変更点!#REF!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7">[3]ﾃﾞｰﾀﾍﾞｰｽ変更点!#REF!</definedName>
    <definedName name="C_KRO_COMPLETION" localSheetId="3">[3]ﾃﾞｰﾀﾍﾞｰｽ変更点!#REF!</definedName>
    <definedName name="C_KRO_COMPLETION">[3]ﾃﾞｰﾀﾍﾞｰｽ変更点!#REF!</definedName>
    <definedName name="C_KRO_COMPLETION_DATA" localSheetId="7">[3]ﾃﾞｰﾀﾍﾞｰｽ変更点!#REF!</definedName>
    <definedName name="C_KRO_COMPLETION_DATA" localSheetId="3">[3]ﾃﾞｰﾀﾍﾞｰｽ変更点!#REF!</definedName>
    <definedName name="C_KRO_COMPLETION_DATA">[3]ﾃﾞｰﾀﾍﾞｰｽ変更点!#REF!</definedName>
    <definedName name="C_KRO_EMERGENCY" localSheetId="7">[5]テーブル設計!#REF!</definedName>
    <definedName name="C_KRO_EMERGENCY" localSheetId="3">[5]テーブル設計!#REF!</definedName>
    <definedName name="C_KRO_EMERGENCY">[5]テーブル設計!#REF!</definedName>
    <definedName name="C_KRO_REPORT" localSheetId="7">[3]ﾃﾞｰﾀﾍﾞｰｽ変更点!#REF!</definedName>
    <definedName name="C_KRO_REPORT" localSheetId="3">[3]ﾃﾞｰﾀﾍﾞｰｽ変更点!#REF!</definedName>
    <definedName name="C_KRO_REPORT">[3]ﾃﾞｰﾀﾍﾞｰｽ変更点!#REF!</definedName>
    <definedName name="C_LANDMARK" localSheetId="7">[3]ﾃﾞｰﾀﾍﾞｰｽ変更点!#REF!</definedName>
    <definedName name="C_LANDMARK" localSheetId="3">[3]ﾃﾞｰﾀﾍﾞｰｽ変更点!#REF!</definedName>
    <definedName name="C_LANDMARK">[3]ﾃﾞｰﾀﾍﾞｰｽ変更点!#REF!</definedName>
    <definedName name="C_LANDMARK_CLASS" localSheetId="7">[3]ﾃﾞｰﾀﾍﾞｰｽ変更点!#REF!</definedName>
    <definedName name="C_LANDMARK_CLASS" localSheetId="3">[3]ﾃﾞｰﾀﾍﾞｰｽ変更点!#REF!</definedName>
    <definedName name="C_LANDMARK_CLASS">[3]ﾃﾞｰﾀﾍﾞｰｽ変更点!#REF!</definedName>
    <definedName name="C_LOGON_HISTORY" localSheetId="7">[3]ﾃﾞｰﾀﾍﾞｰｽ変更点!#REF!</definedName>
    <definedName name="C_LOGON_HISTORY" localSheetId="3">[3]ﾃﾞｰﾀﾍﾞｰｽ変更点!#REF!</definedName>
    <definedName name="C_LOGON_HISTORY">[3]ﾃﾞｰﾀﾍﾞｰｽ変更点!#REF!</definedName>
    <definedName name="C_MACHINE_ERROR" localSheetId="7">[4]TableDesign!#REF!</definedName>
    <definedName name="C_MACHINE_ERROR" localSheetId="3">[4]TableDesign!#REF!</definedName>
    <definedName name="C_MACHINE_ERROR">[4]TableDesign!#REF!</definedName>
    <definedName name="C_MACHINE_STATUS_MASTER" localSheetId="7">[3]ﾃﾞｰﾀﾍﾞｰｽ変更点!#REF!</definedName>
    <definedName name="C_MACHINE_STATUS_MASTER" localSheetId="3">[3]ﾃﾞｰﾀﾍﾞｰｽ変更点!#REF!</definedName>
    <definedName name="C_MACHINE_STATUS_MASTER">[3]ﾃﾞｰﾀﾍﾞｰｽ変更点!#REF!</definedName>
    <definedName name="C_MAINTENANCE_DATA" localSheetId="7">[3]ﾃﾞｰﾀﾍﾞｰｽ変更点!#REF!</definedName>
    <definedName name="C_MAINTENANCE_DATA" localSheetId="3">[3]ﾃﾞｰﾀﾍﾞｰｽ変更点!#REF!</definedName>
    <definedName name="C_MAINTENANCE_DATA">[3]ﾃﾞｰﾀﾍﾞｰｽ変更点!#REF!</definedName>
    <definedName name="C_MAINTENANCE_INFORM" localSheetId="7">[3]ﾃﾞｰﾀﾍﾞｰｽ変更点!#REF!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7">[3]ﾃﾞｰﾀﾍﾞｰｽ変更点!#REF!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7">[4]TableDesign!#REF!</definedName>
    <definedName name="C_MAINTENANCE_TIME" localSheetId="3">[4]TableDesign!#REF!</definedName>
    <definedName name="C_MAINTENANCE_TIME">[4]TableDesign!#REF!</definedName>
    <definedName name="C_MAKER_MASTER" localSheetId="7">[3]ﾃﾞｰﾀﾍﾞｰｽ変更点!#REF!</definedName>
    <definedName name="C_MAKER_MASTER" localSheetId="3">[3]ﾃﾞｰﾀﾍﾞｰｽ変更点!#REF!</definedName>
    <definedName name="C_MAKER_MASTER">[3]ﾃﾞｰﾀﾍﾞｰｽ変更点!#REF!</definedName>
    <definedName name="C_MARK_MACHINE" localSheetId="7">[4]TableDesign!#REF!</definedName>
    <definedName name="C_MARK_MACHINE" localSheetId="3">[4]TableDesign!#REF!</definedName>
    <definedName name="C_MARK_MACHINE">[4]TableDesign!#REF!</definedName>
    <definedName name="C_MARK_NOTIFICATION" localSheetId="7">[4]TableDesign!#REF!</definedName>
    <definedName name="C_MARK_NOTIFICATION" localSheetId="3">[4]TableDesign!#REF!</definedName>
    <definedName name="C_MARK_NOTIFICATION">[4]TableDesign!#REF!</definedName>
    <definedName name="C_MARK_NOTIFICATION_DETAIL" localSheetId="7">[4]TableDesign!#REF!</definedName>
    <definedName name="C_MARK_NOTIFICATION_DETAIL" localSheetId="3">[4]TableDesign!#REF!</definedName>
    <definedName name="C_MARK_NOTIFICATION_DETAIL">[4]TableDesign!#REF!</definedName>
    <definedName name="C_MEMO" localSheetId="7">[3]ﾃﾞｰﾀﾍﾞｰｽ変更点!#REF!</definedName>
    <definedName name="C_MEMO" localSheetId="3">[3]ﾃﾞｰﾀﾍﾞｰｽ変更点!#REF!</definedName>
    <definedName name="C_MEMO">[3]ﾃﾞｰﾀﾍﾞｰｽ変更点!#REF!</definedName>
    <definedName name="C_MEMORY_MODIFY" localSheetId="7">[3]ﾃﾞｰﾀﾍﾞｰｽ変更点!#REF!</definedName>
    <definedName name="C_MEMORY_MODIFY" localSheetId="3">[3]ﾃﾞｰﾀﾍﾞｰｽ変更点!#REF!</definedName>
    <definedName name="C_MEMORY_MODIFY">[3]ﾃﾞｰﾀﾍﾞｰｽ変更点!#REF!</definedName>
    <definedName name="C_MEMORY_MODIFY_DATA" localSheetId="7">[3]ﾃﾞｰﾀﾍﾞｰｽ変更点!#REF!</definedName>
    <definedName name="C_MEMORY_MODIFY_DATA" localSheetId="3">[3]ﾃﾞｰﾀﾍﾞｰｽ変更点!#REF!</definedName>
    <definedName name="C_MEMORY_MODIFY_DATA">[3]ﾃﾞｰﾀﾍﾞｰｽ変更点!#REF!</definedName>
    <definedName name="C_MESSAGE" localSheetId="7">[3]ﾃﾞｰﾀﾍﾞｰｽ変更点!#REF!</definedName>
    <definedName name="C_MESSAGE" localSheetId="3">[3]ﾃﾞｰﾀﾍﾞｰｽ変更点!#REF!</definedName>
    <definedName name="C_MESSAGE">[3]ﾃﾞｰﾀﾍﾞｰｽ変更点!#REF!</definedName>
    <definedName name="C_MESSAGE_MASTER" localSheetId="7">[3]ﾃﾞｰﾀﾍﾞｰｽ変更点!#REF!</definedName>
    <definedName name="C_MESSAGE_MASTER" localSheetId="3">[3]ﾃﾞｰﾀﾍﾞｰｽ変更点!#REF!</definedName>
    <definedName name="C_MESSAGE_MASTER">[3]ﾃﾞｰﾀﾍﾞｰｽ変更点!#REF!</definedName>
    <definedName name="C_MONTHLY_ATT_SMR" localSheetId="7">[4]TableDesign!#REF!</definedName>
    <definedName name="C_MONTHLY_ATT_SMR" localSheetId="3">[4]TableDesign!#REF!</definedName>
    <definedName name="C_MONTHLY_ATT_SMR">[4]TableDesign!#REF!</definedName>
    <definedName name="C_MONTHLY_ERROR" localSheetId="7">[4]TableDesign!#REF!</definedName>
    <definedName name="C_MONTHLY_ERROR" localSheetId="3">[4]TableDesign!#REF!</definedName>
    <definedName name="C_MONTHLY_ERROR">[4]TableDesign!#REF!</definedName>
    <definedName name="C_MONTHLY_LOAD" localSheetId="7">[4]TableDesign!#REF!</definedName>
    <definedName name="C_MONTHLY_LOAD" localSheetId="3">[4]TableDesign!#REF!</definedName>
    <definedName name="C_MONTHLY_LOAD">[4]TableDesign!#REF!</definedName>
    <definedName name="C_MONTHLY_MOVEMENT" localSheetId="7">[4]TableDesign!#REF!</definedName>
    <definedName name="C_MONTHLY_MOVEMENT" localSheetId="3">[4]TableDesign!#REF!</definedName>
    <definedName name="C_MONTHLY_MOVEMENT">[4]TableDesign!#REF!</definedName>
    <definedName name="C_MONTHLY_OPERATION" localSheetId="7">[4]TableDesign!#REF!</definedName>
    <definedName name="C_MONTHLY_OPERATION" localSheetId="3">[4]TableDesign!#REF!</definedName>
    <definedName name="C_MONTHLY_OPERATION">[4]TableDesign!#REF!</definedName>
    <definedName name="C_MONTHLY_SMR" localSheetId="7">[4]TableDesign!#REF!</definedName>
    <definedName name="C_MONTHLY_SMR" localSheetId="3">[4]TableDesign!#REF!</definedName>
    <definedName name="C_MONTHLY_SMR">[4]TableDesign!#REF!</definedName>
    <definedName name="C_MONTHLY_WORKING_SMR" localSheetId="7">[4]TableDesign!#REF!</definedName>
    <definedName name="C_MONTHLY_WORKING_SMR" localSheetId="3">[4]TableDesign!#REF!</definedName>
    <definedName name="C_MONTHLY_WORKING_SMR">[4]TableDesign!#REF!</definedName>
    <definedName name="C_MONTLY_LOAD" localSheetId="7">[4]TableDesign!#REF!</definedName>
    <definedName name="C_MONTLY_LOAD" localSheetId="3">[4]TableDesign!#REF!</definedName>
    <definedName name="C_MONTLY_LOAD">[4]TableDesign!#REF!</definedName>
    <definedName name="C_MULTI_OPE" localSheetId="7">[3]ﾃﾞｰﾀﾍﾞｰｽ変更点!#REF!</definedName>
    <definedName name="C_MULTI_OPE" localSheetId="3">[3]ﾃﾞｰﾀﾍﾞｰｽ変更点!#REF!</definedName>
    <definedName name="C_MULTI_OPE">[3]ﾃﾞｰﾀﾍﾞｰｽ変更点!#REF!</definedName>
    <definedName name="C_MULTI_OPE_DATA" localSheetId="7">[5]テーブル設計!#REF!</definedName>
    <definedName name="C_MULTI_OPE_DATA" localSheetId="3">[5]テーブル設計!#REF!</definedName>
    <definedName name="C_MULTI_OPE_DATA">[5]テーブル設計!#REF!</definedName>
    <definedName name="C_NLS_DB_RESOURCE" localSheetId="7">[4]TableDesign!#REF!</definedName>
    <definedName name="C_NLS_DB_RESOURCE" localSheetId="3">[4]TableDesign!#REF!</definedName>
    <definedName name="C_NLS_DB_RESOURCE">[4]TableDesign!#REF!</definedName>
    <definedName name="C_NLS_LANG" localSheetId="7">[4]TableDesign!#REF!</definedName>
    <definedName name="C_NLS_LANG" localSheetId="3">[4]TableDesign!#REF!</definedName>
    <definedName name="C_NLS_LANG">[4]TableDesign!#REF!</definedName>
    <definedName name="C_NLS_RESOURCE" localSheetId="7">[4]TableDesign!#REF!</definedName>
    <definedName name="C_NLS_RESOURCE" localSheetId="3">[4]TableDesign!#REF!</definedName>
    <definedName name="C_NLS_RESOURCE">[4]TableDesign!#REF!</definedName>
    <definedName name="C_NOT_ACTIVE" localSheetId="7">[3]ﾃﾞｰﾀﾍﾞｰｽ変更点!#REF!</definedName>
    <definedName name="C_NOT_ACTIVE" localSheetId="3">[3]ﾃﾞｰﾀﾍﾞｰｽ変更点!#REF!</definedName>
    <definedName name="C_NOT_ACTIVE">[3]ﾃﾞｰﾀﾍﾞｰｽ変更点!#REF!</definedName>
    <definedName name="C_OPERATION_CATEGORY" localSheetId="7">[4]TableDesign!#REF!</definedName>
    <definedName name="C_OPERATION_CATEGORY" localSheetId="3">[4]TableDesign!#REF!</definedName>
    <definedName name="C_OPERATION_CATEGORY">[4]TableDesign!#REF!</definedName>
    <definedName name="C_OPERATION_CLASS" localSheetId="7">[5]テーブル設計!#REF!</definedName>
    <definedName name="C_OPERATION_CLASS" localSheetId="3">[5]テーブル設計!#REF!</definedName>
    <definedName name="C_OPERATION_CLASS">[5]テーブル設計!#REF!</definedName>
    <definedName name="C_OPERATION_LOG" localSheetId="7">[3]ﾃﾞｰﾀﾍﾞｰｽ変更点!#REF!</definedName>
    <definedName name="C_OPERATION_LOG" localSheetId="3">[3]ﾃﾞｰﾀﾍﾞｰｽ変更点!#REF!</definedName>
    <definedName name="C_OPERATION_LOG">[3]ﾃﾞｰﾀﾍﾞｰｽ変更点!#REF!</definedName>
    <definedName name="C_OPERATION_LOG2" localSheetId="7">[5]テーブル設計!#REF!</definedName>
    <definedName name="C_OPERATION_LOG2" localSheetId="3">[5]テーブル設計!#REF!</definedName>
    <definedName name="C_OPERATION_LOG2">[5]テーブル設計!#REF!</definedName>
    <definedName name="C_OPERATION_MAP" localSheetId="7">[4]TableDesign!#REF!</definedName>
    <definedName name="C_OPERATION_MAP" localSheetId="3">[4]TableDesign!#REF!</definedName>
    <definedName name="C_OPERATION_MAP">[4]TableDesign!#REF!</definedName>
    <definedName name="C_OPERATION_MASTER" localSheetId="7">[5]テーブル設計!#REF!</definedName>
    <definedName name="C_OPERATION_MASTER" localSheetId="3">[5]テーブル設計!#REF!</definedName>
    <definedName name="C_OPERATION_MASTER">[5]テーブル設計!#REF!</definedName>
    <definedName name="C_ORBCOMM" localSheetId="7">[3]ﾃﾞｰﾀﾍﾞｰｽ変更点!#REF!</definedName>
    <definedName name="C_ORBCOMM" localSheetId="3">[3]ﾃﾞｰﾀﾍﾞｰｽ変更点!#REF!</definedName>
    <definedName name="C_ORBCOMM">[3]ﾃﾞｰﾀﾍﾞｰｽ変更点!#REF!</definedName>
    <definedName name="C_ORBCOMM_OWNER_HISTORY" localSheetId="7">[3]ﾃﾞｰﾀﾍﾞｰｽ変更点!#REF!</definedName>
    <definedName name="C_ORBCOMM_OWNER_HISTORY" localSheetId="3">[3]ﾃﾞｰﾀﾍﾞｰｽ変更点!#REF!</definedName>
    <definedName name="C_ORBCOMM_OWNER_HISTORY">[3]ﾃﾞｰﾀﾍﾞｰｽ変更点!#REF!</definedName>
    <definedName name="C_PLANT_CAR" localSheetId="7">[5]テーブル設計!#REF!</definedName>
    <definedName name="C_PLANT_CAR" localSheetId="3">[5]テーブル設計!#REF!</definedName>
    <definedName name="C_PLANT_CAR">[5]テーブル設計!#REF!</definedName>
    <definedName name="C_PLANT_ERROR" localSheetId="7">[5]テーブル設計!#REF!</definedName>
    <definedName name="C_PLANT_ERROR" localSheetId="3">[5]テーブル設計!#REF!</definedName>
    <definedName name="C_PLANT_ERROR">[5]テーブル設計!#REF!</definedName>
    <definedName name="C_PLANT_GPS" localSheetId="7">[5]テーブル設計!#REF!</definedName>
    <definedName name="C_PLANT_GPS" localSheetId="3">[5]テーブル設計!#REF!</definedName>
    <definedName name="C_PLANT_GPS">[5]テーブル設計!#REF!</definedName>
    <definedName name="C_PREVENT_THEFT_KEY" localSheetId="7">[3]ﾃﾞｰﾀﾍﾞｰｽ変更点!#REF!</definedName>
    <definedName name="C_PREVENT_THEFT_KEY" localSheetId="3">[3]ﾃﾞｰﾀﾍﾞｰｽ変更点!#REF!</definedName>
    <definedName name="C_PREVENT_THEFT_KEY">[3]ﾃﾞｰﾀﾍﾞｰｽ変更点!#REF!</definedName>
    <definedName name="C_PRIVATE_TARGET_CAR" localSheetId="7">[3]ﾃﾞｰﾀﾍﾞｰｽ変更点!#REF!</definedName>
    <definedName name="C_PRIVATE_TARGET_CAR" localSheetId="3">[3]ﾃﾞｰﾀﾍﾞｰｽ変更点!#REF!</definedName>
    <definedName name="C_PRIVATE_TARGET_CAR">[3]ﾃﾞｰﾀﾍﾞｰｽ変更点!#REF!</definedName>
    <definedName name="C_RECEIVE_LIST" localSheetId="7">[5]テーブル設計!#REF!</definedName>
    <definedName name="C_RECEIVE_LIST" localSheetId="3">[5]テーブル設計!#REF!</definedName>
    <definedName name="C_RECEIVE_LIST">[5]テーブル設計!#REF!</definedName>
    <definedName name="C_RECEIVE_LOG" localSheetId="7">[3]ﾃﾞｰﾀﾍﾞｰｽ変更点!#REF!</definedName>
    <definedName name="C_RECEIVE_LOG" localSheetId="3">[3]ﾃﾞｰﾀﾍﾞｰｽ変更点!#REF!</definedName>
    <definedName name="C_RECEIVE_LOG">[3]ﾃﾞｰﾀﾍﾞｰｽ変更点!#REF!</definedName>
    <definedName name="C_REGION_DATA" localSheetId="7">[4]TableDesign!#REF!</definedName>
    <definedName name="C_REGION_DATA" localSheetId="3">[4]TableDesign!#REF!</definedName>
    <definedName name="C_REGION_DATA">[4]TableDesign!#REF!</definedName>
    <definedName name="C_REGION_MASTER" localSheetId="7">[4]TableDesign!#REF!</definedName>
    <definedName name="C_REGION_MASTER" localSheetId="3">[4]TableDesign!#REF!</definedName>
    <definedName name="C_REGION_MASTER">[4]TableDesign!#REF!</definedName>
    <definedName name="C_RENTAL_TERMINAL" localSheetId="7">[5]テーブル設計!#REF!</definedName>
    <definedName name="C_RENTAL_TERMINAL" localSheetId="3">[5]テーブル設計!#REF!</definedName>
    <definedName name="C_RENTAL_TERMINAL">[5]テーブル設計!#REF!</definedName>
    <definedName name="C_REQUEST" localSheetId="7">[3]ﾃﾞｰﾀﾍﾞｰｽ変更点!#REF!</definedName>
    <definedName name="C_REQUEST" localSheetId="3">[3]ﾃﾞｰﾀﾍﾞｰｽ変更点!#REF!</definedName>
    <definedName name="C_REQUEST">[3]ﾃﾞｰﾀﾍﾞｰｽ変更点!#REF!</definedName>
    <definedName name="C_REQUEST_COUNT" localSheetId="7">[3]ﾃﾞｰﾀﾍﾞｰｽ変更点!#REF!</definedName>
    <definedName name="C_REQUEST_COUNT" localSheetId="3">[3]ﾃﾞｰﾀﾍﾞｰｽ変更点!#REF!</definedName>
    <definedName name="C_REQUEST_COUNT">[3]ﾃﾞｰﾀﾍﾞｰｽ変更点!#REF!</definedName>
    <definedName name="C_REQUEST_LOG" localSheetId="7">[3]ﾃﾞｰﾀﾍﾞｰｽ変更点!#REF!</definedName>
    <definedName name="C_REQUEST_LOG" localSheetId="3">[3]ﾃﾞｰﾀﾍﾞｰｽ変更点!#REF!</definedName>
    <definedName name="C_REQUEST_LOG">[3]ﾃﾞｰﾀﾍﾞｰｽ変更点!#REF!</definedName>
    <definedName name="C_RIVATE_TARGET_CAR" localSheetId="7">[4]TableDesign!#REF!</definedName>
    <definedName name="C_RIVATE_TARGET_CAR" localSheetId="3">[4]TableDesign!#REF!</definedName>
    <definedName name="C_RIVATE_TARGET_CAR">[4]TableDesign!#REF!</definedName>
    <definedName name="C_RUNNING_LOG" localSheetId="7">[3]ﾃﾞｰﾀﾍﾞｰｽ変更点!#REF!</definedName>
    <definedName name="C_RUNNING_LOG" localSheetId="3">[3]ﾃﾞｰﾀﾍﾞｰｽ変更点!#REF!</definedName>
    <definedName name="C_RUNNING_LOG">[3]ﾃﾞｰﾀﾍﾞｰｽ変更点!#REF!</definedName>
    <definedName name="C_SAVE_INFORMATION" localSheetId="7">[5]テーブル設計!#REF!</definedName>
    <definedName name="C_SAVE_INFORMATION" localSheetId="3">[5]テーブル設計!#REF!</definedName>
    <definedName name="C_SAVE_INFORMATION">[5]テーブル設計!#REF!</definedName>
    <definedName name="C_SELFCARINSPECTION" localSheetId="7">[3]ﾃﾞｰﾀﾍﾞｰｽ変更点!#REF!</definedName>
    <definedName name="C_SELFCARINSPECTION" localSheetId="3">[3]ﾃﾞｰﾀﾍﾞｰｽ変更点!#REF!</definedName>
    <definedName name="C_SELFCARINSPECTION">[3]ﾃﾞｰﾀﾍﾞｰｽ変更点!#REF!</definedName>
    <definedName name="C_SEND_LIST" localSheetId="7">[5]テーブル設計!#REF!</definedName>
    <definedName name="C_SEND_LIST" localSheetId="3">[5]テーブル設計!#REF!</definedName>
    <definedName name="C_SEND_LIST">[5]テーブル設計!#REF!</definedName>
    <definedName name="C_SEND_LOG" localSheetId="7">[5]テーブル設計!#REF!</definedName>
    <definedName name="C_SEND_LOG" localSheetId="3">[5]テーブル設計!#REF!</definedName>
    <definedName name="C_SEND_LOG">[5]テーブル設計!#REF!</definedName>
    <definedName name="C_SERVER_COMMUNICATION" localSheetId="7">[4]TableDesign!#REF!</definedName>
    <definedName name="C_SERVER_COMMUNICATION" localSheetId="3">[4]TableDesign!#REF!</definedName>
    <definedName name="C_SERVER_COMMUNICATION">[4]TableDesign!#REF!</definedName>
    <definedName name="C_SERVER_INFORMATION" localSheetId="7">[3]ﾃﾞｰﾀﾍﾞｰｽ変更点!#REF!</definedName>
    <definedName name="C_SERVER_INFORMATION" localSheetId="3">[3]ﾃﾞｰﾀﾍﾞｰｽ変更点!#REF!</definedName>
    <definedName name="C_SERVER_INFORMATION">[3]ﾃﾞｰﾀﾍﾞｰｽ変更点!#REF!</definedName>
    <definedName name="C_SERVICE_METER" localSheetId="7">[3]ﾃﾞｰﾀﾍﾞｰｽ変更点!#REF!</definedName>
    <definedName name="C_SERVICE_METER" localSheetId="3">[3]ﾃﾞｰﾀﾍﾞｰｽ変更点!#REF!</definedName>
    <definedName name="C_SERVICE_METER">[3]ﾃﾞｰﾀﾍﾞｰｽ変更点!#REF!</definedName>
    <definedName name="C_SERVICE_METER2" localSheetId="7">[5]テーブル設計!#REF!</definedName>
    <definedName name="C_SERVICE_METER2" localSheetId="3">[5]テーブル設計!#REF!</definedName>
    <definedName name="C_SERVICE_METER2">[5]テーブル設計!#REF!</definedName>
    <definedName name="C_SERVICEMAN" localSheetId="7">[5]テーブル設計!#REF!</definedName>
    <definedName name="C_SERVICEMAN" localSheetId="3">[5]テーブル設計!#REF!</definedName>
    <definedName name="C_SERVICEMAN">[5]テーブル設計!#REF!</definedName>
    <definedName name="C_SERVICEMAN_CHARGE" localSheetId="7">[5]テーブル設計!#REF!</definedName>
    <definedName name="C_SERVICEMAN_CHARGE" localSheetId="3">[5]テーブル設計!#REF!</definedName>
    <definedName name="C_SERVICEMAN_CHARGE">[5]テーブル設計!#REF!</definedName>
    <definedName name="C_SHIPMENT" localSheetId="7">[3]ﾃﾞｰﾀﾍﾞｰｽ変更点!#REF!</definedName>
    <definedName name="C_SHIPMENT" localSheetId="3">[3]ﾃﾞｰﾀﾍﾞｰｽ変更点!#REF!</definedName>
    <definedName name="C_SHIPMENT">[3]ﾃﾞｰﾀﾍﾞｰｽ変更点!#REF!</definedName>
    <definedName name="C_SHOW" localSheetId="7">[3]ﾃﾞｰﾀﾍﾞｰｽ変更点!#REF!</definedName>
    <definedName name="C_SHOW" localSheetId="3">[3]ﾃﾞｰﾀﾍﾞｰｽ変更点!#REF!</definedName>
    <definedName name="C_SHOW">[3]ﾃﾞｰﾀﾍﾞｰｽ変更点!#REF!</definedName>
    <definedName name="C_SHOW_GROUP" localSheetId="7">[3]ﾃﾞｰﾀﾍﾞｰｽ変更点!#REF!</definedName>
    <definedName name="C_SHOW_GROUP" localSheetId="3">[3]ﾃﾞｰﾀﾍﾞｰｽ変更点!#REF!</definedName>
    <definedName name="C_SHOW_GROUP">[3]ﾃﾞｰﾀﾍﾞｰｽ変更点!#REF!</definedName>
    <definedName name="C_SPECIAL_AREA" localSheetId="7">[3]ﾃﾞｰﾀﾍﾞｰｽ変更点!#REF!</definedName>
    <definedName name="C_SPECIAL_AREA" localSheetId="3">[3]ﾃﾞｰﾀﾍﾞｰｽ変更点!#REF!</definedName>
    <definedName name="C_SPECIAL_AREA">[3]ﾃﾞｰﾀﾍﾞｰｽ変更点!#REF!</definedName>
    <definedName name="C_SUB_GROUP" localSheetId="7">[4]TableDesign!#REF!</definedName>
    <definedName name="C_SUB_GROUP" localSheetId="3">[4]TableDesign!#REF!</definedName>
    <definedName name="C_SUB_GROUP">[4]TableDesign!#REF!</definedName>
    <definedName name="C_SUB_GROUP_CAR" localSheetId="7">[4]TableDesign!#REF!</definedName>
    <definedName name="C_SUB_GROUP_CAR" localSheetId="3">[4]TableDesign!#REF!</definedName>
    <definedName name="C_SUB_GROUP_CAR">[4]TableDesign!#REF!</definedName>
    <definedName name="C_SYSTEM_COMMTERM_INFO" localSheetId="7">[3]ﾃﾞｰﾀﾍﾞｰｽ変更点!#REF!</definedName>
    <definedName name="C_SYSTEM_COMMTERM_INFO" localSheetId="3">[3]ﾃﾞｰﾀﾍﾞｰｽ変更点!#REF!</definedName>
    <definedName name="C_SYSTEM_COMMTERM_INFO">[3]ﾃﾞｰﾀﾍﾞｰｽ変更点!#REF!</definedName>
    <definedName name="C_SYSTEM_LOG" localSheetId="7">[3]ﾃﾞｰﾀﾍﾞｰｽ変更点!#REF!</definedName>
    <definedName name="C_SYSTEM_LOG" localSheetId="3">[3]ﾃﾞｰﾀﾍﾞｰｽ変更点!#REF!</definedName>
    <definedName name="C_SYSTEM_LOG">[3]ﾃﾞｰﾀﾍﾞｰｽ変更点!#REF!</definedName>
    <definedName name="C_SYSTEM_NOTICE" localSheetId="7">[3]ﾃﾞｰﾀﾍﾞｰｽ変更点!#REF!</definedName>
    <definedName name="C_SYSTEM_NOTICE" localSheetId="3">[3]ﾃﾞｰﾀﾍﾞｰｽ変更点!#REF!</definedName>
    <definedName name="C_SYSTEM_NOTICE">[3]ﾃﾞｰﾀﾍﾞｰｽ変更点!#REF!</definedName>
    <definedName name="C_TARGET" localSheetId="7">[3]ﾃﾞｰﾀﾍﾞｰｽ変更点!#REF!</definedName>
    <definedName name="C_TARGET" localSheetId="3">[3]ﾃﾞｰﾀﾍﾞｰｽ変更点!#REF!</definedName>
    <definedName name="C_TARGET">[3]ﾃﾞｰﾀﾍﾞｰｽ変更点!#REF!</definedName>
    <definedName name="C_TARGET_CAR" localSheetId="7">[3]ﾃﾞｰﾀﾍﾞｰｽ変更点!#REF!</definedName>
    <definedName name="C_TARGET_CAR" localSheetId="3">[3]ﾃﾞｰﾀﾍﾞｰｽ変更点!#REF!</definedName>
    <definedName name="C_TARGET_CAR">[3]ﾃﾞｰﾀﾍﾞｰｽ変更点!#REF!</definedName>
    <definedName name="C_TERMINAL_AREA" localSheetId="7">[3]ﾃﾞｰﾀﾍﾞｰｽ変更点!#REF!</definedName>
    <definedName name="C_TERMINAL_AREA" localSheetId="3">[3]ﾃﾞｰﾀﾍﾞｰｽ変更点!#REF!</definedName>
    <definedName name="C_TERMINAL_AREA">[3]ﾃﾞｰﾀﾍﾞｰｽ変更点!#REF!</definedName>
    <definedName name="C_TERMINAL_CAUTION" localSheetId="7">[3]ﾃﾞｰﾀﾍﾞｰｽ変更点!#REF!</definedName>
    <definedName name="C_TERMINAL_CAUTION" localSheetId="3">[3]ﾃﾞｰﾀﾍﾞｰｽ変更点!#REF!</definedName>
    <definedName name="C_TERMINAL_CAUTION">[3]ﾃﾞｰﾀﾍﾞｰｽ変更点!#REF!</definedName>
    <definedName name="C_TERMINAL_ERROR" localSheetId="7">[3]ﾃﾞｰﾀﾍﾞｰｽ変更点!#REF!</definedName>
    <definedName name="C_TERMINAL_ERROR" localSheetId="3">[3]ﾃﾞｰﾀﾍﾞｰｽ変更点!#REF!</definedName>
    <definedName name="C_TERMINAL_ERROR">[3]ﾃﾞｰﾀﾍﾞｰｽ変更点!#REF!</definedName>
    <definedName name="C_TERMINAL_KIND" localSheetId="7">[3]ﾃﾞｰﾀﾍﾞｰｽ変更点!#REF!</definedName>
    <definedName name="C_TERMINAL_KIND" localSheetId="3">[3]ﾃﾞｰﾀﾍﾞｰｽ変更点!#REF!</definedName>
    <definedName name="C_TERMINAL_KIND">[3]ﾃﾞｰﾀﾍﾞｰｽ変更点!#REF!</definedName>
    <definedName name="C_TERMINAL_MASTER" localSheetId="7">[3]ﾃﾞｰﾀﾍﾞｰｽ変更点!#REF!</definedName>
    <definedName name="C_TERMINAL_MASTER" localSheetId="3">[3]ﾃﾞｰﾀﾍﾞｰｽ変更点!#REF!</definedName>
    <definedName name="C_TERMINAL_MASTER">[3]ﾃﾞｰﾀﾍﾞｰｽ変更点!#REF!</definedName>
    <definedName name="C_TERMINAL_PART_MASTER" localSheetId="7">[3]ﾃﾞｰﾀﾍﾞｰｽ変更点!#REF!</definedName>
    <definedName name="C_TERMINAL_PART_MASTER" localSheetId="3">[3]ﾃﾞｰﾀﾍﾞｰｽ変更点!#REF!</definedName>
    <definedName name="C_TERMINAL_PART_MASTER">[3]ﾃﾞｰﾀﾍﾞｰｽ変更点!#REF!</definedName>
    <definedName name="C_TYPE_MASTER" localSheetId="7">[3]ﾃﾞｰﾀﾍﾞｰｽ変更点!#REF!</definedName>
    <definedName name="C_TYPE_MASTER" localSheetId="3">[3]ﾃﾞｰﾀﾍﾞｰｽ変更点!#REF!</definedName>
    <definedName name="C_TYPE_MASTER">[3]ﾃﾞｰﾀﾍﾞｰｽ変更点!#REF!</definedName>
    <definedName name="C_UFO" localSheetId="7">[3]ﾃﾞｰﾀﾍﾞｰｽ変更点!#REF!</definedName>
    <definedName name="C_UFO" localSheetId="3">[3]ﾃﾞｰﾀﾍﾞｰｽ変更点!#REF!</definedName>
    <definedName name="C_UFO">[3]ﾃﾞｰﾀﾍﾞｰｽ変更点!#REF!</definedName>
    <definedName name="C_UNRELIABLE_RECEIVE" localSheetId="7">[3]ﾃﾞｰﾀﾍﾞｰｽ変更点!#REF!</definedName>
    <definedName name="C_UNRELIABLE_RECEIVE" localSheetId="3">[3]ﾃﾞｰﾀﾍﾞｰｽ変更点!#REF!</definedName>
    <definedName name="C_UNRELIABLE_RECEIVE">[3]ﾃﾞｰﾀﾍﾞｰｽ変更点!#REF!</definedName>
    <definedName name="C_USER_MASTER" localSheetId="7">[3]ﾃﾞｰﾀﾍﾞｰｽ変更点!#REF!</definedName>
    <definedName name="C_USER_MASTER" localSheetId="3">[3]ﾃﾞｰﾀﾍﾞｰｽ変更点!#REF!</definedName>
    <definedName name="C_USER_MASTER">[3]ﾃﾞｰﾀﾍﾞｰｽ変更点!#REF!</definedName>
    <definedName name="C_USER_TEMP" localSheetId="7">[3]ﾃﾞｰﾀﾍﾞｰｽ変更点!#REF!</definedName>
    <definedName name="C_USER_TEMP" localSheetId="3">[3]ﾃﾞｰﾀﾍﾞｰｽ変更点!#REF!</definedName>
    <definedName name="C_USER_TEMP">[3]ﾃﾞｰﾀﾍﾞｰｽ変更点!#REF!</definedName>
    <definedName name="C_WATER_TEMP_GAUGE" localSheetId="7">[4]TableDesign!#REF!</definedName>
    <definedName name="C_WATER_TEMP_GAUGE" localSheetId="3">[4]TableDesign!#REF!</definedName>
    <definedName name="C_WATER_TEMP_GAUGE">[4]TableDesign!#REF!</definedName>
    <definedName name="CAR" localSheetId="7">[3]ﾃﾞｰﾀﾍﾞｰｽ変更点!#REF!</definedName>
    <definedName name="CAR" localSheetId="3">[3]ﾃﾞｰﾀﾍﾞｰｽ変更点!#REF!</definedName>
    <definedName name="CAR">[3]ﾃﾞｰﾀﾍﾞｰｽ変更点!#REF!</definedName>
    <definedName name="CC" localSheetId="7">'[6]DATA-COMMUNICATION-FORMAT'!#REF!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7">[5]テーブル設計!#REF!</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7">[3]ﾃﾞｰﾀﾍﾞｰｽ変更点!#REF!</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7">[3]ﾃﾞｰﾀﾍﾞｰｽ変更点!#REF!</definedName>
    <definedName name="D_ACT_DATA" localSheetId="3">[3]ﾃﾞｰﾀﾍﾞｰｽ変更点!#REF!</definedName>
    <definedName name="D_ACT_DATA">[3]ﾃﾞｰﾀﾍﾞｰｽ変更点!#REF!</definedName>
    <definedName name="D_ACTUAL_OPERATION" localSheetId="7">[4]TableDesign!#REF!</definedName>
    <definedName name="D_ACTUAL_OPERATION" localSheetId="3">[4]TableDesign!#REF!</definedName>
    <definedName name="D_ACTUAL_OPERATION">[4]TableDesign!#REF!</definedName>
    <definedName name="D_AREA" localSheetId="7">[3]ﾃﾞｰﾀﾍﾞｰｽ変更点!#REF!</definedName>
    <definedName name="D_AREA" localSheetId="3">[3]ﾃﾞｰﾀﾍﾞｰｽ変更点!#REF!</definedName>
    <definedName name="D_AREA">[3]ﾃﾞｰﾀﾍﾞｰｽ変更点!#REF!</definedName>
    <definedName name="D_AREA_DEFINE" localSheetId="7">[3]ﾃﾞｰﾀﾍﾞｰｽ変更点!#REF!</definedName>
    <definedName name="D_AREA_DEFINE" localSheetId="3">[3]ﾃﾞｰﾀﾍﾞｰｽ変更点!#REF!</definedName>
    <definedName name="D_AREA_DEFINE">[3]ﾃﾞｰﾀﾍﾞｰｽ変更点!#REF!</definedName>
    <definedName name="D_AREA_INIT" localSheetId="7">[3]ﾃﾞｰﾀﾍﾞｰｽ変更点!#REF!</definedName>
    <definedName name="D_AREA_INIT" localSheetId="3">[3]ﾃﾞｰﾀﾍﾞｰｽ変更点!#REF!</definedName>
    <definedName name="D_AREA_INIT">[3]ﾃﾞｰﾀﾍﾞｰｽ変更点!#REF!</definedName>
    <definedName name="D_AREA_MASTER" localSheetId="7">[3]ﾃﾞｰﾀﾍﾞｰｽ変更点!#REF!</definedName>
    <definedName name="D_AREA_MASTER" localSheetId="3">[3]ﾃﾞｰﾀﾍﾞｰｽ変更点!#REF!</definedName>
    <definedName name="D_AREA_MASTER">[3]ﾃﾞｰﾀﾍﾞｰｽ変更点!#REF!</definedName>
    <definedName name="D_ASK" localSheetId="7">[3]ﾃﾞｰﾀﾍﾞｰｽ変更点!#REF!</definedName>
    <definedName name="D_ASK" localSheetId="3">[3]ﾃﾞｰﾀﾍﾞｰｽ変更点!#REF!</definedName>
    <definedName name="D_ASK">[3]ﾃﾞｰﾀﾍﾞｰｽ変更点!#REF!</definedName>
    <definedName name="D_ASK_LOG" localSheetId="7">[5]テーブル設計!#REF!</definedName>
    <definedName name="D_ASK_LOG" localSheetId="3">[5]テーブル設計!#REF!</definedName>
    <definedName name="D_ASK_LOG">[5]テーブル設計!#REF!</definedName>
    <definedName name="D_ASK_SYSTEM" localSheetId="7">[3]ﾃﾞｰﾀﾍﾞｰｽ変更点!#REF!</definedName>
    <definedName name="D_ASK_SYSTEM" localSheetId="3">[3]ﾃﾞｰﾀﾍﾞｰｽ変更点!#REF!</definedName>
    <definedName name="D_ASK_SYSTEM">[3]ﾃﾞｰﾀﾍﾞｰｽ変更点!#REF!</definedName>
    <definedName name="D_ATC_ERROR" localSheetId="7">[5]テーブル設計!#REF!</definedName>
    <definedName name="D_ATC_ERROR" localSheetId="3">[5]テーブル設計!#REF!</definedName>
    <definedName name="D_ATC_ERROR">[5]テーブル設計!#REF!</definedName>
    <definedName name="D_AUTHORITY_GROUP" localSheetId="7">[3]ﾃﾞｰﾀﾍﾞｰｽ変更点!#REF!</definedName>
    <definedName name="D_AUTHORITY_GROUP" localSheetId="3">[3]ﾃﾞｰﾀﾍﾞｰｽ変更点!#REF!</definedName>
    <definedName name="D_AUTHORITY_GROUP">[3]ﾃﾞｰﾀﾍﾞｰｽ変更点!#REF!</definedName>
    <definedName name="D_AUTHORITY_GROUP_DATA" localSheetId="7">[3]ﾃﾞｰﾀﾍﾞｰｽ変更点!#REF!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7">[5]テーブル設計!#REF!</definedName>
    <definedName name="D_AUTHORITY_MASTER" localSheetId="3">[5]テーブル設計!#REF!</definedName>
    <definedName name="D_AUTHORITY_MASTER">[5]テーブル設計!#REF!</definedName>
    <definedName name="D_BONDED_STORE" localSheetId="7">[5]テーブル設計!#REF!</definedName>
    <definedName name="D_BONDED_STORE" localSheetId="3">[5]テーブル設計!#REF!</definedName>
    <definedName name="D_BONDED_STORE">[5]テーブル設計!#REF!</definedName>
    <definedName name="D_CAR_DATA" localSheetId="7">[3]ﾃﾞｰﾀﾍﾞｰｽ変更点!#REF!</definedName>
    <definedName name="D_CAR_DATA" localSheetId="3">[3]ﾃﾞｰﾀﾍﾞｰｽ変更点!#REF!</definedName>
    <definedName name="D_CAR_DATA">[3]ﾃﾞｰﾀﾍﾞｰｽ変更点!#REF!</definedName>
    <definedName name="D_CAR_MASTER" localSheetId="7">[3]ﾃﾞｰﾀﾍﾞｰｽ変更点!#REF!</definedName>
    <definedName name="D_CAR_MASTER" localSheetId="3">[3]ﾃﾞｰﾀﾍﾞｰｽ変更点!#REF!</definedName>
    <definedName name="D_CAR_MASTER">[3]ﾃﾞｰﾀﾍﾞｰｽ変更点!#REF!</definedName>
    <definedName name="D_CAR_MONTHLY_DATA" localSheetId="7">[3]ﾃﾞｰﾀﾍﾞｰｽ変更点!#REF!</definedName>
    <definedName name="D_CAR_MONTHLY_DATA" localSheetId="3">[3]ﾃﾞｰﾀﾍﾞｰｽ変更点!#REF!</definedName>
    <definedName name="D_CAR_MONTHLY_DATA">[3]ﾃﾞｰﾀﾍﾞｰｽ変更点!#REF!</definedName>
    <definedName name="D_CAR_OWNER_HISTORY" localSheetId="7">[3]ﾃﾞｰﾀﾍﾞｰｽ変更点!#REF!</definedName>
    <definedName name="D_CAR_OWNER_HISTORY" localSheetId="3">[3]ﾃﾞｰﾀﾍﾞｰｽ変更点!#REF!</definedName>
    <definedName name="D_CAR_OWNER_HISTORY">[3]ﾃﾞｰﾀﾍﾞｰｽ変更点!#REF!</definedName>
    <definedName name="D_CAUTION" localSheetId="7">[4]TableDesign!#REF!</definedName>
    <definedName name="D_CAUTION" localSheetId="3">[4]TableDesign!#REF!</definedName>
    <definedName name="D_CAUTION">[4]TableDesign!#REF!</definedName>
    <definedName name="D_CAUTION_DATA" localSheetId="7">[3]ﾃﾞｰﾀﾍﾞｰｽ変更点!#REF!</definedName>
    <definedName name="D_CAUTION_DATA" localSheetId="3">[3]ﾃﾞｰﾀﾍﾞｰｽ変更点!#REF!</definedName>
    <definedName name="D_CAUTION_DATA">[3]ﾃﾞｰﾀﾍﾞｰｽ変更点!#REF!</definedName>
    <definedName name="D_CAUTION_ENABLED" localSheetId="7">[3]ﾃﾞｰﾀﾍﾞｰｽ変更点!#REF!</definedName>
    <definedName name="D_CAUTION_ENABLED" localSheetId="3">[3]ﾃﾞｰﾀﾍﾞｰｽ変更点!#REF!</definedName>
    <definedName name="D_CAUTION_ENABLED">[3]ﾃﾞｰﾀﾍﾞｰｽ変更点!#REF!</definedName>
    <definedName name="D_CAUTION_ICON" localSheetId="7">[3]ﾃﾞｰﾀﾍﾞｰｽ変更点!#REF!</definedName>
    <definedName name="D_CAUTION_ICON" localSheetId="3">[3]ﾃﾞｰﾀﾍﾞｰｽ変更点!#REF!</definedName>
    <definedName name="D_CAUTION_ICON">[3]ﾃﾞｰﾀﾍﾞｰｽ変更点!#REF!</definedName>
    <definedName name="D_CAUTION_INIT" localSheetId="7">[3]ﾃﾞｰﾀﾍﾞｰｽ変更点!#REF!</definedName>
    <definedName name="D_CAUTION_INIT" localSheetId="3">[3]ﾃﾞｰﾀﾍﾞｰｽ変更点!#REF!</definedName>
    <definedName name="D_CAUTION_INIT">[3]ﾃﾞｰﾀﾍﾞｰｽ変更点!#REF!</definedName>
    <definedName name="D_CAUTION_MASTER" localSheetId="7">[3]ﾃﾞｰﾀﾍﾞｰｽ変更点!#REF!</definedName>
    <definedName name="D_CAUTION_MASTER" localSheetId="3">[3]ﾃﾞｰﾀﾍﾞｰｽ変更点!#REF!</definedName>
    <definedName name="D_CAUTION_MASTER">[3]ﾃﾞｰﾀﾍﾞｰｽ変更点!#REF!</definedName>
    <definedName name="D_CLASS1_MASTER" localSheetId="7">[3]ﾃﾞｰﾀﾍﾞｰｽ変更点!#REF!</definedName>
    <definedName name="D_CLASS1_MASTER" localSheetId="3">[3]ﾃﾞｰﾀﾍﾞｰｽ変更点!#REF!</definedName>
    <definedName name="D_CLASS1_MASTER">[3]ﾃﾞｰﾀﾍﾞｰｽ変更点!#REF!</definedName>
    <definedName name="D_CLASS2_MASTER" localSheetId="7">[3]ﾃﾞｰﾀﾍﾞｰｽ変更点!#REF!</definedName>
    <definedName name="D_CLASS2_MASTER" localSheetId="3">[3]ﾃﾞｰﾀﾍﾞｰｽ変更点!#REF!</definedName>
    <definedName name="D_CLASS2_MASTER">[3]ﾃﾞｰﾀﾍﾞｰｽ変更点!#REF!</definedName>
    <definedName name="D_COMM_DATA" localSheetId="7">[3]ﾃﾞｰﾀﾍﾞｰｽ変更点!#REF!</definedName>
    <definedName name="D_COMM_DATA" localSheetId="3">[3]ﾃﾞｰﾀﾍﾞｰｽ変更点!#REF!</definedName>
    <definedName name="D_COMM_DATA">[3]ﾃﾞｰﾀﾍﾞｰｽ変更点!#REF!</definedName>
    <definedName name="D_COMM_STATUS_MASTER" localSheetId="7">[3]ﾃﾞｰﾀﾍﾞｰｽ変更点!#REF!</definedName>
    <definedName name="D_COMM_STATUS_MASTER" localSheetId="3">[3]ﾃﾞｰﾀﾍﾞｰｽ変更点!#REF!</definedName>
    <definedName name="D_COMM_STATUS_MASTER">[3]ﾃﾞｰﾀﾍﾞｰｽ変更点!#REF!</definedName>
    <definedName name="D_CONFIG_DEFINE" localSheetId="7">[3]ﾃﾞｰﾀﾍﾞｰｽ変更点!#REF!</definedName>
    <definedName name="D_CONFIG_DEFINE" localSheetId="3">[3]ﾃﾞｰﾀﾍﾞｰｽ変更点!#REF!</definedName>
    <definedName name="D_CONFIG_DEFINE">[3]ﾃﾞｰﾀﾍﾞｰｽ変更点!#REF!</definedName>
    <definedName name="D_CONFIG_FLAG" localSheetId="7">[5]テーブル設計!#REF!</definedName>
    <definedName name="D_CONFIG_FLAG" localSheetId="3">[5]テーブル設計!#REF!</definedName>
    <definedName name="D_CONFIG_FLAG">[5]テーブル設計!#REF!</definedName>
    <definedName name="D_CONFIG_INIT" localSheetId="7">[3]ﾃﾞｰﾀﾍﾞｰｽ変更点!#REF!</definedName>
    <definedName name="D_CONFIG_INIT" localSheetId="3">[3]ﾃﾞｰﾀﾍﾞｰｽ変更点!#REF!</definedName>
    <definedName name="D_CONFIG_INIT">[3]ﾃﾞｰﾀﾍﾞｰｽ変更点!#REF!</definedName>
    <definedName name="D_CONFIG_PATTERN" localSheetId="7">[3]ﾃﾞｰﾀﾍﾞｰｽ変更点!#REF!</definedName>
    <definedName name="D_CONFIG_PATTERN" localSheetId="3">[3]ﾃﾞｰﾀﾍﾞｰｽ変更点!#REF!</definedName>
    <definedName name="D_CONFIG_PATTERN">[3]ﾃﾞｰﾀﾍﾞｰｽ変更点!#REF!</definedName>
    <definedName name="D_CONFIG_PATTERN_DATA" localSheetId="7">[3]ﾃﾞｰﾀﾍﾞｰｽ変更点!#REF!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7">[5]テーブル設計!#REF!</definedName>
    <definedName name="D_CONFIG_USER_FLAG" localSheetId="3">[5]テーブル設計!#REF!</definedName>
    <definedName name="D_CONFIG_USER_FLAG">[5]テーブル設計!#REF!</definedName>
    <definedName name="D_CONTRACT" localSheetId="7">[5]テーブル設計!#REF!</definedName>
    <definedName name="D_CONTRACT" localSheetId="3">[5]テーブル設計!#REF!</definedName>
    <definedName name="D_CONTRACT">[5]テーブル設計!#REF!</definedName>
    <definedName name="D_CUSTOMER" localSheetId="7">[3]ﾃﾞｰﾀﾍﾞｰｽ変更点!#REF!</definedName>
    <definedName name="D_CUSTOMER" localSheetId="3">[3]ﾃﾞｰﾀﾍﾞｰｽ変更点!#REF!</definedName>
    <definedName name="D_CUSTOMER">[3]ﾃﾞｰﾀﾍﾞｰｽ変更点!#REF!</definedName>
    <definedName name="D_CUSTOMER_CAR" localSheetId="7">[3]ﾃﾞｰﾀﾍﾞｰｽ変更点!#REF!</definedName>
    <definedName name="D_CUSTOMER_CAR" localSheetId="3">[3]ﾃﾞｰﾀﾍﾞｰｽ変更点!#REF!</definedName>
    <definedName name="D_CUSTOMER_CAR">[3]ﾃﾞｰﾀﾍﾞｰｽ変更点!#REF!</definedName>
    <definedName name="D_CUSTOMER_MASTER" localSheetId="7">[4]TableDesign!#REF!</definedName>
    <definedName name="D_CUSTOMER_MASTER" localSheetId="3">[4]TableDesign!#REF!</definedName>
    <definedName name="D_CUSTOMER_MASTER">[4]TableDesign!#REF!</definedName>
    <definedName name="D_DIVISION_MASTER" localSheetId="7">[3]ﾃﾞｰﾀﾍﾞｰｽ変更点!#REF!</definedName>
    <definedName name="D_DIVISION_MASTER" localSheetId="3">[3]ﾃﾞｰﾀﾍﾞｰｽ変更点!#REF!</definedName>
    <definedName name="D_DIVISION_MASTER">[3]ﾃﾞｰﾀﾍﾞｰｽ変更点!#REF!</definedName>
    <definedName name="D_DOPA" localSheetId="7">[3]ﾃﾞｰﾀﾍﾞｰｽ変更点!#REF!</definedName>
    <definedName name="D_DOPA" localSheetId="3">[3]ﾃﾞｰﾀﾍﾞｰｽ変更点!#REF!</definedName>
    <definedName name="D_DOPA">[3]ﾃﾞｰﾀﾍﾞｰｽ変更点!#REF!</definedName>
    <definedName name="D_DOPA_OWNER_HISTORY" localSheetId="7">[3]ﾃﾞｰﾀﾍﾞｰｽ変更点!#REF!</definedName>
    <definedName name="D_DOPA_OWNER_HISTORY" localSheetId="3">[3]ﾃﾞｰﾀﾍﾞｰｽ変更点!#REF!</definedName>
    <definedName name="D_DOPA_OWNER_HISTORY">[3]ﾃﾞｰﾀﾍﾞｰｽ変更点!#REF!</definedName>
    <definedName name="D_DOPA_SERVER" localSheetId="7">[3]ﾃﾞｰﾀﾍﾞｰｽ変更点!#REF!</definedName>
    <definedName name="D_DOPA_SERVER" localSheetId="3">[3]ﾃﾞｰﾀﾍﾞｰｽ変更点!#REF!</definedName>
    <definedName name="D_DOPA_SERVER">[3]ﾃﾞｰﾀﾍﾞｰｽ変更点!#REF!</definedName>
    <definedName name="D_EQUIPMENT_HISTORY" localSheetId="7">[3]ﾃﾞｰﾀﾍﾞｰｽ変更点!#REF!</definedName>
    <definedName name="D_EQUIPMENT_HISTORY" localSheetId="3">[3]ﾃﾞｰﾀﾍﾞｰｽ変更点!#REF!</definedName>
    <definedName name="D_EQUIPMENT_HISTORY">[3]ﾃﾞｰﾀﾍﾞｰｽ変更点!#REF!</definedName>
    <definedName name="D_ERROR" localSheetId="7">[3]ﾃﾞｰﾀﾍﾞｰｽ変更点!#REF!</definedName>
    <definedName name="D_ERROR" localSheetId="3">[3]ﾃﾞｰﾀﾍﾞｰｽ変更点!#REF!</definedName>
    <definedName name="D_ERROR">[3]ﾃﾞｰﾀﾍﾞｰｽ変更点!#REF!</definedName>
    <definedName name="D_ERROR_ENABLED" localSheetId="7">[3]ﾃﾞｰﾀﾍﾞｰｽ変更点!#REF!</definedName>
    <definedName name="D_ERROR_ENABLED" localSheetId="3">[3]ﾃﾞｰﾀﾍﾞｰｽ変更点!#REF!</definedName>
    <definedName name="D_ERROR_ENABLED">[3]ﾃﾞｰﾀﾍﾞｰｽ変更点!#REF!</definedName>
    <definedName name="D_ERROR_MASTER" localSheetId="7">[3]ﾃﾞｰﾀﾍﾞｰｽ変更点!#REF!</definedName>
    <definedName name="D_ERROR_MASTER" localSheetId="3">[3]ﾃﾞｰﾀﾍﾞｰｽ変更点!#REF!</definedName>
    <definedName name="D_ERROR_MASTER">[3]ﾃﾞｰﾀﾍﾞｰｽ変更点!#REF!</definedName>
    <definedName name="D_EVENT_CATEGORY" localSheetId="7">[4]TableDesign!#REF!</definedName>
    <definedName name="D_EVENT_CATEGORY" localSheetId="3">[4]TableDesign!#REF!</definedName>
    <definedName name="D_EVENT_CATEGORY">[4]TableDesign!#REF!</definedName>
    <definedName name="D_EVENT_DIVISION" localSheetId="7">[3]ﾃﾞｰﾀﾍﾞｰｽ変更点!#REF!</definedName>
    <definedName name="D_EVENT_DIVISION" localSheetId="3">[3]ﾃﾞｰﾀﾍﾞｰｽ変更点!#REF!</definedName>
    <definedName name="D_EVENT_DIVISION">[3]ﾃﾞｰﾀﾍﾞｰｽ変更点!#REF!</definedName>
    <definedName name="D_EVENT_MASTER" localSheetId="7">[3]ﾃﾞｰﾀﾍﾞｰｽ変更点!#REF!</definedName>
    <definedName name="D_EVENT_MASTER" localSheetId="3">[3]ﾃﾞｰﾀﾍﾞｰｽ変更点!#REF!</definedName>
    <definedName name="D_EVENT_MASTER">[3]ﾃﾞｰﾀﾍﾞｰｽ変更点!#REF!</definedName>
    <definedName name="D_EVENT_NOTICE" localSheetId="7">[3]ﾃﾞｰﾀﾍﾞｰｽ変更点!#REF!</definedName>
    <definedName name="D_EVENT_NOTICE" localSheetId="3">[3]ﾃﾞｰﾀﾍﾞｰｽ変更点!#REF!</definedName>
    <definedName name="D_EVENT_NOTICE">[3]ﾃﾞｰﾀﾍﾞｰｽ変更点!#REF!</definedName>
    <definedName name="D_FUEL_GAUGE" localSheetId="7">[4]TableDesign!#REF!</definedName>
    <definedName name="D_FUEL_GAUGE" localSheetId="3">[4]TableDesign!#REF!</definedName>
    <definedName name="D_FUEL_GAUGE">[4]TableDesign!#REF!</definedName>
    <definedName name="D_GAUGE_FUEL_WTTEMP" localSheetId="7">[3]ﾃﾞｰﾀﾍﾞｰｽ変更点!#REF!</definedName>
    <definedName name="D_GAUGE_FUEL_WTTEMP" localSheetId="3">[3]ﾃﾞｰﾀﾍﾞｰｽ変更点!#REF!</definedName>
    <definedName name="D_GAUGE_FUEL_WTTEMP">[3]ﾃﾞｰﾀﾍﾞｰｽ変更点!#REF!</definedName>
    <definedName name="D_GIS_DEFINE" localSheetId="7">[4]TableDesign!#REF!</definedName>
    <definedName name="D_GIS_DEFINE" localSheetId="3">[4]TableDesign!#REF!</definedName>
    <definedName name="D_GIS_DEFINE">[4]TableDesign!#REF!</definedName>
    <definedName name="D_GPS" localSheetId="7">[3]ﾃﾞｰﾀﾍﾞｰｽ変更点!#REF!</definedName>
    <definedName name="D_GPS" localSheetId="3">[3]ﾃﾞｰﾀﾍﾞｰｽ変更点!#REF!</definedName>
    <definedName name="D_GPS">[3]ﾃﾞｰﾀﾍﾞｰｽ変更点!#REF!</definedName>
    <definedName name="D_GRANT_AUTHORITY" localSheetId="7">[3]ﾃﾞｰﾀﾍﾞｰｽ変更点!#REF!</definedName>
    <definedName name="D_GRANT_AUTHORITY" localSheetId="3">[3]ﾃﾞｰﾀﾍﾞｰｽ変更点!#REF!</definedName>
    <definedName name="D_GRANT_AUTHORITY">[3]ﾃﾞｰﾀﾍﾞｰｽ変更点!#REF!</definedName>
    <definedName name="D_GROUP_MASTER" localSheetId="7">[3]ﾃﾞｰﾀﾍﾞｰｽ変更点!#REF!</definedName>
    <definedName name="D_GROUP_MASTER" localSheetId="3">[3]ﾃﾞｰﾀﾍﾞｰｽ変更点!#REF!</definedName>
    <definedName name="D_GROUP_MASTER">[3]ﾃﾞｰﾀﾍﾞｰｽ変更点!#REF!</definedName>
    <definedName name="D_IGNORE_CAUTION" localSheetId="7">[5]テーブル設計!#REF!</definedName>
    <definedName name="D_IGNORE_CAUTION" localSheetId="3">[5]テーブル設計!#REF!</definedName>
    <definedName name="D_IGNORE_CAUTION">[5]テーブル設計!#REF!</definedName>
    <definedName name="D_IGNORE_ERROR" localSheetId="7">[5]テーブル設計!#REF!</definedName>
    <definedName name="D_IGNORE_ERROR" localSheetId="3">[5]テーブル設計!#REF!</definedName>
    <definedName name="D_IGNORE_ERROR">[5]テーブル設計!#REF!</definedName>
    <definedName name="D_INFORM_MASTER" localSheetId="7">[3]ﾃﾞｰﾀﾍﾞｰｽ変更点!#REF!</definedName>
    <definedName name="D_INFORM_MASTER" localSheetId="3">[3]ﾃﾞｰﾀﾍﾞｰｽ変更点!#REF!</definedName>
    <definedName name="D_INFORM_MASTER">[3]ﾃﾞｰﾀﾍﾞｰｽ変更点!#REF!</definedName>
    <definedName name="D_INFORMATION" localSheetId="7">[3]ﾃﾞｰﾀﾍﾞｰｽ変更点!#REF!</definedName>
    <definedName name="D_INFORMATION" localSheetId="3">[3]ﾃﾞｰﾀﾍﾞｰｽ変更点!#REF!</definedName>
    <definedName name="D_INFORMATION">[3]ﾃﾞｰﾀﾍﾞｰｽ変更点!#REF!</definedName>
    <definedName name="D_INFORMATION_READED" localSheetId="7">[3]ﾃﾞｰﾀﾍﾞｰｽ変更点!#REF!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7">[5]テーブル設計!#REF!</definedName>
    <definedName name="D_INVALID_PART_TERMINAL" localSheetId="3">[5]テーブル設計!#REF!</definedName>
    <definedName name="D_INVALID_PART_TERMINAL">[5]テーブル設計!#REF!</definedName>
    <definedName name="D_KIND_MASTER" localSheetId="7">[3]ﾃﾞｰﾀﾍﾞｰｽ変更点!#REF!</definedName>
    <definedName name="D_KIND_MASTER" localSheetId="3">[3]ﾃﾞｰﾀﾍﾞｰｽ変更点!#REF!</definedName>
    <definedName name="D_KIND_MASTER">[3]ﾃﾞｰﾀﾍﾞｰｽ変更点!#REF!</definedName>
    <definedName name="D_KRO_APPLICATION" localSheetId="7">[3]ﾃﾞｰﾀﾍﾞｰｽ変更点!#REF!</definedName>
    <definedName name="D_KRO_APPLICATION" localSheetId="3">[3]ﾃﾞｰﾀﾍﾞｰｽ変更点!#REF!</definedName>
    <definedName name="D_KRO_APPLICATION">[3]ﾃﾞｰﾀﾍﾞｰｽ変更点!#REF!</definedName>
    <definedName name="D_KRO_APPLICATION_DATA" localSheetId="7">[3]ﾃﾞｰﾀﾍﾞｰｽ変更点!#REF!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7">[3]ﾃﾞｰﾀﾍﾞｰｽ変更点!#REF!</definedName>
    <definedName name="D_KRO_COMPLETION" localSheetId="3">[3]ﾃﾞｰﾀﾍﾞｰｽ変更点!#REF!</definedName>
    <definedName name="D_KRO_COMPLETION">[3]ﾃﾞｰﾀﾍﾞｰｽ変更点!#REF!</definedName>
    <definedName name="D_KRO_COMPLETION_DATA" localSheetId="7">[3]ﾃﾞｰﾀﾍﾞｰｽ変更点!#REF!</definedName>
    <definedName name="D_KRO_COMPLETION_DATA" localSheetId="3">[3]ﾃﾞｰﾀﾍﾞｰｽ変更点!#REF!</definedName>
    <definedName name="D_KRO_COMPLETION_DATA">[3]ﾃﾞｰﾀﾍﾞｰｽ変更点!#REF!</definedName>
    <definedName name="D_KRO_EMERGENCY" localSheetId="7">[5]テーブル設計!#REF!</definedName>
    <definedName name="D_KRO_EMERGENCY" localSheetId="3">[5]テーブル設計!#REF!</definedName>
    <definedName name="D_KRO_EMERGENCY">[5]テーブル設計!#REF!</definedName>
    <definedName name="D_KRO_REPORT" localSheetId="7">[3]ﾃﾞｰﾀﾍﾞｰｽ変更点!#REF!</definedName>
    <definedName name="D_KRO_REPORT" localSheetId="3">[3]ﾃﾞｰﾀﾍﾞｰｽ変更点!#REF!</definedName>
    <definedName name="D_KRO_REPORT">[3]ﾃﾞｰﾀﾍﾞｰｽ変更点!#REF!</definedName>
    <definedName name="D_LANDMARK" localSheetId="7">[3]ﾃﾞｰﾀﾍﾞｰｽ変更点!#REF!</definedName>
    <definedName name="D_LANDMARK" localSheetId="3">[3]ﾃﾞｰﾀﾍﾞｰｽ変更点!#REF!</definedName>
    <definedName name="D_LANDMARK">[3]ﾃﾞｰﾀﾍﾞｰｽ変更点!#REF!</definedName>
    <definedName name="D_LANDMARK_CLASS" localSheetId="7">[3]ﾃﾞｰﾀﾍﾞｰｽ変更点!#REF!</definedName>
    <definedName name="D_LANDMARK_CLASS" localSheetId="3">[3]ﾃﾞｰﾀﾍﾞｰｽ変更点!#REF!</definedName>
    <definedName name="D_LANDMARK_CLASS">[3]ﾃﾞｰﾀﾍﾞｰｽ変更点!#REF!</definedName>
    <definedName name="D_LOGON_HISTORY" localSheetId="7">[3]ﾃﾞｰﾀﾍﾞｰｽ変更点!#REF!</definedName>
    <definedName name="D_LOGON_HISTORY" localSheetId="3">[3]ﾃﾞｰﾀﾍﾞｰｽ変更点!#REF!</definedName>
    <definedName name="D_LOGON_HISTORY">[3]ﾃﾞｰﾀﾍﾞｰｽ変更点!#REF!</definedName>
    <definedName name="D_MACHINE_ERROR" localSheetId="7">[4]TableDesign!#REF!</definedName>
    <definedName name="D_MACHINE_ERROR" localSheetId="3">[4]TableDesign!#REF!</definedName>
    <definedName name="D_MACHINE_ERROR">[4]TableDesign!#REF!</definedName>
    <definedName name="D_MACHINE_STATUS_MASTER" localSheetId="7">[3]ﾃﾞｰﾀﾍﾞｰｽ変更点!#REF!</definedName>
    <definedName name="D_MACHINE_STATUS_MASTER" localSheetId="3">[3]ﾃﾞｰﾀﾍﾞｰｽ変更点!#REF!</definedName>
    <definedName name="D_MACHINE_STATUS_MASTER">[3]ﾃﾞｰﾀﾍﾞｰｽ変更点!#REF!</definedName>
    <definedName name="D_MAINTENANCE_DATA" localSheetId="7">[3]ﾃﾞｰﾀﾍﾞｰｽ変更点!#REF!</definedName>
    <definedName name="D_MAINTENANCE_DATA" localSheetId="3">[3]ﾃﾞｰﾀﾍﾞｰｽ変更点!#REF!</definedName>
    <definedName name="D_MAINTENANCE_DATA">[3]ﾃﾞｰﾀﾍﾞｰｽ変更点!#REF!</definedName>
    <definedName name="D_MAINTENANCE_INFORM" localSheetId="7">[3]ﾃﾞｰﾀﾍﾞｰｽ変更点!#REF!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7">[3]ﾃﾞｰﾀﾍﾞｰｽ変更点!#REF!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7">[4]TableDesign!#REF!</definedName>
    <definedName name="D_MAINTENANCE_TIME" localSheetId="3">[4]TableDesign!#REF!</definedName>
    <definedName name="D_MAINTENANCE_TIME">[4]TableDesign!#REF!</definedName>
    <definedName name="D_MAKER_MASTER" localSheetId="7">[3]ﾃﾞｰﾀﾍﾞｰｽ変更点!#REF!</definedName>
    <definedName name="D_MAKER_MASTER" localSheetId="3">[3]ﾃﾞｰﾀﾍﾞｰｽ変更点!#REF!</definedName>
    <definedName name="D_MAKER_MASTER">[3]ﾃﾞｰﾀﾍﾞｰｽ変更点!#REF!</definedName>
    <definedName name="D_MARK_MACHINE" localSheetId="7">[4]TableDesign!#REF!</definedName>
    <definedName name="D_MARK_MACHINE" localSheetId="3">[4]TableDesign!#REF!</definedName>
    <definedName name="D_MARK_MACHINE">[4]TableDesign!#REF!</definedName>
    <definedName name="D_MARK_NOTIFICATION" localSheetId="7">[4]TableDesign!#REF!</definedName>
    <definedName name="D_MARK_NOTIFICATION" localSheetId="3">[4]TableDesign!#REF!</definedName>
    <definedName name="D_MARK_NOTIFICATION">[4]TableDesign!#REF!</definedName>
    <definedName name="D_MARK_NOTIFICATION_DETAIL" localSheetId="7">[4]TableDesign!#REF!</definedName>
    <definedName name="D_MARK_NOTIFICATION_DETAIL" localSheetId="3">[4]TableDesign!#REF!</definedName>
    <definedName name="D_MARK_NOTIFICATION_DETAIL">[4]TableDesign!#REF!</definedName>
    <definedName name="D_MEMO" localSheetId="7">[3]ﾃﾞｰﾀﾍﾞｰｽ変更点!#REF!</definedName>
    <definedName name="D_MEMO" localSheetId="3">[3]ﾃﾞｰﾀﾍﾞｰｽ変更点!#REF!</definedName>
    <definedName name="D_MEMO">[3]ﾃﾞｰﾀﾍﾞｰｽ変更点!#REF!</definedName>
    <definedName name="D_MEMORY_MODIFY" localSheetId="7">[3]ﾃﾞｰﾀﾍﾞｰｽ変更点!#REF!</definedName>
    <definedName name="D_MEMORY_MODIFY" localSheetId="3">[3]ﾃﾞｰﾀﾍﾞｰｽ変更点!#REF!</definedName>
    <definedName name="D_MEMORY_MODIFY">[3]ﾃﾞｰﾀﾍﾞｰｽ変更点!#REF!</definedName>
    <definedName name="D_MEMORY_MODIFY_DATA" localSheetId="7">[3]ﾃﾞｰﾀﾍﾞｰｽ変更点!#REF!</definedName>
    <definedName name="D_MEMORY_MODIFY_DATA" localSheetId="3">[3]ﾃﾞｰﾀﾍﾞｰｽ変更点!#REF!</definedName>
    <definedName name="D_MEMORY_MODIFY_DATA">[3]ﾃﾞｰﾀﾍﾞｰｽ変更点!#REF!</definedName>
    <definedName name="D_MESSAGE" localSheetId="7">[3]ﾃﾞｰﾀﾍﾞｰｽ変更点!#REF!</definedName>
    <definedName name="D_MESSAGE" localSheetId="3">[3]ﾃﾞｰﾀﾍﾞｰｽ変更点!#REF!</definedName>
    <definedName name="D_MESSAGE">[3]ﾃﾞｰﾀﾍﾞｰｽ変更点!#REF!</definedName>
    <definedName name="D_MESSAGE_MASTER" localSheetId="7">[3]ﾃﾞｰﾀﾍﾞｰｽ変更点!#REF!</definedName>
    <definedName name="D_MESSAGE_MASTER" localSheetId="3">[3]ﾃﾞｰﾀﾍﾞｰｽ変更点!#REF!</definedName>
    <definedName name="D_MESSAGE_MASTER">[3]ﾃﾞｰﾀﾍﾞｰｽ変更点!#REF!</definedName>
    <definedName name="D_MONTHLY_ATT_SMR" localSheetId="7">[4]TableDesign!#REF!</definedName>
    <definedName name="D_MONTHLY_ATT_SMR" localSheetId="3">[4]TableDesign!#REF!</definedName>
    <definedName name="D_MONTHLY_ATT_SMR">[4]TableDesign!#REF!</definedName>
    <definedName name="D_MONTHLY_ERROR" localSheetId="7">[4]TableDesign!#REF!</definedName>
    <definedName name="D_MONTHLY_ERROR" localSheetId="3">[4]TableDesign!#REF!</definedName>
    <definedName name="D_MONTHLY_ERROR">[4]TableDesign!#REF!</definedName>
    <definedName name="D_MONTHLY_LOAD" localSheetId="7">[4]TableDesign!#REF!</definedName>
    <definedName name="D_MONTHLY_LOAD" localSheetId="3">[4]TableDesign!#REF!</definedName>
    <definedName name="D_MONTHLY_LOAD">[4]TableDesign!#REF!</definedName>
    <definedName name="D_MONTHLY_MOVEMENT" localSheetId="7">[4]TableDesign!#REF!</definedName>
    <definedName name="D_MONTHLY_MOVEMENT" localSheetId="3">[4]TableDesign!#REF!</definedName>
    <definedName name="D_MONTHLY_MOVEMENT">[4]TableDesign!#REF!</definedName>
    <definedName name="D_MONTHLY_OPERATION" localSheetId="7">[4]TableDesign!#REF!</definedName>
    <definedName name="D_MONTHLY_OPERATION" localSheetId="3">[4]TableDesign!#REF!</definedName>
    <definedName name="D_MONTHLY_OPERATION">[4]TableDesign!#REF!</definedName>
    <definedName name="D_MONTHLY_SMR" localSheetId="7">[4]TableDesign!#REF!</definedName>
    <definedName name="D_MONTHLY_SMR" localSheetId="3">[4]TableDesign!#REF!</definedName>
    <definedName name="D_MONTHLY_SMR">[4]TableDesign!#REF!</definedName>
    <definedName name="D_MONTHLY_WORKING_SMR" localSheetId="7">[4]TableDesign!#REF!</definedName>
    <definedName name="D_MONTHLY_WORKING_SMR" localSheetId="3">[4]TableDesign!#REF!</definedName>
    <definedName name="D_MONTHLY_WORKING_SMR">[4]TableDesign!#REF!</definedName>
    <definedName name="D_MONTLY_LOAD" localSheetId="7">[4]TableDesign!#REF!</definedName>
    <definedName name="D_MONTLY_LOAD" localSheetId="3">[4]TableDesign!#REF!</definedName>
    <definedName name="D_MONTLY_LOAD">[4]TableDesign!#REF!</definedName>
    <definedName name="D_MULTI_OPE" localSheetId="7">[3]ﾃﾞｰﾀﾍﾞｰｽ変更点!#REF!</definedName>
    <definedName name="D_MULTI_OPE" localSheetId="3">[3]ﾃﾞｰﾀﾍﾞｰｽ変更点!#REF!</definedName>
    <definedName name="D_MULTI_OPE">[3]ﾃﾞｰﾀﾍﾞｰｽ変更点!#REF!</definedName>
    <definedName name="D_MULTI_OPE_DATA" localSheetId="7">[5]テーブル設計!#REF!</definedName>
    <definedName name="D_MULTI_OPE_DATA" localSheetId="3">[5]テーブル設計!#REF!</definedName>
    <definedName name="D_MULTI_OPE_DATA">[5]テーブル設計!#REF!</definedName>
    <definedName name="D_NLS_DB_RESOURCE" localSheetId="7">[4]TableDesign!#REF!</definedName>
    <definedName name="D_NLS_DB_RESOURCE" localSheetId="3">[4]TableDesign!#REF!</definedName>
    <definedName name="D_NLS_DB_RESOURCE">[4]TableDesign!#REF!</definedName>
    <definedName name="D_NLS_LANG" localSheetId="7">[4]TableDesign!#REF!</definedName>
    <definedName name="D_NLS_LANG" localSheetId="3">[4]TableDesign!#REF!</definedName>
    <definedName name="D_NLS_LANG">[4]TableDesign!#REF!</definedName>
    <definedName name="D_NLS_RESOURCE" localSheetId="7">[4]TableDesign!#REF!</definedName>
    <definedName name="D_NLS_RESOURCE" localSheetId="3">[4]TableDesign!#REF!</definedName>
    <definedName name="D_NLS_RESOURCE">[4]TableDesign!#REF!</definedName>
    <definedName name="D_NOT_ACTIVE" localSheetId="7">[3]ﾃﾞｰﾀﾍﾞｰｽ変更点!#REF!</definedName>
    <definedName name="D_NOT_ACTIVE" localSheetId="3">[3]ﾃﾞｰﾀﾍﾞｰｽ変更点!#REF!</definedName>
    <definedName name="D_NOT_ACTIVE">[3]ﾃﾞｰﾀﾍﾞｰｽ変更点!#REF!</definedName>
    <definedName name="D_OPERATION_CATEGORY" localSheetId="7">[4]TableDesign!#REF!</definedName>
    <definedName name="D_OPERATION_CATEGORY" localSheetId="3">[4]TableDesign!#REF!</definedName>
    <definedName name="D_OPERATION_CATEGORY">[4]TableDesign!#REF!</definedName>
    <definedName name="D_OPERATION_CLASS" localSheetId="7">[5]テーブル設計!#REF!</definedName>
    <definedName name="D_OPERATION_CLASS" localSheetId="3">[5]テーブル設計!#REF!</definedName>
    <definedName name="D_OPERATION_CLASS">[5]テーブル設計!#REF!</definedName>
    <definedName name="D_OPERATION_LOG" localSheetId="7">[3]ﾃﾞｰﾀﾍﾞｰｽ変更点!#REF!</definedName>
    <definedName name="D_OPERATION_LOG" localSheetId="3">[3]ﾃﾞｰﾀﾍﾞｰｽ変更点!#REF!</definedName>
    <definedName name="D_OPERATION_LOG">[3]ﾃﾞｰﾀﾍﾞｰｽ変更点!#REF!</definedName>
    <definedName name="D_OPERATION_LOG2" localSheetId="7">[5]テーブル設計!#REF!</definedName>
    <definedName name="D_OPERATION_LOG2" localSheetId="3">[5]テーブル設計!#REF!</definedName>
    <definedName name="D_OPERATION_LOG2">[5]テーブル設計!#REF!</definedName>
    <definedName name="D_OPERATION_MAP" localSheetId="7">[4]TableDesign!#REF!</definedName>
    <definedName name="D_OPERATION_MAP" localSheetId="3">[4]TableDesign!#REF!</definedName>
    <definedName name="D_OPERATION_MAP">[4]TableDesign!#REF!</definedName>
    <definedName name="D_OPERATION_MASTER" localSheetId="7">[5]テーブル設計!#REF!</definedName>
    <definedName name="D_OPERATION_MASTER" localSheetId="3">[5]テーブル設計!#REF!</definedName>
    <definedName name="D_OPERATION_MASTER">[5]テーブル設計!#REF!</definedName>
    <definedName name="D_ORBCOMM" localSheetId="7">[3]ﾃﾞｰﾀﾍﾞｰｽ変更点!#REF!</definedName>
    <definedName name="D_ORBCOMM" localSheetId="3">[3]ﾃﾞｰﾀﾍﾞｰｽ変更点!#REF!</definedName>
    <definedName name="D_ORBCOMM">[3]ﾃﾞｰﾀﾍﾞｰｽ変更点!#REF!</definedName>
    <definedName name="D_ORBCOMM_OWNER_HISTORY" localSheetId="7">[3]ﾃﾞｰﾀﾍﾞｰｽ変更点!#REF!</definedName>
    <definedName name="D_ORBCOMM_OWNER_HISTORY" localSheetId="3">[3]ﾃﾞｰﾀﾍﾞｰｽ変更点!#REF!</definedName>
    <definedName name="D_ORBCOMM_OWNER_HISTORY">[3]ﾃﾞｰﾀﾍﾞｰｽ変更点!#REF!</definedName>
    <definedName name="D_PLANT_CAR" localSheetId="7">[5]テーブル設計!#REF!</definedName>
    <definedName name="D_PLANT_CAR" localSheetId="3">[5]テーブル設計!#REF!</definedName>
    <definedName name="D_PLANT_CAR">[5]テーブル設計!#REF!</definedName>
    <definedName name="D_PLANT_ERROR" localSheetId="7">[5]テーブル設計!#REF!</definedName>
    <definedName name="D_PLANT_ERROR" localSheetId="3">[5]テーブル設計!#REF!</definedName>
    <definedName name="D_PLANT_ERROR">[5]テーブル設計!#REF!</definedName>
    <definedName name="D_PLANT_GPS" localSheetId="7">[5]テーブル設計!#REF!</definedName>
    <definedName name="D_PLANT_GPS" localSheetId="3">[5]テーブル設計!#REF!</definedName>
    <definedName name="D_PLANT_GPS">[5]テーブル設計!#REF!</definedName>
    <definedName name="D_PREVENT_THEFT_KEY" localSheetId="7">[3]ﾃﾞｰﾀﾍﾞｰｽ変更点!#REF!</definedName>
    <definedName name="D_PREVENT_THEFT_KEY" localSheetId="3">[3]ﾃﾞｰﾀﾍﾞｰｽ変更点!#REF!</definedName>
    <definedName name="D_PREVENT_THEFT_KEY">[3]ﾃﾞｰﾀﾍﾞｰｽ変更点!#REF!</definedName>
    <definedName name="D_PRIVATE_TARGET_CAR" localSheetId="7">[3]ﾃﾞｰﾀﾍﾞｰｽ変更点!#REF!</definedName>
    <definedName name="D_PRIVATE_TARGET_CAR" localSheetId="3">[3]ﾃﾞｰﾀﾍﾞｰｽ変更点!#REF!</definedName>
    <definedName name="D_PRIVATE_TARGET_CAR">[3]ﾃﾞｰﾀﾍﾞｰｽ変更点!#REF!</definedName>
    <definedName name="D_RECEIVE_LIST" localSheetId="7">[5]テーブル設計!#REF!</definedName>
    <definedName name="D_RECEIVE_LIST" localSheetId="3">[5]テーブル設計!#REF!</definedName>
    <definedName name="D_RECEIVE_LIST">[5]テーブル設計!#REF!</definedName>
    <definedName name="D_RECEIVE_LOG" localSheetId="7">[3]ﾃﾞｰﾀﾍﾞｰｽ変更点!#REF!</definedName>
    <definedName name="D_RECEIVE_LOG" localSheetId="3">[3]ﾃﾞｰﾀﾍﾞｰｽ変更点!#REF!</definedName>
    <definedName name="D_RECEIVE_LOG">[3]ﾃﾞｰﾀﾍﾞｰｽ変更点!#REF!</definedName>
    <definedName name="D_REGION_DATA" localSheetId="7">[4]TableDesign!#REF!</definedName>
    <definedName name="D_REGION_DATA" localSheetId="3">[4]TableDesign!#REF!</definedName>
    <definedName name="D_REGION_DATA">[4]TableDesign!#REF!</definedName>
    <definedName name="D_REGION_MASTER" localSheetId="7">[4]TableDesign!#REF!</definedName>
    <definedName name="D_REGION_MASTER" localSheetId="3">[4]TableDesign!#REF!</definedName>
    <definedName name="D_REGION_MASTER">[4]TableDesign!#REF!</definedName>
    <definedName name="D_RENTAL_TERMINAL" localSheetId="7">[5]テーブル設計!#REF!</definedName>
    <definedName name="D_RENTAL_TERMINAL" localSheetId="3">[5]テーブル設計!#REF!</definedName>
    <definedName name="D_RENTAL_TERMINAL">[5]テーブル設計!#REF!</definedName>
    <definedName name="D_REQUEST" localSheetId="7">[3]ﾃﾞｰﾀﾍﾞｰｽ変更点!#REF!</definedName>
    <definedName name="D_REQUEST" localSheetId="3">[3]ﾃﾞｰﾀﾍﾞｰｽ変更点!#REF!</definedName>
    <definedName name="D_REQUEST">[3]ﾃﾞｰﾀﾍﾞｰｽ変更点!#REF!</definedName>
    <definedName name="D_REQUEST_COUNT" localSheetId="7">[3]ﾃﾞｰﾀﾍﾞｰｽ変更点!#REF!</definedName>
    <definedName name="D_REQUEST_COUNT" localSheetId="3">[3]ﾃﾞｰﾀﾍﾞｰｽ変更点!#REF!</definedName>
    <definedName name="D_REQUEST_COUNT">[3]ﾃﾞｰﾀﾍﾞｰｽ変更点!#REF!</definedName>
    <definedName name="D_REQUEST_LOG" localSheetId="7">[3]ﾃﾞｰﾀﾍﾞｰｽ変更点!#REF!</definedName>
    <definedName name="D_REQUEST_LOG" localSheetId="3">[3]ﾃﾞｰﾀﾍﾞｰｽ変更点!#REF!</definedName>
    <definedName name="D_REQUEST_LOG">[3]ﾃﾞｰﾀﾍﾞｰｽ変更点!#REF!</definedName>
    <definedName name="D_RIVATE_TARGET_CAR" localSheetId="7">[4]TableDesign!#REF!</definedName>
    <definedName name="D_RIVATE_TARGET_CAR" localSheetId="3">[4]TableDesign!#REF!</definedName>
    <definedName name="D_RIVATE_TARGET_CAR">[4]TableDesign!#REF!</definedName>
    <definedName name="D_RUNNING_LOG" localSheetId="7">[3]ﾃﾞｰﾀﾍﾞｰｽ変更点!#REF!</definedName>
    <definedName name="D_RUNNING_LOG" localSheetId="3">[3]ﾃﾞｰﾀﾍﾞｰｽ変更点!#REF!</definedName>
    <definedName name="D_RUNNING_LOG">[3]ﾃﾞｰﾀﾍﾞｰｽ変更点!#REF!</definedName>
    <definedName name="D_SAVE_INFORMATION" localSheetId="7">[5]テーブル設計!#REF!</definedName>
    <definedName name="D_SAVE_INFORMATION" localSheetId="3">[5]テーブル設計!#REF!</definedName>
    <definedName name="D_SAVE_INFORMATION">[5]テーブル設計!#REF!</definedName>
    <definedName name="D_SELFCARINSPECTION" localSheetId="7">[3]ﾃﾞｰﾀﾍﾞｰｽ変更点!#REF!</definedName>
    <definedName name="D_SELFCARINSPECTION" localSheetId="3">[3]ﾃﾞｰﾀﾍﾞｰｽ変更点!#REF!</definedName>
    <definedName name="D_SELFCARINSPECTION">[3]ﾃﾞｰﾀﾍﾞｰｽ変更点!#REF!</definedName>
    <definedName name="D_SEND_LIST" localSheetId="7">[5]テーブル設計!#REF!</definedName>
    <definedName name="D_SEND_LIST" localSheetId="3">[5]テーブル設計!#REF!</definedName>
    <definedName name="D_SEND_LIST">[5]テーブル設計!#REF!</definedName>
    <definedName name="D_SEND_LOG" localSheetId="7">[5]テーブル設計!#REF!</definedName>
    <definedName name="D_SEND_LOG" localSheetId="3">[5]テーブル設計!#REF!</definedName>
    <definedName name="D_SEND_LOG">[5]テーブル設計!#REF!</definedName>
    <definedName name="D_SERVER_COMMUNICATION" localSheetId="7">[4]TableDesign!#REF!</definedName>
    <definedName name="D_SERVER_COMMUNICATION" localSheetId="3">[4]TableDesign!#REF!</definedName>
    <definedName name="D_SERVER_COMMUNICATION">[4]TableDesign!#REF!</definedName>
    <definedName name="D_SERVER_INFORMATION" localSheetId="7">[3]ﾃﾞｰﾀﾍﾞｰｽ変更点!#REF!</definedName>
    <definedName name="D_SERVER_INFORMATION" localSheetId="3">[3]ﾃﾞｰﾀﾍﾞｰｽ変更点!#REF!</definedName>
    <definedName name="D_SERVER_INFORMATION">[3]ﾃﾞｰﾀﾍﾞｰｽ変更点!#REF!</definedName>
    <definedName name="D_SERVICE_METER" localSheetId="7">[3]ﾃﾞｰﾀﾍﾞｰｽ変更点!#REF!</definedName>
    <definedName name="D_SERVICE_METER" localSheetId="3">[3]ﾃﾞｰﾀﾍﾞｰｽ変更点!#REF!</definedName>
    <definedName name="D_SERVICE_METER">[3]ﾃﾞｰﾀﾍﾞｰｽ変更点!#REF!</definedName>
    <definedName name="D_SERVICE_METER2" localSheetId="7">[5]テーブル設計!#REF!</definedName>
    <definedName name="D_SERVICE_METER2" localSheetId="3">[5]テーブル設計!#REF!</definedName>
    <definedName name="D_SERVICE_METER2">[5]テーブル設計!#REF!</definedName>
    <definedName name="D_SERVICEMAN" localSheetId="7">[5]テーブル設計!#REF!</definedName>
    <definedName name="D_SERVICEMAN" localSheetId="3">[5]テーブル設計!#REF!</definedName>
    <definedName name="D_SERVICEMAN">[5]テーブル設計!#REF!</definedName>
    <definedName name="D_SERVICEMAN_CHARGE" localSheetId="7">[5]テーブル設計!#REF!</definedName>
    <definedName name="D_SERVICEMAN_CHARGE" localSheetId="3">[5]テーブル設計!#REF!</definedName>
    <definedName name="D_SERVICEMAN_CHARGE">[5]テーブル設計!#REF!</definedName>
    <definedName name="D_SHIPMENT" localSheetId="7">[3]ﾃﾞｰﾀﾍﾞｰｽ変更点!#REF!</definedName>
    <definedName name="D_SHIPMENT" localSheetId="3">[3]ﾃﾞｰﾀﾍﾞｰｽ変更点!#REF!</definedName>
    <definedName name="D_SHIPMENT">[3]ﾃﾞｰﾀﾍﾞｰｽ変更点!#REF!</definedName>
    <definedName name="D_SHOW" localSheetId="7">[3]ﾃﾞｰﾀﾍﾞｰｽ変更点!#REF!</definedName>
    <definedName name="D_SHOW" localSheetId="3">[3]ﾃﾞｰﾀﾍﾞｰｽ変更点!#REF!</definedName>
    <definedName name="D_SHOW">[3]ﾃﾞｰﾀﾍﾞｰｽ変更点!#REF!</definedName>
    <definedName name="D_SHOW_GROUP" localSheetId="7">[3]ﾃﾞｰﾀﾍﾞｰｽ変更点!#REF!</definedName>
    <definedName name="D_SHOW_GROUP" localSheetId="3">[3]ﾃﾞｰﾀﾍﾞｰｽ変更点!#REF!</definedName>
    <definedName name="D_SHOW_GROUP">[3]ﾃﾞｰﾀﾍﾞｰｽ変更点!#REF!</definedName>
    <definedName name="D_SPECIAL_AREA" localSheetId="7">[3]ﾃﾞｰﾀﾍﾞｰｽ変更点!#REF!</definedName>
    <definedName name="D_SPECIAL_AREA" localSheetId="3">[3]ﾃﾞｰﾀﾍﾞｰｽ変更点!#REF!</definedName>
    <definedName name="D_SPECIAL_AREA">[3]ﾃﾞｰﾀﾍﾞｰｽ変更点!#REF!</definedName>
    <definedName name="D_SUB_GROUP" localSheetId="7">[4]TableDesign!#REF!</definedName>
    <definedName name="D_SUB_GROUP" localSheetId="3">[4]TableDesign!#REF!</definedName>
    <definedName name="D_SUB_GROUP">[4]TableDesign!#REF!</definedName>
    <definedName name="D_SUB_GROUP_CAR" localSheetId="7">[4]TableDesign!#REF!</definedName>
    <definedName name="D_SUB_GROUP_CAR" localSheetId="3">[4]TableDesign!#REF!</definedName>
    <definedName name="D_SUB_GROUP_CAR">[4]TableDesign!#REF!</definedName>
    <definedName name="D_SYSTEM_COMMTERM_INFO" localSheetId="7">[3]ﾃﾞｰﾀﾍﾞｰｽ変更点!#REF!</definedName>
    <definedName name="D_SYSTEM_COMMTERM_INFO" localSheetId="3">[3]ﾃﾞｰﾀﾍﾞｰｽ変更点!#REF!</definedName>
    <definedName name="D_SYSTEM_COMMTERM_INFO">[3]ﾃﾞｰﾀﾍﾞｰｽ変更点!#REF!</definedName>
    <definedName name="D_SYSTEM_LOG" localSheetId="7">[3]ﾃﾞｰﾀﾍﾞｰｽ変更点!#REF!</definedName>
    <definedName name="D_SYSTEM_LOG" localSheetId="3">[3]ﾃﾞｰﾀﾍﾞｰｽ変更点!#REF!</definedName>
    <definedName name="D_SYSTEM_LOG">[3]ﾃﾞｰﾀﾍﾞｰｽ変更点!#REF!</definedName>
    <definedName name="D_SYSTEM_NOTICE" localSheetId="7">[3]ﾃﾞｰﾀﾍﾞｰｽ変更点!#REF!</definedName>
    <definedName name="D_SYSTEM_NOTICE" localSheetId="3">[3]ﾃﾞｰﾀﾍﾞｰｽ変更点!#REF!</definedName>
    <definedName name="D_SYSTEM_NOTICE">[3]ﾃﾞｰﾀﾍﾞｰｽ変更点!#REF!</definedName>
    <definedName name="D_TARGET" localSheetId="7">[3]ﾃﾞｰﾀﾍﾞｰｽ変更点!#REF!</definedName>
    <definedName name="D_TARGET" localSheetId="3">[3]ﾃﾞｰﾀﾍﾞｰｽ変更点!#REF!</definedName>
    <definedName name="D_TARGET">[3]ﾃﾞｰﾀﾍﾞｰｽ変更点!#REF!</definedName>
    <definedName name="D_TARGET_CAR" localSheetId="7">[3]ﾃﾞｰﾀﾍﾞｰｽ変更点!#REF!</definedName>
    <definedName name="D_TARGET_CAR" localSheetId="3">[3]ﾃﾞｰﾀﾍﾞｰｽ変更点!#REF!</definedName>
    <definedName name="D_TARGET_CAR">[3]ﾃﾞｰﾀﾍﾞｰｽ変更点!#REF!</definedName>
    <definedName name="D_TERMINAL_AREA" localSheetId="7">[3]ﾃﾞｰﾀﾍﾞｰｽ変更点!#REF!</definedName>
    <definedName name="D_TERMINAL_AREA" localSheetId="3">[3]ﾃﾞｰﾀﾍﾞｰｽ変更点!#REF!</definedName>
    <definedName name="D_TERMINAL_AREA">[3]ﾃﾞｰﾀﾍﾞｰｽ変更点!#REF!</definedName>
    <definedName name="D_TERMINAL_CAUTION" localSheetId="7">[3]ﾃﾞｰﾀﾍﾞｰｽ変更点!#REF!</definedName>
    <definedName name="D_TERMINAL_CAUTION" localSheetId="3">[3]ﾃﾞｰﾀﾍﾞｰｽ変更点!#REF!</definedName>
    <definedName name="D_TERMINAL_CAUTION">[3]ﾃﾞｰﾀﾍﾞｰｽ変更点!#REF!</definedName>
    <definedName name="D_TERMINAL_ERROR" localSheetId="7">[3]ﾃﾞｰﾀﾍﾞｰｽ変更点!#REF!</definedName>
    <definedName name="D_TERMINAL_ERROR" localSheetId="3">[3]ﾃﾞｰﾀﾍﾞｰｽ変更点!#REF!</definedName>
    <definedName name="D_TERMINAL_ERROR">[3]ﾃﾞｰﾀﾍﾞｰｽ変更点!#REF!</definedName>
    <definedName name="D_TERMINAL_KIND" localSheetId="7">[3]ﾃﾞｰﾀﾍﾞｰｽ変更点!#REF!</definedName>
    <definedName name="D_TERMINAL_KIND" localSheetId="3">[3]ﾃﾞｰﾀﾍﾞｰｽ変更点!#REF!</definedName>
    <definedName name="D_TERMINAL_KIND">[3]ﾃﾞｰﾀﾍﾞｰｽ変更点!#REF!</definedName>
    <definedName name="D_TERMINAL_MASTER" localSheetId="7">[3]ﾃﾞｰﾀﾍﾞｰｽ変更点!#REF!</definedName>
    <definedName name="D_TERMINAL_MASTER" localSheetId="3">[3]ﾃﾞｰﾀﾍﾞｰｽ変更点!#REF!</definedName>
    <definedName name="D_TERMINAL_MASTER">[3]ﾃﾞｰﾀﾍﾞｰｽ変更点!#REF!</definedName>
    <definedName name="D_TERMINAL_PART_MASTER" localSheetId="7">[3]ﾃﾞｰﾀﾍﾞｰｽ変更点!#REF!</definedName>
    <definedName name="D_TERMINAL_PART_MASTER" localSheetId="3">[3]ﾃﾞｰﾀﾍﾞｰｽ変更点!#REF!</definedName>
    <definedName name="D_TERMINAL_PART_MASTER">[3]ﾃﾞｰﾀﾍﾞｰｽ変更点!#REF!</definedName>
    <definedName name="D_TYPE_MASTER" localSheetId="7">[3]ﾃﾞｰﾀﾍﾞｰｽ変更点!#REF!</definedName>
    <definedName name="D_TYPE_MASTER" localSheetId="3">[3]ﾃﾞｰﾀﾍﾞｰｽ変更点!#REF!</definedName>
    <definedName name="D_TYPE_MASTER">[3]ﾃﾞｰﾀﾍﾞｰｽ変更点!#REF!</definedName>
    <definedName name="D_UFO" localSheetId="7">[3]ﾃﾞｰﾀﾍﾞｰｽ変更点!#REF!</definedName>
    <definedName name="D_UFO" localSheetId="3">[3]ﾃﾞｰﾀﾍﾞｰｽ変更点!#REF!</definedName>
    <definedName name="D_UFO">[3]ﾃﾞｰﾀﾍﾞｰｽ変更点!#REF!</definedName>
    <definedName name="D_UNRELIABLE_RECEIVE" localSheetId="7">[3]ﾃﾞｰﾀﾍﾞｰｽ変更点!#REF!</definedName>
    <definedName name="D_UNRELIABLE_RECEIVE" localSheetId="3">[3]ﾃﾞｰﾀﾍﾞｰｽ変更点!#REF!</definedName>
    <definedName name="D_UNRELIABLE_RECEIVE">[3]ﾃﾞｰﾀﾍﾞｰｽ変更点!#REF!</definedName>
    <definedName name="D_USER_MASTER" localSheetId="7">[3]ﾃﾞｰﾀﾍﾞｰｽ変更点!#REF!</definedName>
    <definedName name="D_USER_MASTER" localSheetId="3">[3]ﾃﾞｰﾀﾍﾞｰｽ変更点!#REF!</definedName>
    <definedName name="D_USER_MASTER">[3]ﾃﾞｰﾀﾍﾞｰｽ変更点!#REF!</definedName>
    <definedName name="D_USER_TEMP" localSheetId="7">[3]ﾃﾞｰﾀﾍﾞｰｽ変更点!#REF!</definedName>
    <definedName name="D_USER_TEMP" localSheetId="3">[3]ﾃﾞｰﾀﾍﾞｰｽ変更点!#REF!</definedName>
    <definedName name="D_USER_TEMP">[3]ﾃﾞｰﾀﾍﾞｰｽ変更点!#REF!</definedName>
    <definedName name="D_WATER_TEMP_GAUGE" localSheetId="7">[4]TableDesign!#REF!</definedName>
    <definedName name="D_WATER_TEMP_GAUGE" localSheetId="3">[4]TableDesign!#REF!</definedName>
    <definedName name="D_WATER_TEMP_GAUGE">[4]TableDesign!#REF!</definedName>
    <definedName name="DBI" localSheetId="7">#REF!</definedName>
    <definedName name="DBI" localSheetId="3">#REF!</definedName>
    <definedName name="DBI">#REF!</definedName>
    <definedName name="DD" localSheetId="7">'[6]DATA-COMMUNICATION-FORMAT'!#REF!</definedName>
    <definedName name="DD" localSheetId="3">'[6]DATA-COMMUNICATION-FORMAT'!#REF!</definedName>
    <definedName name="DD">'[6]DATA-COMMUNICATION-FORMAT'!#REF!</definedName>
    <definedName name="ddd" localSheetId="7" hidden="1">[7]基本仕様１!#REF!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7">[3]ﾃﾞｰﾀﾍﾞｰｽ変更点!#REF!</definedName>
    <definedName name="E_ACT_DATA" localSheetId="3">[3]ﾃﾞｰﾀﾍﾞｰｽ変更点!#REF!</definedName>
    <definedName name="E_ACT_DATA">[3]ﾃﾞｰﾀﾍﾞｰｽ変更点!#REF!</definedName>
    <definedName name="E_ACTUAL_OPERATION" localSheetId="7">[4]TableDesign!#REF!</definedName>
    <definedName name="E_ACTUAL_OPERATION" localSheetId="3">[4]TableDesign!#REF!</definedName>
    <definedName name="E_ACTUAL_OPERATION">[4]TableDesign!#REF!</definedName>
    <definedName name="E_AREA" localSheetId="7">[3]ﾃﾞｰﾀﾍﾞｰｽ変更点!#REF!</definedName>
    <definedName name="E_AREA" localSheetId="3">[3]ﾃﾞｰﾀﾍﾞｰｽ変更点!#REF!</definedName>
    <definedName name="E_AREA">[3]ﾃﾞｰﾀﾍﾞｰｽ変更点!#REF!</definedName>
    <definedName name="E_AREA_DEFINE" localSheetId="7">[3]ﾃﾞｰﾀﾍﾞｰｽ変更点!#REF!</definedName>
    <definedName name="E_AREA_DEFINE" localSheetId="3">[3]ﾃﾞｰﾀﾍﾞｰｽ変更点!#REF!</definedName>
    <definedName name="E_AREA_DEFINE">[3]ﾃﾞｰﾀﾍﾞｰｽ変更点!#REF!</definedName>
    <definedName name="E_AREA_INIT" localSheetId="7">[3]ﾃﾞｰﾀﾍﾞｰｽ変更点!#REF!</definedName>
    <definedName name="E_AREA_INIT" localSheetId="3">[3]ﾃﾞｰﾀﾍﾞｰｽ変更点!#REF!</definedName>
    <definedName name="E_AREA_INIT">[3]ﾃﾞｰﾀﾍﾞｰｽ変更点!#REF!</definedName>
    <definedName name="E_AREA_MASTER" localSheetId="7">[3]ﾃﾞｰﾀﾍﾞｰｽ変更点!#REF!</definedName>
    <definedName name="E_AREA_MASTER" localSheetId="3">[3]ﾃﾞｰﾀﾍﾞｰｽ変更点!#REF!</definedName>
    <definedName name="E_AREA_MASTER">[3]ﾃﾞｰﾀﾍﾞｰｽ変更点!#REF!</definedName>
    <definedName name="E_ASK" localSheetId="7">[3]ﾃﾞｰﾀﾍﾞｰｽ変更点!#REF!</definedName>
    <definedName name="E_ASK" localSheetId="3">[3]ﾃﾞｰﾀﾍﾞｰｽ変更点!#REF!</definedName>
    <definedName name="E_ASK">[3]ﾃﾞｰﾀﾍﾞｰｽ変更点!#REF!</definedName>
    <definedName name="E_ASK_LOG" localSheetId="7">[5]テーブル設計!#REF!</definedName>
    <definedName name="E_ASK_LOG" localSheetId="3">[5]テーブル設計!#REF!</definedName>
    <definedName name="E_ASK_LOG">[5]テーブル設計!#REF!</definedName>
    <definedName name="E_ASK_SYSTEM" localSheetId="7">[3]ﾃﾞｰﾀﾍﾞｰｽ変更点!#REF!</definedName>
    <definedName name="E_ASK_SYSTEM" localSheetId="3">[3]ﾃﾞｰﾀﾍﾞｰｽ変更点!#REF!</definedName>
    <definedName name="E_ASK_SYSTEM">[3]ﾃﾞｰﾀﾍﾞｰｽ変更点!#REF!</definedName>
    <definedName name="E_ATC_ERROR" localSheetId="7">[5]テーブル設計!#REF!</definedName>
    <definedName name="E_ATC_ERROR" localSheetId="3">[5]テーブル設計!#REF!</definedName>
    <definedName name="E_ATC_ERROR">[5]テーブル設計!#REF!</definedName>
    <definedName name="E_AUTHORITY_GROUP" localSheetId="7">[3]ﾃﾞｰﾀﾍﾞｰｽ変更点!#REF!</definedName>
    <definedName name="E_AUTHORITY_GROUP" localSheetId="3">[3]ﾃﾞｰﾀﾍﾞｰｽ変更点!#REF!</definedName>
    <definedName name="E_AUTHORITY_GROUP">[3]ﾃﾞｰﾀﾍﾞｰｽ変更点!#REF!</definedName>
    <definedName name="E_AUTHORITY_GROUP_DATA" localSheetId="7">[3]ﾃﾞｰﾀﾍﾞｰｽ変更点!#REF!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7">[5]テーブル設計!#REF!</definedName>
    <definedName name="E_AUTHORITY_MASTER" localSheetId="3">[5]テーブル設計!#REF!</definedName>
    <definedName name="E_AUTHORITY_MASTER">[5]テーブル設計!#REF!</definedName>
    <definedName name="E_BONDED_STORE" localSheetId="7">[5]テーブル設計!#REF!</definedName>
    <definedName name="E_BONDED_STORE" localSheetId="3">[5]テーブル設計!#REF!</definedName>
    <definedName name="E_BONDED_STORE">[5]テーブル設計!#REF!</definedName>
    <definedName name="E_CAR_DATA" localSheetId="7">[3]ﾃﾞｰﾀﾍﾞｰｽ変更点!#REF!</definedName>
    <definedName name="E_CAR_DATA" localSheetId="3">[3]ﾃﾞｰﾀﾍﾞｰｽ変更点!#REF!</definedName>
    <definedName name="E_CAR_DATA">[3]ﾃﾞｰﾀﾍﾞｰｽ変更点!#REF!</definedName>
    <definedName name="E_CAR_MASTER" localSheetId="7">[3]ﾃﾞｰﾀﾍﾞｰｽ変更点!#REF!</definedName>
    <definedName name="E_CAR_MASTER" localSheetId="3">[3]ﾃﾞｰﾀﾍﾞｰｽ変更点!#REF!</definedName>
    <definedName name="E_CAR_MASTER">[3]ﾃﾞｰﾀﾍﾞｰｽ変更点!#REF!</definedName>
    <definedName name="E_CAR_MONTHLY_DATA" localSheetId="7">[3]ﾃﾞｰﾀﾍﾞｰｽ変更点!#REF!</definedName>
    <definedName name="E_CAR_MONTHLY_DATA" localSheetId="3">[3]ﾃﾞｰﾀﾍﾞｰｽ変更点!#REF!</definedName>
    <definedName name="E_CAR_MONTHLY_DATA">[3]ﾃﾞｰﾀﾍﾞｰｽ変更点!#REF!</definedName>
    <definedName name="E_CAR_OWNER_HISTORY" localSheetId="7">[3]ﾃﾞｰﾀﾍﾞｰｽ変更点!#REF!</definedName>
    <definedName name="E_CAR_OWNER_HISTORY" localSheetId="3">[3]ﾃﾞｰﾀﾍﾞｰｽ変更点!#REF!</definedName>
    <definedName name="E_CAR_OWNER_HISTORY">[3]ﾃﾞｰﾀﾍﾞｰｽ変更点!#REF!</definedName>
    <definedName name="E_CAUTION" localSheetId="7">[4]TableDesign!#REF!</definedName>
    <definedName name="E_CAUTION" localSheetId="3">[4]TableDesign!#REF!</definedName>
    <definedName name="E_CAUTION">[4]TableDesign!#REF!</definedName>
    <definedName name="E_CAUTION_DATA" localSheetId="7">[3]ﾃﾞｰﾀﾍﾞｰｽ変更点!#REF!</definedName>
    <definedName name="E_CAUTION_DATA" localSheetId="3">[3]ﾃﾞｰﾀﾍﾞｰｽ変更点!#REF!</definedName>
    <definedName name="E_CAUTION_DATA">[3]ﾃﾞｰﾀﾍﾞｰｽ変更点!#REF!</definedName>
    <definedName name="E_CAUTION_ENABLED" localSheetId="7">[3]ﾃﾞｰﾀﾍﾞｰｽ変更点!#REF!</definedName>
    <definedName name="E_CAUTION_ENABLED" localSheetId="3">[3]ﾃﾞｰﾀﾍﾞｰｽ変更点!#REF!</definedName>
    <definedName name="E_CAUTION_ENABLED">[3]ﾃﾞｰﾀﾍﾞｰｽ変更点!#REF!</definedName>
    <definedName name="E_CAUTION_ICON" localSheetId="7">[3]ﾃﾞｰﾀﾍﾞｰｽ変更点!#REF!</definedName>
    <definedName name="E_CAUTION_ICON" localSheetId="3">[3]ﾃﾞｰﾀﾍﾞｰｽ変更点!#REF!</definedName>
    <definedName name="E_CAUTION_ICON">[3]ﾃﾞｰﾀﾍﾞｰｽ変更点!#REF!</definedName>
    <definedName name="E_CAUTION_INIT" localSheetId="7">[3]ﾃﾞｰﾀﾍﾞｰｽ変更点!#REF!</definedName>
    <definedName name="E_CAUTION_INIT" localSheetId="3">[3]ﾃﾞｰﾀﾍﾞｰｽ変更点!#REF!</definedName>
    <definedName name="E_CAUTION_INIT">[3]ﾃﾞｰﾀﾍﾞｰｽ変更点!#REF!</definedName>
    <definedName name="E_CAUTION_MASTER" localSheetId="7">[3]ﾃﾞｰﾀﾍﾞｰｽ変更点!#REF!</definedName>
    <definedName name="E_CAUTION_MASTER" localSheetId="3">[3]ﾃﾞｰﾀﾍﾞｰｽ変更点!#REF!</definedName>
    <definedName name="E_CAUTION_MASTER">[3]ﾃﾞｰﾀﾍﾞｰｽ変更点!#REF!</definedName>
    <definedName name="E_CLASS1_MASTER" localSheetId="7">[3]ﾃﾞｰﾀﾍﾞｰｽ変更点!#REF!</definedName>
    <definedName name="E_CLASS1_MASTER" localSheetId="3">[3]ﾃﾞｰﾀﾍﾞｰｽ変更点!#REF!</definedName>
    <definedName name="E_CLASS1_MASTER">[3]ﾃﾞｰﾀﾍﾞｰｽ変更点!#REF!</definedName>
    <definedName name="E_CLASS2_MASTER" localSheetId="7">[3]ﾃﾞｰﾀﾍﾞｰｽ変更点!#REF!</definedName>
    <definedName name="E_CLASS2_MASTER" localSheetId="3">[3]ﾃﾞｰﾀﾍﾞｰｽ変更点!#REF!</definedName>
    <definedName name="E_CLASS2_MASTER">[3]ﾃﾞｰﾀﾍﾞｰｽ変更点!#REF!</definedName>
    <definedName name="E_COMM_DATA" localSheetId="7">[3]ﾃﾞｰﾀﾍﾞｰｽ変更点!#REF!</definedName>
    <definedName name="E_COMM_DATA" localSheetId="3">[3]ﾃﾞｰﾀﾍﾞｰｽ変更点!#REF!</definedName>
    <definedName name="E_COMM_DATA">[3]ﾃﾞｰﾀﾍﾞｰｽ変更点!#REF!</definedName>
    <definedName name="E_COMM_STATUS_MASTER" localSheetId="7">[3]ﾃﾞｰﾀﾍﾞｰｽ変更点!#REF!</definedName>
    <definedName name="E_COMM_STATUS_MASTER" localSheetId="3">[3]ﾃﾞｰﾀﾍﾞｰｽ変更点!#REF!</definedName>
    <definedName name="E_COMM_STATUS_MASTER">[3]ﾃﾞｰﾀﾍﾞｰｽ変更点!#REF!</definedName>
    <definedName name="E_CONFIG_DEFINE" localSheetId="7">[3]ﾃﾞｰﾀﾍﾞｰｽ変更点!#REF!</definedName>
    <definedName name="E_CONFIG_DEFINE" localSheetId="3">[3]ﾃﾞｰﾀﾍﾞｰｽ変更点!#REF!</definedName>
    <definedName name="E_CONFIG_DEFINE">[3]ﾃﾞｰﾀﾍﾞｰｽ変更点!#REF!</definedName>
    <definedName name="E_CONFIG_FLAG" localSheetId="7">[5]テーブル設計!#REF!</definedName>
    <definedName name="E_CONFIG_FLAG" localSheetId="3">[5]テーブル設計!#REF!</definedName>
    <definedName name="E_CONFIG_FLAG">[5]テーブル設計!#REF!</definedName>
    <definedName name="E_CONFIG_INIT" localSheetId="7">[3]ﾃﾞｰﾀﾍﾞｰｽ変更点!#REF!</definedName>
    <definedName name="E_CONFIG_INIT" localSheetId="3">[3]ﾃﾞｰﾀﾍﾞｰｽ変更点!#REF!</definedName>
    <definedName name="E_CONFIG_INIT">[3]ﾃﾞｰﾀﾍﾞｰｽ変更点!#REF!</definedName>
    <definedName name="E_CONFIG_PATTERN" localSheetId="7">[3]ﾃﾞｰﾀﾍﾞｰｽ変更点!#REF!</definedName>
    <definedName name="E_CONFIG_PATTERN" localSheetId="3">[3]ﾃﾞｰﾀﾍﾞｰｽ変更点!#REF!</definedName>
    <definedName name="E_CONFIG_PATTERN">[3]ﾃﾞｰﾀﾍﾞｰｽ変更点!#REF!</definedName>
    <definedName name="E_CONFIG_PATTERN_DATA" localSheetId="7">[3]ﾃﾞｰﾀﾍﾞｰｽ変更点!#REF!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7">[5]テーブル設計!#REF!</definedName>
    <definedName name="E_CONFIG_USER_FLAG" localSheetId="3">[5]テーブル設計!#REF!</definedName>
    <definedName name="E_CONFIG_USER_FLAG">[5]テーブル設計!#REF!</definedName>
    <definedName name="E_CONTRACT" localSheetId="7">[5]テーブル設計!#REF!</definedName>
    <definedName name="E_CONTRACT" localSheetId="3">[5]テーブル設計!#REF!</definedName>
    <definedName name="E_CONTRACT">[5]テーブル設計!#REF!</definedName>
    <definedName name="E_CUSTOMER" localSheetId="7">[3]ﾃﾞｰﾀﾍﾞｰｽ変更点!#REF!</definedName>
    <definedName name="E_CUSTOMER" localSheetId="3">[3]ﾃﾞｰﾀﾍﾞｰｽ変更点!#REF!</definedName>
    <definedName name="E_CUSTOMER">[3]ﾃﾞｰﾀﾍﾞｰｽ変更点!#REF!</definedName>
    <definedName name="E_CUSTOMER_CAR" localSheetId="7">[3]ﾃﾞｰﾀﾍﾞｰｽ変更点!#REF!</definedName>
    <definedName name="E_CUSTOMER_CAR" localSheetId="3">[3]ﾃﾞｰﾀﾍﾞｰｽ変更点!#REF!</definedName>
    <definedName name="E_CUSTOMER_CAR">[3]ﾃﾞｰﾀﾍﾞｰｽ変更点!#REF!</definedName>
    <definedName name="E_CUSTOMER_MASTER" localSheetId="7">[4]TableDesign!#REF!</definedName>
    <definedName name="E_CUSTOMER_MASTER" localSheetId="3">[4]TableDesign!#REF!</definedName>
    <definedName name="E_CUSTOMER_MASTER">[4]TableDesign!#REF!</definedName>
    <definedName name="E_DIVISION_MASTER" localSheetId="7">[3]ﾃﾞｰﾀﾍﾞｰｽ変更点!#REF!</definedName>
    <definedName name="E_DIVISION_MASTER" localSheetId="3">[3]ﾃﾞｰﾀﾍﾞｰｽ変更点!#REF!</definedName>
    <definedName name="E_DIVISION_MASTER">[3]ﾃﾞｰﾀﾍﾞｰｽ変更点!#REF!</definedName>
    <definedName name="E_DOPA" localSheetId="7">[3]ﾃﾞｰﾀﾍﾞｰｽ変更点!#REF!</definedName>
    <definedName name="E_DOPA" localSheetId="3">[3]ﾃﾞｰﾀﾍﾞｰｽ変更点!#REF!</definedName>
    <definedName name="E_DOPA">[3]ﾃﾞｰﾀﾍﾞｰｽ変更点!#REF!</definedName>
    <definedName name="E_DOPA_OWNER_HISTORY" localSheetId="7">[3]ﾃﾞｰﾀﾍﾞｰｽ変更点!#REF!</definedName>
    <definedName name="E_DOPA_OWNER_HISTORY" localSheetId="3">[3]ﾃﾞｰﾀﾍﾞｰｽ変更点!#REF!</definedName>
    <definedName name="E_DOPA_OWNER_HISTORY">[3]ﾃﾞｰﾀﾍﾞｰｽ変更点!#REF!</definedName>
    <definedName name="E_DOPA_SERVER" localSheetId="7">[3]ﾃﾞｰﾀﾍﾞｰｽ変更点!#REF!</definedName>
    <definedName name="E_DOPA_SERVER" localSheetId="3">[3]ﾃﾞｰﾀﾍﾞｰｽ変更点!#REF!</definedName>
    <definedName name="E_DOPA_SERVER">[3]ﾃﾞｰﾀﾍﾞｰｽ変更点!#REF!</definedName>
    <definedName name="E_EQUIPMENT_HISTORY" localSheetId="7">[3]ﾃﾞｰﾀﾍﾞｰｽ変更点!#REF!</definedName>
    <definedName name="E_EQUIPMENT_HISTORY" localSheetId="3">[3]ﾃﾞｰﾀﾍﾞｰｽ変更点!#REF!</definedName>
    <definedName name="E_EQUIPMENT_HISTORY">[3]ﾃﾞｰﾀﾍﾞｰｽ変更点!#REF!</definedName>
    <definedName name="E_ERROR" localSheetId="7">[3]ﾃﾞｰﾀﾍﾞｰｽ変更点!#REF!</definedName>
    <definedName name="E_ERROR" localSheetId="3">[3]ﾃﾞｰﾀﾍﾞｰｽ変更点!#REF!</definedName>
    <definedName name="E_ERROR">[3]ﾃﾞｰﾀﾍﾞｰｽ変更点!#REF!</definedName>
    <definedName name="E_ERROR_ENABLED" localSheetId="7">[3]ﾃﾞｰﾀﾍﾞｰｽ変更点!#REF!</definedName>
    <definedName name="E_ERROR_ENABLED" localSheetId="3">[3]ﾃﾞｰﾀﾍﾞｰｽ変更点!#REF!</definedName>
    <definedName name="E_ERROR_ENABLED">[3]ﾃﾞｰﾀﾍﾞｰｽ変更点!#REF!</definedName>
    <definedName name="E_ERROR_MASTER" localSheetId="7">[3]ﾃﾞｰﾀﾍﾞｰｽ変更点!#REF!</definedName>
    <definedName name="E_ERROR_MASTER" localSheetId="3">[3]ﾃﾞｰﾀﾍﾞｰｽ変更点!#REF!</definedName>
    <definedName name="E_ERROR_MASTER">[3]ﾃﾞｰﾀﾍﾞｰｽ変更点!#REF!</definedName>
    <definedName name="E_EVENT_CATEGORY" localSheetId="7">[4]TableDesign!#REF!</definedName>
    <definedName name="E_EVENT_CATEGORY" localSheetId="3">[4]TableDesign!#REF!</definedName>
    <definedName name="E_EVENT_CATEGORY">[4]TableDesign!#REF!</definedName>
    <definedName name="E_EVENT_DIVISION" localSheetId="7">[3]ﾃﾞｰﾀﾍﾞｰｽ変更点!#REF!</definedName>
    <definedName name="E_EVENT_DIVISION" localSheetId="3">[3]ﾃﾞｰﾀﾍﾞｰｽ変更点!#REF!</definedName>
    <definedName name="E_EVENT_DIVISION">[3]ﾃﾞｰﾀﾍﾞｰｽ変更点!#REF!</definedName>
    <definedName name="E_EVENT_MASTER" localSheetId="7">[3]ﾃﾞｰﾀﾍﾞｰｽ変更点!#REF!</definedName>
    <definedName name="E_EVENT_MASTER" localSheetId="3">[3]ﾃﾞｰﾀﾍﾞｰｽ変更点!#REF!</definedName>
    <definedName name="E_EVENT_MASTER">[3]ﾃﾞｰﾀﾍﾞｰｽ変更点!#REF!</definedName>
    <definedName name="E_EVENT_NOTICE" localSheetId="7">[3]ﾃﾞｰﾀﾍﾞｰｽ変更点!#REF!</definedName>
    <definedName name="E_EVENT_NOTICE" localSheetId="3">[3]ﾃﾞｰﾀﾍﾞｰｽ変更点!#REF!</definedName>
    <definedName name="E_EVENT_NOTICE">[3]ﾃﾞｰﾀﾍﾞｰｽ変更点!#REF!</definedName>
    <definedName name="E_FUEL_GAUGE" localSheetId="7">[4]TableDesign!#REF!</definedName>
    <definedName name="E_FUEL_GAUGE" localSheetId="3">[4]TableDesign!#REF!</definedName>
    <definedName name="E_FUEL_GAUGE">[4]TableDesign!#REF!</definedName>
    <definedName name="E_GAUGE_FUEL_WTTEMP" localSheetId="7">[3]ﾃﾞｰﾀﾍﾞｰｽ変更点!#REF!</definedName>
    <definedName name="E_GAUGE_FUEL_WTTEMP" localSheetId="3">[3]ﾃﾞｰﾀﾍﾞｰｽ変更点!#REF!</definedName>
    <definedName name="E_GAUGE_FUEL_WTTEMP">[3]ﾃﾞｰﾀﾍﾞｰｽ変更点!#REF!</definedName>
    <definedName name="E_GIS_DEFINE" localSheetId="7">[4]TableDesign!#REF!</definedName>
    <definedName name="E_GIS_DEFINE" localSheetId="3">[4]TableDesign!#REF!</definedName>
    <definedName name="E_GIS_DEFINE">[4]TableDesign!#REF!</definedName>
    <definedName name="E_GPS" localSheetId="7">[3]ﾃﾞｰﾀﾍﾞｰｽ変更点!#REF!</definedName>
    <definedName name="E_GPS" localSheetId="3">[3]ﾃﾞｰﾀﾍﾞｰｽ変更点!#REF!</definedName>
    <definedName name="E_GPS">[3]ﾃﾞｰﾀﾍﾞｰｽ変更点!#REF!</definedName>
    <definedName name="E_GRANT_AUTHORITY" localSheetId="7">[3]ﾃﾞｰﾀﾍﾞｰｽ変更点!#REF!</definedName>
    <definedName name="E_GRANT_AUTHORITY" localSheetId="3">[3]ﾃﾞｰﾀﾍﾞｰｽ変更点!#REF!</definedName>
    <definedName name="E_GRANT_AUTHORITY">[3]ﾃﾞｰﾀﾍﾞｰｽ変更点!#REF!</definedName>
    <definedName name="E_GROUP_MASTER" localSheetId="7">[3]ﾃﾞｰﾀﾍﾞｰｽ変更点!#REF!</definedName>
    <definedName name="E_GROUP_MASTER" localSheetId="3">[3]ﾃﾞｰﾀﾍﾞｰｽ変更点!#REF!</definedName>
    <definedName name="E_GROUP_MASTER">[3]ﾃﾞｰﾀﾍﾞｰｽ変更点!#REF!</definedName>
    <definedName name="E_IGNORE_CAUTION" localSheetId="7">[5]テーブル設計!#REF!</definedName>
    <definedName name="E_IGNORE_CAUTION" localSheetId="3">[5]テーブル設計!#REF!</definedName>
    <definedName name="E_IGNORE_CAUTION">[5]テーブル設計!#REF!</definedName>
    <definedName name="E_IGNORE_ERROR" localSheetId="7">[5]テーブル設計!#REF!</definedName>
    <definedName name="E_IGNORE_ERROR" localSheetId="3">[5]テーブル設計!#REF!</definedName>
    <definedName name="E_IGNORE_ERROR">[5]テーブル設計!#REF!</definedName>
    <definedName name="E_INFORM_MASTER" localSheetId="7">[3]ﾃﾞｰﾀﾍﾞｰｽ変更点!#REF!</definedName>
    <definedName name="E_INFORM_MASTER" localSheetId="3">[3]ﾃﾞｰﾀﾍﾞｰｽ変更点!#REF!</definedName>
    <definedName name="E_INFORM_MASTER">[3]ﾃﾞｰﾀﾍﾞｰｽ変更点!#REF!</definedName>
    <definedName name="E_INFORMATION" localSheetId="7">[3]ﾃﾞｰﾀﾍﾞｰｽ変更点!#REF!</definedName>
    <definedName name="E_INFORMATION" localSheetId="3">[3]ﾃﾞｰﾀﾍﾞｰｽ変更点!#REF!</definedName>
    <definedName name="E_INFORMATION">[3]ﾃﾞｰﾀﾍﾞｰｽ変更点!#REF!</definedName>
    <definedName name="E_INFORMATION_READED" localSheetId="7">[3]ﾃﾞｰﾀﾍﾞｰｽ変更点!#REF!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7">[5]テーブル設計!#REF!</definedName>
    <definedName name="E_INVALID_PART_TERMINAL" localSheetId="3">[5]テーブル設計!#REF!</definedName>
    <definedName name="E_INVALID_PART_TERMINAL">[5]テーブル設計!#REF!</definedName>
    <definedName name="E_KIND_MASTER" localSheetId="7">[3]ﾃﾞｰﾀﾍﾞｰｽ変更点!#REF!</definedName>
    <definedName name="E_KIND_MASTER" localSheetId="3">[3]ﾃﾞｰﾀﾍﾞｰｽ変更点!#REF!</definedName>
    <definedName name="E_KIND_MASTER">[3]ﾃﾞｰﾀﾍﾞｰｽ変更点!#REF!</definedName>
    <definedName name="E_KRO_APPLICATION" localSheetId="7">[3]ﾃﾞｰﾀﾍﾞｰｽ変更点!#REF!</definedName>
    <definedName name="E_KRO_APPLICATION" localSheetId="3">[3]ﾃﾞｰﾀﾍﾞｰｽ変更点!#REF!</definedName>
    <definedName name="E_KRO_APPLICATION">[3]ﾃﾞｰﾀﾍﾞｰｽ変更点!#REF!</definedName>
    <definedName name="E_KRO_APPLICATION_DATA" localSheetId="7">[3]ﾃﾞｰﾀﾍﾞｰｽ変更点!#REF!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7">[3]ﾃﾞｰﾀﾍﾞｰｽ変更点!#REF!</definedName>
    <definedName name="E_KRO_COMPLETION" localSheetId="3">[3]ﾃﾞｰﾀﾍﾞｰｽ変更点!#REF!</definedName>
    <definedName name="E_KRO_COMPLETION">[3]ﾃﾞｰﾀﾍﾞｰｽ変更点!#REF!</definedName>
    <definedName name="E_KRO_COMPLETION_DATA" localSheetId="7">[3]ﾃﾞｰﾀﾍﾞｰｽ変更点!#REF!</definedName>
    <definedName name="E_KRO_COMPLETION_DATA" localSheetId="3">[3]ﾃﾞｰﾀﾍﾞｰｽ変更点!#REF!</definedName>
    <definedName name="E_KRO_COMPLETION_DATA">[3]ﾃﾞｰﾀﾍﾞｰｽ変更点!#REF!</definedName>
    <definedName name="E_KRO_EMERGENCY" localSheetId="7">[5]テーブル設計!#REF!</definedName>
    <definedName name="E_KRO_EMERGENCY" localSheetId="3">[5]テーブル設計!#REF!</definedName>
    <definedName name="E_KRO_EMERGENCY">[5]テーブル設計!#REF!</definedName>
    <definedName name="E_KRO_REPORT" localSheetId="7">[3]ﾃﾞｰﾀﾍﾞｰｽ変更点!#REF!</definedName>
    <definedName name="E_KRO_REPORT" localSheetId="3">[3]ﾃﾞｰﾀﾍﾞｰｽ変更点!#REF!</definedName>
    <definedName name="E_KRO_REPORT">[3]ﾃﾞｰﾀﾍﾞｰｽ変更点!#REF!</definedName>
    <definedName name="E_LANDMARK" localSheetId="7">[3]ﾃﾞｰﾀﾍﾞｰｽ変更点!#REF!</definedName>
    <definedName name="E_LANDMARK" localSheetId="3">[3]ﾃﾞｰﾀﾍﾞｰｽ変更点!#REF!</definedName>
    <definedName name="E_LANDMARK">[3]ﾃﾞｰﾀﾍﾞｰｽ変更点!#REF!</definedName>
    <definedName name="E_LANDMARK_CLASS" localSheetId="7">[3]ﾃﾞｰﾀﾍﾞｰｽ変更点!#REF!</definedName>
    <definedName name="E_LANDMARK_CLASS" localSheetId="3">[3]ﾃﾞｰﾀﾍﾞｰｽ変更点!#REF!</definedName>
    <definedName name="E_LANDMARK_CLASS">[3]ﾃﾞｰﾀﾍﾞｰｽ変更点!#REF!</definedName>
    <definedName name="E_LOGON_HISTORY" localSheetId="7">[3]ﾃﾞｰﾀﾍﾞｰｽ変更点!#REF!</definedName>
    <definedName name="E_LOGON_HISTORY" localSheetId="3">[3]ﾃﾞｰﾀﾍﾞｰｽ変更点!#REF!</definedName>
    <definedName name="E_LOGON_HISTORY">[3]ﾃﾞｰﾀﾍﾞｰｽ変更点!#REF!</definedName>
    <definedName name="E_MACHINE_ERROR" localSheetId="7">[4]TableDesign!#REF!</definedName>
    <definedName name="E_MACHINE_ERROR" localSheetId="3">[4]TableDesign!#REF!</definedName>
    <definedName name="E_MACHINE_ERROR">[4]TableDesign!#REF!</definedName>
    <definedName name="E_MACHINE_STATUS_MASTER" localSheetId="7">[3]ﾃﾞｰﾀﾍﾞｰｽ変更点!#REF!</definedName>
    <definedName name="E_MACHINE_STATUS_MASTER" localSheetId="3">[3]ﾃﾞｰﾀﾍﾞｰｽ変更点!#REF!</definedName>
    <definedName name="E_MACHINE_STATUS_MASTER">[3]ﾃﾞｰﾀﾍﾞｰｽ変更点!#REF!</definedName>
    <definedName name="E_MAINTENANCE_DATA" localSheetId="7">[3]ﾃﾞｰﾀﾍﾞｰｽ変更点!#REF!</definedName>
    <definedName name="E_MAINTENANCE_DATA" localSheetId="3">[3]ﾃﾞｰﾀﾍﾞｰｽ変更点!#REF!</definedName>
    <definedName name="E_MAINTENANCE_DATA">[3]ﾃﾞｰﾀﾍﾞｰｽ変更点!#REF!</definedName>
    <definedName name="E_MAINTENANCE_INFORM" localSheetId="7">[3]ﾃﾞｰﾀﾍﾞｰｽ変更点!#REF!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7">[3]ﾃﾞｰﾀﾍﾞｰｽ変更点!#REF!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7">[4]TableDesign!#REF!</definedName>
    <definedName name="E_MAINTENANCE_TIME" localSheetId="3">[4]TableDesign!#REF!</definedName>
    <definedName name="E_MAINTENANCE_TIME">[4]TableDesign!#REF!</definedName>
    <definedName name="E_MAKER_MASTER" localSheetId="7">[3]ﾃﾞｰﾀﾍﾞｰｽ変更点!#REF!</definedName>
    <definedName name="E_MAKER_MASTER" localSheetId="3">[3]ﾃﾞｰﾀﾍﾞｰｽ変更点!#REF!</definedName>
    <definedName name="E_MAKER_MASTER">[3]ﾃﾞｰﾀﾍﾞｰｽ変更点!#REF!</definedName>
    <definedName name="E_MARK_MACHINE" localSheetId="7">[4]TableDesign!#REF!</definedName>
    <definedName name="E_MARK_MACHINE" localSheetId="3">[4]TableDesign!#REF!</definedName>
    <definedName name="E_MARK_MACHINE">[4]TableDesign!#REF!</definedName>
    <definedName name="E_MARK_NOTIFICATION" localSheetId="7">[4]TableDesign!#REF!</definedName>
    <definedName name="E_MARK_NOTIFICATION" localSheetId="3">[4]TableDesign!#REF!</definedName>
    <definedName name="E_MARK_NOTIFICATION">[4]TableDesign!#REF!</definedName>
    <definedName name="E_MARK_NOTIFICATION_DETAIL" localSheetId="7">[4]TableDesign!#REF!</definedName>
    <definedName name="E_MARK_NOTIFICATION_DETAIL" localSheetId="3">[4]TableDesign!#REF!</definedName>
    <definedName name="E_MARK_NOTIFICATION_DETAIL">[4]TableDesign!#REF!</definedName>
    <definedName name="E_MEMO" localSheetId="7">[3]ﾃﾞｰﾀﾍﾞｰｽ変更点!#REF!</definedName>
    <definedName name="E_MEMO" localSheetId="3">[3]ﾃﾞｰﾀﾍﾞｰｽ変更点!#REF!</definedName>
    <definedName name="E_MEMO">[3]ﾃﾞｰﾀﾍﾞｰｽ変更点!#REF!</definedName>
    <definedName name="E_MEMORY_MODIFY" localSheetId="7">[3]ﾃﾞｰﾀﾍﾞｰｽ変更点!#REF!</definedName>
    <definedName name="E_MEMORY_MODIFY" localSheetId="3">[3]ﾃﾞｰﾀﾍﾞｰｽ変更点!#REF!</definedName>
    <definedName name="E_MEMORY_MODIFY">[3]ﾃﾞｰﾀﾍﾞｰｽ変更点!#REF!</definedName>
    <definedName name="E_MEMORY_MODIFY_DATA" localSheetId="7">[3]ﾃﾞｰﾀﾍﾞｰｽ変更点!#REF!</definedName>
    <definedName name="E_MEMORY_MODIFY_DATA" localSheetId="3">[3]ﾃﾞｰﾀﾍﾞｰｽ変更点!#REF!</definedName>
    <definedName name="E_MEMORY_MODIFY_DATA">[3]ﾃﾞｰﾀﾍﾞｰｽ変更点!#REF!</definedName>
    <definedName name="E_MESSAGE" localSheetId="7">[3]ﾃﾞｰﾀﾍﾞｰｽ変更点!#REF!</definedName>
    <definedName name="E_MESSAGE" localSheetId="3">[3]ﾃﾞｰﾀﾍﾞｰｽ変更点!#REF!</definedName>
    <definedName name="E_MESSAGE">[3]ﾃﾞｰﾀﾍﾞｰｽ変更点!#REF!</definedName>
    <definedName name="E_MESSAGE_MASTER" localSheetId="7">[3]ﾃﾞｰﾀﾍﾞｰｽ変更点!#REF!</definedName>
    <definedName name="E_MESSAGE_MASTER" localSheetId="3">[3]ﾃﾞｰﾀﾍﾞｰｽ変更点!#REF!</definedName>
    <definedName name="E_MESSAGE_MASTER">[3]ﾃﾞｰﾀﾍﾞｰｽ変更点!#REF!</definedName>
    <definedName name="E_MONTHLY_ATT_SMR" localSheetId="7">[4]TableDesign!#REF!</definedName>
    <definedName name="E_MONTHLY_ATT_SMR" localSheetId="3">[4]TableDesign!#REF!</definedName>
    <definedName name="E_MONTHLY_ATT_SMR">[4]TableDesign!#REF!</definedName>
    <definedName name="E_MONTHLY_ERROR" localSheetId="7">[4]TableDesign!#REF!</definedName>
    <definedName name="E_MONTHLY_ERROR" localSheetId="3">[4]TableDesign!#REF!</definedName>
    <definedName name="E_MONTHLY_ERROR">[4]TableDesign!#REF!</definedName>
    <definedName name="E_MONTHLY_LOAD" localSheetId="7">[4]TableDesign!#REF!</definedName>
    <definedName name="E_MONTHLY_LOAD" localSheetId="3">[4]TableDesign!#REF!</definedName>
    <definedName name="E_MONTHLY_LOAD">[4]TableDesign!#REF!</definedName>
    <definedName name="E_MONTHLY_MOVEMENT" localSheetId="7">[4]TableDesign!#REF!</definedName>
    <definedName name="E_MONTHLY_MOVEMENT" localSheetId="3">[4]TableDesign!#REF!</definedName>
    <definedName name="E_MONTHLY_MOVEMENT">[4]TableDesign!#REF!</definedName>
    <definedName name="E_MONTHLY_OPERATION" localSheetId="7">[4]TableDesign!#REF!</definedName>
    <definedName name="E_MONTHLY_OPERATION" localSheetId="3">[4]TableDesign!#REF!</definedName>
    <definedName name="E_MONTHLY_OPERATION">[4]TableDesign!#REF!</definedName>
    <definedName name="E_MONTHLY_SMR" localSheetId="7">[4]TableDesign!#REF!</definedName>
    <definedName name="E_MONTHLY_SMR" localSheetId="3">[4]TableDesign!#REF!</definedName>
    <definedName name="E_MONTHLY_SMR">[4]TableDesign!#REF!</definedName>
    <definedName name="E_MONTHLY_WORKING_SMR" localSheetId="7">[4]TableDesign!#REF!</definedName>
    <definedName name="E_MONTHLY_WORKING_SMR" localSheetId="3">[4]TableDesign!#REF!</definedName>
    <definedName name="E_MONTHLY_WORKING_SMR">[4]TableDesign!#REF!</definedName>
    <definedName name="E_MONTLY_LOAD" localSheetId="7">[4]TableDesign!#REF!</definedName>
    <definedName name="E_MONTLY_LOAD" localSheetId="3">[4]TableDesign!#REF!</definedName>
    <definedName name="E_MONTLY_LOAD">[4]TableDesign!#REF!</definedName>
    <definedName name="E_MULTI_OPE" localSheetId="7">[3]ﾃﾞｰﾀﾍﾞｰｽ変更点!#REF!</definedName>
    <definedName name="E_MULTI_OPE" localSheetId="3">[3]ﾃﾞｰﾀﾍﾞｰｽ変更点!#REF!</definedName>
    <definedName name="E_MULTI_OPE">[3]ﾃﾞｰﾀﾍﾞｰｽ変更点!#REF!</definedName>
    <definedName name="E_MULTI_OPE_DATA" localSheetId="7">[5]テーブル設計!#REF!</definedName>
    <definedName name="E_MULTI_OPE_DATA" localSheetId="3">[5]テーブル設計!#REF!</definedName>
    <definedName name="E_MULTI_OPE_DATA">[5]テーブル設計!#REF!</definedName>
    <definedName name="E_NLS_DB_RESOURCE" localSheetId="7">[4]TableDesign!#REF!</definedName>
    <definedName name="E_NLS_DB_RESOURCE" localSheetId="3">[4]TableDesign!#REF!</definedName>
    <definedName name="E_NLS_DB_RESOURCE">[4]TableDesign!#REF!</definedName>
    <definedName name="E_NLS_LANG" localSheetId="7">[4]TableDesign!#REF!</definedName>
    <definedName name="E_NLS_LANG" localSheetId="3">[4]TableDesign!#REF!</definedName>
    <definedName name="E_NLS_LANG">[4]TableDesign!#REF!</definedName>
    <definedName name="E_NLS_RESOURCE" localSheetId="7">[4]TableDesign!#REF!</definedName>
    <definedName name="E_NLS_RESOURCE" localSheetId="3">[4]TableDesign!#REF!</definedName>
    <definedName name="E_NLS_RESOURCE">[4]TableDesign!#REF!</definedName>
    <definedName name="E_NOT_ACTIVE" localSheetId="7">[3]ﾃﾞｰﾀﾍﾞｰｽ変更点!#REF!</definedName>
    <definedName name="E_NOT_ACTIVE" localSheetId="3">[3]ﾃﾞｰﾀﾍﾞｰｽ変更点!#REF!</definedName>
    <definedName name="E_NOT_ACTIVE">[3]ﾃﾞｰﾀﾍﾞｰｽ変更点!#REF!</definedName>
    <definedName name="E_OPERATION_CATEGORY" localSheetId="7">[4]TableDesign!#REF!</definedName>
    <definedName name="E_OPERATION_CATEGORY" localSheetId="3">[4]TableDesign!#REF!</definedName>
    <definedName name="E_OPERATION_CATEGORY">[4]TableDesign!#REF!</definedName>
    <definedName name="E_OPERATION_CLASS" localSheetId="7">[5]テーブル設計!#REF!</definedName>
    <definedName name="E_OPERATION_CLASS" localSheetId="3">[5]テーブル設計!#REF!</definedName>
    <definedName name="E_OPERATION_CLASS">[5]テーブル設計!#REF!</definedName>
    <definedName name="E_OPERATION_LOG" localSheetId="7">[3]ﾃﾞｰﾀﾍﾞｰｽ変更点!#REF!</definedName>
    <definedName name="E_OPERATION_LOG" localSheetId="3">[3]ﾃﾞｰﾀﾍﾞｰｽ変更点!#REF!</definedName>
    <definedName name="E_OPERATION_LOG">[3]ﾃﾞｰﾀﾍﾞｰｽ変更点!#REF!</definedName>
    <definedName name="E_OPERATION_LOG2" localSheetId="7">[5]テーブル設計!#REF!</definedName>
    <definedName name="E_OPERATION_LOG2" localSheetId="3">[5]テーブル設計!#REF!</definedName>
    <definedName name="E_OPERATION_LOG2">[5]テーブル設計!#REF!</definedName>
    <definedName name="E_OPERATION_MAP" localSheetId="7">[4]TableDesign!#REF!</definedName>
    <definedName name="E_OPERATION_MAP" localSheetId="3">[4]TableDesign!#REF!</definedName>
    <definedName name="E_OPERATION_MAP">[4]TableDesign!#REF!</definedName>
    <definedName name="E_OPERATION_MASTER" localSheetId="7">[5]テーブル設計!#REF!</definedName>
    <definedName name="E_OPERATION_MASTER" localSheetId="3">[5]テーブル設計!#REF!</definedName>
    <definedName name="E_OPERATION_MASTER">[5]テーブル設計!#REF!</definedName>
    <definedName name="E_ORBCOMM" localSheetId="7">[3]ﾃﾞｰﾀﾍﾞｰｽ変更点!#REF!</definedName>
    <definedName name="E_ORBCOMM" localSheetId="3">[3]ﾃﾞｰﾀﾍﾞｰｽ変更点!#REF!</definedName>
    <definedName name="E_ORBCOMM">[3]ﾃﾞｰﾀﾍﾞｰｽ変更点!#REF!</definedName>
    <definedName name="E_ORBCOMM_OWNER_HISTORY" localSheetId="7">[3]ﾃﾞｰﾀﾍﾞｰｽ変更点!#REF!</definedName>
    <definedName name="E_ORBCOMM_OWNER_HISTORY" localSheetId="3">[3]ﾃﾞｰﾀﾍﾞｰｽ変更点!#REF!</definedName>
    <definedName name="E_ORBCOMM_OWNER_HISTORY">[3]ﾃﾞｰﾀﾍﾞｰｽ変更点!#REF!</definedName>
    <definedName name="E_PLANT_CAR" localSheetId="7">[5]テーブル設計!#REF!</definedName>
    <definedName name="E_PLANT_CAR" localSheetId="3">[5]テーブル設計!#REF!</definedName>
    <definedName name="E_PLANT_CAR">[5]テーブル設計!#REF!</definedName>
    <definedName name="E_PLANT_ERROR" localSheetId="7">[5]テーブル設計!#REF!</definedName>
    <definedName name="E_PLANT_ERROR" localSheetId="3">[5]テーブル設計!#REF!</definedName>
    <definedName name="E_PLANT_ERROR">[5]テーブル設計!#REF!</definedName>
    <definedName name="E_PLANT_GPS" localSheetId="7">[5]テーブル設計!#REF!</definedName>
    <definedName name="E_PLANT_GPS" localSheetId="3">[5]テーブル設計!#REF!</definedName>
    <definedName name="E_PLANT_GPS">[5]テーブル設計!#REF!</definedName>
    <definedName name="E_PREVENT_THEFT_KEY" localSheetId="7">[3]ﾃﾞｰﾀﾍﾞｰｽ変更点!#REF!</definedName>
    <definedName name="E_PREVENT_THEFT_KEY" localSheetId="3">[3]ﾃﾞｰﾀﾍﾞｰｽ変更点!#REF!</definedName>
    <definedName name="E_PREVENT_THEFT_KEY">[3]ﾃﾞｰﾀﾍﾞｰｽ変更点!#REF!</definedName>
    <definedName name="E_PRIVATE_TARGET_CAR" localSheetId="7">[3]ﾃﾞｰﾀﾍﾞｰｽ変更点!#REF!</definedName>
    <definedName name="E_PRIVATE_TARGET_CAR" localSheetId="3">[3]ﾃﾞｰﾀﾍﾞｰｽ変更点!#REF!</definedName>
    <definedName name="E_PRIVATE_TARGET_CAR">[3]ﾃﾞｰﾀﾍﾞｰｽ変更点!#REF!</definedName>
    <definedName name="E_RECEIVE_LIST" localSheetId="7">[5]テーブル設計!#REF!</definedName>
    <definedName name="E_RECEIVE_LIST" localSheetId="3">[5]テーブル設計!#REF!</definedName>
    <definedName name="E_RECEIVE_LIST">[5]テーブル設計!#REF!</definedName>
    <definedName name="E_RECEIVE_LOG" localSheetId="7">[3]ﾃﾞｰﾀﾍﾞｰｽ変更点!#REF!</definedName>
    <definedName name="E_RECEIVE_LOG" localSheetId="3">[3]ﾃﾞｰﾀﾍﾞｰｽ変更点!#REF!</definedName>
    <definedName name="E_RECEIVE_LOG">[3]ﾃﾞｰﾀﾍﾞｰｽ変更点!#REF!</definedName>
    <definedName name="E_REGION_DATA" localSheetId="7">[4]TableDesign!#REF!</definedName>
    <definedName name="E_REGION_DATA" localSheetId="3">[4]TableDesign!#REF!</definedName>
    <definedName name="E_REGION_DATA">[4]TableDesign!#REF!</definedName>
    <definedName name="E_REGION_MASTER" localSheetId="7">[4]TableDesign!#REF!</definedName>
    <definedName name="E_REGION_MASTER" localSheetId="3">[4]TableDesign!#REF!</definedName>
    <definedName name="E_REGION_MASTER">[4]TableDesign!#REF!</definedName>
    <definedName name="E_RENTAL_TERMINAL" localSheetId="7">[5]テーブル設計!#REF!</definedName>
    <definedName name="E_RENTAL_TERMINAL" localSheetId="3">[5]テーブル設計!#REF!</definedName>
    <definedName name="E_RENTAL_TERMINAL">[5]テーブル設計!#REF!</definedName>
    <definedName name="E_REQUEST" localSheetId="7">[3]ﾃﾞｰﾀﾍﾞｰｽ変更点!#REF!</definedName>
    <definedName name="E_REQUEST" localSheetId="3">[3]ﾃﾞｰﾀﾍﾞｰｽ変更点!#REF!</definedName>
    <definedName name="E_REQUEST">[3]ﾃﾞｰﾀﾍﾞｰｽ変更点!#REF!</definedName>
    <definedName name="E_REQUEST_COUNT" localSheetId="7">[3]ﾃﾞｰﾀﾍﾞｰｽ変更点!#REF!</definedName>
    <definedName name="E_REQUEST_COUNT" localSheetId="3">[3]ﾃﾞｰﾀﾍﾞｰｽ変更点!#REF!</definedName>
    <definedName name="E_REQUEST_COUNT">[3]ﾃﾞｰﾀﾍﾞｰｽ変更点!#REF!</definedName>
    <definedName name="E_REQUEST_LOG" localSheetId="7">[3]ﾃﾞｰﾀﾍﾞｰｽ変更点!#REF!</definedName>
    <definedName name="E_REQUEST_LOG" localSheetId="3">[3]ﾃﾞｰﾀﾍﾞｰｽ変更点!#REF!</definedName>
    <definedName name="E_REQUEST_LOG">[3]ﾃﾞｰﾀﾍﾞｰｽ変更点!#REF!</definedName>
    <definedName name="E_RIVATE_TARGET_CAR" localSheetId="7">[4]TableDesign!#REF!</definedName>
    <definedName name="E_RIVATE_TARGET_CAR" localSheetId="3">[4]TableDesign!#REF!</definedName>
    <definedName name="E_RIVATE_TARGET_CAR">[4]TableDesign!#REF!</definedName>
    <definedName name="E_RUNNING_LOG" localSheetId="7">[3]ﾃﾞｰﾀﾍﾞｰｽ変更点!#REF!</definedName>
    <definedName name="E_RUNNING_LOG" localSheetId="3">[3]ﾃﾞｰﾀﾍﾞｰｽ変更点!#REF!</definedName>
    <definedName name="E_RUNNING_LOG">[3]ﾃﾞｰﾀﾍﾞｰｽ変更点!#REF!</definedName>
    <definedName name="E_SAVE_INFORMATION" localSheetId="7">[5]テーブル設計!#REF!</definedName>
    <definedName name="E_SAVE_INFORMATION" localSheetId="3">[5]テーブル設計!#REF!</definedName>
    <definedName name="E_SAVE_INFORMATION">[5]テーブル設計!#REF!</definedName>
    <definedName name="E_SELFCARINSPECTION" localSheetId="7">[3]ﾃﾞｰﾀﾍﾞｰｽ変更点!#REF!</definedName>
    <definedName name="E_SELFCARINSPECTION" localSheetId="3">[3]ﾃﾞｰﾀﾍﾞｰｽ変更点!#REF!</definedName>
    <definedName name="E_SELFCARINSPECTION">[3]ﾃﾞｰﾀﾍﾞｰｽ変更点!#REF!</definedName>
    <definedName name="E_SEND_LIST" localSheetId="7">[5]テーブル設計!#REF!</definedName>
    <definedName name="E_SEND_LIST" localSheetId="3">[5]テーブル設計!#REF!</definedName>
    <definedName name="E_SEND_LIST">[5]テーブル設計!#REF!</definedName>
    <definedName name="E_SEND_LOG" localSheetId="7">[5]テーブル設計!#REF!</definedName>
    <definedName name="E_SEND_LOG" localSheetId="3">[5]テーブル設計!#REF!</definedName>
    <definedName name="E_SEND_LOG">[5]テーブル設計!#REF!</definedName>
    <definedName name="E_SERVER_COMMUNICATION" localSheetId="7">[4]TableDesign!#REF!</definedName>
    <definedName name="E_SERVER_COMMUNICATION" localSheetId="3">[4]TableDesign!#REF!</definedName>
    <definedName name="E_SERVER_COMMUNICATION">[4]TableDesign!#REF!</definedName>
    <definedName name="E_SERVER_INFORMATION" localSheetId="7">[3]ﾃﾞｰﾀﾍﾞｰｽ変更点!#REF!</definedName>
    <definedName name="E_SERVER_INFORMATION" localSheetId="3">[3]ﾃﾞｰﾀﾍﾞｰｽ変更点!#REF!</definedName>
    <definedName name="E_SERVER_INFORMATION">[3]ﾃﾞｰﾀﾍﾞｰｽ変更点!#REF!</definedName>
    <definedName name="E_SERVICE_METER" localSheetId="7">[3]ﾃﾞｰﾀﾍﾞｰｽ変更点!#REF!</definedName>
    <definedName name="E_SERVICE_METER" localSheetId="3">[3]ﾃﾞｰﾀﾍﾞｰｽ変更点!#REF!</definedName>
    <definedName name="E_SERVICE_METER">[3]ﾃﾞｰﾀﾍﾞｰｽ変更点!#REF!</definedName>
    <definedName name="E_SERVICE_METER2" localSheetId="7">[5]テーブル設計!#REF!</definedName>
    <definedName name="E_SERVICE_METER2" localSheetId="3">[5]テーブル設計!#REF!</definedName>
    <definedName name="E_SERVICE_METER2">[5]テーブル設計!#REF!</definedName>
    <definedName name="E_SERVICEMAN" localSheetId="7">[5]テーブル設計!#REF!</definedName>
    <definedName name="E_SERVICEMAN" localSheetId="3">[5]テーブル設計!#REF!</definedName>
    <definedName name="E_SERVICEMAN">[5]テーブル設計!#REF!</definedName>
    <definedName name="E_SERVICEMAN_CHARGE" localSheetId="7">[5]テーブル設計!#REF!</definedName>
    <definedName name="E_SERVICEMAN_CHARGE" localSheetId="3">[5]テーブル設計!#REF!</definedName>
    <definedName name="E_SERVICEMAN_CHARGE">[5]テーブル設計!#REF!</definedName>
    <definedName name="E_SHIPMENT" localSheetId="7">[3]ﾃﾞｰﾀﾍﾞｰｽ変更点!#REF!</definedName>
    <definedName name="E_SHIPMENT" localSheetId="3">[3]ﾃﾞｰﾀﾍﾞｰｽ変更点!#REF!</definedName>
    <definedName name="E_SHIPMENT">[3]ﾃﾞｰﾀﾍﾞｰｽ変更点!#REF!</definedName>
    <definedName name="E_SHOW" localSheetId="7">[3]ﾃﾞｰﾀﾍﾞｰｽ変更点!#REF!</definedName>
    <definedName name="E_SHOW" localSheetId="3">[3]ﾃﾞｰﾀﾍﾞｰｽ変更点!#REF!</definedName>
    <definedName name="E_SHOW">[3]ﾃﾞｰﾀﾍﾞｰｽ変更点!#REF!</definedName>
    <definedName name="E_SHOW_GROUP" localSheetId="7">[3]ﾃﾞｰﾀﾍﾞｰｽ変更点!#REF!</definedName>
    <definedName name="E_SHOW_GROUP" localSheetId="3">[3]ﾃﾞｰﾀﾍﾞｰｽ変更点!#REF!</definedName>
    <definedName name="E_SHOW_GROUP">[3]ﾃﾞｰﾀﾍﾞｰｽ変更点!#REF!</definedName>
    <definedName name="E_SPECIAL_AREA" localSheetId="7">[3]ﾃﾞｰﾀﾍﾞｰｽ変更点!#REF!</definedName>
    <definedName name="E_SPECIAL_AREA" localSheetId="3">[3]ﾃﾞｰﾀﾍﾞｰｽ変更点!#REF!</definedName>
    <definedName name="E_SPECIAL_AREA">[3]ﾃﾞｰﾀﾍﾞｰｽ変更点!#REF!</definedName>
    <definedName name="E_SUB_GROUP" localSheetId="7">[4]TableDesign!#REF!</definedName>
    <definedName name="E_SUB_GROUP" localSheetId="3">[4]TableDesign!#REF!</definedName>
    <definedName name="E_SUB_GROUP">[4]TableDesign!#REF!</definedName>
    <definedName name="E_SUB_GROUP_CAR" localSheetId="7">[4]TableDesign!#REF!</definedName>
    <definedName name="E_SUB_GROUP_CAR" localSheetId="3">[4]TableDesign!#REF!</definedName>
    <definedName name="E_SUB_GROUP_CAR">[4]TableDesign!#REF!</definedName>
    <definedName name="E_SYSTEM_COMMTERM_INFO" localSheetId="7">[3]ﾃﾞｰﾀﾍﾞｰｽ変更点!#REF!</definedName>
    <definedName name="E_SYSTEM_COMMTERM_INFO" localSheetId="3">[3]ﾃﾞｰﾀﾍﾞｰｽ変更点!#REF!</definedName>
    <definedName name="E_SYSTEM_COMMTERM_INFO">[3]ﾃﾞｰﾀﾍﾞｰｽ変更点!#REF!</definedName>
    <definedName name="E_SYSTEM_LOG" localSheetId="7">[3]ﾃﾞｰﾀﾍﾞｰｽ変更点!#REF!</definedName>
    <definedName name="E_SYSTEM_LOG" localSheetId="3">[3]ﾃﾞｰﾀﾍﾞｰｽ変更点!#REF!</definedName>
    <definedName name="E_SYSTEM_LOG">[3]ﾃﾞｰﾀﾍﾞｰｽ変更点!#REF!</definedName>
    <definedName name="E_SYSTEM_NOTICE" localSheetId="7">[3]ﾃﾞｰﾀﾍﾞｰｽ変更点!#REF!</definedName>
    <definedName name="E_SYSTEM_NOTICE" localSheetId="3">[3]ﾃﾞｰﾀﾍﾞｰｽ変更点!#REF!</definedName>
    <definedName name="E_SYSTEM_NOTICE">[3]ﾃﾞｰﾀﾍﾞｰｽ変更点!#REF!</definedName>
    <definedName name="E_TARGET" localSheetId="7">[3]ﾃﾞｰﾀﾍﾞｰｽ変更点!#REF!</definedName>
    <definedName name="E_TARGET" localSheetId="3">[3]ﾃﾞｰﾀﾍﾞｰｽ変更点!#REF!</definedName>
    <definedName name="E_TARGET">[3]ﾃﾞｰﾀﾍﾞｰｽ変更点!#REF!</definedName>
    <definedName name="E_TARGET_CAR" localSheetId="7">[3]ﾃﾞｰﾀﾍﾞｰｽ変更点!#REF!</definedName>
    <definedName name="E_TARGET_CAR" localSheetId="3">[3]ﾃﾞｰﾀﾍﾞｰｽ変更点!#REF!</definedName>
    <definedName name="E_TARGET_CAR">[3]ﾃﾞｰﾀﾍﾞｰｽ変更点!#REF!</definedName>
    <definedName name="E_TERMINAL_AREA" localSheetId="7">[3]ﾃﾞｰﾀﾍﾞｰｽ変更点!#REF!</definedName>
    <definedName name="E_TERMINAL_AREA" localSheetId="3">[3]ﾃﾞｰﾀﾍﾞｰｽ変更点!#REF!</definedName>
    <definedName name="E_TERMINAL_AREA">[3]ﾃﾞｰﾀﾍﾞｰｽ変更点!#REF!</definedName>
    <definedName name="E_TERMINAL_CAUTION" localSheetId="7">[3]ﾃﾞｰﾀﾍﾞｰｽ変更点!#REF!</definedName>
    <definedName name="E_TERMINAL_CAUTION" localSheetId="3">[3]ﾃﾞｰﾀﾍﾞｰｽ変更点!#REF!</definedName>
    <definedName name="E_TERMINAL_CAUTION">[3]ﾃﾞｰﾀﾍﾞｰｽ変更点!#REF!</definedName>
    <definedName name="E_TERMINAL_ERROR" localSheetId="7">[3]ﾃﾞｰﾀﾍﾞｰｽ変更点!#REF!</definedName>
    <definedName name="E_TERMINAL_ERROR" localSheetId="3">[3]ﾃﾞｰﾀﾍﾞｰｽ変更点!#REF!</definedName>
    <definedName name="E_TERMINAL_ERROR">[3]ﾃﾞｰﾀﾍﾞｰｽ変更点!#REF!</definedName>
    <definedName name="E_TERMINAL_KIND" localSheetId="7">[3]ﾃﾞｰﾀﾍﾞｰｽ変更点!#REF!</definedName>
    <definedName name="E_TERMINAL_KIND" localSheetId="3">[3]ﾃﾞｰﾀﾍﾞｰｽ変更点!#REF!</definedName>
    <definedName name="E_TERMINAL_KIND">[3]ﾃﾞｰﾀﾍﾞｰｽ変更点!#REF!</definedName>
    <definedName name="E_TERMINAL_MASTER" localSheetId="7">[3]ﾃﾞｰﾀﾍﾞｰｽ変更点!#REF!</definedName>
    <definedName name="E_TERMINAL_MASTER" localSheetId="3">[3]ﾃﾞｰﾀﾍﾞｰｽ変更点!#REF!</definedName>
    <definedName name="E_TERMINAL_MASTER">[3]ﾃﾞｰﾀﾍﾞｰｽ変更点!#REF!</definedName>
    <definedName name="E_TERMINAL_PART_MASTER" localSheetId="7">[3]ﾃﾞｰﾀﾍﾞｰｽ変更点!#REF!</definedName>
    <definedName name="E_TERMINAL_PART_MASTER" localSheetId="3">[3]ﾃﾞｰﾀﾍﾞｰｽ変更点!#REF!</definedName>
    <definedName name="E_TERMINAL_PART_MASTER">[3]ﾃﾞｰﾀﾍﾞｰｽ変更点!#REF!</definedName>
    <definedName name="E_TYPE_MASTER" localSheetId="7">[3]ﾃﾞｰﾀﾍﾞｰｽ変更点!#REF!</definedName>
    <definedName name="E_TYPE_MASTER" localSheetId="3">[3]ﾃﾞｰﾀﾍﾞｰｽ変更点!#REF!</definedName>
    <definedName name="E_TYPE_MASTER">[3]ﾃﾞｰﾀﾍﾞｰｽ変更点!#REF!</definedName>
    <definedName name="E_UFO" localSheetId="7">[3]ﾃﾞｰﾀﾍﾞｰｽ変更点!#REF!</definedName>
    <definedName name="E_UFO" localSheetId="3">[3]ﾃﾞｰﾀﾍﾞｰｽ変更点!#REF!</definedName>
    <definedName name="E_UFO">[3]ﾃﾞｰﾀﾍﾞｰｽ変更点!#REF!</definedName>
    <definedName name="E_UNRELIABLE_RECEIVE" localSheetId="7">[3]ﾃﾞｰﾀﾍﾞｰｽ変更点!#REF!</definedName>
    <definedName name="E_UNRELIABLE_RECEIVE" localSheetId="3">[3]ﾃﾞｰﾀﾍﾞｰｽ変更点!#REF!</definedName>
    <definedName name="E_UNRELIABLE_RECEIVE">[3]ﾃﾞｰﾀﾍﾞｰｽ変更点!#REF!</definedName>
    <definedName name="E_USER_MASTER" localSheetId="7">[3]ﾃﾞｰﾀﾍﾞｰｽ変更点!#REF!</definedName>
    <definedName name="E_USER_MASTER" localSheetId="3">[3]ﾃﾞｰﾀﾍﾞｰｽ変更点!#REF!</definedName>
    <definedName name="E_USER_MASTER">[3]ﾃﾞｰﾀﾍﾞｰｽ変更点!#REF!</definedName>
    <definedName name="E_USER_TEMP" localSheetId="7">[3]ﾃﾞｰﾀﾍﾞｰｽ変更点!#REF!</definedName>
    <definedName name="E_USER_TEMP" localSheetId="3">[3]ﾃﾞｰﾀﾍﾞｰｽ変更点!#REF!</definedName>
    <definedName name="E_USER_TEMP">[3]ﾃﾞｰﾀﾍﾞｰｽ変更点!#REF!</definedName>
    <definedName name="E_WATER_TEMP_GAUGE" localSheetId="7">[4]TableDesign!#REF!</definedName>
    <definedName name="E_WATER_TEMP_GAUGE" localSheetId="3">[4]TableDesign!#REF!</definedName>
    <definedName name="E_WATER_TEMP_GAUGE">[4]TableDesign!#REF!</definedName>
    <definedName name="EE" localSheetId="7">'[6]DATA-COMMUNICATION-FORMAT'!#REF!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7">[3]ﾃﾞｰﾀﾍﾞｰｽ変更点!#REF!</definedName>
    <definedName name="F_ACT_DATA" localSheetId="3">[3]ﾃﾞｰﾀﾍﾞｰｽ変更点!#REF!</definedName>
    <definedName name="F_ACT_DATA">[3]ﾃﾞｰﾀﾍﾞｰｽ変更点!#REF!</definedName>
    <definedName name="F_ACTUAL_OPERATION" localSheetId="7">[4]TableDesign!#REF!</definedName>
    <definedName name="F_ACTUAL_OPERATION" localSheetId="3">[4]TableDesign!#REF!</definedName>
    <definedName name="F_ACTUAL_OPERATION">[4]TableDesign!#REF!</definedName>
    <definedName name="F_AREA" localSheetId="7">[3]ﾃﾞｰﾀﾍﾞｰｽ変更点!#REF!</definedName>
    <definedName name="F_AREA" localSheetId="3">[3]ﾃﾞｰﾀﾍﾞｰｽ変更点!#REF!</definedName>
    <definedName name="F_AREA">[3]ﾃﾞｰﾀﾍﾞｰｽ変更点!#REF!</definedName>
    <definedName name="F_AREA_DEFINE" localSheetId="7">[3]ﾃﾞｰﾀﾍﾞｰｽ変更点!#REF!</definedName>
    <definedName name="F_AREA_DEFINE" localSheetId="3">[3]ﾃﾞｰﾀﾍﾞｰｽ変更点!#REF!</definedName>
    <definedName name="F_AREA_DEFINE">[3]ﾃﾞｰﾀﾍﾞｰｽ変更点!#REF!</definedName>
    <definedName name="F_AREA_INIT" localSheetId="7">[3]ﾃﾞｰﾀﾍﾞｰｽ変更点!#REF!</definedName>
    <definedName name="F_AREA_INIT" localSheetId="3">[3]ﾃﾞｰﾀﾍﾞｰｽ変更点!#REF!</definedName>
    <definedName name="F_AREA_INIT">[3]ﾃﾞｰﾀﾍﾞｰｽ変更点!#REF!</definedName>
    <definedName name="F_AREA_MASTER" localSheetId="7">[3]ﾃﾞｰﾀﾍﾞｰｽ変更点!#REF!</definedName>
    <definedName name="F_AREA_MASTER" localSheetId="3">[3]ﾃﾞｰﾀﾍﾞｰｽ変更点!#REF!</definedName>
    <definedName name="F_AREA_MASTER">[3]ﾃﾞｰﾀﾍﾞｰｽ変更点!#REF!</definedName>
    <definedName name="F_ASK" localSheetId="7">[3]ﾃﾞｰﾀﾍﾞｰｽ変更点!#REF!</definedName>
    <definedName name="F_ASK" localSheetId="3">[3]ﾃﾞｰﾀﾍﾞｰｽ変更点!#REF!</definedName>
    <definedName name="F_ASK">[3]ﾃﾞｰﾀﾍﾞｰｽ変更点!#REF!</definedName>
    <definedName name="F_ASK_LOG" localSheetId="7">[5]テーブル設計!#REF!</definedName>
    <definedName name="F_ASK_LOG" localSheetId="3">[5]テーブル設計!#REF!</definedName>
    <definedName name="F_ASK_LOG">[5]テーブル設計!#REF!</definedName>
    <definedName name="F_ASK_SYSTEM" localSheetId="7">[3]ﾃﾞｰﾀﾍﾞｰｽ変更点!#REF!</definedName>
    <definedName name="F_ASK_SYSTEM" localSheetId="3">[3]ﾃﾞｰﾀﾍﾞｰｽ変更点!#REF!</definedName>
    <definedName name="F_ASK_SYSTEM">[3]ﾃﾞｰﾀﾍﾞｰｽ変更点!#REF!</definedName>
    <definedName name="F_ATC_ERROR" localSheetId="7">[5]テーブル設計!#REF!</definedName>
    <definedName name="F_ATC_ERROR" localSheetId="3">[5]テーブル設計!#REF!</definedName>
    <definedName name="F_ATC_ERROR">[5]テーブル設計!#REF!</definedName>
    <definedName name="F_AUTHORITY_GROUP" localSheetId="7">[3]ﾃﾞｰﾀﾍﾞｰｽ変更点!#REF!</definedName>
    <definedName name="F_AUTHORITY_GROUP" localSheetId="3">[3]ﾃﾞｰﾀﾍﾞｰｽ変更点!#REF!</definedName>
    <definedName name="F_AUTHORITY_GROUP">[3]ﾃﾞｰﾀﾍﾞｰｽ変更点!#REF!</definedName>
    <definedName name="F_AUTHORITY_GROUP_DATA" localSheetId="7">[3]ﾃﾞｰﾀﾍﾞｰｽ変更点!#REF!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7">[5]テーブル設計!#REF!</definedName>
    <definedName name="F_AUTHORITY_MASTER" localSheetId="3">[5]テーブル設計!#REF!</definedName>
    <definedName name="F_AUTHORITY_MASTER">[5]テーブル設計!#REF!</definedName>
    <definedName name="F_BELNR">[9]Dictionary!$D$22</definedName>
    <definedName name="F_BONDED_STORE" localSheetId="7">[5]テーブル設計!#REF!</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7">[3]ﾃﾞｰﾀﾍﾞｰｽ変更点!#REF!</definedName>
    <definedName name="F_CAR_DATA" localSheetId="3">[3]ﾃﾞｰﾀﾍﾞｰｽ変更点!#REF!</definedName>
    <definedName name="F_CAR_DATA">[3]ﾃﾞｰﾀﾍﾞｰｽ変更点!#REF!</definedName>
    <definedName name="F_CAR_MASTER" localSheetId="7">[3]ﾃﾞｰﾀﾍﾞｰｽ変更点!#REF!</definedName>
    <definedName name="F_CAR_MASTER" localSheetId="3">[3]ﾃﾞｰﾀﾍﾞｰｽ変更点!#REF!</definedName>
    <definedName name="F_CAR_MASTER">[3]ﾃﾞｰﾀﾍﾞｰｽ変更点!#REF!</definedName>
    <definedName name="F_CAR_MONTHLY_DATA" localSheetId="7">[3]ﾃﾞｰﾀﾍﾞｰｽ変更点!#REF!</definedName>
    <definedName name="F_CAR_MONTHLY_DATA" localSheetId="3">[3]ﾃﾞｰﾀﾍﾞｰｽ変更点!#REF!</definedName>
    <definedName name="F_CAR_MONTHLY_DATA">[3]ﾃﾞｰﾀﾍﾞｰｽ変更点!#REF!</definedName>
    <definedName name="F_CAR_OWNER_HISTORY" localSheetId="7">[3]ﾃﾞｰﾀﾍﾞｰｽ変更点!#REF!</definedName>
    <definedName name="F_CAR_OWNER_HISTORY" localSheetId="3">[3]ﾃﾞｰﾀﾍﾞｰｽ変更点!#REF!</definedName>
    <definedName name="F_CAR_OWNER_HISTORY">[3]ﾃﾞｰﾀﾍﾞｰｽ変更点!#REF!</definedName>
    <definedName name="F_CAUTION" localSheetId="7">[4]TableDesign!#REF!</definedName>
    <definedName name="F_CAUTION" localSheetId="3">[4]TableDesign!#REF!</definedName>
    <definedName name="F_CAUTION">[4]TableDesign!#REF!</definedName>
    <definedName name="F_CAUTION_DATA" localSheetId="7">[3]ﾃﾞｰﾀﾍﾞｰｽ変更点!#REF!</definedName>
    <definedName name="F_CAUTION_DATA" localSheetId="3">[3]ﾃﾞｰﾀﾍﾞｰｽ変更点!#REF!</definedName>
    <definedName name="F_CAUTION_DATA">[3]ﾃﾞｰﾀﾍﾞｰｽ変更点!#REF!</definedName>
    <definedName name="F_CAUTION_ENABLED" localSheetId="7">[3]ﾃﾞｰﾀﾍﾞｰｽ変更点!#REF!</definedName>
    <definedName name="F_CAUTION_ENABLED" localSheetId="3">[3]ﾃﾞｰﾀﾍﾞｰｽ変更点!#REF!</definedName>
    <definedName name="F_CAUTION_ENABLED">[3]ﾃﾞｰﾀﾍﾞｰｽ変更点!#REF!</definedName>
    <definedName name="F_CAUTION_ICON" localSheetId="7">[3]ﾃﾞｰﾀﾍﾞｰｽ変更点!#REF!</definedName>
    <definedName name="F_CAUTION_ICON" localSheetId="3">[3]ﾃﾞｰﾀﾍﾞｰｽ変更点!#REF!</definedName>
    <definedName name="F_CAUTION_ICON">[3]ﾃﾞｰﾀﾍﾞｰｽ変更点!#REF!</definedName>
    <definedName name="F_CAUTION_INIT" localSheetId="7">[3]ﾃﾞｰﾀﾍﾞｰｽ変更点!#REF!</definedName>
    <definedName name="F_CAUTION_INIT" localSheetId="3">[3]ﾃﾞｰﾀﾍﾞｰｽ変更点!#REF!</definedName>
    <definedName name="F_CAUTION_INIT">[3]ﾃﾞｰﾀﾍﾞｰｽ変更点!#REF!</definedName>
    <definedName name="F_CAUTION_MASTER" localSheetId="7">[3]ﾃﾞｰﾀﾍﾞｰｽ変更点!#REF!</definedName>
    <definedName name="F_CAUTION_MASTER" localSheetId="3">[3]ﾃﾞｰﾀﾍﾞｰｽ変更点!#REF!</definedName>
    <definedName name="F_CAUTION_MASTER">[3]ﾃﾞｰﾀﾍﾞｰｽ変更点!#REF!</definedName>
    <definedName name="F_CLASS1_MASTER" localSheetId="7">[3]ﾃﾞｰﾀﾍﾞｰｽ変更点!#REF!</definedName>
    <definedName name="F_CLASS1_MASTER" localSheetId="3">[3]ﾃﾞｰﾀﾍﾞｰｽ変更点!#REF!</definedName>
    <definedName name="F_CLASS1_MASTER">[3]ﾃﾞｰﾀﾍﾞｰｽ変更点!#REF!</definedName>
    <definedName name="F_CLASS2_MASTER" localSheetId="7">[3]ﾃﾞｰﾀﾍﾞｰｽ変更点!#REF!</definedName>
    <definedName name="F_CLASS2_MASTER" localSheetId="3">[3]ﾃﾞｰﾀﾍﾞｰｽ変更点!#REF!</definedName>
    <definedName name="F_CLASS2_MASTER">[3]ﾃﾞｰﾀﾍﾞｰｽ変更点!#REF!</definedName>
    <definedName name="F_COMM_DATA" localSheetId="7">[3]ﾃﾞｰﾀﾍﾞｰｽ変更点!#REF!</definedName>
    <definedName name="F_COMM_DATA" localSheetId="3">[3]ﾃﾞｰﾀﾍﾞｰｽ変更点!#REF!</definedName>
    <definedName name="F_COMM_DATA">[3]ﾃﾞｰﾀﾍﾞｰｽ変更点!#REF!</definedName>
    <definedName name="F_COMM_STATUS_MASTER" localSheetId="7">[3]ﾃﾞｰﾀﾍﾞｰｽ変更点!#REF!</definedName>
    <definedName name="F_COMM_STATUS_MASTER" localSheetId="3">[3]ﾃﾞｰﾀﾍﾞｰｽ変更点!#REF!</definedName>
    <definedName name="F_COMM_STATUS_MASTER">[3]ﾃﾞｰﾀﾍﾞｰｽ変更点!#REF!</definedName>
    <definedName name="F_CONFIG_DEFINE" localSheetId="7">[3]ﾃﾞｰﾀﾍﾞｰｽ変更点!#REF!</definedName>
    <definedName name="F_CONFIG_DEFINE" localSheetId="3">[3]ﾃﾞｰﾀﾍﾞｰｽ変更点!#REF!</definedName>
    <definedName name="F_CONFIG_DEFINE">[3]ﾃﾞｰﾀﾍﾞｰｽ変更点!#REF!</definedName>
    <definedName name="F_CONFIG_FLAG" localSheetId="7">[5]テーブル設計!#REF!</definedName>
    <definedName name="F_CONFIG_FLAG" localSheetId="3">[5]テーブル設計!#REF!</definedName>
    <definedName name="F_CONFIG_FLAG">[5]テーブル設計!#REF!</definedName>
    <definedName name="F_CONFIG_INIT" localSheetId="7">[3]ﾃﾞｰﾀﾍﾞｰｽ変更点!#REF!</definedName>
    <definedName name="F_CONFIG_INIT" localSheetId="3">[3]ﾃﾞｰﾀﾍﾞｰｽ変更点!#REF!</definedName>
    <definedName name="F_CONFIG_INIT">[3]ﾃﾞｰﾀﾍﾞｰｽ変更点!#REF!</definedName>
    <definedName name="F_CONFIG_PATTERN" localSheetId="7">[3]ﾃﾞｰﾀﾍﾞｰｽ変更点!#REF!</definedName>
    <definedName name="F_CONFIG_PATTERN" localSheetId="3">[3]ﾃﾞｰﾀﾍﾞｰｽ変更点!#REF!</definedName>
    <definedName name="F_CONFIG_PATTERN">[3]ﾃﾞｰﾀﾍﾞｰｽ変更点!#REF!</definedName>
    <definedName name="F_CONFIG_PATTERN_DATA" localSheetId="7">[3]ﾃﾞｰﾀﾍﾞｰｽ変更点!#REF!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7">[5]テーブル設計!#REF!</definedName>
    <definedName name="F_CONFIG_USER_FLAG" localSheetId="3">[5]テーブル設計!#REF!</definedName>
    <definedName name="F_CONFIG_USER_FLAG">[5]テーブル設計!#REF!</definedName>
    <definedName name="F_CONTRACT" localSheetId="7">[5]テーブル設計!#REF!</definedName>
    <definedName name="F_CONTRACT" localSheetId="3">[5]テーブル設計!#REF!</definedName>
    <definedName name="F_CONTRACT">[5]テーブル設計!#REF!</definedName>
    <definedName name="F_CUSTOMER" localSheetId="7">[3]ﾃﾞｰﾀﾍﾞｰｽ変更点!#REF!</definedName>
    <definedName name="F_CUSTOMER" localSheetId="3">[3]ﾃﾞｰﾀﾍﾞｰｽ変更点!#REF!</definedName>
    <definedName name="F_CUSTOMER">[3]ﾃﾞｰﾀﾍﾞｰｽ変更点!#REF!</definedName>
    <definedName name="F_CUSTOMER_CAR" localSheetId="7">[3]ﾃﾞｰﾀﾍﾞｰｽ変更点!#REF!</definedName>
    <definedName name="F_CUSTOMER_CAR" localSheetId="3">[3]ﾃﾞｰﾀﾍﾞｰｽ変更点!#REF!</definedName>
    <definedName name="F_CUSTOMER_CAR">[3]ﾃﾞｰﾀﾍﾞｰｽ変更点!#REF!</definedName>
    <definedName name="F_CUSTOMER_MASTER" localSheetId="7">[4]TableDesign!#REF!</definedName>
    <definedName name="F_CUSTOMER_MASTER" localSheetId="3">[4]TableDesign!#REF!</definedName>
    <definedName name="F_CUSTOMER_MASTER">[4]TableDesign!#REF!</definedName>
    <definedName name="F_DIVISION_MASTER" localSheetId="7">[3]ﾃﾞｰﾀﾍﾞｰｽ変更点!#REF!</definedName>
    <definedName name="F_DIVISION_MASTER" localSheetId="3">[3]ﾃﾞｰﾀﾍﾞｰｽ変更点!#REF!</definedName>
    <definedName name="F_DIVISION_MASTER">[3]ﾃﾞｰﾀﾍﾞｰｽ変更点!#REF!</definedName>
    <definedName name="F_DOPA" localSheetId="7">[3]ﾃﾞｰﾀﾍﾞｰｽ変更点!#REF!</definedName>
    <definedName name="F_DOPA" localSheetId="3">[3]ﾃﾞｰﾀﾍﾞｰｽ変更点!#REF!</definedName>
    <definedName name="F_DOPA">[3]ﾃﾞｰﾀﾍﾞｰｽ変更点!#REF!</definedName>
    <definedName name="F_DOPA_OWNER_HISTORY" localSheetId="7">[3]ﾃﾞｰﾀﾍﾞｰｽ変更点!#REF!</definedName>
    <definedName name="F_DOPA_OWNER_HISTORY" localSheetId="3">[3]ﾃﾞｰﾀﾍﾞｰｽ変更点!#REF!</definedName>
    <definedName name="F_DOPA_OWNER_HISTORY">[3]ﾃﾞｰﾀﾍﾞｰｽ変更点!#REF!</definedName>
    <definedName name="F_DOPA_SERVER" localSheetId="7">[3]ﾃﾞｰﾀﾍﾞｰｽ変更点!#REF!</definedName>
    <definedName name="F_DOPA_SERVER" localSheetId="3">[3]ﾃﾞｰﾀﾍﾞｰｽ変更点!#REF!</definedName>
    <definedName name="F_DOPA_SERVER">[3]ﾃﾞｰﾀﾍﾞｰｽ変更点!#REF!</definedName>
    <definedName name="F_EQUIPMENT_HISTORY" localSheetId="7">[3]ﾃﾞｰﾀﾍﾞｰｽ変更点!#REF!</definedName>
    <definedName name="F_EQUIPMENT_HISTORY" localSheetId="3">[3]ﾃﾞｰﾀﾍﾞｰｽ変更点!#REF!</definedName>
    <definedName name="F_EQUIPMENT_HISTORY">[3]ﾃﾞｰﾀﾍﾞｰｽ変更点!#REF!</definedName>
    <definedName name="F_ERROR" localSheetId="7">[3]ﾃﾞｰﾀﾍﾞｰｽ変更点!#REF!</definedName>
    <definedName name="F_ERROR" localSheetId="3">[3]ﾃﾞｰﾀﾍﾞｰｽ変更点!#REF!</definedName>
    <definedName name="F_ERROR">[3]ﾃﾞｰﾀﾍﾞｰｽ変更点!#REF!</definedName>
    <definedName name="F_ERROR_ENABLED" localSheetId="7">[3]ﾃﾞｰﾀﾍﾞｰｽ変更点!#REF!</definedName>
    <definedName name="F_ERROR_ENABLED" localSheetId="3">[3]ﾃﾞｰﾀﾍﾞｰｽ変更点!#REF!</definedName>
    <definedName name="F_ERROR_ENABLED">[3]ﾃﾞｰﾀﾍﾞｰｽ変更点!#REF!</definedName>
    <definedName name="F_ERROR_MASTER" localSheetId="7">[3]ﾃﾞｰﾀﾍﾞｰｽ変更点!#REF!</definedName>
    <definedName name="F_ERROR_MASTER" localSheetId="3">[3]ﾃﾞｰﾀﾍﾞｰｽ変更点!#REF!</definedName>
    <definedName name="F_ERROR_MASTER">[3]ﾃﾞｰﾀﾍﾞｰｽ変更点!#REF!</definedName>
    <definedName name="F_EVENT_CATEGORY" localSheetId="7">[4]TableDesign!#REF!</definedName>
    <definedName name="F_EVENT_CATEGORY" localSheetId="3">[4]TableDesign!#REF!</definedName>
    <definedName name="F_EVENT_CATEGORY">[4]TableDesign!#REF!</definedName>
    <definedName name="F_EVENT_DIVISION" localSheetId="7">[3]ﾃﾞｰﾀﾍﾞｰｽ変更点!#REF!</definedName>
    <definedName name="F_EVENT_DIVISION" localSheetId="3">[3]ﾃﾞｰﾀﾍﾞｰｽ変更点!#REF!</definedName>
    <definedName name="F_EVENT_DIVISION">[3]ﾃﾞｰﾀﾍﾞｰｽ変更点!#REF!</definedName>
    <definedName name="F_EVENT_MASTER" localSheetId="7">[3]ﾃﾞｰﾀﾍﾞｰｽ変更点!#REF!</definedName>
    <definedName name="F_EVENT_MASTER" localSheetId="3">[3]ﾃﾞｰﾀﾍﾞｰｽ変更点!#REF!</definedName>
    <definedName name="F_EVENT_MASTER">[3]ﾃﾞｰﾀﾍﾞｰｽ変更点!#REF!</definedName>
    <definedName name="F_EVENT_NOTICE" localSheetId="7">[3]ﾃﾞｰﾀﾍﾞｰｽ変更点!#REF!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7">[4]TableDesign!#REF!</definedName>
    <definedName name="F_FUEL_GAUGE" localSheetId="3">[4]TableDesign!#REF!</definedName>
    <definedName name="F_FUEL_GAUGE">[4]TableDesign!#REF!</definedName>
    <definedName name="F_GAUGE_FUEL_WTTEMP" localSheetId="7">[3]ﾃﾞｰﾀﾍﾞｰｽ変更点!#REF!</definedName>
    <definedName name="F_GAUGE_FUEL_WTTEMP" localSheetId="3">[3]ﾃﾞｰﾀﾍﾞｰｽ変更点!#REF!</definedName>
    <definedName name="F_GAUGE_FUEL_WTTEMP">[3]ﾃﾞｰﾀﾍﾞｰｽ変更点!#REF!</definedName>
    <definedName name="F_GIS_DEFINE" localSheetId="7">[4]TableDesign!#REF!</definedName>
    <definedName name="F_GIS_DEFINE" localSheetId="3">[4]TableDesign!#REF!</definedName>
    <definedName name="F_GIS_DEFINE">[4]TableDesign!#REF!</definedName>
    <definedName name="F_GJAHR">[9]Dictionary!$D$21</definedName>
    <definedName name="F_GPS" localSheetId="7">[3]ﾃﾞｰﾀﾍﾞｰｽ変更点!#REF!</definedName>
    <definedName name="F_GPS" localSheetId="3">[3]ﾃﾞｰﾀﾍﾞｰｽ変更点!#REF!</definedName>
    <definedName name="F_GPS">[3]ﾃﾞｰﾀﾍﾞｰｽ変更点!#REF!</definedName>
    <definedName name="F_GRANT_AUTHORITY" localSheetId="7">[3]ﾃﾞｰﾀﾍﾞｰｽ変更点!#REF!</definedName>
    <definedName name="F_GRANT_AUTHORITY" localSheetId="3">[3]ﾃﾞｰﾀﾍﾞｰｽ変更点!#REF!</definedName>
    <definedName name="F_GRANT_AUTHORITY">[3]ﾃﾞｰﾀﾍﾞｰｽ変更点!#REF!</definedName>
    <definedName name="F_GROUP_MASTER" localSheetId="7">[3]ﾃﾞｰﾀﾍﾞｰｽ変更点!#REF!</definedName>
    <definedName name="F_GROUP_MASTER" localSheetId="3">[3]ﾃﾞｰﾀﾍﾞｰｽ変更点!#REF!</definedName>
    <definedName name="F_GROUP_MASTER">[3]ﾃﾞｰﾀﾍﾞｰｽ変更点!#REF!</definedName>
    <definedName name="F_IGNORE_CAUTION" localSheetId="7">[5]テーブル設計!#REF!</definedName>
    <definedName name="F_IGNORE_CAUTION" localSheetId="3">[5]テーブル設計!#REF!</definedName>
    <definedName name="F_IGNORE_CAUTION">[5]テーブル設計!#REF!</definedName>
    <definedName name="F_IGNORE_ERROR" localSheetId="7">[5]テーブル設計!#REF!</definedName>
    <definedName name="F_IGNORE_ERROR" localSheetId="3">[5]テーブル設計!#REF!</definedName>
    <definedName name="F_IGNORE_ERROR">[5]テーブル設計!#REF!</definedName>
    <definedName name="F_INFORM_MASTER" localSheetId="7">[3]ﾃﾞｰﾀﾍﾞｰｽ変更点!#REF!</definedName>
    <definedName name="F_INFORM_MASTER" localSheetId="3">[3]ﾃﾞｰﾀﾍﾞｰｽ変更点!#REF!</definedName>
    <definedName name="F_INFORM_MASTER">[3]ﾃﾞｰﾀﾍﾞｰｽ変更点!#REF!</definedName>
    <definedName name="F_INFORMATION" localSheetId="7">[3]ﾃﾞｰﾀﾍﾞｰｽ変更点!#REF!</definedName>
    <definedName name="F_INFORMATION" localSheetId="3">[3]ﾃﾞｰﾀﾍﾞｰｽ変更点!#REF!</definedName>
    <definedName name="F_INFORMATION">[3]ﾃﾞｰﾀﾍﾞｰｽ変更点!#REF!</definedName>
    <definedName name="F_INFORMATION_READED" localSheetId="7">[3]ﾃﾞｰﾀﾍﾞｰｽ変更点!#REF!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7">[5]テーブル設計!#REF!</definedName>
    <definedName name="F_INVALID_PART_TERMINAL" localSheetId="3">[5]テーブル設計!#REF!</definedName>
    <definedName name="F_INVALID_PART_TERMINAL">[5]テーブル設計!#REF!</definedName>
    <definedName name="F_KIND_MASTER" localSheetId="7">[3]ﾃﾞｰﾀﾍﾞｰｽ変更点!#REF!</definedName>
    <definedName name="F_KIND_MASTER" localSheetId="3">[3]ﾃﾞｰﾀﾍﾞｰｽ変更点!#REF!</definedName>
    <definedName name="F_KIND_MASTER">[3]ﾃﾞｰﾀﾍﾞｰｽ変更点!#REF!</definedName>
    <definedName name="F_KRO_APPLICATION" localSheetId="7">[3]ﾃﾞｰﾀﾍﾞｰｽ変更点!#REF!</definedName>
    <definedName name="F_KRO_APPLICATION" localSheetId="3">[3]ﾃﾞｰﾀﾍﾞｰｽ変更点!#REF!</definedName>
    <definedName name="F_KRO_APPLICATION">[3]ﾃﾞｰﾀﾍﾞｰｽ変更点!#REF!</definedName>
    <definedName name="F_KRO_APPLICATION_DATA" localSheetId="7">[3]ﾃﾞｰﾀﾍﾞｰｽ変更点!#REF!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7">[3]ﾃﾞｰﾀﾍﾞｰｽ変更点!#REF!</definedName>
    <definedName name="F_KRO_COMPLETION" localSheetId="3">[3]ﾃﾞｰﾀﾍﾞｰｽ変更点!#REF!</definedName>
    <definedName name="F_KRO_COMPLETION">[3]ﾃﾞｰﾀﾍﾞｰｽ変更点!#REF!</definedName>
    <definedName name="F_KRO_COMPLETION_DATA" localSheetId="7">[3]ﾃﾞｰﾀﾍﾞｰｽ変更点!#REF!</definedName>
    <definedName name="F_KRO_COMPLETION_DATA" localSheetId="3">[3]ﾃﾞｰﾀﾍﾞｰｽ変更点!#REF!</definedName>
    <definedName name="F_KRO_COMPLETION_DATA">[3]ﾃﾞｰﾀﾍﾞｰｽ変更点!#REF!</definedName>
    <definedName name="F_KRO_EMERGENCY" localSheetId="7">[5]テーブル設計!#REF!</definedName>
    <definedName name="F_KRO_EMERGENCY" localSheetId="3">[5]テーブル設計!#REF!</definedName>
    <definedName name="F_KRO_EMERGENCY">[5]テーブル設計!#REF!</definedName>
    <definedName name="F_KRO_REPORT" localSheetId="7">[3]ﾃﾞｰﾀﾍﾞｰｽ変更点!#REF!</definedName>
    <definedName name="F_KRO_REPORT" localSheetId="3">[3]ﾃﾞｰﾀﾍﾞｰｽ変更点!#REF!</definedName>
    <definedName name="F_KRO_REPORT">[3]ﾃﾞｰﾀﾍﾞｰｽ変更点!#REF!</definedName>
    <definedName name="F_KUNNR">[9]Dictionary!$D$24</definedName>
    <definedName name="F_LANDMARK" localSheetId="7">[3]ﾃﾞｰﾀﾍﾞｰｽ変更点!#REF!</definedName>
    <definedName name="F_LANDMARK" localSheetId="3">[3]ﾃﾞｰﾀﾍﾞｰｽ変更点!#REF!</definedName>
    <definedName name="F_LANDMARK">[3]ﾃﾞｰﾀﾍﾞｰｽ変更点!#REF!</definedName>
    <definedName name="F_LANDMARK_CLASS" localSheetId="7">[3]ﾃﾞｰﾀﾍﾞｰｽ変更点!#REF!</definedName>
    <definedName name="F_LANDMARK_CLASS" localSheetId="3">[3]ﾃﾞｰﾀﾍﾞｰｽ変更点!#REF!</definedName>
    <definedName name="F_LANDMARK_CLASS">[3]ﾃﾞｰﾀﾍﾞｰｽ変更点!#REF!</definedName>
    <definedName name="F_LOGON_HISTORY" localSheetId="7">[3]ﾃﾞｰﾀﾍﾞｰｽ変更点!#REF!</definedName>
    <definedName name="F_LOGON_HISTORY" localSheetId="3">[3]ﾃﾞｰﾀﾍﾞｰｽ変更点!#REF!</definedName>
    <definedName name="F_LOGON_HISTORY">[3]ﾃﾞｰﾀﾍﾞｰｽ変更点!#REF!</definedName>
    <definedName name="F_MACHINE_ERROR" localSheetId="7">[4]TableDesign!#REF!</definedName>
    <definedName name="F_MACHINE_ERROR" localSheetId="3">[4]TableDesign!#REF!</definedName>
    <definedName name="F_MACHINE_ERROR">[4]TableDesign!#REF!</definedName>
    <definedName name="F_MACHINE_STATUS_MASTER" localSheetId="7">[3]ﾃﾞｰﾀﾍﾞｰｽ変更点!#REF!</definedName>
    <definedName name="F_MACHINE_STATUS_MASTER" localSheetId="3">[3]ﾃﾞｰﾀﾍﾞｰｽ変更点!#REF!</definedName>
    <definedName name="F_MACHINE_STATUS_MASTER">[3]ﾃﾞｰﾀﾍﾞｰｽ変更点!#REF!</definedName>
    <definedName name="F_MAINTENANCE_DATA" localSheetId="7">[3]ﾃﾞｰﾀﾍﾞｰｽ変更点!#REF!</definedName>
    <definedName name="F_MAINTENANCE_DATA" localSheetId="3">[3]ﾃﾞｰﾀﾍﾞｰｽ変更点!#REF!</definedName>
    <definedName name="F_MAINTENANCE_DATA">[3]ﾃﾞｰﾀﾍﾞｰｽ変更点!#REF!</definedName>
    <definedName name="F_MAINTENANCE_INFORM" localSheetId="7">[3]ﾃﾞｰﾀﾍﾞｰｽ変更点!#REF!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7">[3]ﾃﾞｰﾀﾍﾞｰｽ変更点!#REF!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7">[4]TableDesign!#REF!</definedName>
    <definedName name="F_MAINTENANCE_TIME" localSheetId="3">[4]TableDesign!#REF!</definedName>
    <definedName name="F_MAINTENANCE_TIME">[4]TableDesign!#REF!</definedName>
    <definedName name="F_MAKER_MASTER" localSheetId="7">[3]ﾃﾞｰﾀﾍﾞｰｽ変更点!#REF!</definedName>
    <definedName name="F_MAKER_MASTER" localSheetId="3">[3]ﾃﾞｰﾀﾍﾞｰｽ変更点!#REF!</definedName>
    <definedName name="F_MAKER_MASTER">[3]ﾃﾞｰﾀﾍﾞｰｽ変更点!#REF!</definedName>
    <definedName name="F_MARK_MACHINE" localSheetId="7">[4]TableDesign!#REF!</definedName>
    <definedName name="F_MARK_MACHINE" localSheetId="3">[4]TableDesign!#REF!</definedName>
    <definedName name="F_MARK_MACHINE">[4]TableDesign!#REF!</definedName>
    <definedName name="F_MARK_NOTIFICATION" localSheetId="7">[4]TableDesign!#REF!</definedName>
    <definedName name="F_MARK_NOTIFICATION" localSheetId="3">[4]TableDesign!#REF!</definedName>
    <definedName name="F_MARK_NOTIFICATION">[4]TableDesign!#REF!</definedName>
    <definedName name="F_MARK_NOTIFICATION_DETAIL" localSheetId="7">[4]TableDesign!#REF!</definedName>
    <definedName name="F_MARK_NOTIFICATION_DETAIL" localSheetId="3">[4]TableDesign!#REF!</definedName>
    <definedName name="F_MARK_NOTIFICATION_DETAIL">[4]TableDesign!#REF!</definedName>
    <definedName name="F_MEMO" localSheetId="7">[3]ﾃﾞｰﾀﾍﾞｰｽ変更点!#REF!</definedName>
    <definedName name="F_MEMO" localSheetId="3">[3]ﾃﾞｰﾀﾍﾞｰｽ変更点!#REF!</definedName>
    <definedName name="F_MEMO">[3]ﾃﾞｰﾀﾍﾞｰｽ変更点!#REF!</definedName>
    <definedName name="F_MEMORY_MODIFY" localSheetId="7">[3]ﾃﾞｰﾀﾍﾞｰｽ変更点!#REF!</definedName>
    <definedName name="F_MEMORY_MODIFY" localSheetId="3">[3]ﾃﾞｰﾀﾍﾞｰｽ変更点!#REF!</definedName>
    <definedName name="F_MEMORY_MODIFY">[3]ﾃﾞｰﾀﾍﾞｰｽ変更点!#REF!</definedName>
    <definedName name="F_MEMORY_MODIFY_DATA" localSheetId="7">[3]ﾃﾞｰﾀﾍﾞｰｽ変更点!#REF!</definedName>
    <definedName name="F_MEMORY_MODIFY_DATA" localSheetId="3">[3]ﾃﾞｰﾀﾍﾞｰｽ変更点!#REF!</definedName>
    <definedName name="F_MEMORY_MODIFY_DATA">[3]ﾃﾞｰﾀﾍﾞｰｽ変更点!#REF!</definedName>
    <definedName name="F_MESSAGE" localSheetId="7">[3]ﾃﾞｰﾀﾍﾞｰｽ変更点!#REF!</definedName>
    <definedName name="F_MESSAGE" localSheetId="3">[3]ﾃﾞｰﾀﾍﾞｰｽ変更点!#REF!</definedName>
    <definedName name="F_MESSAGE">[3]ﾃﾞｰﾀﾍﾞｰｽ変更点!#REF!</definedName>
    <definedName name="F_MESSAGE_MASTER" localSheetId="7">[3]ﾃﾞｰﾀﾍﾞｰｽ変更点!#REF!</definedName>
    <definedName name="F_MESSAGE_MASTER" localSheetId="3">[3]ﾃﾞｰﾀﾍﾞｰｽ変更点!#REF!</definedName>
    <definedName name="F_MESSAGE_MASTER">[3]ﾃﾞｰﾀﾍﾞｰｽ変更点!#REF!</definedName>
    <definedName name="F_MONTHLY_ATT_SMR" localSheetId="7">[4]TableDesign!#REF!</definedName>
    <definedName name="F_MONTHLY_ATT_SMR" localSheetId="3">[4]TableDesign!#REF!</definedName>
    <definedName name="F_MONTHLY_ATT_SMR">[4]TableDesign!#REF!</definedName>
    <definedName name="F_MONTHLY_ERROR" localSheetId="7">[4]TableDesign!#REF!</definedName>
    <definedName name="F_MONTHLY_ERROR" localSheetId="3">[4]TableDesign!#REF!</definedName>
    <definedName name="F_MONTHLY_ERROR">[4]TableDesign!#REF!</definedName>
    <definedName name="F_MONTHLY_LOAD" localSheetId="7">[4]TableDesign!#REF!</definedName>
    <definedName name="F_MONTHLY_LOAD" localSheetId="3">[4]TableDesign!#REF!</definedName>
    <definedName name="F_MONTHLY_LOAD">[4]TableDesign!#REF!</definedName>
    <definedName name="F_MONTHLY_MOVEMENT" localSheetId="7">[4]TableDesign!#REF!</definedName>
    <definedName name="F_MONTHLY_MOVEMENT" localSheetId="3">[4]TableDesign!#REF!</definedName>
    <definedName name="F_MONTHLY_MOVEMENT">[4]TableDesign!#REF!</definedName>
    <definedName name="F_MONTHLY_OPERATION" localSheetId="7">[4]TableDesign!#REF!</definedName>
    <definedName name="F_MONTHLY_OPERATION" localSheetId="3">[4]TableDesign!#REF!</definedName>
    <definedName name="F_MONTHLY_OPERATION">[4]TableDesign!#REF!</definedName>
    <definedName name="F_MONTHLY_SMR" localSheetId="7">[4]TableDesign!#REF!</definedName>
    <definedName name="F_MONTHLY_SMR" localSheetId="3">[4]TableDesign!#REF!</definedName>
    <definedName name="F_MONTHLY_SMR">[4]TableDesign!#REF!</definedName>
    <definedName name="F_MONTHLY_WORKING_SMR" localSheetId="7">[4]TableDesign!#REF!</definedName>
    <definedName name="F_MONTHLY_WORKING_SMR" localSheetId="3">[4]TableDesign!#REF!</definedName>
    <definedName name="F_MONTHLY_WORKING_SMR">[4]TableDesign!#REF!</definedName>
    <definedName name="F_MONTLY_LOAD" localSheetId="7">[4]TableDesign!#REF!</definedName>
    <definedName name="F_MONTLY_LOAD" localSheetId="3">[4]TableDesign!#REF!</definedName>
    <definedName name="F_MONTLY_LOAD">[4]TableDesign!#REF!</definedName>
    <definedName name="F_MULTI_OPE" localSheetId="7">[3]ﾃﾞｰﾀﾍﾞｰｽ変更点!#REF!</definedName>
    <definedName name="F_MULTI_OPE" localSheetId="3">[3]ﾃﾞｰﾀﾍﾞｰｽ変更点!#REF!</definedName>
    <definedName name="F_MULTI_OPE">[3]ﾃﾞｰﾀﾍﾞｰｽ変更点!#REF!</definedName>
    <definedName name="F_MULTI_OPE_DATA" localSheetId="7">[5]テーブル設計!#REF!</definedName>
    <definedName name="F_MULTI_OPE_DATA" localSheetId="3">[5]テーブル設計!#REF!</definedName>
    <definedName name="F_MULTI_OPE_DATA">[5]テーブル設計!#REF!</definedName>
    <definedName name="F_NLS_DB_RESOURCE" localSheetId="7">[4]TableDesign!#REF!</definedName>
    <definedName name="F_NLS_DB_RESOURCE" localSheetId="3">[4]TableDesign!#REF!</definedName>
    <definedName name="F_NLS_DB_RESOURCE">[4]TableDesign!#REF!</definedName>
    <definedName name="F_NLS_LANG" localSheetId="7">[4]TableDesign!#REF!</definedName>
    <definedName name="F_NLS_LANG" localSheetId="3">[4]TableDesign!#REF!</definedName>
    <definedName name="F_NLS_LANG">[4]TableDesign!#REF!</definedName>
    <definedName name="F_NLS_RESOURCE" localSheetId="7">[4]TableDesign!#REF!</definedName>
    <definedName name="F_NLS_RESOURCE" localSheetId="3">[4]TableDesign!#REF!</definedName>
    <definedName name="F_NLS_RESOURCE">[4]TableDesign!#REF!</definedName>
    <definedName name="F_NOT_ACTIVE" localSheetId="7">[3]ﾃﾞｰﾀﾍﾞｰｽ変更点!#REF!</definedName>
    <definedName name="F_NOT_ACTIVE" localSheetId="3">[3]ﾃﾞｰﾀﾍﾞｰｽ変更点!#REF!</definedName>
    <definedName name="F_NOT_ACTIVE">[3]ﾃﾞｰﾀﾍﾞｰｽ変更点!#REF!</definedName>
    <definedName name="F_OPERATION_CATEGORY" localSheetId="7">[4]TableDesign!#REF!</definedName>
    <definedName name="F_OPERATION_CATEGORY" localSheetId="3">[4]TableDesign!#REF!</definedName>
    <definedName name="F_OPERATION_CATEGORY">[4]TableDesign!#REF!</definedName>
    <definedName name="F_OPERATION_CLASS" localSheetId="7">[5]テーブル設計!#REF!</definedName>
    <definedName name="F_OPERATION_CLASS" localSheetId="3">[5]テーブル設計!#REF!</definedName>
    <definedName name="F_OPERATION_CLASS">[5]テーブル設計!#REF!</definedName>
    <definedName name="F_OPERATION_LOG" localSheetId="7">[3]ﾃﾞｰﾀﾍﾞｰｽ変更点!#REF!</definedName>
    <definedName name="F_OPERATION_LOG" localSheetId="3">[3]ﾃﾞｰﾀﾍﾞｰｽ変更点!#REF!</definedName>
    <definedName name="F_OPERATION_LOG">[3]ﾃﾞｰﾀﾍﾞｰｽ変更点!#REF!</definedName>
    <definedName name="F_OPERATION_LOG2" localSheetId="7">[5]テーブル設計!#REF!</definedName>
    <definedName name="F_OPERATION_LOG2" localSheetId="3">[5]テーブル設計!#REF!</definedName>
    <definedName name="F_OPERATION_LOG2">[5]テーブル設計!#REF!</definedName>
    <definedName name="F_OPERATION_MAP" localSheetId="7">[4]TableDesign!#REF!</definedName>
    <definedName name="F_OPERATION_MAP" localSheetId="3">[4]TableDesign!#REF!</definedName>
    <definedName name="F_OPERATION_MAP">[4]TableDesign!#REF!</definedName>
    <definedName name="F_OPERATION_MASTER" localSheetId="7">[5]テーブル設計!#REF!</definedName>
    <definedName name="F_OPERATION_MASTER" localSheetId="3">[5]テーブル設計!#REF!</definedName>
    <definedName name="F_OPERATION_MASTER">[5]テーブル設計!#REF!</definedName>
    <definedName name="F_ORBCOMM" localSheetId="7">[3]ﾃﾞｰﾀﾍﾞｰｽ変更点!#REF!</definedName>
    <definedName name="F_ORBCOMM" localSheetId="3">[3]ﾃﾞｰﾀﾍﾞｰｽ変更点!#REF!</definedName>
    <definedName name="F_ORBCOMM">[3]ﾃﾞｰﾀﾍﾞｰｽ変更点!#REF!</definedName>
    <definedName name="F_ORBCOMM_OWNER_HISTORY" localSheetId="7">[3]ﾃﾞｰﾀﾍﾞｰｽ変更点!#REF!</definedName>
    <definedName name="F_ORBCOMM_OWNER_HISTORY" localSheetId="3">[3]ﾃﾞｰﾀﾍﾞｰｽ変更点!#REF!</definedName>
    <definedName name="F_ORBCOMM_OWNER_HISTORY">[3]ﾃﾞｰﾀﾍﾞｰｽ変更点!#REF!</definedName>
    <definedName name="F_PLANT_CAR" localSheetId="7">[5]テーブル設計!#REF!</definedName>
    <definedName name="F_PLANT_CAR" localSheetId="3">[5]テーブル設計!#REF!</definedName>
    <definedName name="F_PLANT_CAR">[5]テーブル設計!#REF!</definedName>
    <definedName name="F_PLANT_ERROR" localSheetId="7">[5]テーブル設計!#REF!</definedName>
    <definedName name="F_PLANT_ERROR" localSheetId="3">[5]テーブル設計!#REF!</definedName>
    <definedName name="F_PLANT_ERROR">[5]テーブル設計!#REF!</definedName>
    <definedName name="F_PLANT_GPS" localSheetId="7">[5]テーブル設計!#REF!</definedName>
    <definedName name="F_PLANT_GPS" localSheetId="3">[5]テーブル設計!#REF!</definedName>
    <definedName name="F_PLANT_GPS">[5]テーブル設計!#REF!</definedName>
    <definedName name="F_PREVENT_THEFT_KEY" localSheetId="7">[3]ﾃﾞｰﾀﾍﾞｰｽ変更点!#REF!</definedName>
    <definedName name="F_PREVENT_THEFT_KEY" localSheetId="3">[3]ﾃﾞｰﾀﾍﾞｰｽ変更点!#REF!</definedName>
    <definedName name="F_PREVENT_THEFT_KEY">[3]ﾃﾞｰﾀﾍﾞｰｽ変更点!#REF!</definedName>
    <definedName name="F_PRIVATE_TARGET_CAR" localSheetId="7">[3]ﾃﾞｰﾀﾍﾞｰｽ変更点!#REF!</definedName>
    <definedName name="F_PRIVATE_TARGET_CAR" localSheetId="3">[3]ﾃﾞｰﾀﾍﾞｰｽ変更点!#REF!</definedName>
    <definedName name="F_PRIVATE_TARGET_CAR">[3]ﾃﾞｰﾀﾍﾞｰｽ変更点!#REF!</definedName>
    <definedName name="F_RECEIVE_LIST" localSheetId="7">[5]テーブル設計!#REF!</definedName>
    <definedName name="F_RECEIVE_LIST" localSheetId="3">[5]テーブル設計!#REF!</definedName>
    <definedName name="F_RECEIVE_LIST">[5]テーブル設計!#REF!</definedName>
    <definedName name="F_RECEIVE_LOG" localSheetId="7">[3]ﾃﾞｰﾀﾍﾞｰｽ変更点!#REF!</definedName>
    <definedName name="F_RECEIVE_LOG" localSheetId="3">[3]ﾃﾞｰﾀﾍﾞｰｽ変更点!#REF!</definedName>
    <definedName name="F_RECEIVE_LOG">[3]ﾃﾞｰﾀﾍﾞｰｽ変更点!#REF!</definedName>
    <definedName name="F_REGION_DATA" localSheetId="7">[4]TableDesign!#REF!</definedName>
    <definedName name="F_REGION_DATA" localSheetId="3">[4]TableDesign!#REF!</definedName>
    <definedName name="F_REGION_DATA">[4]TableDesign!#REF!</definedName>
    <definedName name="F_REGION_MASTER" localSheetId="7">[4]TableDesign!#REF!</definedName>
    <definedName name="F_REGION_MASTER" localSheetId="3">[4]TableDesign!#REF!</definedName>
    <definedName name="F_REGION_MASTER">[4]TableDesign!#REF!</definedName>
    <definedName name="F_RENTAL_TERMINAL" localSheetId="7">[5]テーブル設計!#REF!</definedName>
    <definedName name="F_RENTAL_TERMINAL" localSheetId="3">[5]テーブル設計!#REF!</definedName>
    <definedName name="F_RENTAL_TERMINAL">[5]テーブル設計!#REF!</definedName>
    <definedName name="F_REQUEST" localSheetId="7">[3]ﾃﾞｰﾀﾍﾞｰｽ変更点!#REF!</definedName>
    <definedName name="F_REQUEST" localSheetId="3">[3]ﾃﾞｰﾀﾍﾞｰｽ変更点!#REF!</definedName>
    <definedName name="F_REQUEST">[3]ﾃﾞｰﾀﾍﾞｰｽ変更点!#REF!</definedName>
    <definedName name="F_REQUEST_COUNT" localSheetId="7">[3]ﾃﾞｰﾀﾍﾞｰｽ変更点!#REF!</definedName>
    <definedName name="F_REQUEST_COUNT" localSheetId="3">[3]ﾃﾞｰﾀﾍﾞｰｽ変更点!#REF!</definedName>
    <definedName name="F_REQUEST_COUNT">[3]ﾃﾞｰﾀﾍﾞｰｽ変更点!#REF!</definedName>
    <definedName name="F_REQUEST_LOG" localSheetId="7">[3]ﾃﾞｰﾀﾍﾞｰｽ変更点!#REF!</definedName>
    <definedName name="F_REQUEST_LOG" localSheetId="3">[3]ﾃﾞｰﾀﾍﾞｰｽ変更点!#REF!</definedName>
    <definedName name="F_REQUEST_LOG">[3]ﾃﾞｰﾀﾍﾞｰｽ変更点!#REF!</definedName>
    <definedName name="F_RIVATE_TARGET_CAR" localSheetId="7">[4]TableDesign!#REF!</definedName>
    <definedName name="F_RIVATE_TARGET_CAR" localSheetId="3">[4]TableDesign!#REF!</definedName>
    <definedName name="F_RIVATE_TARGET_CAR">[4]TableDesign!#REF!</definedName>
    <definedName name="F_RUNNING_LOG" localSheetId="7">[3]ﾃﾞｰﾀﾍﾞｰｽ変更点!#REF!</definedName>
    <definedName name="F_RUNNING_LOG" localSheetId="3">[3]ﾃﾞｰﾀﾍﾞｰｽ変更点!#REF!</definedName>
    <definedName name="F_RUNNING_LOG">[3]ﾃﾞｰﾀﾍﾞｰｽ変更点!#REF!</definedName>
    <definedName name="F_SAVE_INFORMATION" localSheetId="7">[5]テーブル設計!#REF!</definedName>
    <definedName name="F_SAVE_INFORMATION" localSheetId="3">[5]テーブル設計!#REF!</definedName>
    <definedName name="F_SAVE_INFORMATION">[5]テーブル設計!#REF!</definedName>
    <definedName name="F_SELFCARINSPECTION" localSheetId="7">[3]ﾃﾞｰﾀﾍﾞｰｽ変更点!#REF!</definedName>
    <definedName name="F_SELFCARINSPECTION" localSheetId="3">[3]ﾃﾞｰﾀﾍﾞｰｽ変更点!#REF!</definedName>
    <definedName name="F_SELFCARINSPECTION">[3]ﾃﾞｰﾀﾍﾞｰｽ変更点!#REF!</definedName>
    <definedName name="F_SEND_LIST" localSheetId="7">[5]テーブル設計!#REF!</definedName>
    <definedName name="F_SEND_LIST" localSheetId="3">[5]テーブル設計!#REF!</definedName>
    <definedName name="F_SEND_LIST">[5]テーブル設計!#REF!</definedName>
    <definedName name="F_SEND_LOG" localSheetId="7">[5]テーブル設計!#REF!</definedName>
    <definedName name="F_SEND_LOG" localSheetId="3">[5]テーブル設計!#REF!</definedName>
    <definedName name="F_SEND_LOG">[5]テーブル設計!#REF!</definedName>
    <definedName name="F_SERVER_COMMUNICATION" localSheetId="7">[4]TableDesign!#REF!</definedName>
    <definedName name="F_SERVER_COMMUNICATION" localSheetId="3">[4]TableDesign!#REF!</definedName>
    <definedName name="F_SERVER_COMMUNICATION">[4]TableDesign!#REF!</definedName>
    <definedName name="F_SERVER_INFORMATION" localSheetId="7">[3]ﾃﾞｰﾀﾍﾞｰｽ変更点!#REF!</definedName>
    <definedName name="F_SERVER_INFORMATION" localSheetId="3">[3]ﾃﾞｰﾀﾍﾞｰｽ変更点!#REF!</definedName>
    <definedName name="F_SERVER_INFORMATION">[3]ﾃﾞｰﾀﾍﾞｰｽ変更点!#REF!</definedName>
    <definedName name="F_SERVICE_METER" localSheetId="7">[3]ﾃﾞｰﾀﾍﾞｰｽ変更点!#REF!</definedName>
    <definedName name="F_SERVICE_METER" localSheetId="3">[3]ﾃﾞｰﾀﾍﾞｰｽ変更点!#REF!</definedName>
    <definedName name="F_SERVICE_METER">[3]ﾃﾞｰﾀﾍﾞｰｽ変更点!#REF!</definedName>
    <definedName name="F_SERVICE_METER2" localSheetId="7">[5]テーブル設計!#REF!</definedName>
    <definedName name="F_SERVICE_METER2" localSheetId="3">[5]テーブル設計!#REF!</definedName>
    <definedName name="F_SERVICE_METER2">[5]テーブル設計!#REF!</definedName>
    <definedName name="F_SERVICEMAN" localSheetId="7">[5]テーブル設計!#REF!</definedName>
    <definedName name="F_SERVICEMAN" localSheetId="3">[5]テーブル設計!#REF!</definedName>
    <definedName name="F_SERVICEMAN">[5]テーブル設計!#REF!</definedName>
    <definedName name="F_SERVICEMAN_CHARGE" localSheetId="7">[5]テーブル設計!#REF!</definedName>
    <definedName name="F_SERVICEMAN_CHARGE" localSheetId="3">[5]テーブル設計!#REF!</definedName>
    <definedName name="F_SERVICEMAN_CHARGE">[5]テーブル設計!#REF!</definedName>
    <definedName name="F_SGTXT">[9]Dictionary!$D$31</definedName>
    <definedName name="F_SHIPMENT" localSheetId="7">[3]ﾃﾞｰﾀﾍﾞｰｽ変更点!#REF!</definedName>
    <definedName name="F_SHIPMENT" localSheetId="3">[3]ﾃﾞｰﾀﾍﾞｰｽ変更点!#REF!</definedName>
    <definedName name="F_SHIPMENT">[3]ﾃﾞｰﾀﾍﾞｰｽ変更点!#REF!</definedName>
    <definedName name="F_SHOW" localSheetId="7">[3]ﾃﾞｰﾀﾍﾞｰｽ変更点!#REF!</definedName>
    <definedName name="F_SHOW" localSheetId="3">[3]ﾃﾞｰﾀﾍﾞｰｽ変更点!#REF!</definedName>
    <definedName name="F_SHOW">[3]ﾃﾞｰﾀﾍﾞｰｽ変更点!#REF!</definedName>
    <definedName name="F_SHOW_GROUP" localSheetId="7">[3]ﾃﾞｰﾀﾍﾞｰｽ変更点!#REF!</definedName>
    <definedName name="F_SHOW_GROUP" localSheetId="3">[3]ﾃﾞｰﾀﾍﾞｰｽ変更点!#REF!</definedName>
    <definedName name="F_SHOW_GROUP">[3]ﾃﾞｰﾀﾍﾞｰｽ変更点!#REF!</definedName>
    <definedName name="F_SPECIAL_AREA" localSheetId="7">[3]ﾃﾞｰﾀﾍﾞｰｽ変更点!#REF!</definedName>
    <definedName name="F_SPECIAL_AREA" localSheetId="3">[3]ﾃﾞｰﾀﾍﾞｰｽ変更点!#REF!</definedName>
    <definedName name="F_SPECIAL_AREA">[3]ﾃﾞｰﾀﾍﾞｰｽ変更点!#REF!</definedName>
    <definedName name="F_SUB_GROUP" localSheetId="7">[4]TableDesign!#REF!</definedName>
    <definedName name="F_SUB_GROUP" localSheetId="3">[4]TableDesign!#REF!</definedName>
    <definedName name="F_SUB_GROUP">[4]TableDesign!#REF!</definedName>
    <definedName name="F_SUB_GROUP_CAR" localSheetId="7">[4]TableDesign!#REF!</definedName>
    <definedName name="F_SUB_GROUP_CAR" localSheetId="3">[4]TableDesign!#REF!</definedName>
    <definedName name="F_SUB_GROUP_CAR">[4]TableDesign!#REF!</definedName>
    <definedName name="F_SYSTEM_COMMTERM_INFO" localSheetId="7">[3]ﾃﾞｰﾀﾍﾞｰｽ変更点!#REF!</definedName>
    <definedName name="F_SYSTEM_COMMTERM_INFO" localSheetId="3">[3]ﾃﾞｰﾀﾍﾞｰｽ変更点!#REF!</definedName>
    <definedName name="F_SYSTEM_COMMTERM_INFO">[3]ﾃﾞｰﾀﾍﾞｰｽ変更点!#REF!</definedName>
    <definedName name="F_SYSTEM_LOG" localSheetId="7">[3]ﾃﾞｰﾀﾍﾞｰｽ変更点!#REF!</definedName>
    <definedName name="F_SYSTEM_LOG" localSheetId="3">[3]ﾃﾞｰﾀﾍﾞｰｽ変更点!#REF!</definedName>
    <definedName name="F_SYSTEM_LOG">[3]ﾃﾞｰﾀﾍﾞｰｽ変更点!#REF!</definedName>
    <definedName name="F_SYSTEM_NOTICE" localSheetId="7">[3]ﾃﾞｰﾀﾍﾞｰｽ変更点!#REF!</definedName>
    <definedName name="F_SYSTEM_NOTICE" localSheetId="3">[3]ﾃﾞｰﾀﾍﾞｰｽ変更点!#REF!</definedName>
    <definedName name="F_SYSTEM_NOTICE">[3]ﾃﾞｰﾀﾍﾞｰｽ変更点!#REF!</definedName>
    <definedName name="F_TARGET" localSheetId="7">[3]ﾃﾞｰﾀﾍﾞｰｽ変更点!#REF!</definedName>
    <definedName name="F_TARGET" localSheetId="3">[3]ﾃﾞｰﾀﾍﾞｰｽ変更点!#REF!</definedName>
    <definedName name="F_TARGET">[3]ﾃﾞｰﾀﾍﾞｰｽ変更点!#REF!</definedName>
    <definedName name="F_TARGET_CAR" localSheetId="7">[3]ﾃﾞｰﾀﾍﾞｰｽ変更点!#REF!</definedName>
    <definedName name="F_TARGET_CAR" localSheetId="3">[3]ﾃﾞｰﾀﾍﾞｰｽ変更点!#REF!</definedName>
    <definedName name="F_TARGET_CAR">[3]ﾃﾞｰﾀﾍﾞｰｽ変更点!#REF!</definedName>
    <definedName name="F_TERMINAL_AREA" localSheetId="7">[3]ﾃﾞｰﾀﾍﾞｰｽ変更点!#REF!</definedName>
    <definedName name="F_TERMINAL_AREA" localSheetId="3">[3]ﾃﾞｰﾀﾍﾞｰｽ変更点!#REF!</definedName>
    <definedName name="F_TERMINAL_AREA">[3]ﾃﾞｰﾀﾍﾞｰｽ変更点!#REF!</definedName>
    <definedName name="F_TERMINAL_CAUTION" localSheetId="7">[3]ﾃﾞｰﾀﾍﾞｰｽ変更点!#REF!</definedName>
    <definedName name="F_TERMINAL_CAUTION" localSheetId="3">[3]ﾃﾞｰﾀﾍﾞｰｽ変更点!#REF!</definedName>
    <definedName name="F_TERMINAL_CAUTION">[3]ﾃﾞｰﾀﾍﾞｰｽ変更点!#REF!</definedName>
    <definedName name="F_TERMINAL_ERROR" localSheetId="7">[3]ﾃﾞｰﾀﾍﾞｰｽ変更点!#REF!</definedName>
    <definedName name="F_TERMINAL_ERROR" localSheetId="3">[3]ﾃﾞｰﾀﾍﾞｰｽ変更点!#REF!</definedName>
    <definedName name="F_TERMINAL_ERROR">[3]ﾃﾞｰﾀﾍﾞｰｽ変更点!#REF!</definedName>
    <definedName name="F_TERMINAL_KIND" localSheetId="7">[3]ﾃﾞｰﾀﾍﾞｰｽ変更点!#REF!</definedName>
    <definedName name="F_TERMINAL_KIND" localSheetId="3">[3]ﾃﾞｰﾀﾍﾞｰｽ変更点!#REF!</definedName>
    <definedName name="F_TERMINAL_KIND">[3]ﾃﾞｰﾀﾍﾞｰｽ変更点!#REF!</definedName>
    <definedName name="F_TERMINAL_MASTER" localSheetId="7">[3]ﾃﾞｰﾀﾍﾞｰｽ変更点!#REF!</definedName>
    <definedName name="F_TERMINAL_MASTER" localSheetId="3">[3]ﾃﾞｰﾀﾍﾞｰｽ変更点!#REF!</definedName>
    <definedName name="F_TERMINAL_MASTER">[3]ﾃﾞｰﾀﾍﾞｰｽ変更点!#REF!</definedName>
    <definedName name="F_TERMINAL_PART_MASTER" localSheetId="7">[3]ﾃﾞｰﾀﾍﾞｰｽ変更点!#REF!</definedName>
    <definedName name="F_TERMINAL_PART_MASTER" localSheetId="3">[3]ﾃﾞｰﾀﾍﾞｰｽ変更点!#REF!</definedName>
    <definedName name="F_TERMINAL_PART_MASTER">[3]ﾃﾞｰﾀﾍﾞｰｽ変更点!#REF!</definedName>
    <definedName name="F_TYPE_MASTER" localSheetId="7">[3]ﾃﾞｰﾀﾍﾞｰｽ変更点!#REF!</definedName>
    <definedName name="F_TYPE_MASTER" localSheetId="3">[3]ﾃﾞｰﾀﾍﾞｰｽ変更点!#REF!</definedName>
    <definedName name="F_TYPE_MASTER">[3]ﾃﾞｰﾀﾍﾞｰｽ変更点!#REF!</definedName>
    <definedName name="F_UFO" localSheetId="7">[3]ﾃﾞｰﾀﾍﾞｰｽ変更点!#REF!</definedName>
    <definedName name="F_UFO" localSheetId="3">[3]ﾃﾞｰﾀﾍﾞｰｽ変更点!#REF!</definedName>
    <definedName name="F_UFO">[3]ﾃﾞｰﾀﾍﾞｰｽ変更点!#REF!</definedName>
    <definedName name="F_UNRELIABLE_RECEIVE" localSheetId="7">[3]ﾃﾞｰﾀﾍﾞｰｽ変更点!#REF!</definedName>
    <definedName name="F_UNRELIABLE_RECEIVE" localSheetId="3">[3]ﾃﾞｰﾀﾍﾞｰｽ変更点!#REF!</definedName>
    <definedName name="F_UNRELIABLE_RECEIVE">[3]ﾃﾞｰﾀﾍﾞｰｽ変更点!#REF!</definedName>
    <definedName name="F_USER_MASTER" localSheetId="7">[3]ﾃﾞｰﾀﾍﾞｰｽ変更点!#REF!</definedName>
    <definedName name="F_USER_MASTER" localSheetId="3">[3]ﾃﾞｰﾀﾍﾞｰｽ変更点!#REF!</definedName>
    <definedName name="F_USER_MASTER">[3]ﾃﾞｰﾀﾍﾞｰｽ変更点!#REF!</definedName>
    <definedName name="F_USER_TEMP" localSheetId="7">[3]ﾃﾞｰﾀﾍﾞｰｽ変更点!#REF!</definedName>
    <definedName name="F_USER_TEMP" localSheetId="3">[3]ﾃﾞｰﾀﾍﾞｰｽ変更点!#REF!</definedName>
    <definedName name="F_USER_TEMP">[3]ﾃﾞｰﾀﾍﾞｰｽ変更点!#REF!</definedName>
    <definedName name="F_WATER_TEMP_GAUGE" localSheetId="7">[4]TableDesign!#REF!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7">'[6]DATA-COMMUNICATION-FORMAT'!#REF!</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7">#REF!</definedName>
    <definedName name="Freepage" localSheetId="3">#REF!</definedName>
    <definedName name="Freepage">#REF!</definedName>
    <definedName name="Freepage2" localSheetId="7">#REF!</definedName>
    <definedName name="Freepage2" localSheetId="3">#REF!</definedName>
    <definedName name="Freepage2">#REF!</definedName>
    <definedName name="Freepage3" localSheetId="7">#REF!</definedName>
    <definedName name="Freepage3" localSheetId="3">#REF!</definedName>
    <definedName name="Freepage3">#REF!</definedName>
    <definedName name="Freespace" localSheetId="7">#REF!</definedName>
    <definedName name="Freespace" localSheetId="3">#REF!</definedName>
    <definedName name="Freespace">#REF!</definedName>
    <definedName name="Freespace2" localSheetId="7">#REF!</definedName>
    <definedName name="Freespace2" localSheetId="3">#REF!</definedName>
    <definedName name="Freespace2">#REF!</definedName>
    <definedName name="Freespace3" localSheetId="7">#REF!</definedName>
    <definedName name="Freespace3" localSheetId="3">#REF!</definedName>
    <definedName name="Freespace3">#REF!</definedName>
    <definedName name="G_ACT_DATA" localSheetId="7">[3]ﾃﾞｰﾀﾍﾞｰｽ変更点!#REF!</definedName>
    <definedName name="G_ACT_DATA" localSheetId="3">[3]ﾃﾞｰﾀﾍﾞｰｽ変更点!#REF!</definedName>
    <definedName name="G_ACT_DATA">[3]ﾃﾞｰﾀﾍﾞｰｽ変更点!#REF!</definedName>
    <definedName name="G_ACTUAL_OPERATION" localSheetId="7">[4]TableDesign!#REF!</definedName>
    <definedName name="G_ACTUAL_OPERATION" localSheetId="3">[4]TableDesign!#REF!</definedName>
    <definedName name="G_ACTUAL_OPERATION">[4]TableDesign!#REF!</definedName>
    <definedName name="G_AREA" localSheetId="7">[3]ﾃﾞｰﾀﾍﾞｰｽ変更点!#REF!</definedName>
    <definedName name="G_AREA" localSheetId="3">[3]ﾃﾞｰﾀﾍﾞｰｽ変更点!#REF!</definedName>
    <definedName name="G_AREA">[3]ﾃﾞｰﾀﾍﾞｰｽ変更点!#REF!</definedName>
    <definedName name="G_AREA_DEFINE" localSheetId="7">[3]ﾃﾞｰﾀﾍﾞｰｽ変更点!#REF!</definedName>
    <definedName name="G_AREA_DEFINE" localSheetId="3">[3]ﾃﾞｰﾀﾍﾞｰｽ変更点!#REF!</definedName>
    <definedName name="G_AREA_DEFINE">[3]ﾃﾞｰﾀﾍﾞｰｽ変更点!#REF!</definedName>
    <definedName name="G_AREA_INIT" localSheetId="7">[3]ﾃﾞｰﾀﾍﾞｰｽ変更点!#REF!</definedName>
    <definedName name="G_AREA_INIT" localSheetId="3">[3]ﾃﾞｰﾀﾍﾞｰｽ変更点!#REF!</definedName>
    <definedName name="G_AREA_INIT">[3]ﾃﾞｰﾀﾍﾞｰｽ変更点!#REF!</definedName>
    <definedName name="G_AREA_MASTER" localSheetId="7">[3]ﾃﾞｰﾀﾍﾞｰｽ変更点!#REF!</definedName>
    <definedName name="G_AREA_MASTER" localSheetId="3">[3]ﾃﾞｰﾀﾍﾞｰｽ変更点!#REF!</definedName>
    <definedName name="G_AREA_MASTER">[3]ﾃﾞｰﾀﾍﾞｰｽ変更点!#REF!</definedName>
    <definedName name="G_ASK" localSheetId="7">[3]ﾃﾞｰﾀﾍﾞｰｽ変更点!#REF!</definedName>
    <definedName name="G_ASK" localSheetId="3">[3]ﾃﾞｰﾀﾍﾞｰｽ変更点!#REF!</definedName>
    <definedName name="G_ASK">[3]ﾃﾞｰﾀﾍﾞｰｽ変更点!#REF!</definedName>
    <definedName name="G_ASK_LOG" localSheetId="7">[5]テーブル設計!#REF!</definedName>
    <definedName name="G_ASK_LOG" localSheetId="3">[5]テーブル設計!#REF!</definedName>
    <definedName name="G_ASK_LOG">[5]テーブル設計!#REF!</definedName>
    <definedName name="G_ASK_SYSTEM" localSheetId="7">[3]ﾃﾞｰﾀﾍﾞｰｽ変更点!#REF!</definedName>
    <definedName name="G_ASK_SYSTEM" localSheetId="3">[3]ﾃﾞｰﾀﾍﾞｰｽ変更点!#REF!</definedName>
    <definedName name="G_ASK_SYSTEM">[3]ﾃﾞｰﾀﾍﾞｰｽ変更点!#REF!</definedName>
    <definedName name="G_ATC_ERROR" localSheetId="7">[5]テーブル設計!#REF!</definedName>
    <definedName name="G_ATC_ERROR" localSheetId="3">[5]テーブル設計!#REF!</definedName>
    <definedName name="G_ATC_ERROR">[5]テーブル設計!#REF!</definedName>
    <definedName name="G_AUTHORITY_GROUP" localSheetId="7">[3]ﾃﾞｰﾀﾍﾞｰｽ変更点!#REF!</definedName>
    <definedName name="G_AUTHORITY_GROUP" localSheetId="3">[3]ﾃﾞｰﾀﾍﾞｰｽ変更点!#REF!</definedName>
    <definedName name="G_AUTHORITY_GROUP">[3]ﾃﾞｰﾀﾍﾞｰｽ変更点!#REF!</definedName>
    <definedName name="G_AUTHORITY_GROUP_DATA" localSheetId="7">[3]ﾃﾞｰﾀﾍﾞｰｽ変更点!#REF!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7">[5]テーブル設計!#REF!</definedName>
    <definedName name="G_AUTHORITY_MASTER" localSheetId="3">[5]テーブル設計!#REF!</definedName>
    <definedName name="G_AUTHORITY_MASTER">[5]テーブル設計!#REF!</definedName>
    <definedName name="G_BONDED_STORE" localSheetId="7">[5]テーブル設計!#REF!</definedName>
    <definedName name="G_BONDED_STORE" localSheetId="3">[5]テーブル設計!#REF!</definedName>
    <definedName name="G_BONDED_STORE">[5]テーブル設計!#REF!</definedName>
    <definedName name="G_CAR_DATA" localSheetId="7">[3]ﾃﾞｰﾀﾍﾞｰｽ変更点!#REF!</definedName>
    <definedName name="G_CAR_DATA" localSheetId="3">[3]ﾃﾞｰﾀﾍﾞｰｽ変更点!#REF!</definedName>
    <definedName name="G_CAR_DATA">[3]ﾃﾞｰﾀﾍﾞｰｽ変更点!#REF!</definedName>
    <definedName name="G_CAR_MASTER" localSheetId="7">[3]ﾃﾞｰﾀﾍﾞｰｽ変更点!#REF!</definedName>
    <definedName name="G_CAR_MASTER" localSheetId="3">[3]ﾃﾞｰﾀﾍﾞｰｽ変更点!#REF!</definedName>
    <definedName name="G_CAR_MASTER">[3]ﾃﾞｰﾀﾍﾞｰｽ変更点!#REF!</definedName>
    <definedName name="G_CAR_MONTHLY_DATA" localSheetId="7">[3]ﾃﾞｰﾀﾍﾞｰｽ変更点!#REF!</definedName>
    <definedName name="G_CAR_MONTHLY_DATA" localSheetId="3">[3]ﾃﾞｰﾀﾍﾞｰｽ変更点!#REF!</definedName>
    <definedName name="G_CAR_MONTHLY_DATA">[3]ﾃﾞｰﾀﾍﾞｰｽ変更点!#REF!</definedName>
    <definedName name="G_CAR_OWNER_HISTORY" localSheetId="7">[3]ﾃﾞｰﾀﾍﾞｰｽ変更点!#REF!</definedName>
    <definedName name="G_CAR_OWNER_HISTORY" localSheetId="3">[3]ﾃﾞｰﾀﾍﾞｰｽ変更点!#REF!</definedName>
    <definedName name="G_CAR_OWNER_HISTORY">[3]ﾃﾞｰﾀﾍﾞｰｽ変更点!#REF!</definedName>
    <definedName name="G_CAUTION" localSheetId="7">[4]TableDesign!#REF!</definedName>
    <definedName name="G_CAUTION" localSheetId="3">[4]TableDesign!#REF!</definedName>
    <definedName name="G_CAUTION">[4]TableDesign!#REF!</definedName>
    <definedName name="G_CAUTION_DATA" localSheetId="7">[3]ﾃﾞｰﾀﾍﾞｰｽ変更点!#REF!</definedName>
    <definedName name="G_CAUTION_DATA" localSheetId="3">[3]ﾃﾞｰﾀﾍﾞｰｽ変更点!#REF!</definedName>
    <definedName name="G_CAUTION_DATA">[3]ﾃﾞｰﾀﾍﾞｰｽ変更点!#REF!</definedName>
    <definedName name="G_CAUTION_ENABLED" localSheetId="7">[3]ﾃﾞｰﾀﾍﾞｰｽ変更点!#REF!</definedName>
    <definedName name="G_CAUTION_ENABLED" localSheetId="3">[3]ﾃﾞｰﾀﾍﾞｰｽ変更点!#REF!</definedName>
    <definedName name="G_CAUTION_ENABLED">[3]ﾃﾞｰﾀﾍﾞｰｽ変更点!#REF!</definedName>
    <definedName name="G_CAUTION_ICON" localSheetId="7">[3]ﾃﾞｰﾀﾍﾞｰｽ変更点!#REF!</definedName>
    <definedName name="G_CAUTION_ICON" localSheetId="3">[3]ﾃﾞｰﾀﾍﾞｰｽ変更点!#REF!</definedName>
    <definedName name="G_CAUTION_ICON">[3]ﾃﾞｰﾀﾍﾞｰｽ変更点!#REF!</definedName>
    <definedName name="G_CAUTION_INIT" localSheetId="7">[3]ﾃﾞｰﾀﾍﾞｰｽ変更点!#REF!</definedName>
    <definedName name="G_CAUTION_INIT" localSheetId="3">[3]ﾃﾞｰﾀﾍﾞｰｽ変更点!#REF!</definedName>
    <definedName name="G_CAUTION_INIT">[3]ﾃﾞｰﾀﾍﾞｰｽ変更点!#REF!</definedName>
    <definedName name="G_CAUTION_MASTER" localSheetId="7">[3]ﾃﾞｰﾀﾍﾞｰｽ変更点!#REF!</definedName>
    <definedName name="G_CAUTION_MASTER" localSheetId="3">[3]ﾃﾞｰﾀﾍﾞｰｽ変更点!#REF!</definedName>
    <definedName name="G_CAUTION_MASTER">[3]ﾃﾞｰﾀﾍﾞｰｽ変更点!#REF!</definedName>
    <definedName name="G_CLASS1_MASTER" localSheetId="7">[3]ﾃﾞｰﾀﾍﾞｰｽ変更点!#REF!</definedName>
    <definedName name="G_CLASS1_MASTER" localSheetId="3">[3]ﾃﾞｰﾀﾍﾞｰｽ変更点!#REF!</definedName>
    <definedName name="G_CLASS1_MASTER">[3]ﾃﾞｰﾀﾍﾞｰｽ変更点!#REF!</definedName>
    <definedName name="G_CLASS2_MASTER" localSheetId="7">[3]ﾃﾞｰﾀﾍﾞｰｽ変更点!#REF!</definedName>
    <definedName name="G_CLASS2_MASTER" localSheetId="3">[3]ﾃﾞｰﾀﾍﾞｰｽ変更点!#REF!</definedName>
    <definedName name="G_CLASS2_MASTER">[3]ﾃﾞｰﾀﾍﾞｰｽ変更点!#REF!</definedName>
    <definedName name="G_COMM_DATA" localSheetId="7">[3]ﾃﾞｰﾀﾍﾞｰｽ変更点!#REF!</definedName>
    <definedName name="G_COMM_DATA" localSheetId="3">[3]ﾃﾞｰﾀﾍﾞｰｽ変更点!#REF!</definedName>
    <definedName name="G_COMM_DATA">[3]ﾃﾞｰﾀﾍﾞｰｽ変更点!#REF!</definedName>
    <definedName name="G_COMM_STATUS_MASTER" localSheetId="7">[3]ﾃﾞｰﾀﾍﾞｰｽ変更点!#REF!</definedName>
    <definedName name="G_COMM_STATUS_MASTER" localSheetId="3">[3]ﾃﾞｰﾀﾍﾞｰｽ変更点!#REF!</definedName>
    <definedName name="G_COMM_STATUS_MASTER">[3]ﾃﾞｰﾀﾍﾞｰｽ変更点!#REF!</definedName>
    <definedName name="G_CONFIG_DEFINE" localSheetId="7">[3]ﾃﾞｰﾀﾍﾞｰｽ変更点!#REF!</definedName>
    <definedName name="G_CONFIG_DEFINE" localSheetId="3">[3]ﾃﾞｰﾀﾍﾞｰｽ変更点!#REF!</definedName>
    <definedName name="G_CONFIG_DEFINE">[3]ﾃﾞｰﾀﾍﾞｰｽ変更点!#REF!</definedName>
    <definedName name="G_CONFIG_FLAG" localSheetId="7">[5]テーブル設計!#REF!</definedName>
    <definedName name="G_CONFIG_FLAG" localSheetId="3">[5]テーブル設計!#REF!</definedName>
    <definedName name="G_CONFIG_FLAG">[5]テーブル設計!#REF!</definedName>
    <definedName name="G_CONFIG_INIT" localSheetId="7">[3]ﾃﾞｰﾀﾍﾞｰｽ変更点!#REF!</definedName>
    <definedName name="G_CONFIG_INIT" localSheetId="3">[3]ﾃﾞｰﾀﾍﾞｰｽ変更点!#REF!</definedName>
    <definedName name="G_CONFIG_INIT">[3]ﾃﾞｰﾀﾍﾞｰｽ変更点!#REF!</definedName>
    <definedName name="G_CONFIG_PATTERN" localSheetId="7">[3]ﾃﾞｰﾀﾍﾞｰｽ変更点!#REF!</definedName>
    <definedName name="G_CONFIG_PATTERN" localSheetId="3">[3]ﾃﾞｰﾀﾍﾞｰｽ変更点!#REF!</definedName>
    <definedName name="G_CONFIG_PATTERN">[3]ﾃﾞｰﾀﾍﾞｰｽ変更点!#REF!</definedName>
    <definedName name="G_CONFIG_PATTERN_DATA" localSheetId="7">[3]ﾃﾞｰﾀﾍﾞｰｽ変更点!#REF!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7">[5]テーブル設計!#REF!</definedName>
    <definedName name="G_CONFIG_USER_FLAG" localSheetId="3">[5]テーブル設計!#REF!</definedName>
    <definedName name="G_CONFIG_USER_FLAG">[5]テーブル設計!#REF!</definedName>
    <definedName name="G_CONTRACT" localSheetId="7">[5]テーブル設計!#REF!</definedName>
    <definedName name="G_CONTRACT" localSheetId="3">[5]テーブル設計!#REF!</definedName>
    <definedName name="G_CONTRACT">[5]テーブル設計!#REF!</definedName>
    <definedName name="G_CUSTOMER" localSheetId="7">[3]ﾃﾞｰﾀﾍﾞｰｽ変更点!#REF!</definedName>
    <definedName name="G_CUSTOMER" localSheetId="3">[3]ﾃﾞｰﾀﾍﾞｰｽ変更点!#REF!</definedName>
    <definedName name="G_CUSTOMER">[3]ﾃﾞｰﾀﾍﾞｰｽ変更点!#REF!</definedName>
    <definedName name="G_CUSTOMER_CAR" localSheetId="7">[3]ﾃﾞｰﾀﾍﾞｰｽ変更点!#REF!</definedName>
    <definedName name="G_CUSTOMER_CAR" localSheetId="3">[3]ﾃﾞｰﾀﾍﾞｰｽ変更点!#REF!</definedName>
    <definedName name="G_CUSTOMER_CAR">[3]ﾃﾞｰﾀﾍﾞｰｽ変更点!#REF!</definedName>
    <definedName name="G_CUSTOMER_MASTER" localSheetId="7">[4]TableDesign!#REF!</definedName>
    <definedName name="G_CUSTOMER_MASTER" localSheetId="3">[4]TableDesign!#REF!</definedName>
    <definedName name="G_CUSTOMER_MASTER">[4]TableDesign!#REF!</definedName>
    <definedName name="G_DIVISION_MASTER" localSheetId="7">[3]ﾃﾞｰﾀﾍﾞｰｽ変更点!#REF!</definedName>
    <definedName name="G_DIVISION_MASTER" localSheetId="3">[3]ﾃﾞｰﾀﾍﾞｰｽ変更点!#REF!</definedName>
    <definedName name="G_DIVISION_MASTER">[3]ﾃﾞｰﾀﾍﾞｰｽ変更点!#REF!</definedName>
    <definedName name="G_DOPA" localSheetId="7">[3]ﾃﾞｰﾀﾍﾞｰｽ変更点!#REF!</definedName>
    <definedName name="G_DOPA" localSheetId="3">[3]ﾃﾞｰﾀﾍﾞｰｽ変更点!#REF!</definedName>
    <definedName name="G_DOPA">[3]ﾃﾞｰﾀﾍﾞｰｽ変更点!#REF!</definedName>
    <definedName name="G_DOPA_OWNER_HISTORY" localSheetId="7">[3]ﾃﾞｰﾀﾍﾞｰｽ変更点!#REF!</definedName>
    <definedName name="G_DOPA_OWNER_HISTORY" localSheetId="3">[3]ﾃﾞｰﾀﾍﾞｰｽ変更点!#REF!</definedName>
    <definedName name="G_DOPA_OWNER_HISTORY">[3]ﾃﾞｰﾀﾍﾞｰｽ変更点!#REF!</definedName>
    <definedName name="G_DOPA_SERVER" localSheetId="7">[3]ﾃﾞｰﾀﾍﾞｰｽ変更点!#REF!</definedName>
    <definedName name="G_DOPA_SERVER" localSheetId="3">[3]ﾃﾞｰﾀﾍﾞｰｽ変更点!#REF!</definedName>
    <definedName name="G_DOPA_SERVER">[3]ﾃﾞｰﾀﾍﾞｰｽ変更点!#REF!</definedName>
    <definedName name="G_EQUIPMENT_HISTORY" localSheetId="7">[3]ﾃﾞｰﾀﾍﾞｰｽ変更点!#REF!</definedName>
    <definedName name="G_EQUIPMENT_HISTORY" localSheetId="3">[3]ﾃﾞｰﾀﾍﾞｰｽ変更点!#REF!</definedName>
    <definedName name="G_EQUIPMENT_HISTORY">[3]ﾃﾞｰﾀﾍﾞｰｽ変更点!#REF!</definedName>
    <definedName name="G_ERROR" localSheetId="7">[3]ﾃﾞｰﾀﾍﾞｰｽ変更点!#REF!</definedName>
    <definedName name="G_ERROR" localSheetId="3">[3]ﾃﾞｰﾀﾍﾞｰｽ変更点!#REF!</definedName>
    <definedName name="G_ERROR">[3]ﾃﾞｰﾀﾍﾞｰｽ変更点!#REF!</definedName>
    <definedName name="G_ERROR_ENABLED" localSheetId="7">[3]ﾃﾞｰﾀﾍﾞｰｽ変更点!#REF!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7">[3]ﾃﾞｰﾀﾍﾞｰｽ変更点!#REF!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7">[3]ﾃﾞｰﾀﾍﾞｰｽ変更点!#REF!</definedName>
    <definedName name="G_ERROR_MASTER" localSheetId="3">[3]ﾃﾞｰﾀﾍﾞｰｽ変更点!#REF!</definedName>
    <definedName name="G_ERROR_MASTER">[3]ﾃﾞｰﾀﾍﾞｰｽ変更点!#REF!</definedName>
    <definedName name="G_EVENT_CATEGORY" localSheetId="7">[4]TableDesign!#REF!</definedName>
    <definedName name="G_EVENT_CATEGORY" localSheetId="3">[4]TableDesign!#REF!</definedName>
    <definedName name="G_EVENT_CATEGORY">[4]TableDesign!#REF!</definedName>
    <definedName name="G_EVENT_DIVISION" localSheetId="7">[3]ﾃﾞｰﾀﾍﾞｰｽ変更点!#REF!</definedName>
    <definedName name="G_EVENT_DIVISION" localSheetId="3">[3]ﾃﾞｰﾀﾍﾞｰｽ変更点!#REF!</definedName>
    <definedName name="G_EVENT_DIVISION">[3]ﾃﾞｰﾀﾍﾞｰｽ変更点!#REF!</definedName>
    <definedName name="G_EVENT_MASTER" localSheetId="7">[3]ﾃﾞｰﾀﾍﾞｰｽ変更点!#REF!</definedName>
    <definedName name="G_EVENT_MASTER" localSheetId="3">[3]ﾃﾞｰﾀﾍﾞｰｽ変更点!#REF!</definedName>
    <definedName name="G_EVENT_MASTER">[3]ﾃﾞｰﾀﾍﾞｰｽ変更点!#REF!</definedName>
    <definedName name="G_EVENT_NOTICE" localSheetId="7">[3]ﾃﾞｰﾀﾍﾞｰｽ変更点!#REF!</definedName>
    <definedName name="G_EVENT_NOTICE" localSheetId="3">[3]ﾃﾞｰﾀﾍﾞｰｽ変更点!#REF!</definedName>
    <definedName name="G_EVENT_NOTICE">[3]ﾃﾞｰﾀﾍﾞｰｽ変更点!#REF!</definedName>
    <definedName name="G_FUEL_GAUGE" localSheetId="7">[4]TableDesign!#REF!</definedName>
    <definedName name="G_FUEL_GAUGE" localSheetId="3">[4]TableDesign!#REF!</definedName>
    <definedName name="G_FUEL_GAUGE">[4]TableDesign!#REF!</definedName>
    <definedName name="G_GAUGE_FUEL_WTTEMP" localSheetId="7">[3]ﾃﾞｰﾀﾍﾞｰｽ変更点!#REF!</definedName>
    <definedName name="G_GAUGE_FUEL_WTTEMP" localSheetId="3">[3]ﾃﾞｰﾀﾍﾞｰｽ変更点!#REF!</definedName>
    <definedName name="G_GAUGE_FUEL_WTTEMP">[3]ﾃﾞｰﾀﾍﾞｰｽ変更点!#REF!</definedName>
    <definedName name="G_GIS_DEFINE" localSheetId="7">[4]TableDesign!#REF!</definedName>
    <definedName name="G_GIS_DEFINE" localSheetId="3">[4]TableDesign!#REF!</definedName>
    <definedName name="G_GIS_DEFINE">[4]TableDesign!#REF!</definedName>
    <definedName name="G_GPS" localSheetId="7">[3]ﾃﾞｰﾀﾍﾞｰｽ変更点!#REF!</definedName>
    <definedName name="G_GPS" localSheetId="3">[3]ﾃﾞｰﾀﾍﾞｰｽ変更点!#REF!</definedName>
    <definedName name="G_GPS">[3]ﾃﾞｰﾀﾍﾞｰｽ変更点!#REF!</definedName>
    <definedName name="G_GRANT_AUTHORITY" localSheetId="7">[3]ﾃﾞｰﾀﾍﾞｰｽ変更点!#REF!</definedName>
    <definedName name="G_GRANT_AUTHORITY" localSheetId="3">[3]ﾃﾞｰﾀﾍﾞｰｽ変更点!#REF!</definedName>
    <definedName name="G_GRANT_AUTHORITY">[3]ﾃﾞｰﾀﾍﾞｰｽ変更点!#REF!</definedName>
    <definedName name="G_GROUP_MASTER" localSheetId="7">[3]ﾃﾞｰﾀﾍﾞｰｽ変更点!#REF!</definedName>
    <definedName name="G_GROUP_MASTER" localSheetId="3">[3]ﾃﾞｰﾀﾍﾞｰｽ変更点!#REF!</definedName>
    <definedName name="G_GROUP_MASTER">[3]ﾃﾞｰﾀﾍﾞｰｽ変更点!#REF!</definedName>
    <definedName name="G_IGNORE_CAUTION" localSheetId="7">[5]テーブル設計!#REF!</definedName>
    <definedName name="G_IGNORE_CAUTION" localSheetId="3">[5]テーブル設計!#REF!</definedName>
    <definedName name="G_IGNORE_CAUTION">[5]テーブル設計!#REF!</definedName>
    <definedName name="G_IGNORE_ERROR" localSheetId="7">[5]テーブル設計!#REF!</definedName>
    <definedName name="G_IGNORE_ERROR" localSheetId="3">[5]テーブル設計!#REF!</definedName>
    <definedName name="G_IGNORE_ERROR">[5]テーブル設計!#REF!</definedName>
    <definedName name="G_INFORM_MASTER" localSheetId="7">[3]ﾃﾞｰﾀﾍﾞｰｽ変更点!#REF!</definedName>
    <definedName name="G_INFORM_MASTER" localSheetId="3">[3]ﾃﾞｰﾀﾍﾞｰｽ変更点!#REF!</definedName>
    <definedName name="G_INFORM_MASTER">[3]ﾃﾞｰﾀﾍﾞｰｽ変更点!#REF!</definedName>
    <definedName name="G_INFORMATION" localSheetId="7">[3]ﾃﾞｰﾀﾍﾞｰｽ変更点!#REF!</definedName>
    <definedName name="G_INFORMATION" localSheetId="3">[3]ﾃﾞｰﾀﾍﾞｰｽ変更点!#REF!</definedName>
    <definedName name="G_INFORMATION">[3]ﾃﾞｰﾀﾍﾞｰｽ変更点!#REF!</definedName>
    <definedName name="G_INFORMATION_READED" localSheetId="7">[3]ﾃﾞｰﾀﾍﾞｰｽ変更点!#REF!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7">[5]テーブル設計!#REF!</definedName>
    <definedName name="G_INVALID_PART_TERMINAL" localSheetId="3">[5]テーブル設計!#REF!</definedName>
    <definedName name="G_INVALID_PART_TERMINAL">[5]テーブル設計!#REF!</definedName>
    <definedName name="G_KIND_MASTER" localSheetId="7">[3]ﾃﾞｰﾀﾍﾞｰｽ変更点!#REF!</definedName>
    <definedName name="G_KIND_MASTER" localSheetId="3">[3]ﾃﾞｰﾀﾍﾞｰｽ変更点!#REF!</definedName>
    <definedName name="G_KIND_MASTER">[3]ﾃﾞｰﾀﾍﾞｰｽ変更点!#REF!</definedName>
    <definedName name="G_KRO_APPLICATION" localSheetId="7">[3]ﾃﾞｰﾀﾍﾞｰｽ変更点!#REF!</definedName>
    <definedName name="G_KRO_APPLICATION" localSheetId="3">[3]ﾃﾞｰﾀﾍﾞｰｽ変更点!#REF!</definedName>
    <definedName name="G_KRO_APPLICATION">[3]ﾃﾞｰﾀﾍﾞｰｽ変更点!#REF!</definedName>
    <definedName name="G_KRO_APPLICATION_DATA" localSheetId="7">[3]ﾃﾞｰﾀﾍﾞｰｽ変更点!#REF!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7">[3]ﾃﾞｰﾀﾍﾞｰｽ変更点!#REF!</definedName>
    <definedName name="G_KRO_COMPLETION" localSheetId="3">[3]ﾃﾞｰﾀﾍﾞｰｽ変更点!#REF!</definedName>
    <definedName name="G_KRO_COMPLETION">[3]ﾃﾞｰﾀﾍﾞｰｽ変更点!#REF!</definedName>
    <definedName name="G_KRO_COMPLETION_DATA" localSheetId="7">[3]ﾃﾞｰﾀﾍﾞｰｽ変更点!#REF!</definedName>
    <definedName name="G_KRO_COMPLETION_DATA" localSheetId="3">[3]ﾃﾞｰﾀﾍﾞｰｽ変更点!#REF!</definedName>
    <definedName name="G_KRO_COMPLETION_DATA">[3]ﾃﾞｰﾀﾍﾞｰｽ変更点!#REF!</definedName>
    <definedName name="G_KRO_EMERGENCY" localSheetId="7">[5]テーブル設計!#REF!</definedName>
    <definedName name="G_KRO_EMERGENCY" localSheetId="3">[5]テーブル設計!#REF!</definedName>
    <definedName name="G_KRO_EMERGENCY">[5]テーブル設計!#REF!</definedName>
    <definedName name="G_KRO_REPORT" localSheetId="7">[3]ﾃﾞｰﾀﾍﾞｰｽ変更点!#REF!</definedName>
    <definedName name="G_KRO_REPORT" localSheetId="3">[3]ﾃﾞｰﾀﾍﾞｰｽ変更点!#REF!</definedName>
    <definedName name="G_KRO_REPORT">[3]ﾃﾞｰﾀﾍﾞｰｽ変更点!#REF!</definedName>
    <definedName name="G_LANDMARK" localSheetId="7">[3]ﾃﾞｰﾀﾍﾞｰｽ変更点!#REF!</definedName>
    <definedName name="G_LANDMARK" localSheetId="3">[3]ﾃﾞｰﾀﾍﾞｰｽ変更点!#REF!</definedName>
    <definedName name="G_LANDMARK">[3]ﾃﾞｰﾀﾍﾞｰｽ変更点!#REF!</definedName>
    <definedName name="G_LANDMARK_CLASS" localSheetId="7">[3]ﾃﾞｰﾀﾍﾞｰｽ変更点!#REF!</definedName>
    <definedName name="G_LANDMARK_CLASS" localSheetId="3">[3]ﾃﾞｰﾀﾍﾞｰｽ変更点!#REF!</definedName>
    <definedName name="G_LANDMARK_CLASS">[3]ﾃﾞｰﾀﾍﾞｰｽ変更点!#REF!</definedName>
    <definedName name="G_LOGON_HISTORY" localSheetId="7">[3]ﾃﾞｰﾀﾍﾞｰｽ変更点!#REF!</definedName>
    <definedName name="G_LOGON_HISTORY" localSheetId="3">[3]ﾃﾞｰﾀﾍﾞｰｽ変更点!#REF!</definedName>
    <definedName name="G_LOGON_HISTORY">[3]ﾃﾞｰﾀﾍﾞｰｽ変更点!#REF!</definedName>
    <definedName name="G_MACHINE_ERROR" localSheetId="7">[4]TableDesign!#REF!</definedName>
    <definedName name="G_MACHINE_ERROR" localSheetId="3">[4]TableDesign!#REF!</definedName>
    <definedName name="G_MACHINE_ERROR">[4]TableDesign!#REF!</definedName>
    <definedName name="G_MACHINE_STATUS_MASTER" localSheetId="7">[3]ﾃﾞｰﾀﾍﾞｰｽ変更点!#REF!</definedName>
    <definedName name="G_MACHINE_STATUS_MASTER" localSheetId="3">[3]ﾃﾞｰﾀﾍﾞｰｽ変更点!#REF!</definedName>
    <definedName name="G_MACHINE_STATUS_MASTER">[3]ﾃﾞｰﾀﾍﾞｰｽ変更点!#REF!</definedName>
    <definedName name="G_MAINTENANCE_DATA" localSheetId="7">[3]ﾃﾞｰﾀﾍﾞｰｽ変更点!#REF!</definedName>
    <definedName name="G_MAINTENANCE_DATA" localSheetId="3">[3]ﾃﾞｰﾀﾍﾞｰｽ変更点!#REF!</definedName>
    <definedName name="G_MAINTENANCE_DATA">[3]ﾃﾞｰﾀﾍﾞｰｽ変更点!#REF!</definedName>
    <definedName name="G_MAINTENANCE_INFORM" localSheetId="7">[3]ﾃﾞｰﾀﾍﾞｰｽ変更点!#REF!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7">[3]ﾃﾞｰﾀﾍﾞｰｽ変更点!#REF!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7">[4]TableDesign!#REF!</definedName>
    <definedName name="G_MAINTENANCE_TIME" localSheetId="3">[4]TableDesign!#REF!</definedName>
    <definedName name="G_MAINTENANCE_TIME">[4]TableDesign!#REF!</definedName>
    <definedName name="G_MAKER_MASTER" localSheetId="7">[3]ﾃﾞｰﾀﾍﾞｰｽ変更点!#REF!</definedName>
    <definedName name="G_MAKER_MASTER" localSheetId="3">[3]ﾃﾞｰﾀﾍﾞｰｽ変更点!#REF!</definedName>
    <definedName name="G_MAKER_MASTER">[3]ﾃﾞｰﾀﾍﾞｰｽ変更点!#REF!</definedName>
    <definedName name="G_MARK_MACHINE" localSheetId="7">[4]TableDesign!#REF!</definedName>
    <definedName name="G_MARK_MACHINE" localSheetId="3">[4]TableDesign!#REF!</definedName>
    <definedName name="G_MARK_MACHINE">[4]TableDesign!#REF!</definedName>
    <definedName name="G_MARK_NOTIFICATION" localSheetId="7">[4]TableDesign!#REF!</definedName>
    <definedName name="G_MARK_NOTIFICATION" localSheetId="3">[4]TableDesign!#REF!</definedName>
    <definedName name="G_MARK_NOTIFICATION">[4]TableDesign!#REF!</definedName>
    <definedName name="G_MARK_NOTIFICATION_DETAIL" localSheetId="7">[4]TableDesign!#REF!</definedName>
    <definedName name="G_MARK_NOTIFICATION_DETAIL" localSheetId="3">[4]TableDesign!#REF!</definedName>
    <definedName name="G_MARK_NOTIFICATION_DETAIL">[4]TableDesign!#REF!</definedName>
    <definedName name="G_MEMO" localSheetId="7">[3]ﾃﾞｰﾀﾍﾞｰｽ変更点!#REF!</definedName>
    <definedName name="G_MEMO" localSheetId="3">[3]ﾃﾞｰﾀﾍﾞｰｽ変更点!#REF!</definedName>
    <definedName name="G_MEMO">[3]ﾃﾞｰﾀﾍﾞｰｽ変更点!#REF!</definedName>
    <definedName name="G_MEMORY_MODIFY" localSheetId="7">[3]ﾃﾞｰﾀﾍﾞｰｽ変更点!#REF!</definedName>
    <definedName name="G_MEMORY_MODIFY" localSheetId="3">[3]ﾃﾞｰﾀﾍﾞｰｽ変更点!#REF!</definedName>
    <definedName name="G_MEMORY_MODIFY">[3]ﾃﾞｰﾀﾍﾞｰｽ変更点!#REF!</definedName>
    <definedName name="G_MEMORY_MODIFY_DATA" localSheetId="7">[3]ﾃﾞｰﾀﾍﾞｰｽ変更点!#REF!</definedName>
    <definedName name="G_MEMORY_MODIFY_DATA" localSheetId="3">[3]ﾃﾞｰﾀﾍﾞｰｽ変更点!#REF!</definedName>
    <definedName name="G_MEMORY_MODIFY_DATA">[3]ﾃﾞｰﾀﾍﾞｰｽ変更点!#REF!</definedName>
    <definedName name="G_MESSAGE" localSheetId="7">[3]ﾃﾞｰﾀﾍﾞｰｽ変更点!#REF!</definedName>
    <definedName name="G_MESSAGE" localSheetId="3">[3]ﾃﾞｰﾀﾍﾞｰｽ変更点!#REF!</definedName>
    <definedName name="G_MESSAGE">[3]ﾃﾞｰﾀﾍﾞｰｽ変更点!#REF!</definedName>
    <definedName name="G_MESSAGE_MASTER" localSheetId="7">[3]ﾃﾞｰﾀﾍﾞｰｽ変更点!#REF!</definedName>
    <definedName name="G_MESSAGE_MASTER" localSheetId="3">[3]ﾃﾞｰﾀﾍﾞｰｽ変更点!#REF!</definedName>
    <definedName name="G_MESSAGE_MASTER">[3]ﾃﾞｰﾀﾍﾞｰｽ変更点!#REF!</definedName>
    <definedName name="G_MONTHLY_ATT_SMR" localSheetId="7">[4]TableDesign!#REF!</definedName>
    <definedName name="G_MONTHLY_ATT_SMR" localSheetId="3">[4]TableDesign!#REF!</definedName>
    <definedName name="G_MONTHLY_ATT_SMR">[4]TableDesign!#REF!</definedName>
    <definedName name="G_MONTHLY_ERROR" localSheetId="7">[4]TableDesign!#REF!</definedName>
    <definedName name="G_MONTHLY_ERROR" localSheetId="3">[4]TableDesign!#REF!</definedName>
    <definedName name="G_MONTHLY_ERROR">[4]TableDesign!#REF!</definedName>
    <definedName name="G_MONTHLY_LOAD" localSheetId="7">[4]TableDesign!#REF!</definedName>
    <definedName name="G_MONTHLY_LOAD" localSheetId="3">[4]TableDesign!#REF!</definedName>
    <definedName name="G_MONTHLY_LOAD">[4]TableDesign!#REF!</definedName>
    <definedName name="G_MONTHLY_MOVEMENT" localSheetId="7">[4]TableDesign!#REF!</definedName>
    <definedName name="G_MONTHLY_MOVEMENT" localSheetId="3">[4]TableDesign!#REF!</definedName>
    <definedName name="G_MONTHLY_MOVEMENT">[4]TableDesign!#REF!</definedName>
    <definedName name="G_MONTHLY_OPERATION" localSheetId="7">[4]TableDesign!#REF!</definedName>
    <definedName name="G_MONTHLY_OPERATION" localSheetId="3">[4]TableDesign!#REF!</definedName>
    <definedName name="G_MONTHLY_OPERATION">[4]TableDesign!#REF!</definedName>
    <definedName name="G_MONTHLY_SMR" localSheetId="7">[4]TableDesign!#REF!</definedName>
    <definedName name="G_MONTHLY_SMR" localSheetId="3">[4]TableDesign!#REF!</definedName>
    <definedName name="G_MONTHLY_SMR">[4]TableDesign!#REF!</definedName>
    <definedName name="G_MONTHLY_WORKING_SMR" localSheetId="7">[4]TableDesign!#REF!</definedName>
    <definedName name="G_MONTHLY_WORKING_SMR" localSheetId="3">[4]TableDesign!#REF!</definedName>
    <definedName name="G_MONTHLY_WORKING_SMR">[4]TableDesign!#REF!</definedName>
    <definedName name="G_MONTLY_LOAD" localSheetId="7">[4]TableDesign!#REF!</definedName>
    <definedName name="G_MONTLY_LOAD" localSheetId="3">[4]TableDesign!#REF!</definedName>
    <definedName name="G_MONTLY_LOAD">[4]TableDesign!#REF!</definedName>
    <definedName name="G_MULTI_OPE" localSheetId="7">[3]ﾃﾞｰﾀﾍﾞｰｽ変更点!#REF!</definedName>
    <definedName name="G_MULTI_OPE" localSheetId="3">[3]ﾃﾞｰﾀﾍﾞｰｽ変更点!#REF!</definedName>
    <definedName name="G_MULTI_OPE">[3]ﾃﾞｰﾀﾍﾞｰｽ変更点!#REF!</definedName>
    <definedName name="G_MULTI_OPE_DATA" localSheetId="7">[5]テーブル設計!#REF!</definedName>
    <definedName name="G_MULTI_OPE_DATA" localSheetId="3">[5]テーブル設計!#REF!</definedName>
    <definedName name="G_MULTI_OPE_DATA">[5]テーブル設計!#REF!</definedName>
    <definedName name="G_NLS_DB_RESOURCE" localSheetId="7">[4]TableDesign!#REF!</definedName>
    <definedName name="G_NLS_DB_RESOURCE" localSheetId="3">[4]TableDesign!#REF!</definedName>
    <definedName name="G_NLS_DB_RESOURCE">[4]TableDesign!#REF!</definedName>
    <definedName name="G_NLS_LANG" localSheetId="7">[4]TableDesign!#REF!</definedName>
    <definedName name="G_NLS_LANG" localSheetId="3">[4]TableDesign!#REF!</definedName>
    <definedName name="G_NLS_LANG">[4]TableDesign!#REF!</definedName>
    <definedName name="G_NLS_RESOURCE" localSheetId="7">[4]TableDesign!#REF!</definedName>
    <definedName name="G_NLS_RESOURCE" localSheetId="3">[4]TableDesign!#REF!</definedName>
    <definedName name="G_NLS_RESOURCE">[4]TableDesign!#REF!</definedName>
    <definedName name="G_NOT_ACTIVE" localSheetId="7">[3]ﾃﾞｰﾀﾍﾞｰｽ変更点!#REF!</definedName>
    <definedName name="G_NOT_ACTIVE" localSheetId="3">[3]ﾃﾞｰﾀﾍﾞｰｽ変更点!#REF!</definedName>
    <definedName name="G_NOT_ACTIVE">[3]ﾃﾞｰﾀﾍﾞｰｽ変更点!#REF!</definedName>
    <definedName name="G_OPERATION_CATEGORY" localSheetId="7">[4]TableDesign!#REF!</definedName>
    <definedName name="G_OPERATION_CATEGORY" localSheetId="3">[4]TableDesign!#REF!</definedName>
    <definedName name="G_OPERATION_CATEGORY">[4]TableDesign!#REF!</definedName>
    <definedName name="G_OPERATION_CLASS" localSheetId="7">[5]テーブル設計!#REF!</definedName>
    <definedName name="G_OPERATION_CLASS" localSheetId="3">[5]テーブル設計!#REF!</definedName>
    <definedName name="G_OPERATION_CLASS">[5]テーブル設計!#REF!</definedName>
    <definedName name="G_OPERATION_LOG" localSheetId="7">[3]ﾃﾞｰﾀﾍﾞｰｽ変更点!#REF!</definedName>
    <definedName name="G_OPERATION_LOG" localSheetId="3">[3]ﾃﾞｰﾀﾍﾞｰｽ変更点!#REF!</definedName>
    <definedName name="G_OPERATION_LOG">[3]ﾃﾞｰﾀﾍﾞｰｽ変更点!#REF!</definedName>
    <definedName name="G_OPERATION_LOG2" localSheetId="7">[5]テーブル設計!#REF!</definedName>
    <definedName name="G_OPERATION_LOG2" localSheetId="3">[5]テーブル設計!#REF!</definedName>
    <definedName name="G_OPERATION_LOG2">[5]テーブル設計!#REF!</definedName>
    <definedName name="G_OPERATION_MAP" localSheetId="7">[4]TableDesign!#REF!</definedName>
    <definedName name="G_OPERATION_MAP" localSheetId="3">[4]TableDesign!#REF!</definedName>
    <definedName name="G_OPERATION_MAP">[4]TableDesign!#REF!</definedName>
    <definedName name="G_OPERATION_MASTER" localSheetId="7">[5]テーブル設計!#REF!</definedName>
    <definedName name="G_OPERATION_MASTER" localSheetId="3">[5]テーブル設計!#REF!</definedName>
    <definedName name="G_OPERATION_MASTER">[5]テーブル設計!#REF!</definedName>
    <definedName name="G_ORBCOMM" localSheetId="7">[3]ﾃﾞｰﾀﾍﾞｰｽ変更点!#REF!</definedName>
    <definedName name="G_ORBCOMM" localSheetId="3">[3]ﾃﾞｰﾀﾍﾞｰｽ変更点!#REF!</definedName>
    <definedName name="G_ORBCOMM">[3]ﾃﾞｰﾀﾍﾞｰｽ変更点!#REF!</definedName>
    <definedName name="G_ORBCOMM_OWNER_HISTORY" localSheetId="7">[3]ﾃﾞｰﾀﾍﾞｰｽ変更点!#REF!</definedName>
    <definedName name="G_ORBCOMM_OWNER_HISTORY" localSheetId="3">[3]ﾃﾞｰﾀﾍﾞｰｽ変更点!#REF!</definedName>
    <definedName name="G_ORBCOMM_OWNER_HISTORY">[3]ﾃﾞｰﾀﾍﾞｰｽ変更点!#REF!</definedName>
    <definedName name="G_PLANT_CAR" localSheetId="7">[5]テーブル設計!#REF!</definedName>
    <definedName name="G_PLANT_CAR" localSheetId="3">[5]テーブル設計!#REF!</definedName>
    <definedName name="G_PLANT_CAR">[5]テーブル設計!#REF!</definedName>
    <definedName name="G_PLANT_ERROR" localSheetId="7">[5]テーブル設計!#REF!</definedName>
    <definedName name="G_PLANT_ERROR" localSheetId="3">[5]テーブル設計!#REF!</definedName>
    <definedName name="G_PLANT_ERROR">[5]テーブル設計!#REF!</definedName>
    <definedName name="G_PLANT_GPS" localSheetId="7">[5]テーブル設計!#REF!</definedName>
    <definedName name="G_PLANT_GPS" localSheetId="3">[5]テーブル設計!#REF!</definedName>
    <definedName name="G_PLANT_GPS">[5]テーブル設計!#REF!</definedName>
    <definedName name="G_PREVENT_THEFT_KEY" localSheetId="7">[3]ﾃﾞｰﾀﾍﾞｰｽ変更点!#REF!</definedName>
    <definedName name="G_PREVENT_THEFT_KEY" localSheetId="3">[3]ﾃﾞｰﾀﾍﾞｰｽ変更点!#REF!</definedName>
    <definedName name="G_PREVENT_THEFT_KEY">[3]ﾃﾞｰﾀﾍﾞｰｽ変更点!#REF!</definedName>
    <definedName name="G_PRIVATE_TARGET_CAR" localSheetId="7">[3]ﾃﾞｰﾀﾍﾞｰｽ変更点!#REF!</definedName>
    <definedName name="G_PRIVATE_TARGET_CAR" localSheetId="3">[3]ﾃﾞｰﾀﾍﾞｰｽ変更点!#REF!</definedName>
    <definedName name="G_PRIVATE_TARGET_CAR">[3]ﾃﾞｰﾀﾍﾞｰｽ変更点!#REF!</definedName>
    <definedName name="G_RECEIVE_LIST" localSheetId="7">[5]テーブル設計!#REF!</definedName>
    <definedName name="G_RECEIVE_LIST" localSheetId="3">[5]テーブル設計!#REF!</definedName>
    <definedName name="G_RECEIVE_LIST">[5]テーブル設計!#REF!</definedName>
    <definedName name="G_RECEIVE_LOG" localSheetId="7">[3]ﾃﾞｰﾀﾍﾞｰｽ変更点!#REF!</definedName>
    <definedName name="G_RECEIVE_LOG" localSheetId="3">[3]ﾃﾞｰﾀﾍﾞｰｽ変更点!#REF!</definedName>
    <definedName name="G_RECEIVE_LOG">[3]ﾃﾞｰﾀﾍﾞｰｽ変更点!#REF!</definedName>
    <definedName name="G_REGION_DATA" localSheetId="7">[4]TableDesign!#REF!</definedName>
    <definedName name="G_REGION_DATA" localSheetId="3">[4]TableDesign!#REF!</definedName>
    <definedName name="G_REGION_DATA">[4]TableDesign!#REF!</definedName>
    <definedName name="G_REGION_MASTER" localSheetId="7">[4]TableDesign!#REF!</definedName>
    <definedName name="G_REGION_MASTER" localSheetId="3">[4]TableDesign!#REF!</definedName>
    <definedName name="G_REGION_MASTER">[4]TableDesign!#REF!</definedName>
    <definedName name="G_RENTAL_TERMINAL" localSheetId="7">[5]テーブル設計!#REF!</definedName>
    <definedName name="G_RENTAL_TERMINAL" localSheetId="3">[5]テーブル設計!#REF!</definedName>
    <definedName name="G_RENTAL_TERMINAL">[5]テーブル設計!#REF!</definedName>
    <definedName name="G_REQUEST" localSheetId="7">[3]ﾃﾞｰﾀﾍﾞｰｽ変更点!#REF!</definedName>
    <definedName name="G_REQUEST" localSheetId="3">[3]ﾃﾞｰﾀﾍﾞｰｽ変更点!#REF!</definedName>
    <definedName name="G_REQUEST">[3]ﾃﾞｰﾀﾍﾞｰｽ変更点!#REF!</definedName>
    <definedName name="G_REQUEST_COUNT" localSheetId="7">[3]ﾃﾞｰﾀﾍﾞｰｽ変更点!#REF!</definedName>
    <definedName name="G_REQUEST_COUNT" localSheetId="3">[3]ﾃﾞｰﾀﾍﾞｰｽ変更点!#REF!</definedName>
    <definedName name="G_REQUEST_COUNT">[3]ﾃﾞｰﾀﾍﾞｰｽ変更点!#REF!</definedName>
    <definedName name="G_REQUEST_LOG" localSheetId="7">[3]ﾃﾞｰﾀﾍﾞｰｽ変更点!#REF!</definedName>
    <definedName name="G_REQUEST_LOG" localSheetId="3">[3]ﾃﾞｰﾀﾍﾞｰｽ変更点!#REF!</definedName>
    <definedName name="G_REQUEST_LOG">[3]ﾃﾞｰﾀﾍﾞｰｽ変更点!#REF!</definedName>
    <definedName name="G_RIVATE_TARGET_CAR" localSheetId="7">[4]TableDesign!#REF!</definedName>
    <definedName name="G_RIVATE_TARGET_CAR" localSheetId="3">[4]TableDesign!#REF!</definedName>
    <definedName name="G_RIVATE_TARGET_CAR">[4]TableDesign!#REF!</definedName>
    <definedName name="G_RUNNING_LOG" localSheetId="7">[3]ﾃﾞｰﾀﾍﾞｰｽ変更点!#REF!</definedName>
    <definedName name="G_RUNNING_LOG" localSheetId="3">[3]ﾃﾞｰﾀﾍﾞｰｽ変更点!#REF!</definedName>
    <definedName name="G_RUNNING_LOG">[3]ﾃﾞｰﾀﾍﾞｰｽ変更点!#REF!</definedName>
    <definedName name="G_SAVE_INFORMATION" localSheetId="7">[5]テーブル設計!#REF!</definedName>
    <definedName name="G_SAVE_INFORMATION" localSheetId="3">[5]テーブル設計!#REF!</definedName>
    <definedName name="G_SAVE_INFORMATION">[5]テーブル設計!#REF!</definedName>
    <definedName name="G_SELFCARINSPECTION" localSheetId="7">[3]ﾃﾞｰﾀﾍﾞｰｽ変更点!#REF!</definedName>
    <definedName name="G_SELFCARINSPECTION" localSheetId="3">[3]ﾃﾞｰﾀﾍﾞｰｽ変更点!#REF!</definedName>
    <definedName name="G_SELFCARINSPECTION">[3]ﾃﾞｰﾀﾍﾞｰｽ変更点!#REF!</definedName>
    <definedName name="G_SEND_LIST" localSheetId="7">[5]テーブル設計!#REF!</definedName>
    <definedName name="G_SEND_LIST" localSheetId="3">[5]テーブル設計!#REF!</definedName>
    <definedName name="G_SEND_LIST">[5]テーブル設計!#REF!</definedName>
    <definedName name="G_SEND_LOG" localSheetId="7">[5]テーブル設計!#REF!</definedName>
    <definedName name="G_SEND_LOG" localSheetId="3">[5]テーブル設計!#REF!</definedName>
    <definedName name="G_SEND_LOG">[5]テーブル設計!#REF!</definedName>
    <definedName name="G_SERVER_COMMUNICATION" localSheetId="7">[4]TableDesign!#REF!</definedName>
    <definedName name="G_SERVER_COMMUNICATION" localSheetId="3">[4]TableDesign!#REF!</definedName>
    <definedName name="G_SERVER_COMMUNICATION">[4]TableDesign!#REF!</definedName>
    <definedName name="G_SERVER_INFORMATION" localSheetId="7">[3]ﾃﾞｰﾀﾍﾞｰｽ変更点!#REF!</definedName>
    <definedName name="G_SERVER_INFORMATION" localSheetId="3">[3]ﾃﾞｰﾀﾍﾞｰｽ変更点!#REF!</definedName>
    <definedName name="G_SERVER_INFORMATION">[3]ﾃﾞｰﾀﾍﾞｰｽ変更点!#REF!</definedName>
    <definedName name="G_SERVICE_METER" localSheetId="7">[3]ﾃﾞｰﾀﾍﾞｰｽ変更点!#REF!</definedName>
    <definedName name="G_SERVICE_METER" localSheetId="3">[3]ﾃﾞｰﾀﾍﾞｰｽ変更点!#REF!</definedName>
    <definedName name="G_SERVICE_METER">[3]ﾃﾞｰﾀﾍﾞｰｽ変更点!#REF!</definedName>
    <definedName name="G_SERVICE_METER2" localSheetId="7">[5]テーブル設計!#REF!</definedName>
    <definedName name="G_SERVICE_METER2" localSheetId="3">[5]テーブル設計!#REF!</definedName>
    <definedName name="G_SERVICE_METER2">[5]テーブル設計!#REF!</definedName>
    <definedName name="G_SERVICEMAN" localSheetId="7">[5]テーブル設計!#REF!</definedName>
    <definedName name="G_SERVICEMAN" localSheetId="3">[5]テーブル設計!#REF!</definedName>
    <definedName name="G_SERVICEMAN">[5]テーブル設計!#REF!</definedName>
    <definedName name="G_SERVICEMAN_CHARGE" localSheetId="7">[5]テーブル設計!#REF!</definedName>
    <definedName name="G_SERVICEMAN_CHARGE" localSheetId="3">[5]テーブル設計!#REF!</definedName>
    <definedName name="G_SERVICEMAN_CHARGE">[5]テーブル設計!#REF!</definedName>
    <definedName name="G_SHIPMENT" localSheetId="7">[3]ﾃﾞｰﾀﾍﾞｰｽ変更点!#REF!</definedName>
    <definedName name="G_SHIPMENT" localSheetId="3">[3]ﾃﾞｰﾀﾍﾞｰｽ変更点!#REF!</definedName>
    <definedName name="G_SHIPMENT">[3]ﾃﾞｰﾀﾍﾞｰｽ変更点!#REF!</definedName>
    <definedName name="G_SHOW" localSheetId="7">[3]ﾃﾞｰﾀﾍﾞｰｽ変更点!#REF!</definedName>
    <definedName name="G_SHOW" localSheetId="3">[3]ﾃﾞｰﾀﾍﾞｰｽ変更点!#REF!</definedName>
    <definedName name="G_SHOW">[3]ﾃﾞｰﾀﾍﾞｰｽ変更点!#REF!</definedName>
    <definedName name="G_SHOW_GROUP" localSheetId="7">[3]ﾃﾞｰﾀﾍﾞｰｽ変更点!#REF!</definedName>
    <definedName name="G_SHOW_GROUP" localSheetId="3">[3]ﾃﾞｰﾀﾍﾞｰｽ変更点!#REF!</definedName>
    <definedName name="G_SHOW_GROUP">[3]ﾃﾞｰﾀﾍﾞｰｽ変更点!#REF!</definedName>
    <definedName name="G_SPECIAL_AREA" localSheetId="7">[3]ﾃﾞｰﾀﾍﾞｰｽ変更点!#REF!</definedName>
    <definedName name="G_SPECIAL_AREA" localSheetId="3">[3]ﾃﾞｰﾀﾍﾞｰｽ変更点!#REF!</definedName>
    <definedName name="G_SPECIAL_AREA">[3]ﾃﾞｰﾀﾍﾞｰｽ変更点!#REF!</definedName>
    <definedName name="G_SUB_GROUP" localSheetId="7">[4]TableDesign!#REF!</definedName>
    <definedName name="G_SUB_GROUP" localSheetId="3">[4]TableDesign!#REF!</definedName>
    <definedName name="G_SUB_GROUP">[4]TableDesign!#REF!</definedName>
    <definedName name="G_SUB_GROUP_CAR" localSheetId="7">[4]TableDesign!#REF!</definedName>
    <definedName name="G_SUB_GROUP_CAR" localSheetId="3">[4]TableDesign!#REF!</definedName>
    <definedName name="G_SUB_GROUP_CAR">[4]TableDesign!#REF!</definedName>
    <definedName name="G_SYSTEM_COMMTERM_INFO" localSheetId="7">[3]ﾃﾞｰﾀﾍﾞｰｽ変更点!#REF!</definedName>
    <definedName name="G_SYSTEM_COMMTERM_INFO" localSheetId="3">[3]ﾃﾞｰﾀﾍﾞｰｽ変更点!#REF!</definedName>
    <definedName name="G_SYSTEM_COMMTERM_INFO">[3]ﾃﾞｰﾀﾍﾞｰｽ変更点!#REF!</definedName>
    <definedName name="G_SYSTEM_LOG" localSheetId="7">[3]ﾃﾞｰﾀﾍﾞｰｽ変更点!#REF!</definedName>
    <definedName name="G_SYSTEM_LOG" localSheetId="3">[3]ﾃﾞｰﾀﾍﾞｰｽ変更点!#REF!</definedName>
    <definedName name="G_SYSTEM_LOG">[3]ﾃﾞｰﾀﾍﾞｰｽ変更点!#REF!</definedName>
    <definedName name="G_SYSTEM_NOTICE" localSheetId="7">[3]ﾃﾞｰﾀﾍﾞｰｽ変更点!#REF!</definedName>
    <definedName name="G_SYSTEM_NOTICE" localSheetId="3">[3]ﾃﾞｰﾀﾍﾞｰｽ変更点!#REF!</definedName>
    <definedName name="G_SYSTEM_NOTICE">[3]ﾃﾞｰﾀﾍﾞｰｽ変更点!#REF!</definedName>
    <definedName name="G_TARGET" localSheetId="7">[3]ﾃﾞｰﾀﾍﾞｰｽ変更点!#REF!</definedName>
    <definedName name="G_TARGET" localSheetId="3">[3]ﾃﾞｰﾀﾍﾞｰｽ変更点!#REF!</definedName>
    <definedName name="G_TARGET">[3]ﾃﾞｰﾀﾍﾞｰｽ変更点!#REF!</definedName>
    <definedName name="G_TARGET_CAR" localSheetId="7">[3]ﾃﾞｰﾀﾍﾞｰｽ変更点!#REF!</definedName>
    <definedName name="G_TARGET_CAR" localSheetId="3">[3]ﾃﾞｰﾀﾍﾞｰｽ変更点!#REF!</definedName>
    <definedName name="G_TARGET_CAR">[3]ﾃﾞｰﾀﾍﾞｰｽ変更点!#REF!</definedName>
    <definedName name="G_TERMINAL_AREA" localSheetId="7">[3]ﾃﾞｰﾀﾍﾞｰｽ変更点!#REF!</definedName>
    <definedName name="G_TERMINAL_AREA" localSheetId="3">[3]ﾃﾞｰﾀﾍﾞｰｽ変更点!#REF!</definedName>
    <definedName name="G_TERMINAL_AREA">[3]ﾃﾞｰﾀﾍﾞｰｽ変更点!#REF!</definedName>
    <definedName name="G_TERMINAL_CAUTION" localSheetId="7">[3]ﾃﾞｰﾀﾍﾞｰｽ変更点!#REF!</definedName>
    <definedName name="G_TERMINAL_CAUTION" localSheetId="3">[3]ﾃﾞｰﾀﾍﾞｰｽ変更点!#REF!</definedName>
    <definedName name="G_TERMINAL_CAUTION">[3]ﾃﾞｰﾀﾍﾞｰｽ変更点!#REF!</definedName>
    <definedName name="G_TERMINAL_ERROR" localSheetId="7">[3]ﾃﾞｰﾀﾍﾞｰｽ変更点!#REF!</definedName>
    <definedName name="G_TERMINAL_ERROR" localSheetId="3">[3]ﾃﾞｰﾀﾍﾞｰｽ変更点!#REF!</definedName>
    <definedName name="G_TERMINAL_ERROR">[3]ﾃﾞｰﾀﾍﾞｰｽ変更点!#REF!</definedName>
    <definedName name="G_TERMINAL_KIND" localSheetId="7">[3]ﾃﾞｰﾀﾍﾞｰｽ変更点!#REF!</definedName>
    <definedName name="G_TERMINAL_KIND" localSheetId="3">[3]ﾃﾞｰﾀﾍﾞｰｽ変更点!#REF!</definedName>
    <definedName name="G_TERMINAL_KIND">[3]ﾃﾞｰﾀﾍﾞｰｽ変更点!#REF!</definedName>
    <definedName name="G_TERMINAL_MASTER" localSheetId="7">[3]ﾃﾞｰﾀﾍﾞｰｽ変更点!#REF!</definedName>
    <definedName name="G_TERMINAL_MASTER" localSheetId="3">[3]ﾃﾞｰﾀﾍﾞｰｽ変更点!#REF!</definedName>
    <definedName name="G_TERMINAL_MASTER">[3]ﾃﾞｰﾀﾍﾞｰｽ変更点!#REF!</definedName>
    <definedName name="G_TERMINAL_PART_MASTER" localSheetId="7">[3]ﾃﾞｰﾀﾍﾞｰｽ変更点!#REF!</definedName>
    <definedName name="G_TERMINAL_PART_MASTER" localSheetId="3">[3]ﾃﾞｰﾀﾍﾞｰｽ変更点!#REF!</definedName>
    <definedName name="G_TERMINAL_PART_MASTER">[3]ﾃﾞｰﾀﾍﾞｰｽ変更点!#REF!</definedName>
    <definedName name="G_TYPE_MASTER" localSheetId="7">[3]ﾃﾞｰﾀﾍﾞｰｽ変更点!#REF!</definedName>
    <definedName name="G_TYPE_MASTER" localSheetId="3">[3]ﾃﾞｰﾀﾍﾞｰｽ変更点!#REF!</definedName>
    <definedName name="G_TYPE_MASTER">[3]ﾃﾞｰﾀﾍﾞｰｽ変更点!#REF!</definedName>
    <definedName name="G_UFO" localSheetId="7">[3]ﾃﾞｰﾀﾍﾞｰｽ変更点!#REF!</definedName>
    <definedName name="G_UFO" localSheetId="3">[3]ﾃﾞｰﾀﾍﾞｰｽ変更点!#REF!</definedName>
    <definedName name="G_UFO">[3]ﾃﾞｰﾀﾍﾞｰｽ変更点!#REF!</definedName>
    <definedName name="G_UNRELIABLE_RECEIVE" localSheetId="7">[3]ﾃﾞｰﾀﾍﾞｰｽ変更点!#REF!</definedName>
    <definedName name="G_UNRELIABLE_RECEIVE" localSheetId="3">[3]ﾃﾞｰﾀﾍﾞｰｽ変更点!#REF!</definedName>
    <definedName name="G_UNRELIABLE_RECEIVE">[3]ﾃﾞｰﾀﾍﾞｰｽ変更点!#REF!</definedName>
    <definedName name="G_USER_MASTER" localSheetId="7">[3]ﾃﾞｰﾀﾍﾞｰｽ変更点!#REF!</definedName>
    <definedName name="G_USER_MASTER" localSheetId="3">[3]ﾃﾞｰﾀﾍﾞｰｽ変更点!#REF!</definedName>
    <definedName name="G_USER_MASTER">[3]ﾃﾞｰﾀﾍﾞｰｽ変更点!#REF!</definedName>
    <definedName name="G_USER_TEMP" localSheetId="7">[3]ﾃﾞｰﾀﾍﾞｰｽ変更点!#REF!</definedName>
    <definedName name="G_USER_TEMP" localSheetId="3">[3]ﾃﾞｰﾀﾍﾞｰｽ変更点!#REF!</definedName>
    <definedName name="G_USER_TEMP">[3]ﾃﾞｰﾀﾍﾞｰｽ変更点!#REF!</definedName>
    <definedName name="G_V" localSheetId="7">[4]TableDesign!#REF!</definedName>
    <definedName name="G_V" localSheetId="3">[4]TableDesign!#REF!</definedName>
    <definedName name="G_V">[4]TableDesign!#REF!</definedName>
    <definedName name="G_WATER_TEMP_GAUGE" localSheetId="7">[4]TableDesign!#REF!</definedName>
    <definedName name="G_WATER_TEMP_GAUGE" localSheetId="3">[4]TableDesign!#REF!</definedName>
    <definedName name="G_WATER_TEMP_GAUGE">[4]TableDesign!#REF!</definedName>
    <definedName name="GG" localSheetId="7">'[6]DATA-COMMUNICATION-FORMAT'!#REF!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7">[3]ﾃﾞｰﾀﾍﾞｰｽ変更点!#REF!</definedName>
    <definedName name="GROUP" localSheetId="3">[3]ﾃﾞｰﾀﾍﾞｰｽ変更点!#REF!</definedName>
    <definedName name="GROUP">[3]ﾃﾞｰﾀﾍﾞｰｽ変更点!#REF!</definedName>
    <definedName name="GROUP_NUM" localSheetId="7">[3]ﾃﾞｰﾀﾍﾞｰｽ変更点!#REF!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7">'[6]DATA-COMMUNICATION-FORMAT'!#REF!</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7">#REF!</definedName>
    <definedName name="IF概要債権" localSheetId="3">#REF!</definedName>
    <definedName name="IF概要債権">#REF!</definedName>
    <definedName name="II" localSheetId="7">'[6]DATA-COMMUNICATION-FORMAT'!#REF!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7">'[11]御見積り（旧）'!#REF!</definedName>
    <definedName name="KAKAKU_PG" localSheetId="3">'[11]御見積り（旧）'!#REF!</definedName>
    <definedName name="KAKAKU_PG">'[11]御見積り（旧）'!#REF!</definedName>
    <definedName name="KAKAKU_SE" localSheetId="7">'[11]御見積り（旧）'!#REF!</definedName>
    <definedName name="KAKAKU_SE" localSheetId="3">'[11]御見積り（旧）'!#REF!</definedName>
    <definedName name="KAKAKU_SE">'[11]御見積り（旧）'!#REF!</definedName>
    <definedName name="KBA_ID" localSheetId="7">#REF!</definedName>
    <definedName name="KBA_ID" localSheetId="3">#REF!</definedName>
    <definedName name="KBA_ID">#REF!</definedName>
    <definedName name="KK" localSheetId="7">'[6]DATA-COMMUNICATION-FORMAT'!#REF!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7">[4]TableDesign!#REF!</definedName>
    <definedName name="NLS_LANG" localSheetId="3">[4]TableDesign!#REF!</definedName>
    <definedName name="NLS_LANG">[4]TableDesign!#REF!</definedName>
    <definedName name="NotNull" localSheetId="2">#REF!</definedName>
    <definedName name="NotNull" localSheetId="3">#REF!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7">[3]ﾃﾞｰﾀﾍﾞｰｽ変更点!#REF!</definedName>
    <definedName name="PART" localSheetId="3">[3]ﾃﾞｰﾀﾍﾞｰｽ変更点!#REF!</definedName>
    <definedName name="PART">[3]ﾃﾞｰﾀﾍﾞｰｽ変更点!#REF!</definedName>
    <definedName name="PrimaryKey" localSheetId="2">#REF!</definedName>
    <definedName name="PrimaryKey" localSheetId="3">#REF!</definedName>
    <definedName name="PrimaryKey">#REF!</definedName>
    <definedName name="_xlnm.Print_Area" localSheetId="7">'IT、ST（案）テスト項目'!$A$1:$J$18</definedName>
    <definedName name="_xlnm.Print_Area" localSheetId="2">テスト項目!$A$1:$J$229</definedName>
    <definedName name="_xlnm.Print_Area" localSheetId="3">#REF!</definedName>
    <definedName name="_xlnm.Print_Area" localSheetId="1">#REF!</definedName>
    <definedName name="_xlnm.Print_Area">#REF!</definedName>
    <definedName name="PRINT_AREA_MI" localSheetId="7">#REF!</definedName>
    <definedName name="PRINT_AREA_MI" localSheetId="3">#REF!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3">#REF!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7">#REF!</definedName>
    <definedName name="Record" localSheetId="3">#REF!</definedName>
    <definedName name="Record">#REF!</definedName>
    <definedName name="Record2" localSheetId="7">#REF!</definedName>
    <definedName name="Record2" localSheetId="3">#REF!</definedName>
    <definedName name="Record2">#REF!</definedName>
    <definedName name="Record3" localSheetId="7">#REF!</definedName>
    <definedName name="Record3" localSheetId="3">#REF!</definedName>
    <definedName name="Record3">#REF!</definedName>
    <definedName name="Record4" localSheetId="7">#REF!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7">[3]ﾃﾞｰﾀﾍﾞｰｽ変更点!#REF!</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7">[4]TableDesign!#REF!</definedName>
    <definedName name="SHOW_GROUP" localSheetId="3">[4]TableDesign!#REF!</definedName>
    <definedName name="SHOW_GROUP">[4]TableDesign!#REF!</definedName>
    <definedName name="solver_lin" hidden="1">0</definedName>
    <definedName name="solver_num" hidden="1">0</definedName>
    <definedName name="solver_opt" localSheetId="7" hidden="1">#REF!</definedName>
    <definedName name="solver_opt" localSheetId="2" hidden="1">#REF!</definedName>
    <definedName name="solver_opt" localSheetId="3"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7">'[12]DATA-COMMUNICATION-FORMAT'!#REF!</definedName>
    <definedName name="ＳＳＳＳ" localSheetId="3">'[12]DATA-COMMUNICATION-FORMAT'!#REF!</definedName>
    <definedName name="ＳＳＳＳ">'[12]DATA-COMMUNICATION-FORMAT'!#REF!</definedName>
    <definedName name="SUB_GROUP" localSheetId="7">[4]TableDesign!#REF!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7">[4]TableDesign!#REF!</definedName>
    <definedName name="TARGET" localSheetId="3">[4]TableDesign!#REF!</definedName>
    <definedName name="TARGET">[4]TableDesign!#REF!</definedName>
    <definedName name="TBLNO" localSheetId="7">#REF!</definedName>
    <definedName name="TBLNO" localSheetId="3">#REF!</definedName>
    <definedName name="TBLNO">#REF!</definedName>
    <definedName name="TMS_CP" localSheetId="7">#REF!</definedName>
    <definedName name="TMS_CP" localSheetId="3">#REF!</definedName>
    <definedName name="TMS_CP">#REF!</definedName>
    <definedName name="Tracksize" localSheetId="7">#REF!</definedName>
    <definedName name="Tracksize" localSheetId="3">#REF!</definedName>
    <definedName name="Tracksize">#REF!</definedName>
    <definedName name="Tracksize2" localSheetId="7">#REF!</definedName>
    <definedName name="Tracksize2" localSheetId="3">#REF!</definedName>
    <definedName name="Tracksize2">#REF!</definedName>
    <definedName name="Tracksize3" localSheetId="7">#REF!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7">[3]ﾃﾞｰﾀﾍﾞｰｽ変更点!#REF!</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7">#REF!</definedName>
    <definedName name="あ" localSheetId="3">#REF!</definedName>
    <definedName name="あ">#REF!</definedName>
    <definedName name="ああ" localSheetId="7">'[12]DATA-COMMUNICATION-FORMAT'!#REF!</definedName>
    <definedName name="ああ" localSheetId="3">'[12]DATA-COMMUNICATION-FORMAT'!#REF!</definedName>
    <definedName name="ああ">'[12]DATA-COMMUNICATION-FORMAT'!#REF!</definedName>
    <definedName name="あああ" localSheetId="7">'[12]DATA-COMMUNICATION-FORMAT'!#REF!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7">'[12]DATA-COMMUNICATION-FORMAT'!#REF!</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7"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3">#REF!</definedName>
    <definedName name="インデックスNO">#REF!</definedName>
    <definedName name="インデックス項目" localSheetId="2">#REF!</definedName>
    <definedName name="インデックス項目" localSheetId="3">#REF!</definedName>
    <definedName name="インデックス項目">#REF!</definedName>
    <definedName name="インデックス所有者" localSheetId="2">#REF!</definedName>
    <definedName name="インデックス所有者" localSheetId="3">#REF!</definedName>
    <definedName name="インデックス所有者">#REF!</definedName>
    <definedName name="インデックス属性" localSheetId="2">#REF!</definedName>
    <definedName name="インデックス属性" localSheetId="3">#REF!</definedName>
    <definedName name="インデックス属性">#REF!</definedName>
    <definedName name="インデックス表領域" localSheetId="2">#REF!</definedName>
    <definedName name="インデックス表領域" localSheetId="3">#REF!</definedName>
    <definedName name="インデックス表領域">#REF!</definedName>
    <definedName name="インデックス名" localSheetId="2">#REF!</definedName>
    <definedName name="インデックス名" localSheetId="3">#REF!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3">#REF!</definedName>
    <definedName name="オブジェクトタイプ">#REF!</definedName>
    <definedName name="コンバート" localSheetId="7">'[12]DATA-COMMUNICATION-FORMAT'!#REF!</definedName>
    <definedName name="コンバート" localSheetId="3">'[12]DATA-COMMUNICATION-FORMAT'!#REF!</definedName>
    <definedName name="コンバート">'[12]DATA-COMMUNICATION-FORMAT'!#REF!</definedName>
    <definedName name="ｻｰﾎﾞﾚｽ性能" localSheetId="7" hidden="1">#REF!</definedName>
    <definedName name="ｻｰﾎﾞﾚｽ性能" localSheetId="2" hidden="1">#REF!</definedName>
    <definedName name="ｻｰﾎﾞﾚｽ性能" localSheetId="3"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7">#REF!</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7">#REF!</definedName>
    <definedName name="タイトル" localSheetId="3">#REF!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 localSheetId="3">#REF!</definedName>
    <definedName name="テーブルNO">#REF!</definedName>
    <definedName name="テーブルサイズ1" localSheetId="2">#REF!</definedName>
    <definedName name="テーブルサイズ1" localSheetId="3">#REF!</definedName>
    <definedName name="テーブルサイズ1">#REF!</definedName>
    <definedName name="テーブルサイズ2" localSheetId="2">#REF!</definedName>
    <definedName name="テーブルサイズ2" localSheetId="3">#REF!</definedName>
    <definedName name="テーブルサイズ2">#REF!</definedName>
    <definedName name="テーブル型" localSheetId="2">#REF!</definedName>
    <definedName name="テーブル型" localSheetId="3">#REF!</definedName>
    <definedName name="テーブル型">#REF!</definedName>
    <definedName name="テーブル項目物理名" localSheetId="2">#REF!</definedName>
    <definedName name="テーブル項目物理名" localSheetId="3">#REF!</definedName>
    <definedName name="テーブル項目物理名">#REF!</definedName>
    <definedName name="テーブル項目論理名" localSheetId="2">#REF!</definedName>
    <definedName name="テーブル項目論理名" localSheetId="3">#REF!</definedName>
    <definedName name="テーブル項目論理名">#REF!</definedName>
    <definedName name="テーブル所有者" localSheetId="2">#REF!</definedName>
    <definedName name="テーブル所有者" localSheetId="3">#REF!</definedName>
    <definedName name="テーブル所有者">#REF!</definedName>
    <definedName name="テーブル備考" localSheetId="2">#REF!</definedName>
    <definedName name="テーブル備考" localSheetId="3">#REF!</definedName>
    <definedName name="テーブル備考">#REF!</definedName>
    <definedName name="テーブル表領域" localSheetId="2">#REF!</definedName>
    <definedName name="テーブル表領域" localSheetId="3">#REF!</definedName>
    <definedName name="テーブル表領域">#REF!</definedName>
    <definedName name="テーブル物理名" localSheetId="2">#REF!</definedName>
    <definedName name="テーブル物理名" localSheetId="3">#REF!</definedName>
    <definedName name="テーブル物理名">#REF!</definedName>
    <definedName name="テーブル論理名" localSheetId="2">#REF!</definedName>
    <definedName name="テーブル論理名" localSheetId="3">#REF!</definedName>
    <definedName name="テーブル論理名">#REF!</definedName>
    <definedName name="メモ" localSheetId="7">#REF!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7"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7">#REF!</definedName>
    <definedName name="結AF" localSheetId="3">#REF!</definedName>
    <definedName name="結AF">#REF!</definedName>
    <definedName name="結AT" localSheetId="7">#REF!</definedName>
    <definedName name="結AT" localSheetId="3">#REF!</definedName>
    <definedName name="結AT">#REF!</definedName>
    <definedName name="結合子" localSheetId="7">#REF!</definedName>
    <definedName name="結合子" localSheetId="3">#REF!</definedName>
    <definedName name="結合子">#REF!</definedName>
    <definedName name="結合子A201" localSheetId="7">#REF!</definedName>
    <definedName name="結合子A201" localSheetId="3">#REF!</definedName>
    <definedName name="結合子A201">#REF!</definedName>
    <definedName name="結合子B101" localSheetId="7">#REF!</definedName>
    <definedName name="結合子B101" localSheetId="3">#REF!</definedName>
    <definedName name="結合子B101">#REF!</definedName>
    <definedName name="結合子B301" localSheetId="7">#REF!</definedName>
    <definedName name="結合子B301" localSheetId="3">#REF!</definedName>
    <definedName name="結合子B301">#REF!</definedName>
    <definedName name="結合子B501" localSheetId="7">#REF!</definedName>
    <definedName name="結合子B501" localSheetId="3">#REF!</definedName>
    <definedName name="結合子B501">#REF!</definedName>
    <definedName name="結合子D101" localSheetId="7">#REF!</definedName>
    <definedName name="結合子D101" localSheetId="3">#REF!</definedName>
    <definedName name="結合子D101">#REF!</definedName>
    <definedName name="結合子D201" localSheetId="7">#REF!</definedName>
    <definedName name="結合子D201" localSheetId="3">#REF!</definedName>
    <definedName name="結合子D201">#REF!</definedName>
    <definedName name="更新" localSheetId="7">#REF!</definedName>
    <definedName name="更新" localSheetId="3">#REF!</definedName>
    <definedName name="更新">#REF!</definedName>
    <definedName name="更新者" localSheetId="7">#REF!</definedName>
    <definedName name="更新者" localSheetId="3">#REF!</definedName>
    <definedName name="更新者">#REF!</definedName>
    <definedName name="更新日" localSheetId="7">#REF!</definedName>
    <definedName name="更新日" localSheetId="3">#REF!</definedName>
    <definedName name="更新日">#REF!</definedName>
    <definedName name="作成者" localSheetId="7">#REF!</definedName>
    <definedName name="作成者" localSheetId="3">#REF!</definedName>
    <definedName name="作成者">#REF!</definedName>
    <definedName name="作成日" localSheetId="7">#REF!</definedName>
    <definedName name="作成日" localSheetId="3">#REF!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3">#REF!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7">#REF!</definedName>
    <definedName name="単価_IPｱﾄﾞﾚｽ登録" localSheetId="3">#REF!</definedName>
    <definedName name="単価_IPｱﾄﾞﾚｽ登録">#REF!</definedName>
    <definedName name="単価_NetWare関連_ﾌｧｲﾙ戻し_ｻｰﾊﾞ" localSheetId="7">#REF!</definedName>
    <definedName name="単価_NetWare関連_ﾌｧｲﾙ戻し_ｻｰﾊﾞ" localSheetId="3">#REF!</definedName>
    <definedName name="単価_NetWare関連_ﾌｧｲﾙ戻し_ｻｰﾊﾞ">#REF!</definedName>
    <definedName name="単価_NetWare関連_ﾌｧｲﾙ戻し_ﾃｰﾌﾟ" localSheetId="7">#REF!</definedName>
    <definedName name="単価_NetWare関連_ﾌｧｲﾙ戻し_ﾃｰﾌﾟ" localSheetId="3">#REF!</definedName>
    <definedName name="単価_NetWare関連_ﾌｧｲﾙ戻し_ﾃｰﾌﾟ">#REF!</definedName>
    <definedName name="単価_NetWare関連_申請関連" localSheetId="7">#REF!</definedName>
    <definedName name="単価_NetWare関連_申請関連" localSheetId="3">#REF!</definedName>
    <definedName name="単価_NetWare関連_申請関連">#REF!</definedName>
    <definedName name="単価_Notes関連_ﾃﾞｰﾀﾍﾞｰｽ戻し" localSheetId="7">#REF!</definedName>
    <definedName name="単価_Notes関連_ﾃﾞｰﾀﾍﾞｰｽ戻し" localSheetId="3">#REF!</definedName>
    <definedName name="単価_Notes関連_ﾃﾞｰﾀﾍﾞｰｽ戻し">#REF!</definedName>
    <definedName name="単価_Notes関連_申請関連" localSheetId="7">#REF!</definedName>
    <definedName name="単価_Notes関連_申請関連" localSheetId="3">#REF!</definedName>
    <definedName name="単価_Notes関連_申請関連">#REF!</definedName>
    <definedName name="単価_ｻｰﾊﾞに関する申請_DNS関連" localSheetId="7">#REF!</definedName>
    <definedName name="単価_ｻｰﾊﾞに関する申請_DNS関連" localSheetId="3">#REF!</definedName>
    <definedName name="単価_ｻｰﾊﾞに関する申請_DNS関連">#REF!</definedName>
    <definedName name="単価_ｻｰﾊﾞに関する申請_FireWallACL関連" localSheetId="7">#REF!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7">#REF!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7">#REF!</definedName>
    <definedName name="単価_ｻｰﾊﾞに関する申請_ﾒｰﾙﾙｰﾄ関連" localSheetId="3">#REF!</definedName>
    <definedName name="単価_ｻｰﾊﾞに関する申請_ﾒｰﾙﾙｰﾄ関連">#REF!</definedName>
    <definedName name="単価_ｻｰﾊﾞ証明書" localSheetId="7">#REF!</definedName>
    <definedName name="単価_ｻｰﾊﾞ証明書" localSheetId="3">#REF!</definedName>
    <definedName name="単価_ｻｰﾊﾞ証明書">#REF!</definedName>
    <definedName name="単価_ﾊﾟｿｺﾝﾌﾟﾘﾝﾀ移設" localSheetId="7">#REF!</definedName>
    <definedName name="単価_ﾊﾟｿｺﾝﾌﾟﾘﾝﾀ移設" localSheetId="3">#REF!</definedName>
    <definedName name="単価_ﾊﾟｿｺﾝﾌﾟﾘﾝﾀ移設">#REF!</definedName>
    <definedName name="単価_ﾊﾟｿｺﾝﾌﾟﾘﾝﾀ新設" localSheetId="7">#REF!</definedName>
    <definedName name="単価_ﾊﾟｿｺﾝﾌﾟﾘﾝﾀ新設" localSheetId="3">#REF!</definedName>
    <definedName name="単価_ﾊﾟｿｺﾝﾌﾟﾘﾝﾀ新設">#REF!</definedName>
    <definedName name="単価_ﾊﾟｿｺﾝ変更" localSheetId="7">#REF!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363" i="19" l="1"/>
  <c r="B362" i="19"/>
  <c r="B361" i="19"/>
  <c r="B360" i="19"/>
  <c r="B359" i="19"/>
  <c r="B358" i="19"/>
  <c r="B357" i="19"/>
  <c r="B356" i="19"/>
  <c r="B355" i="19"/>
  <c r="B354" i="19"/>
  <c r="B353" i="19"/>
  <c r="B352" i="19"/>
  <c r="B351" i="19"/>
  <c r="B350" i="19"/>
  <c r="B349" i="19"/>
  <c r="B348" i="19"/>
  <c r="B347" i="19"/>
  <c r="B346" i="19"/>
  <c r="B345" i="19"/>
  <c r="B344" i="19"/>
  <c r="B343" i="19"/>
  <c r="B342" i="19"/>
  <c r="B337" i="19"/>
  <c r="B336" i="19"/>
  <c r="B335" i="19"/>
  <c r="B334" i="19"/>
  <c r="B333" i="19"/>
  <c r="B332" i="19"/>
  <c r="B331" i="19"/>
  <c r="B330" i="19"/>
  <c r="B329" i="19"/>
  <c r="B328" i="19"/>
  <c r="B327" i="19"/>
  <c r="B326" i="19"/>
  <c r="B325" i="19"/>
  <c r="B324" i="19"/>
  <c r="B323" i="19"/>
  <c r="B322" i="19"/>
  <c r="B321" i="19"/>
  <c r="B320" i="19"/>
  <c r="B319" i="19"/>
  <c r="B318" i="19"/>
  <c r="B317" i="19"/>
  <c r="B316" i="19"/>
  <c r="B315" i="19"/>
  <c r="B314" i="19"/>
  <c r="B313" i="19"/>
  <c r="B312" i="19"/>
  <c r="B311" i="19"/>
  <c r="B310" i="19"/>
  <c r="B309" i="19"/>
  <c r="B308" i="19"/>
  <c r="B307"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66" i="19"/>
  <c r="B265" i="19"/>
  <c r="B264" i="19"/>
  <c r="B263" i="19"/>
  <c r="B262" i="19"/>
  <c r="B261" i="19"/>
  <c r="B260" i="19"/>
  <c r="B259" i="19"/>
  <c r="B258" i="19"/>
  <c r="B257" i="19"/>
  <c r="B256" i="19"/>
  <c r="B255" i="19"/>
  <c r="B254" i="19"/>
  <c r="B253" i="19"/>
  <c r="B252" i="19"/>
  <c r="B251" i="19"/>
  <c r="B250" i="19"/>
  <c r="B249" i="19"/>
  <c r="B248" i="19"/>
  <c r="B247" i="19"/>
  <c r="B246" i="19"/>
  <c r="B245" i="19"/>
  <c r="B244" i="19"/>
  <c r="B243" i="19"/>
  <c r="B214" i="19" l="1"/>
  <c r="B215" i="19"/>
  <c r="B216" i="19"/>
  <c r="B217" i="19"/>
  <c r="B218" i="19"/>
  <c r="B219" i="19"/>
  <c r="Q4" i="19" l="1"/>
  <c r="Q3" i="19"/>
  <c r="Q2" i="19"/>
  <c r="N4" i="19"/>
  <c r="P4" i="19" l="1"/>
  <c r="O4" i="19"/>
  <c r="P3" i="19"/>
  <c r="O3" i="19"/>
  <c r="N3" i="19"/>
  <c r="P2" i="19"/>
  <c r="O2" i="19"/>
  <c r="N2" i="19"/>
  <c r="B227" i="19" l="1"/>
  <c r="B226" i="19"/>
  <c r="B225" i="19"/>
  <c r="B224" i="19"/>
  <c r="B223" i="19"/>
  <c r="B222" i="19"/>
  <c r="B236" i="19" l="1"/>
  <c r="B10" i="19"/>
  <c r="B11" i="19"/>
  <c r="B12" i="19"/>
  <c r="B13" i="19"/>
  <c r="B14" i="19"/>
  <c r="B15" i="19"/>
  <c r="B16" i="19"/>
  <c r="B17" i="19"/>
  <c r="B18" i="19"/>
  <c r="B19" i="19"/>
  <c r="B20" i="19"/>
  <c r="B21" i="19"/>
  <c r="B22" i="19"/>
  <c r="B23" i="19"/>
  <c r="B24" i="19"/>
  <c r="B25" i="19"/>
  <c r="B26" i="19"/>
  <c r="B27" i="19"/>
  <c r="B28" i="19"/>
  <c r="B31" i="19"/>
  <c r="B32" i="19"/>
  <c r="B29" i="19"/>
  <c r="B30" i="19"/>
  <c r="B33" i="19"/>
  <c r="B34" i="19"/>
  <c r="B35" i="19"/>
  <c r="B36" i="19"/>
  <c r="B37" i="19"/>
  <c r="B38" i="19"/>
  <c r="B39" i="19"/>
  <c r="B40" i="19"/>
  <c r="B41" i="19"/>
  <c r="B42" i="19"/>
  <c r="B43" i="19"/>
  <c r="B44" i="19"/>
  <c r="B45" i="19"/>
  <c r="B46" i="19"/>
  <c r="B47" i="19"/>
  <c r="B48" i="19"/>
  <c r="B51" i="19"/>
  <c r="B52" i="19"/>
  <c r="B49" i="19"/>
  <c r="B50"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43" i="19"/>
  <c r="B144" i="19"/>
  <c r="B137" i="19"/>
  <c r="B138" i="19"/>
  <c r="B139" i="19"/>
  <c r="B140" i="19"/>
  <c r="B141" i="19"/>
  <c r="B142"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28" i="19"/>
  <c r="B229" i="19"/>
  <c r="B213" i="19"/>
  <c r="B220" i="19"/>
  <c r="B221" i="19"/>
  <c r="B230" i="19"/>
  <c r="B231" i="19"/>
  <c r="B232" i="19"/>
  <c r="B233" i="19"/>
  <c r="B234" i="19"/>
  <c r="B235" i="19"/>
  <c r="B237" i="19"/>
  <c r="B238" i="19"/>
  <c r="B9" i="19"/>
  <c r="M2" i="19" l="1"/>
  <c r="M3" i="19"/>
  <c r="M4" i="19"/>
  <c r="J3" i="19"/>
  <c r="I3" i="19"/>
  <c r="H3" i="19"/>
  <c r="M20" i="14"/>
  <c r="L20" i="14"/>
  <c r="K20" i="14"/>
  <c r="H20" i="14" s="1"/>
  <c r="N4" i="14"/>
  <c r="N3" i="14"/>
  <c r="J3" i="14" s="1"/>
  <c r="M4" i="14"/>
  <c r="M3" i="14" s="1"/>
  <c r="I3" i="14" s="1"/>
  <c r="L4" i="14"/>
  <c r="L3" i="14" s="1"/>
  <c r="H3" i="14" s="1"/>
  <c r="K4" i="14"/>
  <c r="H4" i="14" s="1"/>
  <c r="K3" i="14" l="1"/>
  <c r="G3" i="14" s="1"/>
  <c r="G3" i="19"/>
</calcChain>
</file>

<file path=xl/sharedStrings.xml><?xml version="1.0" encoding="utf-8"?>
<sst xmlns="http://schemas.openxmlformats.org/spreadsheetml/2006/main" count="2791" uniqueCount="821">
  <si>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</si>
  <si>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</si>
  <si>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</si>
  <si>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</si>
  <si>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</si>
  <si>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</si>
  <si>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</si>
  <si>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</si>
  <si>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</si>
  <si>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</si>
  <si>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</si>
  <si>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</si>
  <si>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</si>
  <si>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</si>
  <si>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</si>
  <si>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</si>
  <si>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</si>
  <si>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</si>
  <si>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</si>
  <si>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</si>
  <si>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</si>
  <si>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</si>
  <si>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</si>
  <si>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</si>
  <si>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</si>
  <si>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</si>
  <si>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</si>
  <si>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</si>
  <si>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</si>
  <si>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</si>
  <si>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</si>
  <si>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</si>
  <si>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</si>
  <si>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</si>
  <si>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</si>
  <si>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</si>
  <si>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</si>
  <si>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</si>
  <si>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</si>
  <si>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</si>
  <si>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</si>
  <si>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</si>
  <si>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</si>
  <si>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</si>
  <si>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</si>
  <si>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</si>
  <si>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</si>
  <si>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</si>
  <si>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</si>
  <si>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</si>
  <si>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</si>
  <si>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</si>
  <si>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</si>
  <si>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</si>
  <si>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</si>
  <si>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</si>
  <si>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</si>
  <si>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</si>
  <si>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</si>
  <si>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</si>
  <si>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</si>
  <si>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</si>
  <si>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</si>
  <si>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</si>
  <si>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</si>
  <si>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</si>
  <si>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</si>
  <si>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</si>
  <si>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</si>
  <si>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</si>
  <si>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</si>
  <si>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</si>
  <si>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</si>
  <si>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</si>
  <si>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</si>
  <si>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</si>
  <si>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</si>
  <si>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</si>
  <si>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</si>
  <si>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</si>
  <si>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</si>
  <si>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</si>
  <si>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</si>
  <si>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</si>
  <si>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</si>
  <si>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</si>
  <si>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</si>
  <si>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</si>
  <si>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</si>
  <si>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</si>
  <si>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</si>
  <si>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</si>
  <si>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</si>
  <si>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</si>
  <si>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画面が起動すること</t>
    <rPh sb="0" eb="2">
      <t>ガメン</t>
    </rPh>
    <rPh sb="3" eb="5">
      <t>キドウ</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</si>
  <si>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</si>
  <si>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</si>
  <si>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</si>
  <si>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</si>
  <si>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</si>
  <si>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別シート"リクエストパラメータチェックシート:リソース取得API"参照</t>
    <rPh sb="27" eb="29">
      <t>シュトク</t>
    </rPh>
    <phoneticPr fontId="28"/>
  </si>
  <si>
    <t>-</t>
    <phoneticPr fontId="47"/>
  </si>
  <si>
    <t>モーダル画面とエラーメッセージが表示されること</t>
    <rPh sb="4" eb="6">
      <t>ガメン</t>
    </rPh>
    <rPh sb="16" eb="18">
      <t>ヒョウジ</t>
    </rPh>
    <phoneticPr fontId="28"/>
  </si>
  <si>
    <t>モーダル画面とエラーメッセージが表示されること</t>
    <phoneticPr fontId="28"/>
  </si>
  <si>
    <t>折り畳みアイコンクリック</t>
    <rPh sb="0" eb="1">
      <t>オ</t>
    </rPh>
    <rPh sb="2" eb="3">
      <t>タタ</t>
    </rPh>
    <phoneticPr fontId="28"/>
  </si>
  <si>
    <t>検索項目表示時</t>
    <rPh sb="0" eb="2">
      <t>ケンサク</t>
    </rPh>
    <rPh sb="2" eb="4">
      <t>コウモク</t>
    </rPh>
    <rPh sb="4" eb="6">
      <t>ヒョウジ</t>
    </rPh>
    <rPh sb="6" eb="7">
      <t>ジ</t>
    </rPh>
    <phoneticPr fontId="47"/>
  </si>
  <si>
    <t>非表示になること</t>
    <rPh sb="0" eb="3">
      <t>ヒヒョウジ</t>
    </rPh>
    <phoneticPr fontId="28"/>
  </si>
  <si>
    <t>検索項目非表示時</t>
    <rPh sb="0" eb="2">
      <t>ケンサク</t>
    </rPh>
    <rPh sb="2" eb="4">
      <t>コウモク</t>
    </rPh>
    <rPh sb="4" eb="5">
      <t>ヒ</t>
    </rPh>
    <rPh sb="5" eb="7">
      <t>ヒョウジ</t>
    </rPh>
    <rPh sb="7" eb="8">
      <t>ジ</t>
    </rPh>
    <phoneticPr fontId="47"/>
  </si>
  <si>
    <t>表示されること</t>
    <rPh sb="0" eb="2">
      <t>ヒョウジ</t>
    </rPh>
    <phoneticPr fontId="28"/>
  </si>
  <si>
    <t>活性化されている事</t>
    <rPh sb="0" eb="3">
      <t>カッセイカ</t>
    </rPh>
    <rPh sb="8" eb="9">
      <t>コト</t>
    </rPh>
    <phoneticPr fontId="28"/>
  </si>
  <si>
    <t>初期表示</t>
    <rPh sb="0" eb="2">
      <t>ショキ</t>
    </rPh>
    <rPh sb="2" eb="4">
      <t>ヒョウジ</t>
    </rPh>
    <phoneticPr fontId="47"/>
  </si>
  <si>
    <t>－</t>
    <phoneticPr fontId="47"/>
  </si>
  <si>
    <t>header</t>
    <phoneticPr fontId="28"/>
  </si>
  <si>
    <t>　resource_path</t>
    <phoneticPr fontId="28"/>
  </si>
  <si>
    <t>　　condition</t>
    <phoneticPr fontId="28"/>
  </si>
  <si>
    <t>リソース取得ＡＰＩ(post:/applications/views/resources/search)</t>
    <phoneticPr fontId="28"/>
  </si>
  <si>
    <t>空白になっている事</t>
    <rPh sb="0" eb="2">
      <t>クウハク</t>
    </rPh>
    <rPh sb="8" eb="9">
      <t>コト</t>
    </rPh>
    <phoneticPr fontId="28"/>
  </si>
  <si>
    <t>処理結果の確認</t>
    <rPh sb="0" eb="2">
      <t>ショリ</t>
    </rPh>
    <rPh sb="2" eb="4">
      <t>ケッカ</t>
    </rPh>
    <rPh sb="5" eb="7">
      <t>カクニン</t>
    </rPh>
    <phoneticPr fontId="28"/>
  </si>
  <si>
    <t>「データがありません。」と表示されること</t>
    <rPh sb="13" eb="15">
      <t>ヒョウジ</t>
    </rPh>
    <phoneticPr fontId="28"/>
  </si>
  <si>
    <t>「前ページ」ボタン</t>
    <phoneticPr fontId="28"/>
  </si>
  <si>
    <t>「次ページ」ボタン</t>
    <phoneticPr fontId="28"/>
  </si>
  <si>
    <t>「ページ選択」ボタン</t>
    <rPh sb="4" eb="6">
      <t>センタク</t>
    </rPh>
    <phoneticPr fontId="47"/>
  </si>
  <si>
    <t>ページ番号</t>
    <rPh sb="3" eb="5">
      <t>バンゴウ</t>
    </rPh>
    <phoneticPr fontId="47"/>
  </si>
  <si>
    <t>非活性になっていること</t>
    <rPh sb="0" eb="1">
      <t>ヒ</t>
    </rPh>
    <rPh sb="1" eb="3">
      <t>カッセイ</t>
    </rPh>
    <phoneticPr fontId="28"/>
  </si>
  <si>
    <t>ページ数が「0/0 - 0/0」になっていること</t>
    <rPh sb="3" eb="4">
      <t>スウ</t>
    </rPh>
    <phoneticPr fontId="28"/>
  </si>
  <si>
    <t>正常確認
　正常確認：検索結果：0件</t>
    <rPh sb="0" eb="2">
      <t>セイジョウ</t>
    </rPh>
    <rPh sb="2" eb="4">
      <t>カクニン</t>
    </rPh>
    <rPh sb="7" eb="9">
      <t>セイジョウ</t>
    </rPh>
    <rPh sb="9" eb="11">
      <t>カクニン</t>
    </rPh>
    <rPh sb="12" eb="14">
      <t>ケンサク</t>
    </rPh>
    <rPh sb="14" eb="16">
      <t>ケッカ</t>
    </rPh>
    <phoneticPr fontId="28"/>
  </si>
  <si>
    <t>活性化されていること</t>
    <rPh sb="0" eb="3">
      <t>カッセイカ</t>
    </rPh>
    <phoneticPr fontId="28"/>
  </si>
  <si>
    <t>　正常確認：検索結果：20件</t>
    <phoneticPr fontId="47"/>
  </si>
  <si>
    <t>「ページ選択」</t>
    <rPh sb="4" eb="6">
      <t>センタク</t>
    </rPh>
    <phoneticPr fontId="47"/>
  </si>
  <si>
    <t>「次ページ」ボタン</t>
    <phoneticPr fontId="28"/>
  </si>
  <si>
    <t>「前ページ」ボタン</t>
    <phoneticPr fontId="28"/>
  </si>
  <si>
    <t>1ページで表示されていること</t>
    <rPh sb="5" eb="7">
      <t>ヒョウジ</t>
    </rPh>
    <phoneticPr fontId="28"/>
  </si>
  <si>
    <t>2ページで表示されていること</t>
    <rPh sb="5" eb="7">
      <t>ヒョウジ</t>
    </rPh>
    <phoneticPr fontId="28"/>
  </si>
  <si>
    <t>3ページで表示されていること</t>
    <rPh sb="5" eb="7">
      <t>ヒョウジ</t>
    </rPh>
    <phoneticPr fontId="28"/>
  </si>
  <si>
    <t>画面表示</t>
    <rPh sb="0" eb="2">
      <t>ガメン</t>
    </rPh>
    <rPh sb="2" eb="4">
      <t>ヒョウジ</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</si>
  <si>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</si>
  <si>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</si>
  <si>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</si>
  <si>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レイアウトが崩れないこと</t>
    <rPh sb="6" eb="7">
      <t>クズ</t>
    </rPh>
    <phoneticPr fontId="28"/>
  </si>
  <si>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</si>
  <si>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</si>
  <si>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</si>
  <si>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</si>
  <si>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画面項目制御（データテーブル）</t>
    <rPh sb="0" eb="2">
      <t>ガメン</t>
    </rPh>
    <rPh sb="2" eb="4">
      <t>コウモク</t>
    </rPh>
    <rPh sb="4" eb="6">
      <t>セイギョ</t>
    </rPh>
    <phoneticPr fontId="28"/>
  </si>
  <si>
    <t>-</t>
  </si>
  <si>
    <t>　　エラー確認</t>
    <rPh sb="5" eb="7">
      <t>カクニン</t>
    </rPh>
    <phoneticPr fontId="47"/>
  </si>
  <si>
    <t>　　正常確認</t>
    <rPh sb="2" eb="4">
      <t>セイジョウ</t>
    </rPh>
    <rPh sb="4" eb="6">
      <t>カクニン</t>
    </rPh>
    <phoneticPr fontId="47"/>
  </si>
  <si>
    <t>車両一覧</t>
    <rPh sb="0" eb="2">
      <t>シャリョウ</t>
    </rPh>
    <rPh sb="2" eb="4">
      <t>イチラン</t>
    </rPh>
    <phoneticPr fontId="47"/>
  </si>
  <si>
    <t>車両一覧取得APIの取得結果が表示されていること</t>
    <rPh sb="0" eb="2">
      <t>シャリョウ</t>
    </rPh>
    <rPh sb="2" eb="4">
      <t>イチラン</t>
    </rPh>
    <rPh sb="4" eb="6">
      <t>シュトク</t>
    </rPh>
    <rPh sb="10" eb="12">
      <t>シュトク</t>
    </rPh>
    <rPh sb="12" eb="14">
      <t>ケッカ</t>
    </rPh>
    <rPh sb="15" eb="17">
      <t>ヒョウジ</t>
    </rPh>
    <phoneticPr fontId="28"/>
  </si>
  <si>
    <t>車両一覧ヘッダ項目</t>
    <rPh sb="0" eb="2">
      <t>シャリョウ</t>
    </rPh>
    <rPh sb="2" eb="4">
      <t>イチラン</t>
    </rPh>
    <rPh sb="7" eb="9">
      <t>コウモク</t>
    </rPh>
    <phoneticPr fontId="47"/>
  </si>
  <si>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</si>
  <si>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</si>
  <si>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</si>
  <si>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</si>
  <si>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検索項目</t>
    <rPh sb="0" eb="2">
      <t>ケンサク</t>
    </rPh>
    <rPh sb="2" eb="4">
      <t>コウモク</t>
    </rPh>
    <phoneticPr fontId="47"/>
  </si>
  <si>
    <t>担当DB</t>
  </si>
  <si>
    <t>担当DB組織ｺｰﾄﾞ</t>
  </si>
  <si>
    <t>ｻｰﾋﾞｽDB</t>
  </si>
  <si>
    <t>ｻｰﾋﾞｽDB組織ｺｰﾄﾞ</t>
  </si>
  <si>
    <t>顧客</t>
  </si>
  <si>
    <t>顧客組織ｺｰﾄﾞ</t>
  </si>
  <si>
    <t>業種</t>
  </si>
  <si>
    <t>銀行</t>
  </si>
  <si>
    <t>債権</t>
  </si>
  <si>
    <t>車両種類</t>
  </si>
  <si>
    <t>ﾒｰｶ</t>
  </si>
  <si>
    <t>機種</t>
  </si>
  <si>
    <t>型式</t>
  </si>
  <si>
    <t>機番</t>
  </si>
  <si>
    <t>顧客管理番号</t>
  </si>
  <si>
    <t>顧客車両番号</t>
  </si>
  <si>
    <t>備考1</t>
  </si>
  <si>
    <t>備考2</t>
  </si>
  <si>
    <t>備考3</t>
  </si>
  <si>
    <t>備考4</t>
  </si>
  <si>
    <t>分類1</t>
  </si>
  <si>
    <t>分類2</t>
  </si>
  <si>
    <t>分類3</t>
  </si>
  <si>
    <t>分類4</t>
  </si>
  <si>
    <t>分類5</t>
  </si>
  <si>
    <t>資産状態(含む)</t>
  </si>
  <si>
    <t>資産所有者(含む)</t>
  </si>
  <si>
    <t>ｻﾌﾞｸﾞﾙｰﾌﾟ</t>
  </si>
  <si>
    <t>新車/中古車</t>
  </si>
  <si>
    <t>情報化施工</t>
  </si>
  <si>
    <t>ｺﾏﾂｵｰﾙｻﾎﾟｰﾄ</t>
  </si>
  <si>
    <t>広域顧客</t>
  </si>
  <si>
    <t>KBS車輛</t>
  </si>
  <si>
    <t>現場名</t>
  </si>
  <si>
    <t>オペ名</t>
  </si>
  <si>
    <t>保守責任者</t>
  </si>
  <si>
    <t>現在地</t>
  </si>
  <si>
    <t>一致是非</t>
  </si>
  <si>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</si>
  <si>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別シート"リクエストパラメータチェックシート：リソース取得API"参照
※プルダウン情報を取得</t>
    <rPh sb="0" eb="1">
      <t>ベツ</t>
    </rPh>
    <rPh sb="33" eb="35">
      <t>サンショウ</t>
    </rPh>
    <rPh sb="42" eb="44">
      <t>ジョウホウ</t>
    </rPh>
    <rPh sb="45" eb="47">
      <t>シュトク</t>
    </rPh>
    <phoneticPr fontId="28"/>
  </si>
  <si>
    <t>　　呼び出し失敗</t>
    <rPh sb="2" eb="3">
      <t>ヨ</t>
    </rPh>
    <rPh sb="4" eb="5">
      <t>ダ</t>
    </rPh>
    <rPh sb="6" eb="8">
      <t>シッパイ</t>
    </rPh>
    <phoneticPr fontId="28"/>
  </si>
  <si>
    <t>-</t>
    <phoneticPr fontId="47"/>
  </si>
  <si>
    <t>大項目2でテストを実施する</t>
    <rPh sb="0" eb="3">
      <t>ダイコウモク</t>
    </rPh>
    <rPh sb="9" eb="11">
      <t>ジッシ</t>
    </rPh>
    <phoneticPr fontId="47"/>
  </si>
  <si>
    <t>初期処理</t>
    <rPh sb="0" eb="2">
      <t>ショキ</t>
    </rPh>
    <rPh sb="2" eb="4">
      <t>ショリ</t>
    </rPh>
    <phoneticPr fontId="28"/>
  </si>
  <si>
    <t>クリアボタン</t>
    <phoneticPr fontId="28"/>
  </si>
  <si>
    <t>初期表示</t>
    <rPh sb="0" eb="2">
      <t>ショキ</t>
    </rPh>
    <rPh sb="2" eb="4">
      <t>ヒョウジ</t>
    </rPh>
    <phoneticPr fontId="28"/>
  </si>
  <si>
    <t>クリック</t>
    <phoneticPr fontId="28"/>
  </si>
  <si>
    <t>一覧のチェックが全て外れること</t>
    <rPh sb="0" eb="2">
      <t>イチラン</t>
    </rPh>
    <rPh sb="8" eb="9">
      <t>スベ</t>
    </rPh>
    <rPh sb="10" eb="11">
      <t>ハズ</t>
    </rPh>
    <phoneticPr fontId="28"/>
  </si>
  <si>
    <t>担当DB一覧</t>
    <rPh sb="0" eb="2">
      <t>タントウ</t>
    </rPh>
    <rPh sb="4" eb="6">
      <t>イチラン</t>
    </rPh>
    <phoneticPr fontId="28"/>
  </si>
  <si>
    <t>活性化されること</t>
    <rPh sb="0" eb="3">
      <t>カッセイカ</t>
    </rPh>
    <phoneticPr fontId="28"/>
  </si>
  <si>
    <t>OKボタン</t>
    <phoneticPr fontId="28"/>
  </si>
  <si>
    <t>チェックされているデータがないこと</t>
    <phoneticPr fontId="28"/>
  </si>
  <si>
    <t>担当DB未選択時の確認</t>
    <rPh sb="0" eb="2">
      <t>タントウ</t>
    </rPh>
    <rPh sb="4" eb="5">
      <t>ミ</t>
    </rPh>
    <rPh sb="5" eb="7">
      <t>センタク</t>
    </rPh>
    <rPh sb="7" eb="8">
      <t>ジ</t>
    </rPh>
    <rPh sb="9" eb="11">
      <t>カクニン</t>
    </rPh>
    <phoneticPr fontId="28"/>
  </si>
  <si>
    <t>担当DB選択時の確認</t>
    <rPh sb="0" eb="2">
      <t>タントウ</t>
    </rPh>
    <rPh sb="4" eb="6">
      <t>センタク</t>
    </rPh>
    <rPh sb="6" eb="7">
      <t>ジ</t>
    </rPh>
    <rPh sb="8" eb="10">
      <t>カクニン</t>
    </rPh>
    <phoneticPr fontId="28"/>
  </si>
  <si>
    <t>選択されているデータがチェックされていること</t>
    <rPh sb="0" eb="2">
      <t>センタク</t>
    </rPh>
    <phoneticPr fontId="28"/>
  </si>
  <si>
    <t>チェックボックスON（未選択→1件選択）</t>
    <rPh sb="11" eb="12">
      <t>ミ</t>
    </rPh>
    <rPh sb="12" eb="14">
      <t>センタク</t>
    </rPh>
    <rPh sb="16" eb="17">
      <t>ケン</t>
    </rPh>
    <rPh sb="17" eb="19">
      <t>センタク</t>
    </rPh>
    <phoneticPr fontId="28"/>
  </si>
  <si>
    <t>チェックボックスOFF（1件選択→未選択）</t>
    <phoneticPr fontId="28"/>
  </si>
  <si>
    <t>非活性になっていること</t>
    <rPh sb="0" eb="1">
      <t>ヒ</t>
    </rPh>
    <rPh sb="1" eb="3">
      <t>カッセイ</t>
    </rPh>
    <phoneticPr fontId="28"/>
  </si>
  <si>
    <t>担当DB一覧</t>
    <phoneticPr fontId="28"/>
  </si>
  <si>
    <t>画面が閉じること</t>
    <rPh sb="0" eb="2">
      <t>ガメン</t>
    </rPh>
    <rPh sb="3" eb="4">
      <t>ト</t>
    </rPh>
    <phoneticPr fontId="28"/>
  </si>
  <si>
    <t>担当DB</t>
    <phoneticPr fontId="28"/>
  </si>
  <si>
    <t>複数選択が表示されている事</t>
    <rPh sb="0" eb="2">
      <t>フクスウ</t>
    </rPh>
    <rPh sb="2" eb="4">
      <t>センタク</t>
    </rPh>
    <rPh sb="5" eb="7">
      <t>ヒョウジ</t>
    </rPh>
    <rPh sb="12" eb="13">
      <t>コト</t>
    </rPh>
    <phoneticPr fontId="28"/>
  </si>
  <si>
    <t>キャンセルボタン</t>
    <phoneticPr fontId="28"/>
  </si>
  <si>
    <t>担当DB組織コード</t>
    <phoneticPr fontId="47"/>
  </si>
  <si>
    <t>非表示になること</t>
    <rPh sb="0" eb="3">
      <t>ヒヒョウジ</t>
    </rPh>
    <phoneticPr fontId="28"/>
  </si>
  <si>
    <t>テキストが表示されること</t>
    <rPh sb="5" eb="7">
      <t>ヒョウジ</t>
    </rPh>
    <phoneticPr fontId="28"/>
  </si>
  <si>
    <t>担当DB(テキスト)</t>
    <phoneticPr fontId="47"/>
  </si>
  <si>
    <t>表示されること</t>
    <rPh sb="0" eb="2">
      <t>ヒョウジ</t>
    </rPh>
    <phoneticPr fontId="28"/>
  </si>
  <si>
    <t>担当DBで選択した組織コードが表示されていること</t>
    <rPh sb="0" eb="2">
      <t>タントウ</t>
    </rPh>
    <rPh sb="5" eb="7">
      <t>センタク</t>
    </rPh>
    <rPh sb="9" eb="11">
      <t>ソシキ</t>
    </rPh>
    <rPh sb="15" eb="17">
      <t>ヒョウジ</t>
    </rPh>
    <phoneticPr fontId="28"/>
  </si>
  <si>
    <t>組織コードと一致する担当DBが表示されること</t>
    <rPh sb="0" eb="2">
      <t>ソシキ</t>
    </rPh>
    <rPh sb="6" eb="8">
      <t>イッチ</t>
    </rPh>
    <rPh sb="10" eb="12">
      <t>タントウ</t>
    </rPh>
    <rPh sb="15" eb="17">
      <t>ヒョウジ</t>
    </rPh>
    <phoneticPr fontId="28"/>
  </si>
  <si>
    <t>サービスDB組織コード</t>
    <rPh sb="6" eb="8">
      <t>ソシキ</t>
    </rPh>
    <phoneticPr fontId="28"/>
  </si>
  <si>
    <t>サービスDB</t>
    <phoneticPr fontId="28"/>
  </si>
  <si>
    <t>組織コードと一致するサービスDBが表示されること</t>
    <rPh sb="0" eb="2">
      <t>ソシキ</t>
    </rPh>
    <rPh sb="6" eb="8">
      <t>イッチ</t>
    </rPh>
    <rPh sb="17" eb="19">
      <t>ヒョウジ</t>
    </rPh>
    <phoneticPr fontId="28"/>
  </si>
  <si>
    <t>顧客組織コード</t>
  </si>
  <si>
    <t>顧客で選択した組織コードが表示されていること</t>
    <rPh sb="3" eb="5">
      <t>センタク</t>
    </rPh>
    <rPh sb="7" eb="9">
      <t>ソシキ</t>
    </rPh>
    <rPh sb="13" eb="15">
      <t>ヒョウジ</t>
    </rPh>
    <phoneticPr fontId="28"/>
  </si>
  <si>
    <t>顧客(テキスト)</t>
  </si>
  <si>
    <t>大項目3でテストを実施する</t>
    <rPh sb="0" eb="3">
      <t>ダイコウモク</t>
    </rPh>
    <rPh sb="9" eb="11">
      <t>ジッシ</t>
    </rPh>
    <phoneticPr fontId="47"/>
  </si>
  <si>
    <t>顧客一覧</t>
  </si>
  <si>
    <t>顧客一覧</t>
    <rPh sb="0" eb="2">
      <t>コキャク</t>
    </rPh>
    <rPh sb="2" eb="4">
      <t>イチラン</t>
    </rPh>
    <phoneticPr fontId="28"/>
  </si>
  <si>
    <t>担当DBで選択されている担当DBが表示されること</t>
    <rPh sb="0" eb="2">
      <t>タントウ</t>
    </rPh>
    <rPh sb="5" eb="7">
      <t>センタク</t>
    </rPh>
    <rPh sb="12" eb="14">
      <t>タントウ</t>
    </rPh>
    <rPh sb="17" eb="19">
      <t>ヒョウジ</t>
    </rPh>
    <phoneticPr fontId="28"/>
  </si>
  <si>
    <t>担当DB</t>
    <phoneticPr fontId="28"/>
  </si>
  <si>
    <t>初期表示</t>
    <phoneticPr fontId="28"/>
  </si>
  <si>
    <t>顧客検索条件項目</t>
    <rPh sb="0" eb="2">
      <t>コキャク</t>
    </rPh>
    <rPh sb="2" eb="4">
      <t>ケンサク</t>
    </rPh>
    <rPh sb="4" eb="6">
      <t>ジョウケン</t>
    </rPh>
    <rPh sb="6" eb="8">
      <t>コウモク</t>
    </rPh>
    <phoneticPr fontId="28"/>
  </si>
  <si>
    <t>*が表示されていること</t>
    <rPh sb="2" eb="4">
      <t>ヒョウジ</t>
    </rPh>
    <phoneticPr fontId="28"/>
  </si>
  <si>
    <t>検索ボタン</t>
    <rPh sb="0" eb="2">
      <t>ケンサク</t>
    </rPh>
    <phoneticPr fontId="28"/>
  </si>
  <si>
    <t>クリック（顧客未選択時）</t>
    <rPh sb="5" eb="7">
      <t>コキャク</t>
    </rPh>
    <rPh sb="7" eb="8">
      <t>ミ</t>
    </rPh>
    <rPh sb="8" eb="10">
      <t>センタク</t>
    </rPh>
    <rPh sb="10" eb="11">
      <t>ジ</t>
    </rPh>
    <phoneticPr fontId="28"/>
  </si>
  <si>
    <t>大項目3</t>
    <rPh sb="0" eb="3">
      <t>ダイコウモク</t>
    </rPh>
    <phoneticPr fontId="28"/>
  </si>
  <si>
    <t>「データがありません。」と表示されていること</t>
    <rPh sb="13" eb="15">
      <t>ヒョウジ</t>
    </rPh>
    <phoneticPr fontId="28"/>
  </si>
  <si>
    <t>顧客一覧子画面</t>
  </si>
  <si>
    <t>顧客一覧(テキスト)</t>
  </si>
  <si>
    <t>顧客一覧子画面の表示前と値が変更されていないこと</t>
    <rPh sb="8" eb="10">
      <t>ヒョウジ</t>
    </rPh>
    <rPh sb="10" eb="11">
      <t>マエ</t>
    </rPh>
    <rPh sb="12" eb="13">
      <t>アタイ</t>
    </rPh>
    <rPh sb="14" eb="16">
      <t>ヘンコウ</t>
    </rPh>
    <phoneticPr fontId="28"/>
  </si>
  <si>
    <t>顧客組織コード</t>
    <phoneticPr fontId="28"/>
  </si>
  <si>
    <t>顧客一覧子画面で選択したデータがセットされていること</t>
    <rPh sb="8" eb="10">
      <t>センタク</t>
    </rPh>
    <phoneticPr fontId="28"/>
  </si>
  <si>
    <t>クリック（顧客複数選択時）</t>
    <rPh sb="5" eb="7">
      <t>コキャク</t>
    </rPh>
    <rPh sb="7" eb="9">
      <t>フクスウ</t>
    </rPh>
    <rPh sb="9" eb="11">
      <t>センタク</t>
    </rPh>
    <rPh sb="11" eb="12">
      <t>ジ</t>
    </rPh>
    <phoneticPr fontId="28"/>
  </si>
  <si>
    <t>APIで取得したデータがに表示されること</t>
    <rPh sb="4" eb="6">
      <t>シュトク</t>
    </rPh>
    <rPh sb="13" eb="15">
      <t>ヒョウジ</t>
    </rPh>
    <phoneticPr fontId="28"/>
  </si>
  <si>
    <t>複数選択されていたデータが表示されチェックがONになっていること</t>
    <rPh sb="0" eb="2">
      <t>フクスウ</t>
    </rPh>
    <rPh sb="2" eb="4">
      <t>センタク</t>
    </rPh>
    <rPh sb="13" eb="15">
      <t>ヒョウジ</t>
    </rPh>
    <phoneticPr fontId="28"/>
  </si>
  <si>
    <t>顧客に紐づく組織コードが選択されていること</t>
    <rPh sb="0" eb="2">
      <t>コキャク</t>
    </rPh>
    <rPh sb="3" eb="4">
      <t>ヒモ</t>
    </rPh>
    <rPh sb="6" eb="8">
      <t>ソシキ</t>
    </rPh>
    <rPh sb="12" eb="14">
      <t>センタク</t>
    </rPh>
    <phoneticPr fontId="28"/>
  </si>
  <si>
    <t>組織コードと一致する顧客が表示されること</t>
    <rPh sb="0" eb="2">
      <t>ソシキ</t>
    </rPh>
    <rPh sb="6" eb="8">
      <t>イッチ</t>
    </rPh>
    <rPh sb="10" eb="12">
      <t>コキャク</t>
    </rPh>
    <rPh sb="13" eb="15">
      <t>ヒョウジ</t>
    </rPh>
    <phoneticPr fontId="28"/>
  </si>
  <si>
    <t>注目車両グループ</t>
    <phoneticPr fontId="28"/>
  </si>
  <si>
    <t>選択された値がセットされること</t>
    <rPh sb="0" eb="2">
      <t>センタク</t>
    </rPh>
    <rPh sb="5" eb="6">
      <t>アタイ</t>
    </rPh>
    <phoneticPr fontId="28"/>
  </si>
  <si>
    <t>サブグループ</t>
  </si>
  <si>
    <t>サブグループ(テキスト)</t>
  </si>
  <si>
    <t>大項目4でテストを実施する</t>
    <rPh sb="0" eb="3">
      <t>ダイコウモク</t>
    </rPh>
    <rPh sb="9" eb="11">
      <t>ジッシ</t>
    </rPh>
    <phoneticPr fontId="47"/>
  </si>
  <si>
    <t>サブグループ</t>
    <phoneticPr fontId="28"/>
  </si>
  <si>
    <t>サブグループで選択したサブグループ名が表示されること</t>
    <rPh sb="7" eb="9">
      <t>センタク</t>
    </rPh>
    <rPh sb="17" eb="18">
      <t>メイ</t>
    </rPh>
    <rPh sb="19" eb="21">
      <t>ヒョウジ</t>
    </rPh>
    <phoneticPr fontId="28"/>
  </si>
  <si>
    <t>大項目4</t>
    <rPh sb="0" eb="3">
      <t>ダイコウモク</t>
    </rPh>
    <phoneticPr fontId="28"/>
  </si>
  <si>
    <t>サブグループ検索条件項目</t>
    <rPh sb="6" eb="8">
      <t>ケンサク</t>
    </rPh>
    <rPh sb="8" eb="10">
      <t>ジョウケン</t>
    </rPh>
    <rPh sb="10" eb="12">
      <t>コウモク</t>
    </rPh>
    <phoneticPr fontId="28"/>
  </si>
  <si>
    <t>サブグループ一覧</t>
    <rPh sb="6" eb="8">
      <t>イチラン</t>
    </rPh>
    <phoneticPr fontId="28"/>
  </si>
  <si>
    <t>クリック（サブグループ未選択時）</t>
    <rPh sb="11" eb="12">
      <t>ミ</t>
    </rPh>
    <rPh sb="12" eb="14">
      <t>センタク</t>
    </rPh>
    <rPh sb="14" eb="15">
      <t>ジ</t>
    </rPh>
    <phoneticPr fontId="28"/>
  </si>
  <si>
    <t>クリック（サブグループ複数選択時）</t>
    <rPh sb="11" eb="13">
      <t>フクスウ</t>
    </rPh>
    <rPh sb="13" eb="15">
      <t>センタク</t>
    </rPh>
    <rPh sb="15" eb="16">
      <t>ジ</t>
    </rPh>
    <phoneticPr fontId="28"/>
  </si>
  <si>
    <t>サブグループ一覧(テキスト)</t>
  </si>
  <si>
    <t>大項目2</t>
    <rPh sb="0" eb="3">
      <t>ダイコウモク</t>
    </rPh>
    <phoneticPr fontId="28"/>
  </si>
  <si>
    <t>body</t>
    <phoneticPr fontId="28"/>
  </si>
  <si>
    <t>機種</t>
    <phoneticPr fontId="28"/>
  </si>
  <si>
    <t>ワイルドカード使用可能</t>
    <phoneticPr fontId="28"/>
  </si>
  <si>
    <t>型式</t>
    <rPh sb="0" eb="2">
      <t>カタシキ</t>
    </rPh>
    <phoneticPr fontId="28"/>
  </si>
  <si>
    <t>車両PIN</t>
    <phoneticPr fontId="28"/>
  </si>
  <si>
    <t>グループID</t>
    <phoneticPr fontId="28"/>
  </si>
  <si>
    <t>サービス代理店</t>
    <phoneticPr fontId="28"/>
  </si>
  <si>
    <t>顧客</t>
    <rPh sb="0" eb="2">
      <t>コキャク</t>
    </rPh>
    <phoneticPr fontId="28"/>
  </si>
  <si>
    <t>債権区分</t>
    <phoneticPr fontId="28"/>
  </si>
  <si>
    <t>備考２</t>
  </si>
  <si>
    <t>備考３</t>
  </si>
  <si>
    <t>備考４</t>
  </si>
  <si>
    <t>備考５</t>
  </si>
  <si>
    <t>分類２ID</t>
  </si>
  <si>
    <t>分類３ID</t>
  </si>
  <si>
    <t>分類４ID</t>
  </si>
  <si>
    <t>分類５ID</t>
  </si>
  <si>
    <t>カスタム車両属性２詳細ID</t>
  </si>
  <si>
    <t>カスタム車両属性３詳細ID</t>
  </si>
  <si>
    <t>カスタム車両属性４詳細ID</t>
  </si>
  <si>
    <t>カスタム車両属性５詳細ID</t>
  </si>
  <si>
    <t>カスタム車両属性６詳細ID</t>
  </si>
  <si>
    <t>カスタム車両属性７詳細ID</t>
  </si>
  <si>
    <t>カスタム車両属性８詳細ID</t>
  </si>
  <si>
    <t>カスタム車両属性９詳細ID</t>
  </si>
  <si>
    <t>カスタム車両属性１０詳細ID</t>
  </si>
  <si>
    <t>別シート"リクエストパラメータチェックシート：車両一覧取得API "参照</t>
    <phoneticPr fontId="28"/>
  </si>
  <si>
    <t>　正常確認：検索結果：30件</t>
    <phoneticPr fontId="47"/>
  </si>
  <si>
    <t>件数が1/20 - 10/20 で表示されていること</t>
    <rPh sb="0" eb="2">
      <t>ケンスウ</t>
    </rPh>
    <rPh sb="17" eb="19">
      <t>ヒョウジ</t>
    </rPh>
    <phoneticPr fontId="28"/>
  </si>
  <si>
    <t>件数が1/30 - 10/30 で表示されていること</t>
    <rPh sb="0" eb="2">
      <t>ケンスウ</t>
    </rPh>
    <rPh sb="17" eb="19">
      <t>ヒョウジ</t>
    </rPh>
    <phoneticPr fontId="28"/>
  </si>
  <si>
    <t>件数が11/30 - 20/30 で表示されていること</t>
    <rPh sb="0" eb="2">
      <t>ケンスウ</t>
    </rPh>
    <rPh sb="18" eb="20">
      <t>ヒョウジ</t>
    </rPh>
    <phoneticPr fontId="28"/>
  </si>
  <si>
    <t>件数が21/30 - 30/30 で表示されていること</t>
    <rPh sb="0" eb="2">
      <t>ケンスウ</t>
    </rPh>
    <rPh sb="18" eb="20">
      <t>ヒョウジ</t>
    </rPh>
    <phoneticPr fontId="28"/>
  </si>
  <si>
    <t>クリック</t>
    <phoneticPr fontId="47"/>
  </si>
  <si>
    <t>query</t>
    <phoneticPr fontId="28"/>
  </si>
  <si>
    <t>-</t>
    <phoneticPr fontId="28"/>
  </si>
  <si>
    <t>-</t>
    <phoneticPr fontId="28"/>
  </si>
  <si>
    <t>禁則文字チェック</t>
    <rPh sb="0" eb="2">
      <t>キンソク</t>
    </rPh>
    <rPh sb="2" eb="4">
      <t>モジ</t>
    </rPh>
    <phoneticPr fontId="28"/>
  </si>
  <si>
    <t>クリック(チェック1件)</t>
    <rPh sb="10" eb="11">
      <t>ケン</t>
    </rPh>
    <phoneticPr fontId="28"/>
  </si>
  <si>
    <t>画面項目名</t>
    <rPh sb="0" eb="2">
      <t>ガメン</t>
    </rPh>
    <rPh sb="2" eb="4">
      <t>コウモク</t>
    </rPh>
    <rPh sb="4" eb="5">
      <t>メイ</t>
    </rPh>
    <phoneticPr fontId="28"/>
  </si>
  <si>
    <t>条件の選択</t>
  </si>
  <si>
    <t>検索条件</t>
  </si>
  <si>
    <t>検索</t>
  </si>
  <si>
    <t>ページ選択（前ページ・次ページ）</t>
  </si>
  <si>
    <t>ページ選択（ページ番号）</t>
  </si>
  <si>
    <t>レイアウト編集</t>
  </si>
  <si>
    <t>車両一覧</t>
  </si>
  <si>
    <t>確定</t>
  </si>
  <si>
    <t>権限</t>
    <rPh sb="0" eb="2">
      <t>ケンゲン</t>
    </rPh>
    <phoneticPr fontId="28"/>
  </si>
  <si>
    <t>SMS権限あり</t>
    <rPh sb="3" eb="5">
      <t>ケンゲン</t>
    </rPh>
    <phoneticPr fontId="28"/>
  </si>
  <si>
    <t>SMS権限なし</t>
    <rPh sb="3" eb="5">
      <t>ケンゲン</t>
    </rPh>
    <phoneticPr fontId="28"/>
  </si>
  <si>
    <t>AO</t>
    <phoneticPr fontId="28"/>
  </si>
  <si>
    <t>代理店</t>
    <rPh sb="0" eb="3">
      <t>ダイリテン</t>
    </rPh>
    <phoneticPr fontId="28"/>
  </si>
  <si>
    <t>広域顧客</t>
    <rPh sb="0" eb="2">
      <t>コウイキ</t>
    </rPh>
    <rPh sb="2" eb="4">
      <t>コキャク</t>
    </rPh>
    <phoneticPr fontId="28"/>
  </si>
  <si>
    <t>○</t>
  </si>
  <si>
    <t>×</t>
  </si>
  <si>
    <t>権限</t>
    <rPh sb="0" eb="2">
      <t>ケンゲン</t>
    </rPh>
    <phoneticPr fontId="47"/>
  </si>
  <si>
    <t>ページ数が「/ - /」になっていること</t>
    <rPh sb="3" eb="4">
      <t>スウ</t>
    </rPh>
    <phoneticPr fontId="28"/>
  </si>
  <si>
    <t>データテーブルのヘッダが表示されていないこと</t>
    <rPh sb="12" eb="14">
      <t>ヒョウジ</t>
    </rPh>
    <phoneticPr fontId="28"/>
  </si>
  <si>
    <t>　条件選択を選択</t>
    <rPh sb="6" eb="8">
      <t>センタク</t>
    </rPh>
    <phoneticPr fontId="28"/>
  </si>
  <si>
    <t>処理結果</t>
    <rPh sb="0" eb="2">
      <t>ショリ</t>
    </rPh>
    <rPh sb="2" eb="4">
      <t>ケッカ</t>
    </rPh>
    <phoneticPr fontId="28"/>
  </si>
  <si>
    <t>車両一覧にAPIで取得したデータが表示されていること</t>
    <rPh sb="0" eb="2">
      <t>シャリョウ</t>
    </rPh>
    <rPh sb="2" eb="4">
      <t>イチラン</t>
    </rPh>
    <rPh sb="9" eb="11">
      <t>シュトク</t>
    </rPh>
    <rPh sb="17" eb="19">
      <t>ヒョウジ</t>
    </rPh>
    <phoneticPr fontId="28"/>
  </si>
  <si>
    <t>表示</t>
    <rPh sb="0" eb="2">
      <t>ヒョウジ</t>
    </rPh>
    <phoneticPr fontId="28"/>
  </si>
  <si>
    <t>　プルダウンリスト</t>
    <phoneticPr fontId="47"/>
  </si>
  <si>
    <t>APIで取得した値が表示されること</t>
    <rPh sb="4" eb="6">
      <t>シュトク</t>
    </rPh>
    <rPh sb="8" eb="9">
      <t>アタイ</t>
    </rPh>
    <rPh sb="10" eb="12">
      <t>ヒョウジ</t>
    </rPh>
    <phoneticPr fontId="28"/>
  </si>
  <si>
    <t>設定値</t>
    <rPh sb="0" eb="3">
      <t>セッテイチ</t>
    </rPh>
    <phoneticPr fontId="28"/>
  </si>
  <si>
    <t>　　担当DB</t>
    <rPh sb="2" eb="4">
      <t>タントウ</t>
    </rPh>
    <phoneticPr fontId="28"/>
  </si>
  <si>
    <t>担当組織コードと一致する担当DBが表示されること</t>
    <rPh sb="0" eb="2">
      <t>タントウ</t>
    </rPh>
    <rPh sb="2" eb="4">
      <t>ソシキ</t>
    </rPh>
    <rPh sb="8" eb="10">
      <t>イッチ</t>
    </rPh>
    <rPh sb="12" eb="14">
      <t>タントウ</t>
    </rPh>
    <rPh sb="17" eb="19">
      <t>ヒョウジ</t>
    </rPh>
    <phoneticPr fontId="28"/>
  </si>
  <si>
    <t>　　担当DB組織ｺｰﾄﾞ</t>
    <phoneticPr fontId="28"/>
  </si>
  <si>
    <t>　　担当DB組織コード</t>
    <phoneticPr fontId="47"/>
  </si>
  <si>
    <t>　　担当DB</t>
    <phoneticPr fontId="47"/>
  </si>
  <si>
    <t>サービスDB組織コード</t>
    <phoneticPr fontId="47"/>
  </si>
  <si>
    <t>サービスDB組織コード</t>
    <phoneticPr fontId="28"/>
  </si>
  <si>
    <t>車両一覧取得APIで取得した一覧のヘッダ情報が表示されていること</t>
    <rPh sb="0" eb="2">
      <t>シャリョウ</t>
    </rPh>
    <rPh sb="2" eb="4">
      <t>イチラン</t>
    </rPh>
    <rPh sb="4" eb="6">
      <t>シュトク</t>
    </rPh>
    <rPh sb="10" eb="12">
      <t>シュトク</t>
    </rPh>
    <rPh sb="14" eb="16">
      <t>イチラン</t>
    </rPh>
    <rPh sb="20" eb="22">
      <t>ジョウホウ</t>
    </rPh>
    <rPh sb="23" eb="25">
      <t>ヒョウジ</t>
    </rPh>
    <phoneticPr fontId="47"/>
  </si>
  <si>
    <t>　正常確認：検索結果：10件</t>
    <phoneticPr fontId="47"/>
  </si>
  <si>
    <t>件数が1/10 - 10/10 で表示されていること</t>
    <rPh sb="0" eb="2">
      <t>ケンスウ</t>
    </rPh>
    <rPh sb="17" eb="19">
      <t>ヒョウジ</t>
    </rPh>
    <phoneticPr fontId="28"/>
  </si>
  <si>
    <t>車両一覧取得API
呼び出し</t>
    <rPh sb="10" eb="11">
      <t>ヨ</t>
    </rPh>
    <rPh sb="12" eb="13">
      <t>ダ</t>
    </rPh>
    <phoneticPr fontId="28"/>
  </si>
  <si>
    <t>昇順</t>
    <rPh sb="0" eb="2">
      <t>ショウジュン</t>
    </rPh>
    <phoneticPr fontId="28"/>
  </si>
  <si>
    <t>降順</t>
    <rPh sb="0" eb="2">
      <t>コウジュン</t>
    </rPh>
    <phoneticPr fontId="28"/>
  </si>
  <si>
    <t>クリック時の処理</t>
    <rPh sb="4" eb="5">
      <t>ジ</t>
    </rPh>
    <rPh sb="6" eb="8">
      <t>ショリ</t>
    </rPh>
    <phoneticPr fontId="28"/>
  </si>
  <si>
    <t>各ヘッダ項目
　クリック</t>
    <rPh sb="0" eb="1">
      <t>カク</t>
    </rPh>
    <rPh sb="4" eb="6">
      <t>コウモク</t>
    </rPh>
    <phoneticPr fontId="47"/>
  </si>
  <si>
    <t>ﾌﾟﾛﾌｧｲﾙ件数</t>
  </si>
  <si>
    <t>担当DB(英語)</t>
  </si>
  <si>
    <t>ｻｰﾋﾞｽDB(英語)</t>
  </si>
  <si>
    <t>顧客名称</t>
  </si>
  <si>
    <t>顧客名称(英語)</t>
  </si>
  <si>
    <t>備考5</t>
  </si>
  <si>
    <t>SMR</t>
  </si>
  <si>
    <t>最新通信時刻</t>
  </si>
  <si>
    <t>顧客車輛番号</t>
  </si>
  <si>
    <t>資産状態</t>
  </si>
  <si>
    <t>資産所有者</t>
  </si>
  <si>
    <t>場所</t>
  </si>
  <si>
    <t>測位時刻</t>
  </si>
  <si>
    <t>※△</t>
  </si>
  <si>
    <t>レイアウト編集ボタン</t>
    <rPh sb="5" eb="7">
      <t>ヘンシュウ</t>
    </rPh>
    <phoneticPr fontId="47"/>
  </si>
  <si>
    <t>表示されないこと</t>
    <rPh sb="0" eb="2">
      <t>ヒョウジ</t>
    </rPh>
    <phoneticPr fontId="28"/>
  </si>
  <si>
    <t>レイアウト編集画面</t>
    <rPh sb="5" eb="7">
      <t>ヘンシュウ</t>
    </rPh>
    <rPh sb="7" eb="9">
      <t>ガメン</t>
    </rPh>
    <phoneticPr fontId="28"/>
  </si>
  <si>
    <t>レイアウト編集画面が表示されること
表示後のテストは大項目5でテストを実施する</t>
    <rPh sb="5" eb="7">
      <t>ヘンシュウ</t>
    </rPh>
    <rPh sb="7" eb="9">
      <t>ガメン</t>
    </rPh>
    <rPh sb="10" eb="12">
      <t>ヒョウジ</t>
    </rPh>
    <rPh sb="19" eb="21">
      <t>ヒョウジ</t>
    </rPh>
    <rPh sb="21" eb="22">
      <t>ゴ</t>
    </rPh>
    <phoneticPr fontId="28"/>
  </si>
  <si>
    <t>別シート"リクエストパラメータチェックシート：指定項目取得API "参照</t>
    <rPh sb="0" eb="1">
      <t>ベツ</t>
    </rPh>
    <rPh sb="34" eb="36">
      <t>サンショウ</t>
    </rPh>
    <phoneticPr fontId="47"/>
  </si>
  <si>
    <t>指定項目取得API 　（get: /applications/fields）</t>
    <phoneticPr fontId="28"/>
  </si>
  <si>
    <t>function_code</t>
    <phoneticPr fontId="28"/>
  </si>
  <si>
    <t>field_set_no</t>
    <phoneticPr fontId="28"/>
  </si>
  <si>
    <t>機能コード</t>
    <phoneticPr fontId="28"/>
  </si>
  <si>
    <t>指定セットNo</t>
    <phoneticPr fontId="28"/>
  </si>
  <si>
    <t>例　　　　　：carlist_download</t>
    <phoneticPr fontId="28"/>
  </si>
  <si>
    <t>省略時は全セット取得する</t>
    <phoneticPr fontId="28"/>
  </si>
  <si>
    <t>画面項目制御</t>
    <rPh sb="0" eb="2">
      <t>ガメン</t>
    </rPh>
    <rPh sb="2" eb="4">
      <t>コウモク</t>
    </rPh>
    <rPh sb="4" eb="6">
      <t>セイギョ</t>
    </rPh>
    <phoneticPr fontId="28"/>
  </si>
  <si>
    <t>全選択</t>
    <rPh sb="0" eb="1">
      <t>ゼン</t>
    </rPh>
    <rPh sb="1" eb="3">
      <t>センタク</t>
    </rPh>
    <phoneticPr fontId="28"/>
  </si>
  <si>
    <t>クリック</t>
    <phoneticPr fontId="28"/>
  </si>
  <si>
    <t>全クリア</t>
    <rPh sb="0" eb="1">
      <t>ゼン</t>
    </rPh>
    <phoneticPr fontId="28"/>
  </si>
  <si>
    <t>全ての項目にチェックがONになること</t>
    <rPh sb="0" eb="1">
      <t>スベ</t>
    </rPh>
    <rPh sb="3" eb="5">
      <t>コウモク</t>
    </rPh>
    <phoneticPr fontId="28"/>
  </si>
  <si>
    <t>全ての項目にチェックがOFFになること</t>
    <rPh sb="0" eb="1">
      <t>スベ</t>
    </rPh>
    <rPh sb="3" eb="5">
      <t>コウモク</t>
    </rPh>
    <phoneticPr fontId="28"/>
  </si>
  <si>
    <t>別シート"リクエストパラメータチェックシート：指定項目更新API "参照</t>
    <rPh sb="0" eb="1">
      <t>ベツ</t>
    </rPh>
    <rPh sb="27" eb="29">
      <t>コウシン</t>
    </rPh>
    <rPh sb="34" eb="36">
      <t>サンショウ</t>
    </rPh>
    <phoneticPr fontId="47"/>
  </si>
  <si>
    <t>指定項目更新API 　（put: /applications/fields）</t>
    <rPh sb="4" eb="6">
      <t>コウシン</t>
    </rPh>
    <phoneticPr fontId="28"/>
  </si>
  <si>
    <t>body</t>
    <phoneticPr fontId="28"/>
  </si>
  <si>
    <t>field_set</t>
    <phoneticPr fontId="28"/>
  </si>
  <si>
    <t>指定セット</t>
    <phoneticPr fontId="28"/>
  </si>
  <si>
    <t>指定セットNo</t>
    <phoneticPr fontId="28"/>
  </si>
  <si>
    <t>　field_items</t>
    <phoneticPr fontId="28"/>
  </si>
  <si>
    <t>　　path</t>
    <phoneticPr fontId="28"/>
  </si>
  <si>
    <t>　　display_sequence_no</t>
    <phoneticPr fontId="28"/>
  </si>
  <si>
    <t>表示順序</t>
    <phoneticPr fontId="28"/>
  </si>
  <si>
    <t>指定項目パス</t>
    <phoneticPr fontId="28"/>
  </si>
  <si>
    <t>指定項目</t>
    <phoneticPr fontId="28"/>
  </si>
  <si>
    <t>画面のレイアウト崩れがないこと</t>
    <rPh sb="0" eb="2">
      <t>ガメン</t>
    </rPh>
    <rPh sb="8" eb="9">
      <t>クズ</t>
    </rPh>
    <phoneticPr fontId="47"/>
  </si>
  <si>
    <t>車両</t>
    <rPh sb="0" eb="2">
      <t>シャリョウ</t>
    </rPh>
    <phoneticPr fontId="28"/>
  </si>
  <si>
    <t>レイアウト編集画面 OKボタン正常終了後</t>
    <rPh sb="5" eb="7">
      <t>ヘンシュウ</t>
    </rPh>
    <rPh sb="7" eb="9">
      <t>ガメン</t>
    </rPh>
    <rPh sb="15" eb="17">
      <t>セイジョウ</t>
    </rPh>
    <rPh sb="17" eb="19">
      <t>シュウリョウ</t>
    </rPh>
    <rPh sb="19" eb="20">
      <t>ゴ</t>
    </rPh>
    <phoneticPr fontId="28"/>
  </si>
  <si>
    <t>1ページになっていること</t>
    <phoneticPr fontId="28"/>
  </si>
  <si>
    <t>車両一覧ヘッダ</t>
    <rPh sb="0" eb="2">
      <t>シャリョウ</t>
    </rPh>
    <rPh sb="2" eb="4">
      <t>イチラン</t>
    </rPh>
    <phoneticPr fontId="28"/>
  </si>
  <si>
    <t>レイアウト編集画面で選択した項目が表示されていること</t>
    <rPh sb="10" eb="12">
      <t>センタク</t>
    </rPh>
    <rPh sb="14" eb="16">
      <t>コウモク</t>
    </rPh>
    <rPh sb="17" eb="19">
      <t>ヒョウジ</t>
    </rPh>
    <phoneticPr fontId="28"/>
  </si>
  <si>
    <t>リサイズ</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</si>
  <si>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</si>
  <si>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</si>
  <si>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</si>
  <si>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</si>
  <si>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別シート"リクエストパラメータチェックシート：車両一覧取得API "参照</t>
    <phoneticPr fontId="28"/>
  </si>
  <si>
    <t>-99:未指定と同等</t>
    <phoneticPr fontId="28"/>
  </si>
  <si>
    <t xml:space="preserve">-2:is null(not exists)検索/-99:未指定と同等 </t>
    <phoneticPr fontId="28"/>
  </si>
  <si>
    <t>header</t>
    <phoneticPr fontId="28"/>
  </si>
  <si>
    <t>チェック欄</t>
    <rPh sb="4" eb="5">
      <t>ラン</t>
    </rPh>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</si>
  <si>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</si>
  <si>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</si>
  <si>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</si>
  <si>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</si>
  <si>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</si>
  <si>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</si>
  <si>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</si>
  <si>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</si>
  <si>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</si>
  <si>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</si>
  <si>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</si>
  <si>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</si>
  <si>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</si>
  <si>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</si>
  <si>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</si>
  <si>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</si>
  <si>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</si>
  <si>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車種</t>
    <rPh sb="0" eb="2">
      <t>シャシュ</t>
    </rPh>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</si>
  <si>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</si>
  <si>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</si>
  <si>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</si>
  <si>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</si>
  <si>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X-Sort</t>
    <phoneticPr fontId="28"/>
  </si>
  <si>
    <t>一覧取得系APIのソートを指定</t>
    <rPh sb="0" eb="2">
      <t>イチラン</t>
    </rPh>
    <rPh sb="2" eb="4">
      <t>シュトク</t>
    </rPh>
    <rPh sb="4" eb="5">
      <t>ケイ</t>
    </rPh>
    <rPh sb="13" eb="15">
      <t>シテイ</t>
    </rPh>
    <phoneticPr fontId="28"/>
  </si>
  <si>
    <t>screen_code</t>
    <phoneticPr fontId="28"/>
  </si>
  <si>
    <t>画面コード</t>
    <phoneticPr fontId="28"/>
  </si>
  <si>
    <t>画面コード一覧参照</t>
    <rPh sb="0" eb="2">
      <t>ガメン</t>
    </rPh>
    <rPh sb="5" eb="7">
      <t>イチラン</t>
    </rPh>
    <rPh sb="7" eb="9">
      <t>サンショウ</t>
    </rPh>
    <phoneticPr fontId="28"/>
  </si>
  <si>
    <t>search_parameters</t>
    <phoneticPr fontId="28"/>
  </si>
  <si>
    <t>リソースパス</t>
    <phoneticPr fontId="28"/>
  </si>
  <si>
    <t>　kinds</t>
    <phoneticPr fontId="28"/>
  </si>
  <si>
    <t>区分</t>
    <rPh sb="0" eb="2">
      <t>クブン</t>
    </rPh>
    <phoneticPr fontId="28"/>
  </si>
  <si>
    <t>設定不要</t>
    <rPh sb="0" eb="2">
      <t>セッテイ</t>
    </rPh>
    <rPh sb="2" eb="4">
      <t>フヨウ</t>
    </rPh>
    <phoneticPr fontId="28"/>
  </si>
  <si>
    <t>　condition_sets</t>
    <phoneticPr fontId="28"/>
  </si>
  <si>
    <t>絞込条件</t>
    <rPh sb="0" eb="2">
      <t>シボリコミ</t>
    </rPh>
    <rPh sb="2" eb="4">
      <t>ジョウケン</t>
    </rPh>
    <phoneticPr fontId="28"/>
  </si>
  <si>
    <t>　　values</t>
    <phoneticPr fontId="28"/>
  </si>
  <si>
    <t>リクエストパラメータ　確認①</t>
    <rPh sb="11" eb="13">
      <t>カクニン</t>
    </rPh>
    <phoneticPr fontId="28"/>
  </si>
  <si>
    <t>リクエストパラメータ　確認②</t>
    <rPh sb="11" eb="13">
      <t>カクニン</t>
    </rPh>
    <phoneticPr fontId="28"/>
  </si>
  <si>
    <t>リクエストパラメータ　確認③</t>
    <rPh sb="11" eb="13">
      <t>カクニン</t>
    </rPh>
    <phoneticPr fontId="28"/>
  </si>
  <si>
    <t>リクエストパラメータ　確認④</t>
    <rPh sb="11" eb="13">
      <t>カクニン</t>
    </rPh>
    <phoneticPr fontId="28"/>
  </si>
  <si>
    <t>リクエストパラメータ　確認⑤</t>
    <rPh sb="11" eb="13">
      <t>カクニン</t>
    </rPh>
    <phoneticPr fontId="28"/>
  </si>
  <si>
    <t>リクエストパラメータ　確認⑥</t>
    <rPh sb="11" eb="13">
      <t>カクニン</t>
    </rPh>
    <phoneticPr fontId="28"/>
  </si>
  <si>
    <t>リクエストパラメータ　確認</t>
    <rPh sb="11" eb="13">
      <t>カクニン</t>
    </rPh>
    <phoneticPr fontId="28"/>
  </si>
  <si>
    <t>リクエストパラメータ　確認⑦</t>
    <rPh sb="11" eb="13">
      <t>カクニン</t>
    </rPh>
    <phoneticPr fontId="28"/>
  </si>
  <si>
    <t>車両一覧取得API　（post: /emn/cars/search）</t>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</si>
  <si>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</si>
  <si>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①</t>
    <phoneticPr fontId="28"/>
  </si>
  <si>
    <t>③</t>
    <phoneticPr fontId="28"/>
  </si>
  <si>
    <t>②</t>
    <phoneticPr fontId="28"/>
  </si>
  <si>
    <t>①</t>
    <phoneticPr fontId="28"/>
  </si>
  <si>
    <t>④</t>
    <phoneticPr fontId="28"/>
  </si>
  <si>
    <t>⑤</t>
    <phoneticPr fontId="28"/>
  </si>
  <si>
    <t>⑥</t>
    <phoneticPr fontId="28"/>
  </si>
  <si>
    <t>⑦</t>
    <phoneticPr fontId="28"/>
  </si>
  <si>
    <t>②</t>
    <phoneticPr fontId="28"/>
  </si>
  <si>
    <t>③</t>
    <phoneticPr fontId="28"/>
  </si>
  <si>
    <t>④</t>
    <phoneticPr fontId="28"/>
  </si>
  <si>
    <t>⑤</t>
    <phoneticPr fontId="28"/>
  </si>
  <si>
    <t>⑦</t>
    <phoneticPr fontId="28"/>
  </si>
  <si>
    <t>車両画面が起動すること</t>
    <rPh sb="0" eb="2">
      <t>シャリョウ</t>
    </rPh>
    <rPh sb="2" eb="4">
      <t>ガメン</t>
    </rPh>
    <rPh sb="5" eb="7">
      <t>キドウ</t>
    </rPh>
    <phoneticPr fontId="47"/>
  </si>
  <si>
    <t>１.メインメニュー［プロファイル］項目より［フリータイミング］をクリック
２．[車両]タブをクリックする</t>
    <rPh sb="17" eb="19">
      <t>コウモク</t>
    </rPh>
    <rPh sb="41" eb="43">
      <t>シャリョウ</t>
    </rPh>
    <phoneticPr fontId="28"/>
  </si>
  <si>
    <t>戻るボタンクリック時</t>
    <rPh sb="0" eb="1">
      <t>モド</t>
    </rPh>
    <rPh sb="9" eb="10">
      <t>ジ</t>
    </rPh>
    <phoneticPr fontId="28"/>
  </si>
  <si>
    <t>F5ボタンクリック時</t>
    <rPh sb="9" eb="10">
      <t>ジ</t>
    </rPh>
    <phoneticPr fontId="47"/>
  </si>
  <si>
    <t>禁則文字で検索した場合、エラーになること
※禁則文字："#%&amp;'&lt;&gt;、前方スペース、後方スペース</t>
    <rPh sb="22" eb="24">
      <t>キンソク</t>
    </rPh>
    <rPh sb="24" eb="26">
      <t>モジ</t>
    </rPh>
    <rPh sb="35" eb="37">
      <t>ゼンポウ</t>
    </rPh>
    <rPh sb="42" eb="44">
      <t>コウホウ</t>
    </rPh>
    <phoneticPr fontId="28"/>
  </si>
  <si>
    <t>担当DB画面</t>
  </si>
  <si>
    <t>担当DB画面</t>
    <rPh sb="0" eb="2">
      <t>タントウ</t>
    </rPh>
    <rPh sb="4" eb="6">
      <t>ガメン</t>
    </rPh>
    <phoneticPr fontId="28"/>
  </si>
  <si>
    <t>担当DB画面の表示前と値が変更されていないこと</t>
    <rPh sb="7" eb="9">
      <t>ヒョウジ</t>
    </rPh>
    <rPh sb="9" eb="10">
      <t>マエ</t>
    </rPh>
    <rPh sb="11" eb="12">
      <t>アタイ</t>
    </rPh>
    <rPh sb="13" eb="15">
      <t>ヘンコウ</t>
    </rPh>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</si>
  <si>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</si>
  <si>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</si>
  <si>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</si>
  <si>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顧客画面</t>
  </si>
  <si>
    <t>顧客画面</t>
    <phoneticPr fontId="28"/>
  </si>
  <si>
    <t>　車両画面</t>
    <phoneticPr fontId="28"/>
  </si>
  <si>
    <t>　車両画面</t>
    <phoneticPr fontId="28"/>
  </si>
  <si>
    <t>１．［車両］画面の［担当DB］リンククリック</t>
    <rPh sb="3" eb="5">
      <t>シャリョウ</t>
    </rPh>
    <rPh sb="6" eb="8">
      <t>ガメン</t>
    </rPh>
    <rPh sb="10" eb="12">
      <t>タントウ</t>
    </rPh>
    <phoneticPr fontId="28"/>
  </si>
  <si>
    <t>１．［車両］画面の［顧客］リンククリック</t>
    <rPh sb="3" eb="5">
      <t>シャリョウ</t>
    </rPh>
    <rPh sb="6" eb="8">
      <t>ガメン</t>
    </rPh>
    <rPh sb="10" eb="12">
      <t>コキャク</t>
    </rPh>
    <phoneticPr fontId="28"/>
  </si>
  <si>
    <t>担当DBラベル</t>
    <phoneticPr fontId="28"/>
  </si>
  <si>
    <t>サブグループ画面</t>
  </si>
  <si>
    <t>サブグループ画面</t>
    <phoneticPr fontId="28"/>
  </si>
  <si>
    <t>サブグループ画面で選択したデータがセットされていること</t>
    <rPh sb="9" eb="11">
      <t>センタク</t>
    </rPh>
    <phoneticPr fontId="28"/>
  </si>
  <si>
    <t>サブグループ画面の表示前と値が変更されていないこと</t>
    <rPh sb="9" eb="11">
      <t>ヒョウジ</t>
    </rPh>
    <rPh sb="11" eb="12">
      <t>マエ</t>
    </rPh>
    <rPh sb="13" eb="14">
      <t>アタイ</t>
    </rPh>
    <rPh sb="15" eb="17">
      <t>ヘンコウ</t>
    </rPh>
    <phoneticPr fontId="28"/>
  </si>
  <si>
    <t>大項目5</t>
    <rPh sb="0" eb="3">
      <t>ダイコウモク</t>
    </rPh>
    <phoneticPr fontId="28"/>
  </si>
  <si>
    <t>　　正常確認
　　顧客</t>
    <rPh sb="2" eb="4">
      <t>セイジョウ</t>
    </rPh>
    <rPh sb="4" eb="6">
      <t>カクニン</t>
    </rPh>
    <phoneticPr fontId="28"/>
  </si>
  <si>
    <t>　　顧客組織コード</t>
    <rPh sb="2" eb="4">
      <t>コキャク</t>
    </rPh>
    <rPh sb="4" eb="6">
      <t>ソシキ</t>
    </rPh>
    <phoneticPr fontId="28"/>
  </si>
  <si>
    <t>　　サブグループ</t>
  </si>
  <si>
    <t>　　担当DB画面でデータ選択後</t>
    <rPh sb="12" eb="14">
      <t>センタク</t>
    </rPh>
    <rPh sb="14" eb="15">
      <t>ゴ</t>
    </rPh>
    <phoneticPr fontId="28"/>
  </si>
  <si>
    <t>　　プルダウンで[複数選択]選択時 →
　　[複数選択]以外を選択</t>
    <rPh sb="14" eb="16">
      <t>センタク</t>
    </rPh>
    <rPh sb="16" eb="17">
      <t>ジ</t>
    </rPh>
    <rPh sb="23" eb="25">
      <t>フクスウ</t>
    </rPh>
    <rPh sb="25" eb="27">
      <t>センタク</t>
    </rPh>
    <rPh sb="28" eb="30">
      <t>イガイ</t>
    </rPh>
    <rPh sb="31" eb="33">
      <t>センタク</t>
    </rPh>
    <phoneticPr fontId="47"/>
  </si>
  <si>
    <t>　　リンククリック</t>
    <phoneticPr fontId="47"/>
  </si>
  <si>
    <t>　　顧客画面でデータ選択後</t>
    <rPh sb="10" eb="12">
      <t>センタク</t>
    </rPh>
    <rPh sb="12" eb="13">
      <t>ゴ</t>
    </rPh>
    <phoneticPr fontId="28"/>
  </si>
  <si>
    <t>　　サブグループ画面でデータ選択後</t>
    <rPh sb="14" eb="16">
      <t>センタク</t>
    </rPh>
    <rPh sb="16" eb="17">
      <t>ゴ</t>
    </rPh>
    <phoneticPr fontId="28"/>
  </si>
  <si>
    <t>　　正常確認</t>
    <rPh sb="2" eb="4">
      <t>セイジョウ</t>
    </rPh>
    <rPh sb="4" eb="6">
      <t>カクニン</t>
    </rPh>
    <phoneticPr fontId="28"/>
  </si>
  <si>
    <t>　　車両画面</t>
    <phoneticPr fontId="28"/>
  </si>
  <si>
    <t>　　車両画面</t>
    <phoneticPr fontId="28"/>
  </si>
  <si>
    <t>　　車両画面</t>
    <phoneticPr fontId="28"/>
  </si>
  <si>
    <t>メーカID</t>
    <phoneticPr fontId="28"/>
  </si>
  <si>
    <t>組織コード</t>
    <phoneticPr fontId="28"/>
  </si>
  <si>
    <t>型式(小変形含む)</t>
    <phoneticPr fontId="28"/>
  </si>
  <si>
    <t>-19：サービス責任車両/-3：サービス代理店契約あり/-4：サービス代理店契約なし/-99:未指定と同等</t>
    <phoneticPr fontId="28"/>
  </si>
  <si>
    <t>顧客車両属性</t>
    <phoneticPr fontId="28"/>
  </si>
  <si>
    <t>顧客車両番号</t>
    <phoneticPr fontId="28"/>
  </si>
  <si>
    <t>Enum:[ 1:債権あり, 2:債権なし, -99:未指定と同等 ]</t>
    <phoneticPr fontId="28"/>
  </si>
  <si>
    <t>備考１</t>
    <phoneticPr fontId="28"/>
  </si>
  <si>
    <t>通信日(To)</t>
    <phoneticPr fontId="28"/>
  </si>
  <si>
    <t>画面項目制御
　　条件の選択</t>
    <rPh sb="0" eb="2">
      <t>ガメン</t>
    </rPh>
    <rPh sb="2" eb="4">
      <t>コウモク</t>
    </rPh>
    <rPh sb="4" eb="6">
      <t>セイギョ</t>
    </rPh>
    <phoneticPr fontId="47"/>
  </si>
  <si>
    <t>条件選択が選択されていること</t>
    <rPh sb="0" eb="2">
      <t>ジョウケン</t>
    </rPh>
    <rPh sb="2" eb="4">
      <t>センタク</t>
    </rPh>
    <rPh sb="5" eb="7">
      <t>センタク</t>
    </rPh>
    <phoneticPr fontId="28"/>
  </si>
  <si>
    <t>　個別選択を選択</t>
    <rPh sb="6" eb="8">
      <t>センタク</t>
    </rPh>
    <phoneticPr fontId="28"/>
  </si>
  <si>
    <t>プルダウン選択</t>
    <rPh sb="5" eb="7">
      <t>センタク</t>
    </rPh>
    <phoneticPr fontId="47"/>
  </si>
  <si>
    <t>プルダウン選択</t>
    <phoneticPr fontId="47"/>
  </si>
  <si>
    <t>リンククリック</t>
    <phoneticPr fontId="47"/>
  </si>
  <si>
    <t>リンククリック</t>
    <phoneticPr fontId="47"/>
  </si>
  <si>
    <t>制御</t>
    <rPh sb="0" eb="2">
      <t>セイギョ</t>
    </rPh>
    <phoneticPr fontId="47"/>
  </si>
  <si>
    <t>クリック</t>
    <phoneticPr fontId="47"/>
  </si>
  <si>
    <t>3ページ選択</t>
    <rPh sb="4" eb="6">
      <t>センタク</t>
    </rPh>
    <phoneticPr fontId="47"/>
  </si>
  <si>
    <t>　no</t>
    <phoneticPr fontId="28"/>
  </si>
  <si>
    <t>確認画面に遷移すること</t>
    <rPh sb="0" eb="2">
      <t>カクニン</t>
    </rPh>
    <rPh sb="2" eb="4">
      <t>ガメン</t>
    </rPh>
    <rPh sb="5" eb="7">
      <t>センイ</t>
    </rPh>
    <phoneticPr fontId="28"/>
  </si>
  <si>
    <t>クリック</t>
    <phoneticPr fontId="47"/>
  </si>
  <si>
    <t>メッセージ画面に遷移すること</t>
    <rPh sb="5" eb="7">
      <t>ガメン</t>
    </rPh>
    <rPh sb="8" eb="10">
      <t>センイ</t>
    </rPh>
    <phoneticPr fontId="28"/>
  </si>
  <si>
    <t>メール受信者画面に遷移すること</t>
    <rPh sb="6" eb="8">
      <t>ガメン</t>
    </rPh>
    <rPh sb="9" eb="11">
      <t>センイ</t>
    </rPh>
    <phoneticPr fontId="28"/>
  </si>
  <si>
    <t>SMS受信者画面に遷移すること</t>
    <rPh sb="3" eb="6">
      <t>ジュシンシャ</t>
    </rPh>
    <rPh sb="6" eb="8">
      <t>ガメン</t>
    </rPh>
    <rPh sb="9" eb="11">
      <t>センイ</t>
    </rPh>
    <phoneticPr fontId="28"/>
  </si>
  <si>
    <t>クリック</t>
    <phoneticPr fontId="47"/>
  </si>
  <si>
    <t>－</t>
  </si>
  <si>
    <t>　　担当DB</t>
  </si>
  <si>
    <t>　　顧客組織ｺｰﾄﾞ</t>
  </si>
  <si>
    <t>　　業種</t>
  </si>
  <si>
    <t>　　銀行</t>
  </si>
  <si>
    <t>　　債権</t>
  </si>
  <si>
    <t>　　車両種類</t>
  </si>
  <si>
    <t>　　ﾒｰｶ</t>
  </si>
  <si>
    <t>　　機種</t>
  </si>
  <si>
    <t>　　型式</t>
  </si>
  <si>
    <t>　　機番</t>
  </si>
  <si>
    <t>　　顧客管理番号</t>
  </si>
  <si>
    <t>　　顧客車両番号</t>
  </si>
  <si>
    <t>　　備考1</t>
  </si>
  <si>
    <t>　　備考2</t>
  </si>
  <si>
    <t>　　備考3</t>
  </si>
  <si>
    <t>　　備考4</t>
  </si>
  <si>
    <t>　　備考5</t>
  </si>
  <si>
    <t>　　分類1</t>
  </si>
  <si>
    <t>　　分類2</t>
  </si>
  <si>
    <t>　　分類3</t>
  </si>
  <si>
    <t>　　分類4</t>
  </si>
  <si>
    <t>　　分類5</t>
  </si>
  <si>
    <t>　　資産状態(含む)</t>
  </si>
  <si>
    <t>　　資産所有者(含む)</t>
  </si>
  <si>
    <t>　　サブグループ(テキスト)</t>
  </si>
  <si>
    <t>　　新車/中古車</t>
  </si>
  <si>
    <t>　　情報化施工</t>
  </si>
  <si>
    <t>　　ｺﾏﾂｵｰﾙｻﾎﾟｰﾄ</t>
  </si>
  <si>
    <t>　　広域顧客</t>
  </si>
  <si>
    <t>　　KBS車輛</t>
  </si>
  <si>
    <t>　　オペ名</t>
  </si>
  <si>
    <t>　　保守責任者</t>
  </si>
  <si>
    <t>　　現在地(テキスト)</t>
  </si>
  <si>
    <t>　　現在地(プルダウン)</t>
  </si>
  <si>
    <t>　　「前ページ」ボタン</t>
  </si>
  <si>
    <t>　　「次ページ」ボタン</t>
  </si>
  <si>
    <t>　　「ページ選択」</t>
  </si>
  <si>
    <t>　　「ページ選択」ボタン</t>
  </si>
  <si>
    <t>　　ページ番号</t>
  </si>
  <si>
    <t>　　検索ボタン</t>
  </si>
  <si>
    <t>　　レイアウト編集ボタン</t>
  </si>
  <si>
    <t>　　確定ボタン</t>
  </si>
  <si>
    <t>　　メッセージタブ</t>
  </si>
  <si>
    <t>　　メール受信者タブ</t>
  </si>
  <si>
    <t>　　SMS受信者タブ</t>
  </si>
  <si>
    <t>未実施</t>
    <rPh sb="0" eb="3">
      <t>ミジッシ</t>
    </rPh>
    <phoneticPr fontId="28"/>
  </si>
  <si>
    <t>エビデンス</t>
    <phoneticPr fontId="28"/>
  </si>
  <si>
    <t>　　注目車両グループ</t>
    <phoneticPr fontId="28"/>
  </si>
  <si>
    <t>　　現場名</t>
    <phoneticPr fontId="28"/>
  </si>
  <si>
    <t>エビデンス</t>
    <phoneticPr fontId="28"/>
  </si>
  <si>
    <t>担当DB画面で選択した担当DB名が表示されていること</t>
    <rPh sb="7" eb="9">
      <t>センタク</t>
    </rPh>
    <rPh sb="11" eb="13">
      <t>タントウ</t>
    </rPh>
    <rPh sb="15" eb="16">
      <t>メイ</t>
    </rPh>
    <rPh sb="17" eb="19">
      <t>ヒョウジ</t>
    </rPh>
    <phoneticPr fontId="28"/>
  </si>
  <si>
    <t>X-GroupId</t>
  </si>
  <si>
    <t>X-CarDivision</t>
  </si>
  <si>
    <t>サブグループ取得API(get: /groups/sub_groups)</t>
    <phoneticPr fontId="28"/>
  </si>
  <si>
    <t>sub_group_label</t>
    <phoneticPr fontId="28"/>
  </si>
  <si>
    <t>phone_no</t>
    <phoneticPr fontId="28"/>
  </si>
  <si>
    <t>サブグループ名称</t>
    <phoneticPr fontId="28"/>
  </si>
  <si>
    <t>電話番号</t>
    <phoneticPr fontId="28"/>
  </si>
  <si>
    <t>ワイルドカード使用可能
サブグループ名称とサブグループ名称(英語)の両方に対して検索を行う。
未指定時は検索条件に含めない</t>
    <rPh sb="7" eb="9">
      <t>シヨウ</t>
    </rPh>
    <rPh sb="9" eb="11">
      <t>カノウ</t>
    </rPh>
    <rPh sb="18" eb="20">
      <t>メイショウ</t>
    </rPh>
    <rPh sb="27" eb="29">
      <t>メイショウ</t>
    </rPh>
    <rPh sb="30" eb="32">
      <t>エイゴ</t>
    </rPh>
    <rPh sb="34" eb="36">
      <t>リョウホウ</t>
    </rPh>
    <rPh sb="37" eb="38">
      <t>タイ</t>
    </rPh>
    <rPh sb="40" eb="42">
      <t>ケンサク</t>
    </rPh>
    <rPh sb="43" eb="44">
      <t>オコナ</t>
    </rPh>
    <rPh sb="47" eb="50">
      <t>ミシテイ</t>
    </rPh>
    <rPh sb="50" eb="51">
      <t>ジ</t>
    </rPh>
    <rPh sb="52" eb="54">
      <t>ケンサク</t>
    </rPh>
    <rPh sb="54" eb="56">
      <t>ジョウケン</t>
    </rPh>
    <rPh sb="57" eb="58">
      <t>フク</t>
    </rPh>
    <phoneticPr fontId="28"/>
  </si>
  <si>
    <t>ワイルドカード使用可能
未指定時は検索条件に含めない</t>
    <rPh sb="7" eb="9">
      <t>シヨウ</t>
    </rPh>
    <rPh sb="9" eb="11">
      <t>カノウ</t>
    </rPh>
    <rPh sb="12" eb="15">
      <t>ミシテイ</t>
    </rPh>
    <rPh sb="15" eb="16">
      <t>ジ</t>
    </rPh>
    <rPh sb="17" eb="19">
      <t>ケンサク</t>
    </rPh>
    <rPh sb="19" eb="21">
      <t>ジョウケン</t>
    </rPh>
    <rPh sb="22" eb="23">
      <t>フク</t>
    </rPh>
    <phoneticPr fontId="28"/>
  </si>
  <si>
    <t>画面項目</t>
    <rPh sb="0" eb="2">
      <t>ガメン</t>
    </rPh>
    <rPh sb="2" eb="4">
      <t>コウモク</t>
    </rPh>
    <phoneticPr fontId="28"/>
  </si>
  <si>
    <t>①</t>
    <phoneticPr fontId="28"/>
  </si>
  <si>
    <t>メーカ</t>
    <phoneticPr fontId="28"/>
  </si>
  <si>
    <t>車両種類</t>
    <phoneticPr fontId="28"/>
  </si>
  <si>
    <t>機種</t>
    <rPh sb="0" eb="2">
      <t>キシュ</t>
    </rPh>
    <phoneticPr fontId="28"/>
  </si>
  <si>
    <t>機番</t>
    <rPh sb="0" eb="2">
      <t>キバン</t>
    </rPh>
    <phoneticPr fontId="28"/>
  </si>
  <si>
    <t>機種-型式</t>
    <rPh sb="0" eb="2">
      <t>キシュ</t>
    </rPh>
    <rPh sb="3" eb="5">
      <t>カタシキ</t>
    </rPh>
    <phoneticPr fontId="28"/>
  </si>
  <si>
    <t>担当DB組織コード</t>
    <phoneticPr fontId="28"/>
  </si>
  <si>
    <t>サービスDB</t>
    <phoneticPr fontId="28"/>
  </si>
  <si>
    <t>銀行</t>
    <rPh sb="0" eb="2">
      <t>ギンコウ</t>
    </rPh>
    <phoneticPr fontId="28"/>
  </si>
  <si>
    <t>顧客組織コード</t>
    <rPh sb="0" eb="2">
      <t>コキャク</t>
    </rPh>
    <rPh sb="2" eb="4">
      <t>ソシキ</t>
    </rPh>
    <phoneticPr fontId="28"/>
  </si>
  <si>
    <t>業種</t>
    <rPh sb="0" eb="1">
      <t>ギョウシュ</t>
    </rPh>
    <phoneticPr fontId="28"/>
  </si>
  <si>
    <t>サブグループ</t>
    <phoneticPr fontId="28"/>
  </si>
  <si>
    <t>オペレータ</t>
    <phoneticPr fontId="28"/>
  </si>
  <si>
    <t>保守責任者</t>
    <phoneticPr fontId="28"/>
  </si>
  <si>
    <t>顧客管理番号</t>
    <phoneticPr fontId="28"/>
  </si>
  <si>
    <t>債権</t>
    <rPh sb="0" eb="2">
      <t>サイケン</t>
    </rPh>
    <phoneticPr fontId="28"/>
  </si>
  <si>
    <t>資産状態(含む)</t>
    <phoneticPr fontId="28"/>
  </si>
  <si>
    <t>資産所有者(含む)</t>
    <phoneticPr fontId="28"/>
  </si>
  <si>
    <t>分類1</t>
    <phoneticPr fontId="147"/>
  </si>
  <si>
    <t>分類2</t>
    <phoneticPr fontId="147"/>
  </si>
  <si>
    <t>分類3</t>
    <phoneticPr fontId="147"/>
  </si>
  <si>
    <t>分類4</t>
    <phoneticPr fontId="147"/>
  </si>
  <si>
    <t>分類5</t>
    <phoneticPr fontId="147"/>
  </si>
  <si>
    <t>現在地</t>
    <phoneticPr fontId="28"/>
  </si>
  <si>
    <t>一致しない</t>
    <phoneticPr fontId="28"/>
  </si>
  <si>
    <t>ジョブサイト（現在サイト）</t>
    <phoneticPr fontId="28"/>
  </si>
  <si>
    <t>common</t>
  </si>
  <si>
    <t>フリート共通検索条件</t>
    <phoneticPr fontId="28"/>
  </si>
  <si>
    <t>　　car_ids</t>
  </si>
  <si>
    <t>車両ID</t>
    <phoneticPr fontId="28"/>
  </si>
  <si>
    <t>　　maker_codes</t>
    <phoneticPr fontId="28"/>
  </si>
  <si>
    <t>　　division_codes</t>
  </si>
  <si>
    <t>車種ID</t>
    <phoneticPr fontId="28"/>
  </si>
  <si>
    <t>通常の車種IDまたはカスタム車種IDを指定可能 カスタム車種IDを指定する際はprefixに"C"を付与する</t>
    <phoneticPr fontId="28"/>
  </si>
  <si>
    <t>　　models</t>
  </si>
  <si>
    <t>ワイルドカード使用可能</t>
    <phoneticPr fontId="28"/>
  </si>
  <si>
    <t>　　types</t>
    <phoneticPr fontId="28"/>
  </si>
  <si>
    <t>ワイルドカード使用可能</t>
    <phoneticPr fontId="28"/>
  </si>
  <si>
    <t>　　revs</t>
  </si>
  <si>
    <t>小変形</t>
    <phoneticPr fontId="28"/>
  </si>
  <si>
    <t>　　type_revs</t>
    <phoneticPr fontId="28"/>
  </si>
  <si>
    <t>　　serials</t>
    <phoneticPr fontId="28"/>
  </si>
  <si>
    <t>機番</t>
    <phoneticPr fontId="28"/>
  </si>
  <si>
    <t xml:space="preserve">ワイルドカード使用可能/ハイフンマイナス区切り:From-To検索 </t>
    <phoneticPr fontId="28"/>
  </si>
  <si>
    <t>　　pins</t>
    <phoneticPr fontId="28"/>
  </si>
  <si>
    <t>　　model_type_revs</t>
    <phoneticPr fontId="28"/>
  </si>
  <si>
    <t>機種-型式(小変形含む)</t>
    <phoneticPr fontId="28"/>
  </si>
  <si>
    <t>機種、型式(小変形含む)をハイフンマイナス区切りで指定。ワイルドカード指定不可</t>
    <phoneticPr fontId="28"/>
  </si>
  <si>
    <t>　komtrax_unit</t>
    <phoneticPr fontId="28"/>
  </si>
  <si>
    <t>KOMTRAXユニット</t>
    <phoneticPr fontId="28"/>
  </si>
  <si>
    <t>　　terminal</t>
  </si>
  <si>
    <t>端末</t>
    <phoneticPr fontId="28"/>
  </si>
  <si>
    <t>1:KOMTRAXのみ/2:VHMSつき/-99:未指定と同等 TBD 端末種別の概要検討</t>
    <phoneticPr fontId="28"/>
  </si>
  <si>
    <t>　target_car_group</t>
    <phoneticPr fontId="28"/>
  </si>
  <si>
    <t>注目車両グループID</t>
    <phoneticPr fontId="28"/>
  </si>
  <si>
    <t xml:space="preserve"> *-99:未指定と同等 </t>
    <phoneticPr fontId="28"/>
  </si>
  <si>
    <t>　　id</t>
    <phoneticPr fontId="28"/>
  </si>
  <si>
    <t>　support_distributor</t>
    <phoneticPr fontId="28"/>
  </si>
  <si>
    <t>担当代理店</t>
    <phoneticPr fontId="28"/>
  </si>
  <si>
    <t>　　ids</t>
  </si>
  <si>
    <t>担当代理店ID</t>
    <phoneticPr fontId="28"/>
  </si>
  <si>
    <t>　　organization_codes</t>
  </si>
  <si>
    <t>組織コード</t>
    <phoneticPr fontId="28"/>
  </si>
  <si>
    <t>　service_distributor</t>
    <phoneticPr fontId="28"/>
  </si>
  <si>
    <t>サービス代理店ID</t>
    <phoneticPr fontId="28"/>
  </si>
  <si>
    <t>-99:未指定と同等</t>
    <phoneticPr fontId="28"/>
  </si>
  <si>
    <t>　bank_ids</t>
    <phoneticPr fontId="28"/>
  </si>
  <si>
    <t>銀行ID</t>
    <phoneticPr fontId="28"/>
  </si>
  <si>
    <t>*-2:値が設定されていない/-99:未指定と同等</t>
    <phoneticPr fontId="28"/>
  </si>
  <si>
    <t>　insurance_ids</t>
    <phoneticPr fontId="28"/>
  </si>
  <si>
    <t>保険ID</t>
    <phoneticPr fontId="28"/>
  </si>
  <si>
    <t>　finance_ids</t>
    <phoneticPr fontId="28"/>
  </si>
  <si>
    <t>ファイナンスID</t>
    <phoneticPr fontId="28"/>
  </si>
  <si>
    <t>　customer</t>
    <phoneticPr fontId="28"/>
  </si>
  <si>
    <t>グループID</t>
    <phoneticPr fontId="28"/>
  </si>
  <si>
    <t xml:space="preserve">-2:is null(not exists)検索/-99:未指定と同等 </t>
    <phoneticPr fontId="28"/>
  </si>
  <si>
    <t>組織コード</t>
    <phoneticPr fontId="28"/>
  </si>
  <si>
    <t>-99:未指定と同等</t>
    <phoneticPr fontId="28"/>
  </si>
  <si>
    <t>　　business_type_ids</t>
    <phoneticPr fontId="28"/>
  </si>
  <si>
    <t>業種ID</t>
    <phoneticPr fontId="28"/>
  </si>
  <si>
    <t>　user_permission</t>
    <phoneticPr fontId="28"/>
  </si>
  <si>
    <t>ユーザ車両パーミッション</t>
    <phoneticPr fontId="28"/>
  </si>
  <si>
    <t>　　sub_group_ids</t>
    <phoneticPr fontId="28"/>
  </si>
  <si>
    <t>サブグループID</t>
    <phoneticPr fontId="28"/>
  </si>
  <si>
    <t>-99:未指定と同等</t>
    <phoneticPr fontId="28"/>
  </si>
  <si>
    <t>　customer_attribute</t>
    <phoneticPr fontId="28"/>
  </si>
  <si>
    <t>　　operator_labels</t>
  </si>
  <si>
    <t>オペレータ名</t>
    <phoneticPr fontId="28"/>
  </si>
  <si>
    <t>　　mainte_in_charge</t>
  </si>
  <si>
    <t>保守責任者</t>
    <phoneticPr fontId="28"/>
  </si>
  <si>
    <t>-99:未指定と同等</t>
    <phoneticPr fontId="28"/>
  </si>
  <si>
    <t>　　customer_car_no</t>
  </si>
  <si>
    <t xml:space="preserve">ワイルドカード使用可能 </t>
    <phoneticPr fontId="28"/>
  </si>
  <si>
    <t>　　customer_management_no</t>
  </si>
  <si>
    <t>顧客管理番号</t>
    <phoneticPr fontId="28"/>
  </si>
  <si>
    <t>　distributor_attribute</t>
    <phoneticPr fontId="28"/>
  </si>
  <si>
    <t>代理店車両属性</t>
    <phoneticPr fontId="28"/>
  </si>
  <si>
    <t>　　debit_kinds</t>
  </si>
  <si>
    <t>　　elapsed_months_from</t>
  </si>
  <si>
    <t>経過月数(From)</t>
    <phoneticPr fontId="28"/>
  </si>
  <si>
    <t>　　elapsed_months_to</t>
  </si>
  <si>
    <t>経過月数(To)</t>
    <phoneticPr fontId="28"/>
  </si>
  <si>
    <t>　　new_used_kind</t>
  </si>
  <si>
    <t>新車中古車区分</t>
    <phoneticPr fontId="28"/>
  </si>
  <si>
    <t>Enum:[ 0:新車, 1:中古車, -99:未指定と同等 ]</t>
    <phoneticPr fontId="28"/>
  </si>
  <si>
    <t>　　delivery_date_from</t>
  </si>
  <si>
    <t>車両納入日(From)</t>
    <phoneticPr fontId="28"/>
  </si>
  <si>
    <t>　　delivery_date_to</t>
  </si>
  <si>
    <t>車両納入日(To)</t>
    <phoneticPr fontId="28"/>
  </si>
  <si>
    <t>　　eqp_delivery_date_from</t>
  </si>
  <si>
    <t>EQP車両納入日(From)</t>
    <phoneticPr fontId="28"/>
  </si>
  <si>
    <t>　　eqp_delivery_date_to</t>
  </si>
  <si>
    <t>EQP車両納入日(To)</t>
    <phoneticPr fontId="28"/>
  </si>
  <si>
    <t>　　used_delivery_date_from</t>
  </si>
  <si>
    <t>中古車両納入日(From)</t>
    <phoneticPr fontId="28"/>
  </si>
  <si>
    <t>　　used_delivery_date_to</t>
  </si>
  <si>
    <t>中古車両納入日(To)</t>
    <phoneticPr fontId="28"/>
  </si>
  <si>
    <t>　　eqp_used_delivery_date_from</t>
  </si>
  <si>
    <t>EQP中古車両納入日(From)</t>
    <phoneticPr fontId="28"/>
  </si>
  <si>
    <t>　　eqp_used_delivery_date_to</t>
  </si>
  <si>
    <t>EQP中古車両納入日(To)</t>
    <phoneticPr fontId="28"/>
  </si>
  <si>
    <t>　　production_year_month_from</t>
  </si>
  <si>
    <t>製造年月(From)</t>
    <phoneticPr fontId="28"/>
  </si>
  <si>
    <t>　　production_year_month_to</t>
  </si>
  <si>
    <t>製造年月(To)</t>
    <phoneticPr fontId="28"/>
  </si>
  <si>
    <t>　　asset_status_kinds</t>
    <phoneticPr fontId="28"/>
  </si>
  <si>
    <t>資産状態区分</t>
    <phoneticPr fontId="28"/>
  </si>
  <si>
    <t>　　asset_owner_ids</t>
  </si>
  <si>
    <t>資産所有者ID</t>
    <phoneticPr fontId="28"/>
  </si>
  <si>
    <t>　　note_1</t>
  </si>
  <si>
    <t>備考１</t>
    <phoneticPr fontId="28"/>
  </si>
  <si>
    <t>　　note_2</t>
  </si>
  <si>
    <t>　　note_3</t>
  </si>
  <si>
    <t>　　note_4</t>
  </si>
  <si>
    <t>　　note_5</t>
  </si>
  <si>
    <t>　　class_1_ids</t>
  </si>
  <si>
    <t>分類１ID</t>
    <phoneticPr fontId="28"/>
  </si>
  <si>
    <t>　　class_2_ids</t>
  </si>
  <si>
    <t>　　class_3_ids</t>
  </si>
  <si>
    <t>　　class_4_ids</t>
  </si>
  <si>
    <t>　　class_5_ids</t>
  </si>
  <si>
    <t>　　custom_car_attribute_1_detail_ids</t>
    <phoneticPr fontId="28"/>
  </si>
  <si>
    <t>カスタム車両属性１詳細ID</t>
    <phoneticPr fontId="28"/>
  </si>
  <si>
    <t>　　custom_car_attribute_2_detail_ids</t>
  </si>
  <si>
    <t>　　custom_car_attribute_3_detail_ids</t>
  </si>
  <si>
    <t>　　custom_car_attribute_4_detail_ids</t>
  </si>
  <si>
    <t xml:space="preserve">-2:is null(not exists)検索/-99:未指定と同等 </t>
    <phoneticPr fontId="28"/>
  </si>
  <si>
    <t>　　custom_car_attribute_5_detail_ids</t>
  </si>
  <si>
    <t>　　custom_car_attribute_6_detail_ids</t>
  </si>
  <si>
    <t>　　custom_car_attribute_7_detail_ids</t>
  </si>
  <si>
    <t>　　custom_car_attribute_8_detail_ids</t>
  </si>
  <si>
    <t>　　custom_car_attribute_9_detail_ids</t>
  </si>
  <si>
    <t>　　custom_car_attribute_10_detail_ids</t>
  </si>
  <si>
    <t>　lock_status</t>
  </si>
  <si>
    <t>ロック状態</t>
    <phoneticPr fontId="28"/>
  </si>
  <si>
    <t>　　forced_lock_kind</t>
  </si>
  <si>
    <t>強制ロック状態区分</t>
    <phoneticPr fontId="28"/>
  </si>
  <si>
    <t>0:ロック設定なし, 1:ロック設定あり, 2:現在ロック中, 3:ロック解除要求, 4:ロック設定要求中, -99:未指定と同等</t>
    <phoneticPr fontId="28"/>
  </si>
  <si>
    <t>　　night_lock_kind</t>
  </si>
  <si>
    <t>夜間予約ロック状態区分</t>
    <phoneticPr fontId="28"/>
  </si>
  <si>
    <t>　　calendar_lock_kind</t>
  </si>
  <si>
    <t>カレンダ予約ロック状態区分</t>
    <phoneticPr fontId="28"/>
  </si>
  <si>
    <t>　latest_status</t>
  </si>
  <si>
    <t>車両最新状態</t>
    <phoneticPr fontId="28"/>
  </si>
  <si>
    <t>　　smr_from</t>
  </si>
  <si>
    <t>SMR(From)</t>
    <phoneticPr fontId="28"/>
  </si>
  <si>
    <t>　　smr_to</t>
  </si>
  <si>
    <t>SMR(To)</t>
    <phoneticPr fontId="28"/>
  </si>
  <si>
    <t>　　odometer_from</t>
  </si>
  <si>
    <t>オドメータ(From)</t>
    <phoneticPr fontId="28"/>
  </si>
  <si>
    <t>[km] or [mile]単位。X-DistanceUnitヘッダ指定単位に基づく</t>
    <phoneticPr fontId="28"/>
  </si>
  <si>
    <t>　　odometer_to</t>
  </si>
  <si>
    <t>オドメータ(To)</t>
    <phoneticPr fontId="28"/>
  </si>
  <si>
    <t>　　places</t>
  </si>
  <si>
    <t>現在地</t>
    <phoneticPr fontId="28"/>
  </si>
  <si>
    <t>　　place_search_method</t>
  </si>
  <si>
    <t>現在地検索方法</t>
    <phoneticPr fontId="28"/>
  </si>
  <si>
    <t>0:一致しない, 1:一致する</t>
    <phoneticPr fontId="28"/>
  </si>
  <si>
    <t>　　point_bounds</t>
  </si>
  <si>
    <t>現在位置境界</t>
    <phoneticPr fontId="28"/>
  </si>
  <si>
    <t>　　　south_west_point</t>
  </si>
  <si>
    <t>南西位置(世界測地系)</t>
    <phoneticPr fontId="28"/>
  </si>
  <si>
    <t>　　　　type</t>
  </si>
  <si>
    <t>　　　　coordinates</t>
  </si>
  <si>
    <t>　　　north_east_point</t>
  </si>
  <si>
    <t>北東位置(世界測地系)</t>
    <phoneticPr fontId="28"/>
  </si>
  <si>
    <t>　　communication_date_from</t>
  </si>
  <si>
    <t>通信日(From)</t>
    <phoneticPr fontId="28"/>
  </si>
  <si>
    <t>　　communication_date_to</t>
  </si>
  <si>
    <t>　　operator_identification_status</t>
    <phoneticPr fontId="28"/>
  </si>
  <si>
    <t>オペレータ識別状態</t>
    <phoneticPr fontId="28"/>
  </si>
  <si>
    <t>Enum:-1:未対応, 0:無効, 1:有効, 2:不明, -99:未指定と同等</t>
    <phoneticPr fontId="28"/>
  </si>
  <si>
    <t>　current_status</t>
    <phoneticPr fontId="28"/>
  </si>
  <si>
    <t>車両現在状態</t>
    <phoneticPr fontId="28"/>
  </si>
  <si>
    <t>エンジン状態区分</t>
    <phoneticPr fontId="28"/>
  </si>
  <si>
    <t>Enum:[ 0:OFF, 1:ON, -99:未指定と同等 ]</t>
    <phoneticPr fontId="28"/>
  </si>
  <si>
    <t>　　caution_kind</t>
    <phoneticPr fontId="28"/>
  </si>
  <si>
    <t>コーションON/OFF区分</t>
    <phoneticPr fontId="28"/>
  </si>
  <si>
    <t>　current_site_ids</t>
    <phoneticPr fontId="28"/>
  </si>
  <si>
    <t>現在現場ID</t>
    <phoneticPr fontId="28"/>
  </si>
  <si>
    <t>-1:値が設定されている/ -2:値が設定されていない/ -99:未指定と同等</t>
    <phoneticPr fontId="28"/>
  </si>
  <si>
    <t>selected_car_ids</t>
  </si>
  <si>
    <t>選択済み車両ID</t>
    <phoneticPr fontId="28"/>
  </si>
  <si>
    <t>　car_identification</t>
    <phoneticPr fontId="28"/>
  </si>
  <si>
    <t>指定項目取得APIで取得した一覧のヘッダ情報が表示されていること</t>
    <phoneticPr fontId="47"/>
  </si>
  <si>
    <t>指定項目リソース取得APIで取得した項目が表示されていること</t>
    <rPh sb="14" eb="16">
      <t>シュトク</t>
    </rPh>
    <rPh sb="18" eb="20">
      <t>コウモク</t>
    </rPh>
    <rPh sb="21" eb="23">
      <t>ヒョウジ</t>
    </rPh>
    <phoneticPr fontId="28"/>
  </si>
  <si>
    <t>指定項目取得APIで取得した項目がチェックONになっていること</t>
    <rPh sb="10" eb="12">
      <t>シュトク</t>
    </rPh>
    <rPh sb="14" eb="16">
      <t>コウモク</t>
    </rPh>
    <phoneticPr fontId="28"/>
  </si>
  <si>
    <t>OKボタン</t>
    <phoneticPr fontId="28"/>
  </si>
  <si>
    <t>クリック</t>
    <phoneticPr fontId="28"/>
  </si>
  <si>
    <t>キャンセルボタン</t>
    <phoneticPr fontId="28"/>
  </si>
  <si>
    <t>レイアウト編集画面を閉じること</t>
    <rPh sb="5" eb="7">
      <t>ヘンシュウ</t>
    </rPh>
    <rPh sb="7" eb="9">
      <t>ガメン</t>
    </rPh>
    <rPh sb="10" eb="11">
      <t>ト</t>
    </rPh>
    <phoneticPr fontId="28"/>
  </si>
  <si>
    <t>再度画面を表示し、設定が変更されていないこと</t>
    <phoneticPr fontId="28"/>
  </si>
  <si>
    <t>別シート"リクエストパラメータチェックシート：指定項目リソース取得API "参照</t>
    <rPh sb="0" eb="1">
      <t>ベツ</t>
    </rPh>
    <rPh sb="38" eb="40">
      <t>サンショウ</t>
    </rPh>
    <phoneticPr fontId="47"/>
  </si>
  <si>
    <t>指定項目リソース取得API 　（get: /applications/fields/resources）</t>
    <phoneticPr fontId="28"/>
  </si>
  <si>
    <t>search_parameter</t>
    <phoneticPr fontId="28"/>
  </si>
  <si>
    <t>絞り込み条件</t>
    <phoneticPr fontId="28"/>
  </si>
  <si>
    <t>絞り込み条件キー、絞り込み値をカンマ区切りで設定する
絞り込み値にカンマの使用も許容する
(パラメータ内の先頭カンマにてキー、値の分割を行う)</t>
    <phoneticPr fontId="28"/>
  </si>
  <si>
    <t>車両 選択0件</t>
    <rPh sb="0" eb="2">
      <t>シャリョウ</t>
    </rPh>
    <rPh sb="3" eb="5">
      <t>センタク</t>
    </rPh>
    <rPh sb="6" eb="7">
      <t>ケン</t>
    </rPh>
    <phoneticPr fontId="47"/>
  </si>
  <si>
    <t>ボタン制御</t>
    <rPh sb="3" eb="5">
      <t>セイギョ</t>
    </rPh>
    <phoneticPr fontId="47"/>
  </si>
  <si>
    <t>車両 選択1件以上</t>
    <rPh sb="0" eb="2">
      <t>シャリョウ</t>
    </rPh>
    <rPh sb="3" eb="5">
      <t>センタク</t>
    </rPh>
    <rPh sb="6" eb="7">
      <t>ケン</t>
    </rPh>
    <rPh sb="7" eb="9">
      <t>イジョウ</t>
    </rPh>
    <phoneticPr fontId="47"/>
  </si>
  <si>
    <t>１度押したら、LOADING画像が表示されること</t>
    <rPh sb="1" eb="2">
      <t>ド</t>
    </rPh>
    <rPh sb="2" eb="3">
      <t>オ</t>
    </rPh>
    <rPh sb="14" eb="16">
      <t>ガゾウ</t>
    </rPh>
    <rPh sb="17" eb="19">
      <t>ヒョウジ</t>
    </rPh>
    <phoneticPr fontId="28"/>
  </si>
  <si>
    <t>ボタン連打</t>
    <rPh sb="3" eb="5">
      <t>レンダ</t>
    </rPh>
    <phoneticPr fontId="28"/>
  </si>
  <si>
    <t>検索ボタンクリック時</t>
    <rPh sb="0" eb="2">
      <t>ケンサク</t>
    </rPh>
    <rPh sb="9" eb="10">
      <t>ジ</t>
    </rPh>
    <phoneticPr fontId="28"/>
  </si>
  <si>
    <t>OKボタンクリック時</t>
    <rPh sb="9" eb="10">
      <t>ジ</t>
    </rPh>
    <phoneticPr fontId="28"/>
  </si>
  <si>
    <t>　　担当DB組織ｺｰﾄﾞ</t>
    <phoneticPr fontId="28"/>
  </si>
  <si>
    <t>X-La</t>
  </si>
  <si>
    <t>　　eine_status_kind</t>
  </si>
  <si>
    <t>塚田</t>
    <rPh sb="0" eb="2">
      <t>ツカダ</t>
    </rPh>
    <phoneticPr fontId="28"/>
  </si>
  <si>
    <t>唐鎌</t>
    <rPh sb="0" eb="2">
      <t>カラカマ</t>
    </rPh>
    <phoneticPr fontId="28"/>
  </si>
  <si>
    <t>増田</t>
    <rPh sb="0" eb="2">
      <t>マスダ</t>
    </rPh>
    <phoneticPr fontId="28"/>
  </si>
  <si>
    <t>結合テスト仕様書 フリータイミング - 車両</t>
    <rPh sb="0" eb="2">
      <t>ケツゴウ</t>
    </rPh>
    <rPh sb="5" eb="7">
      <t>シヨウ</t>
    </rPh>
    <rPh sb="7" eb="8">
      <t>ショ</t>
    </rPh>
    <rPh sb="20" eb="22">
      <t>シャリョウ</t>
    </rPh>
    <phoneticPr fontId="145"/>
  </si>
  <si>
    <t>次世代対応を反映した画面設計書と画面を照らし合わせ、権限に合った項目が表示されていること。
テスト結果は「画面項目マトリクス」シートに記入</t>
    <rPh sb="0" eb="3">
      <t>ジセダイ</t>
    </rPh>
    <rPh sb="3" eb="5">
      <t>タイオウ</t>
    </rPh>
    <rPh sb="6" eb="8">
      <t>ハンエイ</t>
    </rPh>
    <rPh sb="10" eb="12">
      <t>ガメン</t>
    </rPh>
    <rPh sb="12" eb="15">
      <t>セッケイショ</t>
    </rPh>
    <rPh sb="16" eb="18">
      <t>ガメン</t>
    </rPh>
    <rPh sb="19" eb="20">
      <t>テ</t>
    </rPh>
    <rPh sb="22" eb="23">
      <t>ア</t>
    </rPh>
    <rPh sb="26" eb="28">
      <t>ケンゲン</t>
    </rPh>
    <rPh sb="29" eb="30">
      <t>ア</t>
    </rPh>
    <rPh sb="32" eb="34">
      <t>コウモク</t>
    </rPh>
    <rPh sb="35" eb="37">
      <t>ヒョウジ</t>
    </rPh>
    <rPh sb="50" eb="52">
      <t>ケッカ</t>
    </rPh>
    <rPh sb="68" eb="70">
      <t>キニュウ</t>
    </rPh>
    <phoneticPr fontId="47"/>
  </si>
  <si>
    <t>「ヘッダ項目クリック_マトリクス」シートが全てOKになること</t>
    <rPh sb="21" eb="22">
      <t>スベ</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</si>
</sst>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8"/>
      <color rgb="FF3B4151"/>
      <name val="Arial"/>
      <family val="2"/>
    </font>
    <font>
      <sz val="10"/>
      <color theme="1"/>
      <name val="ＭＳ Ｐゴシック"/>
      <family val="3"/>
      <charset val="128"/>
    </font>
    <font>
      <sz val="10"/>
      <name val="ＭＳ Ｐゴシック"/>
      <family val="3"/>
      <charset val="128"/>
    </font>
  </fonts>
  <fills count="65">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
      <patternFill patternType="solid">
        <fgColor theme="1"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90">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91" fillId="60" borderId="3"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wrapText="1"/>
    </xf>
    <xf numFmtId="0" fontId="0" fillId="0" borderId="0" xfId="0" applyFont="1" applyBorder="1" applyAlignment="1">
      <alignment vertical="top" wrapText="1"/>
    </xf>
    <xf numFmtId="0" fontId="0" fillId="0" borderId="0" xfId="0" applyBorder="1"/>
    <xf numFmtId="0" fontId="91" fillId="0" borderId="3" xfId="210" applyFont="1" applyFill="1" applyBorder="1" applyAlignment="1">
      <alignment horizontal="left" vertical="center" wrapText="1" indent="2"/>
    </xf>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0" borderId="17" xfId="210" applyFont="1" applyFill="1" applyBorder="1" applyAlignment="1">
      <alignmen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left" vertical="center"/>
    </xf>
    <xf numFmtId="0" fontId="91" fillId="0" borderId="0" xfId="210" applyFont="1" applyFill="1" applyBorder="1" applyAlignment="1">
      <alignment horizontal="center" vertical="center"/>
    </xf>
    <xf numFmtId="0" fontId="0" fillId="0" borderId="0" xfId="0" applyAlignment="1">
      <alignment horizontal="left"/>
    </xf>
    <xf numFmtId="0" fontId="0" fillId="60" borderId="3" xfId="0" applyFont="1" applyFill="1" applyBorder="1" applyAlignment="1">
      <alignment vertical="top" wrapText="1"/>
    </xf>
    <xf numFmtId="0" fontId="0" fillId="0" borderId="0" xfId="0" applyAlignment="1">
      <alignment vertical="top" wrapText="1"/>
    </xf>
    <xf numFmtId="0" fontId="0" fillId="0" borderId="56" xfId="0" applyFont="1" applyBorder="1" applyAlignment="1">
      <alignment vertical="top" wrapText="1"/>
    </xf>
    <xf numFmtId="0" fontId="0" fillId="60" borderId="56" xfId="0" applyFont="1" applyFill="1" applyBorder="1" applyAlignment="1">
      <alignment vertical="top" wrapText="1"/>
    </xf>
    <xf numFmtId="0" fontId="0" fillId="0" borderId="56" xfId="0" applyBorder="1"/>
    <xf numFmtId="0" fontId="0" fillId="60" borderId="0" xfId="0" applyFont="1" applyFill="1" applyBorder="1" applyAlignment="1">
      <alignment vertical="top" wrapText="1"/>
    </xf>
    <xf numFmtId="0" fontId="0" fillId="0" borderId="3" xfId="0" applyFill="1" applyBorder="1"/>
    <xf numFmtId="0" fontId="0" fillId="0" borderId="3" xfId="0" quotePrefix="1" applyBorder="1" applyAlignment="1">
      <alignment wrapText="1"/>
    </xf>
    <xf numFmtId="0" fontId="0" fillId="61" borderId="3" xfId="0" applyFill="1" applyBorder="1" applyAlignment="1">
      <alignment horizontal="center" vertical="center" wrapText="1"/>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0" fillId="61" borderId="3" xfId="0" applyFill="1" applyBorder="1" applyAlignment="1">
      <alignment horizontal="center" vertical="center"/>
    </xf>
    <xf numFmtId="0" fontId="91" fillId="2" borderId="3" xfId="210" applyFont="1" applyFill="1" applyBorder="1" applyAlignment="1">
      <alignment horizontal="center" vertical="center"/>
    </xf>
    <xf numFmtId="0" fontId="91" fillId="59"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62" borderId="3" xfId="0" applyFill="1" applyBorder="1" applyAlignment="1">
      <alignment horizontal="center"/>
    </xf>
    <xf numFmtId="0" fontId="0" fillId="0" borderId="3" xfId="0" applyFont="1" applyBorder="1" applyAlignment="1">
      <alignment horizontal="left" vertical="top" wrapText="1"/>
    </xf>
    <xf numFmtId="0" fontId="0" fillId="0" borderId="3" xfId="0" applyBorder="1" applyAlignment="1">
      <alignment horizontal="left" vertical="top"/>
    </xf>
    <xf numFmtId="0" fontId="0" fillId="60" borderId="3" xfId="0" applyFill="1" applyBorder="1"/>
    <xf numFmtId="0" fontId="0" fillId="60" borderId="3" xfId="0" applyFill="1" applyBorder="1" applyAlignment="1">
      <alignment vertical="top"/>
    </xf>
    <xf numFmtId="0" fontId="91" fillId="0" borderId="0" xfId="210" applyFont="1" applyFill="1" applyBorder="1" applyAlignment="1">
      <alignment horizontal="center" vertical="center"/>
    </xf>
    <xf numFmtId="0" fontId="0" fillId="62" borderId="0" xfId="0" applyFill="1" applyAlignment="1">
      <alignment horizontal="center"/>
    </xf>
    <xf numFmtId="0" fontId="91" fillId="63" borderId="17" xfId="210" applyFont="1" applyFill="1" applyBorder="1" applyAlignment="1">
      <alignment horizontal="center" vertical="center"/>
    </xf>
    <xf numFmtId="14" fontId="91" fillId="63" borderId="17" xfId="210" applyNumberFormat="1" applyFont="1" applyFill="1" applyBorder="1" applyAlignment="1">
      <alignment horizontal="center" vertical="center"/>
    </xf>
    <xf numFmtId="0" fontId="91" fillId="60" borderId="3" xfId="210" applyNumberFormat="1" applyFont="1" applyFill="1" applyBorder="1" applyAlignment="1">
      <alignment horizontal="center" vertical="center"/>
    </xf>
    <xf numFmtId="0" fontId="0" fillId="61" borderId="3" xfId="0" applyFill="1" applyBorder="1" applyAlignment="1">
      <alignment wrapText="1"/>
    </xf>
    <xf numFmtId="0" fontId="0" fillId="0" borderId="3" xfId="0" applyFill="1" applyBorder="1" applyAlignment="1">
      <alignment wrapText="1"/>
    </xf>
    <xf numFmtId="0" fontId="91" fillId="0" borderId="17" xfId="210" applyFont="1" applyFill="1" applyBorder="1" applyAlignment="1">
      <alignment horizontal="center" vertical="center" wrapText="1"/>
    </xf>
    <xf numFmtId="0" fontId="0" fillId="63" borderId="3" xfId="0" applyFill="1" applyBorder="1" applyAlignment="1">
      <alignment vertical="top"/>
    </xf>
    <xf numFmtId="0" fontId="0" fillId="60" borderId="0" xfId="0" applyFill="1" applyBorder="1" applyAlignment="1">
      <alignment vertical="top"/>
    </xf>
    <xf numFmtId="0" fontId="0" fillId="0" borderId="3" xfId="0" applyBorder="1" applyAlignment="1">
      <alignment horizontal="left" vertical="top" wrapText="1"/>
    </xf>
    <xf numFmtId="0" fontId="0" fillId="62" borderId="3" xfId="0" applyFill="1" applyBorder="1"/>
    <xf numFmtId="0" fontId="0" fillId="63" borderId="3" xfId="0" applyFill="1" applyBorder="1"/>
    <xf numFmtId="0" fontId="149" fillId="60" borderId="3" xfId="0" applyFont="1" applyFill="1" applyBorder="1" applyAlignment="1">
      <alignment vertical="center"/>
    </xf>
    <xf numFmtId="0" fontId="150" fillId="60" borderId="3" xfId="0" applyFont="1" applyFill="1" applyBorder="1" applyAlignment="1">
      <alignment vertical="center"/>
    </xf>
    <xf numFmtId="0" fontId="148" fillId="0" borderId="0" xfId="0" applyFont="1" applyBorder="1"/>
    <xf numFmtId="0" fontId="0" fillId="60" borderId="0" xfId="0" applyFill="1" applyBorder="1"/>
    <xf numFmtId="0" fontId="91" fillId="60" borderId="0" xfId="210" applyFont="1" applyFill="1" applyAlignment="1">
      <alignment vertical="center"/>
    </xf>
    <xf numFmtId="49" fontId="91" fillId="60" borderId="0" xfId="210" applyNumberFormat="1" applyFont="1" applyFill="1" applyAlignment="1">
      <alignment horizontal="center" vertical="center"/>
    </xf>
    <xf numFmtId="0" fontId="91" fillId="64" borderId="3" xfId="210" applyNumberFormat="1" applyFont="1" applyFill="1" applyBorder="1" applyAlignment="1">
      <alignment horizontal="center" vertical="center"/>
    </xf>
    <xf numFmtId="0" fontId="91" fillId="64" borderId="3" xfId="210" applyFont="1" applyFill="1" applyBorder="1" applyAlignment="1">
      <alignment horizontal="left" vertical="center"/>
    </xf>
    <xf numFmtId="0" fontId="91" fillId="64" borderId="17" xfId="210" applyFont="1" applyFill="1" applyBorder="1" applyAlignment="1">
      <alignment horizontal="center" vertical="center"/>
    </xf>
    <xf numFmtId="0" fontId="91" fillId="64" borderId="3" xfId="210" applyFont="1" applyFill="1" applyBorder="1" applyAlignment="1">
      <alignment horizontal="center" vertical="center"/>
    </xf>
    <xf numFmtId="0" fontId="56" fillId="0" borderId="17" xfId="210" applyFont="1" applyFill="1" applyBorder="1" applyAlignment="1">
      <alignment horizontal="center" vertical="center"/>
    </xf>
    <xf numFmtId="0" fontId="56" fillId="60" borderId="17" xfId="210" applyFont="1" applyFill="1" applyBorder="1" applyAlignment="1">
      <alignment horizontal="center" vertical="center"/>
    </xf>
    <xf numFmtId="0" fontId="91" fillId="64" borderId="17" xfId="210" applyFont="1" applyFill="1" applyBorder="1" applyAlignment="1">
      <alignment horizontal="center" vertical="center" wrapText="1"/>
    </xf>
    <xf numFmtId="0" fontId="56" fillId="64" borderId="17" xfId="210" applyFont="1" applyFill="1" applyBorder="1" applyAlignment="1">
      <alignment horizontal="center" vertical="center"/>
    </xf>
    <xf numFmtId="0" fontId="91" fillId="64" borderId="3" xfId="210" applyFont="1" applyFill="1" applyBorder="1" applyAlignment="1">
      <alignment horizontal="left" vertical="center" wrapText="1"/>
    </xf>
    <xf numFmtId="0" fontId="48" fillId="0" borderId="17" xfId="210" applyFont="1" applyFill="1" applyBorder="1" applyAlignment="1">
      <alignment horizontal="center" vertical="center"/>
    </xf>
    <xf numFmtId="14" fontId="48" fillId="0" borderId="17" xfId="210" applyNumberFormat="1" applyFont="1" applyFill="1" applyBorder="1" applyAlignment="1">
      <alignment horizontal="center" vertical="center"/>
    </xf>
    <xf numFmtId="0" fontId="48" fillId="60" borderId="17" xfId="210" applyFont="1" applyFill="1" applyBorder="1" applyAlignment="1">
      <alignment horizontal="center" vertical="center"/>
    </xf>
    <xf numFmtId="14" fontId="48" fillId="60" borderId="17" xfId="210" applyNumberFormat="1" applyFont="1" applyFill="1" applyBorder="1" applyAlignment="1">
      <alignment horizontal="center" vertical="center"/>
    </xf>
    <xf numFmtId="0" fontId="48" fillId="63" borderId="17" xfId="210" applyFont="1" applyFill="1" applyBorder="1" applyAlignment="1">
      <alignment horizontal="center" vertical="center"/>
    </xf>
    <xf numFmtId="14" fontId="48" fillId="63" borderId="17" xfId="210" applyNumberFormat="1" applyFont="1" applyFill="1" applyBorder="1" applyAlignment="1">
      <alignment horizontal="center" vertical="center"/>
    </xf>
    <xf numFmtId="0" fontId="48" fillId="0" borderId="17" xfId="210" applyFont="1" applyFill="1" applyBorder="1" applyAlignment="1">
      <alignment vertical="center"/>
    </xf>
    <xf numFmtId="0" fontId="48" fillId="0" borderId="17" xfId="210" applyFont="1" applyFill="1" applyBorder="1" applyAlignment="1">
      <alignment horizontal="center" vertical="center" wrapText="1"/>
    </xf>
    <xf numFmtId="0" fontId="48" fillId="0" borderId="18" xfId="210" applyFont="1" applyFill="1" applyBorder="1" applyAlignment="1">
      <alignment horizontal="left" vertical="center" wrapText="1"/>
    </xf>
    <xf numFmtId="0" fontId="48" fillId="0" borderId="20" xfId="210" applyFont="1" applyFill="1" applyBorder="1" applyAlignment="1">
      <alignment horizontal="left" vertical="center" wrapText="1"/>
    </xf>
    <xf numFmtId="0" fontId="48" fillId="64" borderId="17" xfId="210" applyFont="1" applyFill="1" applyBorder="1" applyAlignment="1">
      <alignment horizontal="center" vertical="center"/>
    </xf>
    <xf numFmtId="0" fontId="48" fillId="64"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63" xfId="210" applyFont="1" applyFill="1" applyBorder="1" applyAlignment="1">
      <alignment horizontal="center" vertical="center"/>
    </xf>
    <xf numFmtId="0" fontId="91" fillId="0" borderId="63" xfId="210" applyFont="1" applyBorder="1" applyAlignment="1">
      <alignment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48" fillId="0" borderId="18" xfId="210" applyFont="1" applyFill="1" applyBorder="1" applyAlignment="1">
      <alignment horizontal="left" vertical="center" wrapText="1"/>
    </xf>
    <xf numFmtId="0" fontId="48" fillId="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48" fillId="60" borderId="18" xfId="210" applyFont="1" applyFill="1" applyBorder="1" applyAlignment="1">
      <alignment horizontal="left" vertical="center" wrapText="1"/>
    </xf>
    <xf numFmtId="0" fontId="48" fillId="60" borderId="20" xfId="210" applyFont="1" applyFill="1" applyBorder="1" applyAlignment="1">
      <alignment horizontal="left" vertical="center" wrapText="1"/>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18" xfId="210" applyFont="1" applyFill="1" applyBorder="1" applyAlignment="1">
      <alignment horizontal="center" vertical="center"/>
    </xf>
    <xf numFmtId="0" fontId="91" fillId="2" borderId="65" xfId="210" applyFont="1" applyFill="1" applyBorder="1" applyAlignment="1">
      <alignment horizontal="center" vertical="center"/>
    </xf>
    <xf numFmtId="0" fontId="91" fillId="2" borderId="2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64" borderId="18" xfId="210" applyFont="1" applyFill="1" applyBorder="1" applyAlignment="1">
      <alignment horizontal="left" vertical="center" wrapText="1"/>
    </xf>
    <xf numFmtId="0" fontId="91" fillId="64" borderId="20" xfId="210" applyFont="1" applyFill="1" applyBorder="1" applyAlignment="1">
      <alignment horizontal="left" vertical="center" wrapText="1"/>
    </xf>
    <xf numFmtId="0" fontId="91" fillId="64" borderId="18" xfId="210" applyFont="1" applyFill="1" applyBorder="1" applyAlignment="1">
      <alignment vertical="center" wrapText="1"/>
    </xf>
    <xf numFmtId="0" fontId="91" fillId="64" borderId="20" xfId="210" applyFont="1" applyFill="1" applyBorder="1" applyAlignment="1">
      <alignment vertical="center" wrapText="1"/>
    </xf>
    <xf numFmtId="0" fontId="91" fillId="60" borderId="18" xfId="210" applyFont="1" applyFill="1" applyBorder="1" applyAlignment="1">
      <alignment vertical="center" wrapText="1"/>
    </xf>
    <xf numFmtId="0" fontId="91" fillId="60" borderId="20" xfId="210" applyFont="1" applyFill="1" applyBorder="1" applyAlignment="1">
      <alignment vertical="center" wrapText="1"/>
    </xf>
    <xf numFmtId="0" fontId="0" fillId="61" borderId="3" xfId="0" applyFill="1" applyBorder="1" applyAlignment="1">
      <alignment horizontal="center" vertical="center"/>
    </xf>
    <xf numFmtId="0" fontId="0" fillId="61" borderId="3" xfId="0" applyFill="1" applyBorder="1" applyAlignment="1">
      <alignment horizontal="center"/>
    </xf>
    <xf numFmtId="0" fontId="91" fillId="2" borderId="3" xfId="210" applyFont="1" applyFill="1" applyBorder="1" applyAlignment="1">
      <alignment horizontal="center" vertical="center" wrapText="1"/>
    </xf>
    <xf numFmtId="0" fontId="0" fillId="60" borderId="83" xfId="0" applyFill="1" applyBorder="1" applyAlignment="1">
      <alignment horizontal="center" vertical="center" wrapText="1"/>
    </xf>
    <xf numFmtId="0" fontId="0" fillId="60" borderId="21" xfId="0" applyFill="1" applyBorder="1" applyAlignment="1">
      <alignment horizontal="center" vertical="center" wrapText="1"/>
    </xf>
    <xf numFmtId="0" fontId="0" fillId="60" borderId="17" xfId="0" applyFill="1" applyBorder="1" applyAlignment="1">
      <alignment horizontal="center" vertical="center" wrapText="1"/>
    </xf>
    <xf numFmtId="0" fontId="0" fillId="0" borderId="0" xfId="0" applyFont="1" applyFill="1" applyBorder="1" applyAlignment="1">
      <alignment horizontal="left" vertical="top"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224"/>
      <c r="EN4" s="225"/>
      <c r="EO4" s="225"/>
      <c r="EP4" s="225"/>
      <c r="EQ4" s="225"/>
      <c r="ER4" s="225"/>
      <c r="ES4" s="225"/>
      <c r="ET4" s="225"/>
      <c r="EU4" s="225"/>
      <c r="EV4" s="225"/>
      <c r="EW4" s="225"/>
      <c r="EX4" s="225"/>
      <c r="EY4" s="225"/>
      <c r="EZ4" s="225"/>
      <c r="FA4" s="225"/>
      <c r="FB4" s="225"/>
      <c r="FC4" s="225"/>
      <c r="FD4" s="225"/>
      <c r="FE4" s="225"/>
      <c r="FF4" s="225"/>
      <c r="FG4" s="225"/>
      <c r="FH4" s="225"/>
      <c r="FI4" s="225"/>
      <c r="FJ4" s="225"/>
      <c r="FK4" s="225"/>
      <c r="FL4" s="225"/>
    </row>
    <row r="5" spans="1:168">
      <c r="A5" s="62"/>
      <c r="B5" s="62"/>
      <c r="C5" s="62"/>
      <c r="D5" s="62"/>
      <c r="E5" s="62"/>
      <c r="F5" s="62"/>
      <c r="G5" s="62"/>
      <c r="H5" s="62"/>
      <c r="I5" s="226" t="s">
        <v>63</v>
      </c>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c r="CZ5" s="226"/>
      <c r="DA5" s="226"/>
      <c r="DB5" s="226"/>
      <c r="DC5" s="226"/>
      <c r="DD5" s="226"/>
      <c r="DE5" s="226"/>
      <c r="DF5" s="226"/>
      <c r="DG5" s="226"/>
      <c r="DH5" s="226"/>
      <c r="DI5" s="226"/>
      <c r="DJ5" s="226"/>
      <c r="DK5" s="226"/>
      <c r="DL5" s="226"/>
      <c r="DM5" s="226"/>
      <c r="DN5" s="226"/>
      <c r="DO5" s="226"/>
      <c r="DP5" s="226"/>
      <c r="DQ5" s="226"/>
      <c r="DR5" s="226"/>
      <c r="DS5" s="226"/>
      <c r="DT5" s="226"/>
      <c r="DU5" s="226"/>
      <c r="DV5" s="226"/>
      <c r="DW5" s="226"/>
      <c r="DX5" s="226"/>
      <c r="DY5" s="226"/>
      <c r="DZ5" s="226"/>
      <c r="EA5" s="226"/>
      <c r="EB5" s="226"/>
      <c r="EC5" s="226"/>
      <c r="ED5" s="226"/>
      <c r="EE5" s="226"/>
      <c r="EF5" s="226"/>
      <c r="EG5" s="226"/>
      <c r="EH5" s="226"/>
      <c r="EI5" s="226"/>
      <c r="EJ5" s="226"/>
      <c r="EK5" s="226"/>
      <c r="EL5" s="226"/>
      <c r="EM5" s="226"/>
      <c r="EN5" s="226"/>
      <c r="EO5" s="226"/>
      <c r="EP5" s="226"/>
      <c r="EQ5" s="226"/>
      <c r="ER5" s="226"/>
      <c r="ES5" s="226"/>
      <c r="ET5" s="226"/>
      <c r="EU5" s="226"/>
      <c r="EV5" s="226"/>
      <c r="EW5" s="226"/>
      <c r="EX5" s="226"/>
      <c r="EY5" s="226"/>
      <c r="EZ5" s="226"/>
      <c r="FA5" s="226"/>
      <c r="FB5" s="226"/>
      <c r="FC5" s="226"/>
      <c r="FD5" s="226"/>
      <c r="FE5" s="62"/>
      <c r="FF5" s="62"/>
      <c r="FG5" s="62"/>
      <c r="FH5" s="62"/>
      <c r="FI5" s="62"/>
      <c r="FJ5" s="62"/>
      <c r="FK5" s="62"/>
      <c r="FL5" s="62"/>
    </row>
    <row r="6" spans="1:168">
      <c r="A6" s="62"/>
      <c r="B6" s="62"/>
      <c r="C6" s="62"/>
      <c r="D6" s="62"/>
      <c r="E6" s="62"/>
      <c r="F6" s="62"/>
      <c r="G6" s="62"/>
      <c r="H6" s="62"/>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c r="CZ6" s="226"/>
      <c r="DA6" s="226"/>
      <c r="DB6" s="226"/>
      <c r="DC6" s="226"/>
      <c r="DD6" s="226"/>
      <c r="DE6" s="226"/>
      <c r="DF6" s="226"/>
      <c r="DG6" s="226"/>
      <c r="DH6" s="226"/>
      <c r="DI6" s="226"/>
      <c r="DJ6" s="226"/>
      <c r="DK6" s="226"/>
      <c r="DL6" s="226"/>
      <c r="DM6" s="226"/>
      <c r="DN6" s="226"/>
      <c r="DO6" s="226"/>
      <c r="DP6" s="226"/>
      <c r="DQ6" s="226"/>
      <c r="DR6" s="226"/>
      <c r="DS6" s="226"/>
      <c r="DT6" s="226"/>
      <c r="DU6" s="226"/>
      <c r="DV6" s="226"/>
      <c r="DW6" s="226"/>
      <c r="DX6" s="226"/>
      <c r="DY6" s="226"/>
      <c r="DZ6" s="226"/>
      <c r="EA6" s="226"/>
      <c r="EB6" s="226"/>
      <c r="EC6" s="226"/>
      <c r="ED6" s="226"/>
      <c r="EE6" s="226"/>
      <c r="EF6" s="226"/>
      <c r="EG6" s="226"/>
      <c r="EH6" s="226"/>
      <c r="EI6" s="226"/>
      <c r="EJ6" s="226"/>
      <c r="EK6" s="226"/>
      <c r="EL6" s="226"/>
      <c r="EM6" s="226"/>
      <c r="EN6" s="226"/>
      <c r="EO6" s="226"/>
      <c r="EP6" s="226"/>
      <c r="EQ6" s="226"/>
      <c r="ER6" s="226"/>
      <c r="ES6" s="226"/>
      <c r="ET6" s="226"/>
      <c r="EU6" s="226"/>
      <c r="EV6" s="226"/>
      <c r="EW6" s="226"/>
      <c r="EX6" s="226"/>
      <c r="EY6" s="226"/>
      <c r="EZ6" s="226"/>
      <c r="FA6" s="226"/>
      <c r="FB6" s="226"/>
      <c r="FC6" s="226"/>
      <c r="FD6" s="226"/>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227" t="s">
        <v>81</v>
      </c>
      <c r="J8" s="227"/>
      <c r="K8" s="227"/>
      <c r="L8" s="227"/>
      <c r="M8" s="227"/>
      <c r="N8" s="227"/>
      <c r="O8" s="227"/>
      <c r="P8" s="227"/>
      <c r="Q8" s="227"/>
      <c r="R8" s="227"/>
      <c r="S8" s="227"/>
      <c r="T8" s="227"/>
      <c r="U8" s="227"/>
      <c r="V8" s="227"/>
      <c r="W8" s="227"/>
      <c r="X8" s="227"/>
      <c r="Y8" s="227"/>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227"/>
      <c r="BN8" s="227"/>
      <c r="BO8" s="227"/>
      <c r="BP8" s="227"/>
      <c r="BQ8" s="227"/>
      <c r="BR8" s="227"/>
      <c r="BS8" s="227"/>
      <c r="BT8" s="227"/>
      <c r="BU8" s="227"/>
      <c r="BV8" s="227"/>
      <c r="BW8" s="227"/>
      <c r="BX8" s="227"/>
      <c r="BY8" s="227"/>
      <c r="BZ8" s="227"/>
      <c r="CA8" s="227"/>
      <c r="CB8" s="227"/>
      <c r="CC8" s="227"/>
      <c r="CD8" s="227"/>
      <c r="CE8" s="227"/>
      <c r="CF8" s="227"/>
      <c r="CG8" s="227"/>
      <c r="CH8" s="227"/>
      <c r="CI8" s="227"/>
      <c r="CJ8" s="227"/>
      <c r="CK8" s="227"/>
      <c r="CL8" s="227"/>
      <c r="CM8" s="227"/>
      <c r="CN8" s="227"/>
      <c r="CO8" s="227"/>
      <c r="CP8" s="227"/>
      <c r="CQ8" s="227"/>
      <c r="CR8" s="227"/>
      <c r="CS8" s="227"/>
      <c r="CT8" s="227"/>
      <c r="CU8" s="227"/>
      <c r="CV8" s="227"/>
      <c r="CW8" s="227"/>
      <c r="CX8" s="227"/>
      <c r="CY8" s="227"/>
      <c r="CZ8" s="227"/>
      <c r="DA8" s="227"/>
      <c r="DB8" s="227"/>
      <c r="DC8" s="227"/>
      <c r="DD8" s="227"/>
      <c r="DE8" s="227"/>
      <c r="DF8" s="227"/>
      <c r="DG8" s="227"/>
      <c r="DH8" s="227"/>
      <c r="DI8" s="227"/>
      <c r="DJ8" s="227"/>
      <c r="DK8" s="227"/>
      <c r="DL8" s="227"/>
      <c r="DM8" s="227"/>
      <c r="DN8" s="227"/>
      <c r="DO8" s="227"/>
      <c r="DP8" s="227"/>
      <c r="DQ8" s="227"/>
      <c r="DR8" s="227"/>
      <c r="DS8" s="227"/>
      <c r="DT8" s="227"/>
      <c r="DU8" s="227"/>
      <c r="DV8" s="227"/>
      <c r="DW8" s="227"/>
      <c r="DX8" s="227"/>
      <c r="DY8" s="227"/>
      <c r="DZ8" s="227"/>
      <c r="EA8" s="227"/>
      <c r="EB8" s="227"/>
      <c r="EC8" s="227"/>
      <c r="ED8" s="227"/>
      <c r="EE8" s="227"/>
      <c r="EF8" s="227"/>
      <c r="EG8" s="227"/>
      <c r="EH8" s="227"/>
      <c r="EI8" s="227"/>
      <c r="EJ8" s="227"/>
      <c r="EK8" s="227"/>
      <c r="EL8" s="227"/>
      <c r="EM8" s="227"/>
      <c r="EN8" s="227"/>
      <c r="EO8" s="227"/>
      <c r="EP8" s="227"/>
      <c r="EQ8" s="227"/>
      <c r="ER8" s="227"/>
      <c r="ES8" s="227"/>
      <c r="ET8" s="227"/>
      <c r="EU8" s="227"/>
      <c r="EV8" s="227"/>
      <c r="EW8" s="227"/>
      <c r="EX8" s="227"/>
      <c r="EY8" s="227"/>
      <c r="EZ8" s="227"/>
      <c r="FA8" s="227"/>
      <c r="FB8" s="227"/>
      <c r="FC8" s="227"/>
      <c r="FD8" s="227"/>
      <c r="FE8" s="62"/>
      <c r="FF8" s="62"/>
      <c r="FG8" s="62"/>
      <c r="FH8" s="62"/>
      <c r="FI8" s="62"/>
      <c r="FJ8" s="62"/>
      <c r="FK8" s="62"/>
      <c r="FL8" s="62"/>
    </row>
    <row r="9" spans="1:168">
      <c r="A9" s="62"/>
      <c r="B9" s="62"/>
      <c r="C9" s="62"/>
      <c r="D9" s="62"/>
      <c r="E9" s="62"/>
      <c r="F9" s="62"/>
      <c r="G9" s="62"/>
      <c r="H9" s="62"/>
      <c r="I9" s="227"/>
      <c r="J9" s="227"/>
      <c r="K9" s="227"/>
      <c r="L9" s="227"/>
      <c r="M9" s="227"/>
      <c r="N9" s="227"/>
      <c r="O9" s="227"/>
      <c r="P9" s="227"/>
      <c r="Q9" s="227"/>
      <c r="R9" s="227"/>
      <c r="S9" s="227"/>
      <c r="T9" s="227"/>
      <c r="U9" s="227"/>
      <c r="V9" s="227"/>
      <c r="W9" s="227"/>
      <c r="X9" s="227"/>
      <c r="Y9" s="227"/>
      <c r="Z9" s="227"/>
      <c r="AA9" s="227"/>
      <c r="AB9" s="227"/>
      <c r="AC9" s="227"/>
      <c r="AD9" s="227"/>
      <c r="AE9" s="227"/>
      <c r="AF9" s="227"/>
      <c r="AG9" s="227"/>
      <c r="AH9" s="227"/>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7"/>
      <c r="BN9" s="227"/>
      <c r="BO9" s="227"/>
      <c r="BP9" s="227"/>
      <c r="BQ9" s="227"/>
      <c r="BR9" s="227"/>
      <c r="BS9" s="227"/>
      <c r="BT9" s="227"/>
      <c r="BU9" s="227"/>
      <c r="BV9" s="227"/>
      <c r="BW9" s="227"/>
      <c r="BX9" s="227"/>
      <c r="BY9" s="227"/>
      <c r="BZ9" s="227"/>
      <c r="CA9" s="227"/>
      <c r="CB9" s="227"/>
      <c r="CC9" s="227"/>
      <c r="CD9" s="227"/>
      <c r="CE9" s="227"/>
      <c r="CF9" s="227"/>
      <c r="CG9" s="227"/>
      <c r="CH9" s="227"/>
      <c r="CI9" s="227"/>
      <c r="CJ9" s="227"/>
      <c r="CK9" s="227"/>
      <c r="CL9" s="227"/>
      <c r="CM9" s="227"/>
      <c r="CN9" s="227"/>
      <c r="CO9" s="227"/>
      <c r="CP9" s="227"/>
      <c r="CQ9" s="227"/>
      <c r="CR9" s="227"/>
      <c r="CS9" s="227"/>
      <c r="CT9" s="227"/>
      <c r="CU9" s="227"/>
      <c r="CV9" s="227"/>
      <c r="CW9" s="227"/>
      <c r="CX9" s="227"/>
      <c r="CY9" s="227"/>
      <c r="CZ9" s="227"/>
      <c r="DA9" s="227"/>
      <c r="DB9" s="227"/>
      <c r="DC9" s="227"/>
      <c r="DD9" s="227"/>
      <c r="DE9" s="227"/>
      <c r="DF9" s="227"/>
      <c r="DG9" s="227"/>
      <c r="DH9" s="227"/>
      <c r="DI9" s="227"/>
      <c r="DJ9" s="227"/>
      <c r="DK9" s="227"/>
      <c r="DL9" s="227"/>
      <c r="DM9" s="227"/>
      <c r="DN9" s="227"/>
      <c r="DO9" s="227"/>
      <c r="DP9" s="227"/>
      <c r="DQ9" s="227"/>
      <c r="DR9" s="227"/>
      <c r="DS9" s="227"/>
      <c r="DT9" s="227"/>
      <c r="DU9" s="227"/>
      <c r="DV9" s="227"/>
      <c r="DW9" s="227"/>
      <c r="DX9" s="227"/>
      <c r="DY9" s="227"/>
      <c r="DZ9" s="227"/>
      <c r="EA9" s="227"/>
      <c r="EB9" s="227"/>
      <c r="EC9" s="227"/>
      <c r="ED9" s="227"/>
      <c r="EE9" s="227"/>
      <c r="EF9" s="227"/>
      <c r="EG9" s="227"/>
      <c r="EH9" s="227"/>
      <c r="EI9" s="227"/>
      <c r="EJ9" s="227"/>
      <c r="EK9" s="227"/>
      <c r="EL9" s="227"/>
      <c r="EM9" s="227"/>
      <c r="EN9" s="227"/>
      <c r="EO9" s="227"/>
      <c r="EP9" s="227"/>
      <c r="EQ9" s="227"/>
      <c r="ER9" s="227"/>
      <c r="ES9" s="227"/>
      <c r="ET9" s="227"/>
      <c r="EU9" s="227"/>
      <c r="EV9" s="227"/>
      <c r="EW9" s="227"/>
      <c r="EX9" s="227"/>
      <c r="EY9" s="227"/>
      <c r="EZ9" s="227"/>
      <c r="FA9" s="227"/>
      <c r="FB9" s="227"/>
      <c r="FC9" s="227"/>
      <c r="FD9" s="227"/>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228" t="s">
        <v>818</v>
      </c>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8"/>
      <c r="AO11" s="228"/>
      <c r="AP11" s="228"/>
      <c r="AQ11" s="228"/>
      <c r="AR11" s="228"/>
      <c r="AS11" s="228"/>
      <c r="AT11" s="228"/>
      <c r="AU11" s="228"/>
      <c r="AV11" s="228"/>
      <c r="AW11" s="228"/>
      <c r="AX11" s="228"/>
      <c r="AY11" s="228"/>
      <c r="AZ11" s="228"/>
      <c r="BA11" s="228"/>
      <c r="BB11" s="228"/>
      <c r="BC11" s="228"/>
      <c r="BD11" s="228"/>
      <c r="BE11" s="228"/>
      <c r="BF11" s="228"/>
      <c r="BG11" s="228"/>
      <c r="BH11" s="228"/>
      <c r="BI11" s="228"/>
      <c r="BJ11" s="228"/>
      <c r="BK11" s="228"/>
      <c r="BL11" s="228"/>
      <c r="BM11" s="228"/>
      <c r="BN11" s="228"/>
      <c r="BO11" s="228"/>
      <c r="BP11" s="228"/>
      <c r="BQ11" s="228"/>
      <c r="BR11" s="228"/>
      <c r="BS11" s="228"/>
      <c r="BT11" s="228"/>
      <c r="BU11" s="228"/>
      <c r="BV11" s="228"/>
      <c r="BW11" s="228"/>
      <c r="BX11" s="228"/>
      <c r="BY11" s="228"/>
      <c r="BZ11" s="228"/>
      <c r="CA11" s="228"/>
      <c r="CB11" s="228"/>
      <c r="CC11" s="228"/>
      <c r="CD11" s="228"/>
      <c r="CE11" s="228"/>
      <c r="CF11" s="228"/>
      <c r="CG11" s="228"/>
      <c r="CH11" s="228"/>
      <c r="CI11" s="228"/>
      <c r="CJ11" s="228"/>
      <c r="CK11" s="228"/>
      <c r="CL11" s="228"/>
      <c r="CM11" s="228"/>
      <c r="CN11" s="228"/>
      <c r="CO11" s="228"/>
      <c r="CP11" s="228"/>
      <c r="CQ11" s="228"/>
      <c r="CR11" s="228"/>
      <c r="CS11" s="228"/>
      <c r="CT11" s="228"/>
      <c r="CU11" s="228"/>
      <c r="CV11" s="228"/>
      <c r="CW11" s="228"/>
      <c r="CX11" s="228"/>
      <c r="CY11" s="228"/>
      <c r="CZ11" s="228"/>
      <c r="DA11" s="228"/>
      <c r="DB11" s="228"/>
      <c r="DC11" s="228"/>
      <c r="DD11" s="228"/>
      <c r="DE11" s="228"/>
      <c r="DF11" s="228"/>
      <c r="DG11" s="228"/>
      <c r="DH11" s="228"/>
      <c r="DI11" s="228"/>
      <c r="DJ11" s="228"/>
      <c r="DK11" s="228"/>
      <c r="DL11" s="228"/>
      <c r="DM11" s="228"/>
      <c r="DN11" s="228"/>
      <c r="DO11" s="228"/>
      <c r="DP11" s="228"/>
      <c r="DQ11" s="228"/>
      <c r="DR11" s="228"/>
      <c r="DS11" s="228"/>
      <c r="DT11" s="228"/>
      <c r="DU11" s="228"/>
      <c r="DV11" s="228"/>
      <c r="DW11" s="228"/>
      <c r="DX11" s="228"/>
      <c r="DY11" s="228"/>
      <c r="DZ11" s="228"/>
      <c r="EA11" s="228"/>
      <c r="EB11" s="228"/>
      <c r="EC11" s="228"/>
      <c r="ED11" s="228"/>
      <c r="EE11" s="228"/>
      <c r="EF11" s="228"/>
      <c r="EG11" s="228"/>
      <c r="EH11" s="228"/>
      <c r="EI11" s="228"/>
      <c r="EJ11" s="228"/>
      <c r="EK11" s="228"/>
      <c r="EL11" s="228"/>
      <c r="EM11" s="228"/>
      <c r="EN11" s="228"/>
      <c r="EO11" s="228"/>
      <c r="EP11" s="228"/>
      <c r="EQ11" s="228"/>
      <c r="ER11" s="228"/>
      <c r="ES11" s="228"/>
      <c r="ET11" s="228"/>
      <c r="EU11" s="228"/>
      <c r="EV11" s="228"/>
      <c r="EW11" s="228"/>
      <c r="EX11" s="228"/>
      <c r="EY11" s="228"/>
      <c r="EZ11" s="228"/>
      <c r="FA11" s="228"/>
      <c r="FB11" s="228"/>
      <c r="FC11" s="228"/>
      <c r="FD11" s="228"/>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228"/>
      <c r="R12" s="228"/>
      <c r="S12" s="228"/>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8"/>
      <c r="AX12" s="228"/>
      <c r="AY12" s="228"/>
      <c r="AZ12" s="228"/>
      <c r="BA12" s="228"/>
      <c r="BB12" s="228"/>
      <c r="BC12" s="228"/>
      <c r="BD12" s="228"/>
      <c r="BE12" s="228"/>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c r="CB12" s="228"/>
      <c r="CC12" s="228"/>
      <c r="CD12" s="228"/>
      <c r="CE12" s="228"/>
      <c r="CF12" s="228"/>
      <c r="CG12" s="228"/>
      <c r="CH12" s="228"/>
      <c r="CI12" s="228"/>
      <c r="CJ12" s="228"/>
      <c r="CK12" s="228"/>
      <c r="CL12" s="228"/>
      <c r="CM12" s="228"/>
      <c r="CN12" s="228"/>
      <c r="CO12" s="228"/>
      <c r="CP12" s="228"/>
      <c r="CQ12" s="228"/>
      <c r="CR12" s="228"/>
      <c r="CS12" s="228"/>
      <c r="CT12" s="228"/>
      <c r="CU12" s="228"/>
      <c r="CV12" s="228"/>
      <c r="CW12" s="228"/>
      <c r="CX12" s="228"/>
      <c r="CY12" s="228"/>
      <c r="CZ12" s="228"/>
      <c r="DA12" s="228"/>
      <c r="DB12" s="228"/>
      <c r="DC12" s="228"/>
      <c r="DD12" s="228"/>
      <c r="DE12" s="228"/>
      <c r="DF12" s="228"/>
      <c r="DG12" s="228"/>
      <c r="DH12" s="228"/>
      <c r="DI12" s="228"/>
      <c r="DJ12" s="228"/>
      <c r="DK12" s="228"/>
      <c r="DL12" s="228"/>
      <c r="DM12" s="228"/>
      <c r="DN12" s="228"/>
      <c r="DO12" s="228"/>
      <c r="DP12" s="228"/>
      <c r="DQ12" s="228"/>
      <c r="DR12" s="228"/>
      <c r="DS12" s="228"/>
      <c r="DT12" s="228"/>
      <c r="DU12" s="228"/>
      <c r="DV12" s="228"/>
      <c r="DW12" s="228"/>
      <c r="DX12" s="228"/>
      <c r="DY12" s="228"/>
      <c r="DZ12" s="228"/>
      <c r="EA12" s="228"/>
      <c r="EB12" s="228"/>
      <c r="EC12" s="228"/>
      <c r="ED12" s="228"/>
      <c r="EE12" s="228"/>
      <c r="EF12" s="228"/>
      <c r="EG12" s="228"/>
      <c r="EH12" s="228"/>
      <c r="EI12" s="228"/>
      <c r="EJ12" s="228"/>
      <c r="EK12" s="228"/>
      <c r="EL12" s="228"/>
      <c r="EM12" s="228"/>
      <c r="EN12" s="228"/>
      <c r="EO12" s="228"/>
      <c r="EP12" s="228"/>
      <c r="EQ12" s="228"/>
      <c r="ER12" s="228"/>
      <c r="ES12" s="228"/>
      <c r="ET12" s="228"/>
      <c r="EU12" s="228"/>
      <c r="EV12" s="228"/>
      <c r="EW12" s="228"/>
      <c r="EX12" s="228"/>
      <c r="EY12" s="228"/>
      <c r="EZ12" s="228"/>
      <c r="FA12" s="228"/>
      <c r="FB12" s="228"/>
      <c r="FC12" s="228"/>
      <c r="FD12" s="228"/>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229" t="s">
        <v>64</v>
      </c>
      <c r="AH28" s="230"/>
      <c r="AI28" s="230"/>
      <c r="AJ28" s="230"/>
      <c r="AK28" s="230"/>
      <c r="AL28" s="230"/>
      <c r="AM28" s="230"/>
      <c r="AN28" s="230"/>
      <c r="AO28" s="230"/>
      <c r="AP28" s="230"/>
      <c r="AQ28" s="230"/>
      <c r="AR28" s="230"/>
      <c r="AS28" s="230"/>
      <c r="AT28" s="230"/>
      <c r="AU28" s="230"/>
      <c r="AV28" s="230"/>
      <c r="AW28" s="230"/>
      <c r="AX28" s="230"/>
      <c r="AY28" s="230"/>
      <c r="AZ28" s="230"/>
      <c r="BA28" s="230"/>
      <c r="BB28" s="230"/>
      <c r="BC28" s="231"/>
      <c r="BD28" s="235" t="s">
        <v>65</v>
      </c>
      <c r="BE28" s="230"/>
      <c r="BF28" s="230"/>
      <c r="BG28" s="230"/>
      <c r="BH28" s="230"/>
      <c r="BI28" s="230"/>
      <c r="BJ28" s="230"/>
      <c r="BK28" s="230"/>
      <c r="BL28" s="230"/>
      <c r="BM28" s="230"/>
      <c r="BN28" s="230"/>
      <c r="BO28" s="230"/>
      <c r="BP28" s="230"/>
      <c r="BQ28" s="230"/>
      <c r="BR28" s="230"/>
      <c r="BS28" s="230"/>
      <c r="BT28" s="230"/>
      <c r="BU28" s="230"/>
      <c r="BV28" s="230"/>
      <c r="BW28" s="230"/>
      <c r="BX28" s="230"/>
      <c r="BY28" s="230"/>
      <c r="BZ28" s="231"/>
      <c r="CA28" s="235" t="s">
        <v>66</v>
      </c>
      <c r="CB28" s="230"/>
      <c r="CC28" s="230"/>
      <c r="CD28" s="230"/>
      <c r="CE28" s="230"/>
      <c r="CF28" s="230"/>
      <c r="CG28" s="230"/>
      <c r="CH28" s="230"/>
      <c r="CI28" s="230"/>
      <c r="CJ28" s="230"/>
      <c r="CK28" s="230"/>
      <c r="CL28" s="230"/>
      <c r="CM28" s="230"/>
      <c r="CN28" s="230"/>
      <c r="CO28" s="230"/>
      <c r="CP28" s="230"/>
      <c r="CQ28" s="230"/>
      <c r="CR28" s="230"/>
      <c r="CS28" s="230"/>
      <c r="CT28" s="230"/>
      <c r="CU28" s="230"/>
      <c r="CV28" s="230"/>
      <c r="CW28" s="237"/>
      <c r="CX28" s="65"/>
      <c r="CY28" s="65"/>
      <c r="CZ28" s="65"/>
      <c r="DA28" s="65"/>
      <c r="DB28" s="65"/>
      <c r="DC28" s="65"/>
      <c r="DD28" s="65"/>
      <c r="DE28" s="65"/>
      <c r="DF28" s="65"/>
      <c r="DG28" s="65"/>
      <c r="DH28" s="65"/>
    </row>
    <row r="29" spans="3:112" s="92" customFormat="1" ht="12.75" customHeight="1" thickBot="1">
      <c r="C29" s="66"/>
      <c r="AG29" s="232"/>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4"/>
      <c r="BD29" s="236"/>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4"/>
      <c r="CA29" s="236"/>
      <c r="CB29" s="233"/>
      <c r="CC29" s="233"/>
      <c r="CD29" s="233"/>
      <c r="CE29" s="233"/>
      <c r="CF29" s="233"/>
      <c r="CG29" s="233"/>
      <c r="CH29" s="233"/>
      <c r="CI29" s="233"/>
      <c r="CJ29" s="233"/>
      <c r="CK29" s="233"/>
      <c r="CL29" s="233"/>
      <c r="CM29" s="233"/>
      <c r="CN29" s="233"/>
      <c r="CO29" s="233"/>
      <c r="CP29" s="233"/>
      <c r="CQ29" s="233"/>
      <c r="CR29" s="233"/>
      <c r="CS29" s="233"/>
      <c r="CT29" s="233"/>
      <c r="CU29" s="233"/>
      <c r="CV29" s="233"/>
      <c r="CW29" s="238"/>
      <c r="CX29" s="66"/>
      <c r="CY29" s="66"/>
      <c r="CZ29" s="65"/>
      <c r="DA29" s="65"/>
      <c r="DB29" s="65"/>
      <c r="DC29" s="65"/>
      <c r="DD29" s="65"/>
      <c r="DE29" s="65"/>
      <c r="DF29" s="65"/>
      <c r="DG29" s="65"/>
      <c r="DH29" s="65"/>
    </row>
    <row r="30" spans="3:112" s="92" customFormat="1" ht="12.75" customHeight="1" thickTop="1">
      <c r="C30" s="66"/>
      <c r="AG30" s="211" t="s">
        <v>817</v>
      </c>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3"/>
      <c r="BD30" s="220" t="s">
        <v>816</v>
      </c>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3"/>
      <c r="CA30" s="220" t="s">
        <v>815</v>
      </c>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22"/>
      <c r="CX30" s="66"/>
      <c r="CY30" s="66"/>
      <c r="CZ30" s="65"/>
      <c r="DA30" s="65"/>
      <c r="DB30" s="65"/>
      <c r="DC30" s="65"/>
      <c r="DD30" s="65"/>
      <c r="DE30" s="65"/>
      <c r="DF30" s="65"/>
      <c r="DG30" s="65"/>
      <c r="DH30" s="65"/>
    </row>
    <row r="31" spans="3:112" s="92" customFormat="1" ht="12" customHeight="1">
      <c r="C31" s="65"/>
      <c r="AG31" s="214"/>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221"/>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6"/>
      <c r="CA31" s="221"/>
      <c r="CB31" s="215"/>
      <c r="CC31" s="215"/>
      <c r="CD31" s="215"/>
      <c r="CE31" s="215"/>
      <c r="CF31" s="215"/>
      <c r="CG31" s="215"/>
      <c r="CH31" s="215"/>
      <c r="CI31" s="215"/>
      <c r="CJ31" s="215"/>
      <c r="CK31" s="215"/>
      <c r="CL31" s="215"/>
      <c r="CM31" s="215"/>
      <c r="CN31" s="215"/>
      <c r="CO31" s="215"/>
      <c r="CP31" s="215"/>
      <c r="CQ31" s="215"/>
      <c r="CR31" s="215"/>
      <c r="CS31" s="215"/>
      <c r="CT31" s="215"/>
      <c r="CU31" s="215"/>
      <c r="CV31" s="215"/>
      <c r="CW31" s="223"/>
      <c r="CX31" s="65"/>
      <c r="CY31" s="65"/>
      <c r="CZ31" s="65"/>
      <c r="DA31" s="65"/>
      <c r="DB31" s="65"/>
      <c r="DC31" s="65"/>
      <c r="DD31" s="65"/>
      <c r="DE31" s="65"/>
      <c r="DF31" s="65"/>
      <c r="DG31" s="65"/>
      <c r="DH31" s="65"/>
    </row>
    <row r="32" spans="3:112" s="92" customFormat="1" ht="12" customHeight="1">
      <c r="C32" s="65"/>
      <c r="AG32" s="214"/>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221"/>
      <c r="BE32" s="215"/>
      <c r="BF32" s="215"/>
      <c r="BG32" s="215"/>
      <c r="BH32" s="215"/>
      <c r="BI32" s="215"/>
      <c r="BJ32" s="215"/>
      <c r="BK32" s="215"/>
      <c r="BL32" s="215"/>
      <c r="BM32" s="215"/>
      <c r="BN32" s="215"/>
      <c r="BO32" s="215"/>
      <c r="BP32" s="215"/>
      <c r="BQ32" s="215"/>
      <c r="BR32" s="215"/>
      <c r="BS32" s="215"/>
      <c r="BT32" s="215"/>
      <c r="BU32" s="215"/>
      <c r="BV32" s="215"/>
      <c r="BW32" s="215"/>
      <c r="BX32" s="215"/>
      <c r="BY32" s="215"/>
      <c r="BZ32" s="216"/>
      <c r="CA32" s="221"/>
      <c r="CB32" s="215"/>
      <c r="CC32" s="215"/>
      <c r="CD32" s="215"/>
      <c r="CE32" s="215"/>
      <c r="CF32" s="215"/>
      <c r="CG32" s="215"/>
      <c r="CH32" s="215"/>
      <c r="CI32" s="215"/>
      <c r="CJ32" s="215"/>
      <c r="CK32" s="215"/>
      <c r="CL32" s="215"/>
      <c r="CM32" s="215"/>
      <c r="CN32" s="215"/>
      <c r="CO32" s="215"/>
      <c r="CP32" s="215"/>
      <c r="CQ32" s="215"/>
      <c r="CR32" s="215"/>
      <c r="CS32" s="215"/>
      <c r="CT32" s="215"/>
      <c r="CU32" s="215"/>
      <c r="CV32" s="215"/>
      <c r="CW32" s="223"/>
      <c r="CX32" s="65"/>
      <c r="CY32" s="65"/>
      <c r="CZ32" s="65"/>
      <c r="DA32" s="65"/>
      <c r="DB32" s="65"/>
      <c r="DC32" s="65"/>
      <c r="DD32" s="65"/>
      <c r="DE32" s="65"/>
      <c r="DF32" s="65"/>
      <c r="DG32" s="65"/>
      <c r="DH32" s="65"/>
    </row>
    <row r="33" spans="3:164" s="92" customFormat="1" ht="12" customHeight="1" thickBot="1">
      <c r="C33" s="65"/>
      <c r="AG33" s="239">
        <v>42955</v>
      </c>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v>42955</v>
      </c>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v>42955</v>
      </c>
      <c r="CB33" s="209"/>
      <c r="CC33" s="209"/>
      <c r="CD33" s="209"/>
      <c r="CE33" s="209"/>
      <c r="CF33" s="209"/>
      <c r="CG33" s="209"/>
      <c r="CH33" s="209"/>
      <c r="CI33" s="209"/>
      <c r="CJ33" s="209"/>
      <c r="CK33" s="209"/>
      <c r="CL33" s="209"/>
      <c r="CM33" s="209"/>
      <c r="CN33" s="209"/>
      <c r="CO33" s="209"/>
      <c r="CP33" s="209"/>
      <c r="CQ33" s="209"/>
      <c r="CR33" s="209"/>
      <c r="CS33" s="209"/>
      <c r="CT33" s="209"/>
      <c r="CU33" s="209"/>
      <c r="CV33" s="209"/>
      <c r="CW33" s="210"/>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229" t="s">
        <v>74</v>
      </c>
      <c r="K35" s="230"/>
      <c r="L35" s="230"/>
      <c r="M35" s="230"/>
      <c r="N35" s="230"/>
      <c r="O35" s="230"/>
      <c r="P35" s="230"/>
      <c r="Q35" s="230"/>
      <c r="R35" s="230"/>
      <c r="S35" s="230"/>
      <c r="T35" s="230"/>
      <c r="U35" s="230"/>
      <c r="V35" s="230"/>
      <c r="W35" s="230"/>
      <c r="X35" s="230"/>
      <c r="Y35" s="230"/>
      <c r="Z35" s="230"/>
      <c r="AA35" s="230"/>
      <c r="AB35" s="230"/>
      <c r="AC35" s="230"/>
      <c r="AD35" s="230"/>
      <c r="AE35" s="230"/>
      <c r="AF35" s="231"/>
      <c r="AG35" s="235" t="s">
        <v>75</v>
      </c>
      <c r="AH35" s="230"/>
      <c r="AI35" s="230"/>
      <c r="AJ35" s="230"/>
      <c r="AK35" s="230"/>
      <c r="AL35" s="230"/>
      <c r="AM35" s="230"/>
      <c r="AN35" s="230"/>
      <c r="AO35" s="230"/>
      <c r="AP35" s="230"/>
      <c r="AQ35" s="230"/>
      <c r="AR35" s="230"/>
      <c r="AS35" s="230"/>
      <c r="AT35" s="230"/>
      <c r="AU35" s="230"/>
      <c r="AV35" s="230"/>
      <c r="AW35" s="230"/>
      <c r="AX35" s="230"/>
      <c r="AY35" s="230"/>
      <c r="AZ35" s="230"/>
      <c r="BA35" s="230"/>
      <c r="BB35" s="230"/>
      <c r="BC35" s="231"/>
      <c r="BD35" s="235" t="s">
        <v>76</v>
      </c>
      <c r="BE35" s="230"/>
      <c r="BF35" s="230"/>
      <c r="BG35" s="230"/>
      <c r="BH35" s="230"/>
      <c r="BI35" s="230"/>
      <c r="BJ35" s="230"/>
      <c r="BK35" s="230"/>
      <c r="BL35" s="230"/>
      <c r="BM35" s="230"/>
      <c r="BN35" s="230"/>
      <c r="BO35" s="230"/>
      <c r="BP35" s="230"/>
      <c r="BQ35" s="230"/>
      <c r="BR35" s="230"/>
      <c r="BS35" s="230"/>
      <c r="BT35" s="230"/>
      <c r="BU35" s="230"/>
      <c r="BV35" s="230"/>
      <c r="BW35" s="230"/>
      <c r="BX35" s="230"/>
      <c r="BY35" s="230"/>
      <c r="BZ35" s="231"/>
      <c r="CA35" s="235" t="s">
        <v>77</v>
      </c>
      <c r="CB35" s="230"/>
      <c r="CC35" s="230"/>
      <c r="CD35" s="230"/>
      <c r="CE35" s="230"/>
      <c r="CF35" s="230"/>
      <c r="CG35" s="230"/>
      <c r="CH35" s="230"/>
      <c r="CI35" s="230"/>
      <c r="CJ35" s="230"/>
      <c r="CK35" s="230"/>
      <c r="CL35" s="230"/>
      <c r="CM35" s="230"/>
      <c r="CN35" s="230"/>
      <c r="CO35" s="230"/>
      <c r="CP35" s="230"/>
      <c r="CQ35" s="230"/>
      <c r="CR35" s="230"/>
      <c r="CS35" s="230"/>
      <c r="CT35" s="230"/>
      <c r="CU35" s="230"/>
      <c r="CV35" s="230"/>
      <c r="CW35" s="237"/>
      <c r="CX35" s="65"/>
      <c r="CY35" s="65"/>
      <c r="CZ35" s="65"/>
      <c r="DA35" s="65"/>
      <c r="DB35" s="65"/>
      <c r="DC35" s="65"/>
      <c r="DD35" s="65"/>
      <c r="DE35" s="65"/>
      <c r="DF35" s="65"/>
      <c r="DG35" s="65"/>
      <c r="DH35" s="65"/>
    </row>
    <row r="36" spans="3:164" s="92" customFormat="1" ht="12" customHeight="1" thickBot="1">
      <c r="C36" s="65"/>
      <c r="J36" s="232"/>
      <c r="K36" s="233"/>
      <c r="L36" s="233"/>
      <c r="M36" s="233"/>
      <c r="N36" s="233"/>
      <c r="O36" s="233"/>
      <c r="P36" s="233"/>
      <c r="Q36" s="233"/>
      <c r="R36" s="233"/>
      <c r="S36" s="233"/>
      <c r="T36" s="233"/>
      <c r="U36" s="233"/>
      <c r="V36" s="233"/>
      <c r="W36" s="233"/>
      <c r="X36" s="233"/>
      <c r="Y36" s="233"/>
      <c r="Z36" s="233"/>
      <c r="AA36" s="233"/>
      <c r="AB36" s="233"/>
      <c r="AC36" s="233"/>
      <c r="AD36" s="233"/>
      <c r="AE36" s="233"/>
      <c r="AF36" s="234"/>
      <c r="AG36" s="236"/>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4"/>
      <c r="BD36" s="236"/>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4"/>
      <c r="CA36" s="236"/>
      <c r="CB36" s="233"/>
      <c r="CC36" s="233"/>
      <c r="CD36" s="233"/>
      <c r="CE36" s="233"/>
      <c r="CF36" s="233"/>
      <c r="CG36" s="233"/>
      <c r="CH36" s="233"/>
      <c r="CI36" s="233"/>
      <c r="CJ36" s="233"/>
      <c r="CK36" s="233"/>
      <c r="CL36" s="233"/>
      <c r="CM36" s="233"/>
      <c r="CN36" s="233"/>
      <c r="CO36" s="233"/>
      <c r="CP36" s="233"/>
      <c r="CQ36" s="233"/>
      <c r="CR36" s="233"/>
      <c r="CS36" s="233"/>
      <c r="CT36" s="233"/>
      <c r="CU36" s="233"/>
      <c r="CV36" s="233"/>
      <c r="CW36" s="238"/>
      <c r="CX36" s="65"/>
      <c r="CY36" s="65"/>
      <c r="CZ36" s="65"/>
      <c r="DA36" s="65"/>
      <c r="DB36" s="65"/>
      <c r="DC36" s="65"/>
      <c r="DD36" s="65"/>
      <c r="DE36" s="65"/>
      <c r="DF36" s="65"/>
      <c r="DG36" s="65"/>
      <c r="DH36" s="65"/>
    </row>
    <row r="37" spans="3:164" s="92" customFormat="1" ht="12" customHeight="1" thickTop="1">
      <c r="C37" s="65"/>
      <c r="J37" s="211"/>
      <c r="K37" s="212"/>
      <c r="L37" s="212"/>
      <c r="M37" s="212"/>
      <c r="N37" s="212"/>
      <c r="O37" s="212"/>
      <c r="P37" s="212"/>
      <c r="Q37" s="212"/>
      <c r="R37" s="212"/>
      <c r="S37" s="212"/>
      <c r="T37" s="212"/>
      <c r="U37" s="212"/>
      <c r="V37" s="212"/>
      <c r="W37" s="212"/>
      <c r="X37" s="212"/>
      <c r="Y37" s="212"/>
      <c r="Z37" s="212"/>
      <c r="AA37" s="212"/>
      <c r="AB37" s="212"/>
      <c r="AC37" s="212"/>
      <c r="AD37" s="212"/>
      <c r="AE37" s="212"/>
      <c r="AF37" s="213"/>
      <c r="AG37" s="220"/>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3"/>
      <c r="BD37" s="220"/>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3"/>
      <c r="CA37" s="220"/>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22"/>
      <c r="CX37" s="65"/>
      <c r="CY37" s="65"/>
      <c r="CZ37" s="65"/>
      <c r="DA37" s="65"/>
      <c r="DB37" s="65"/>
      <c r="DC37" s="65"/>
      <c r="DD37" s="65"/>
      <c r="DE37" s="65"/>
      <c r="DF37" s="65"/>
      <c r="DG37" s="65"/>
      <c r="DH37" s="65"/>
      <c r="DK37" s="202" t="s">
        <v>67</v>
      </c>
      <c r="DL37" s="202"/>
      <c r="DM37" s="202"/>
      <c r="DN37" s="202"/>
      <c r="DO37" s="202"/>
      <c r="DP37" s="202"/>
      <c r="DQ37" s="202"/>
      <c r="DR37" s="202"/>
      <c r="DS37" s="202"/>
      <c r="DT37" s="202"/>
      <c r="DU37" s="202"/>
      <c r="DV37" s="202"/>
      <c r="DW37" s="202"/>
      <c r="DX37" s="202"/>
      <c r="DY37" s="202"/>
      <c r="DZ37" s="202"/>
      <c r="EA37" s="202"/>
      <c r="EB37" s="202"/>
      <c r="EC37" s="202"/>
      <c r="ED37" s="202"/>
      <c r="EE37" s="202"/>
      <c r="EF37" s="202"/>
      <c r="EG37" s="202"/>
      <c r="EH37" s="202"/>
      <c r="EI37" s="202"/>
      <c r="EJ37" s="202"/>
      <c r="EK37" s="202"/>
      <c r="EL37" s="202"/>
      <c r="EM37" s="202"/>
      <c r="EN37" s="202"/>
      <c r="EO37" s="202"/>
      <c r="EP37" s="202"/>
      <c r="EQ37" s="202"/>
      <c r="ER37" s="202"/>
      <c r="ES37" s="202"/>
      <c r="ET37" s="202"/>
      <c r="EU37" s="202"/>
      <c r="EV37" s="202"/>
      <c r="EW37" s="202"/>
      <c r="EX37" s="202"/>
      <c r="EY37" s="202"/>
      <c r="EZ37" s="202"/>
      <c r="FA37" s="202"/>
      <c r="FB37" s="202"/>
      <c r="FC37" s="202"/>
      <c r="FD37" s="202"/>
      <c r="FE37" s="202"/>
      <c r="FF37" s="202"/>
      <c r="FG37" s="202"/>
      <c r="FH37" s="202"/>
    </row>
    <row r="38" spans="3:164" s="92" customFormat="1">
      <c r="C38" s="65"/>
      <c r="J38" s="214"/>
      <c r="K38" s="215"/>
      <c r="L38" s="215"/>
      <c r="M38" s="215"/>
      <c r="N38" s="215"/>
      <c r="O38" s="215"/>
      <c r="P38" s="215"/>
      <c r="Q38" s="215"/>
      <c r="R38" s="215"/>
      <c r="S38" s="215"/>
      <c r="T38" s="215"/>
      <c r="U38" s="215"/>
      <c r="V38" s="215"/>
      <c r="W38" s="215"/>
      <c r="X38" s="215"/>
      <c r="Y38" s="215"/>
      <c r="Z38" s="215"/>
      <c r="AA38" s="215"/>
      <c r="AB38" s="215"/>
      <c r="AC38" s="215"/>
      <c r="AD38" s="215"/>
      <c r="AE38" s="215"/>
      <c r="AF38" s="216"/>
      <c r="AG38" s="221"/>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221"/>
      <c r="BE38" s="215"/>
      <c r="BF38" s="215"/>
      <c r="BG38" s="215"/>
      <c r="BH38" s="215"/>
      <c r="BI38" s="215"/>
      <c r="BJ38" s="215"/>
      <c r="BK38" s="215"/>
      <c r="BL38" s="215"/>
      <c r="BM38" s="215"/>
      <c r="BN38" s="215"/>
      <c r="BO38" s="215"/>
      <c r="BP38" s="215"/>
      <c r="BQ38" s="215"/>
      <c r="BR38" s="215"/>
      <c r="BS38" s="215"/>
      <c r="BT38" s="215"/>
      <c r="BU38" s="215"/>
      <c r="BV38" s="215"/>
      <c r="BW38" s="215"/>
      <c r="BX38" s="215"/>
      <c r="BY38" s="215"/>
      <c r="BZ38" s="216"/>
      <c r="CA38" s="221"/>
      <c r="CB38" s="215"/>
      <c r="CC38" s="215"/>
      <c r="CD38" s="215"/>
      <c r="CE38" s="215"/>
      <c r="CF38" s="215"/>
      <c r="CG38" s="215"/>
      <c r="CH38" s="215"/>
      <c r="CI38" s="215"/>
      <c r="CJ38" s="215"/>
      <c r="CK38" s="215"/>
      <c r="CL38" s="215"/>
      <c r="CM38" s="215"/>
      <c r="CN38" s="215"/>
      <c r="CO38" s="215"/>
      <c r="CP38" s="215"/>
      <c r="CQ38" s="215"/>
      <c r="CR38" s="215"/>
      <c r="CS38" s="215"/>
      <c r="CT38" s="215"/>
      <c r="CU38" s="215"/>
      <c r="CV38" s="215"/>
      <c r="CW38" s="223"/>
      <c r="CX38" s="65"/>
      <c r="CY38" s="65"/>
      <c r="CZ38" s="65"/>
      <c r="DA38" s="65"/>
      <c r="DB38" s="65"/>
      <c r="DC38" s="65"/>
      <c r="DD38" s="65"/>
      <c r="DE38" s="65"/>
      <c r="DF38" s="65"/>
      <c r="DG38" s="65"/>
      <c r="DH38" s="65"/>
      <c r="DK38" s="202"/>
      <c r="DL38" s="202"/>
      <c r="DM38" s="202"/>
      <c r="DN38" s="202"/>
      <c r="DO38" s="202"/>
      <c r="DP38" s="202"/>
      <c r="DQ38" s="202"/>
      <c r="DR38" s="202"/>
      <c r="DS38" s="202"/>
      <c r="DT38" s="202"/>
      <c r="DU38" s="202"/>
      <c r="DV38" s="202"/>
      <c r="DW38" s="202"/>
      <c r="DX38" s="202"/>
      <c r="DY38" s="202"/>
      <c r="DZ38" s="202"/>
      <c r="EA38" s="202"/>
      <c r="EB38" s="202"/>
      <c r="EC38" s="202"/>
      <c r="ED38" s="202"/>
      <c r="EE38" s="202"/>
      <c r="EF38" s="202"/>
      <c r="EG38" s="202"/>
      <c r="EH38" s="202"/>
      <c r="EI38" s="202"/>
      <c r="EJ38" s="202"/>
      <c r="EK38" s="202"/>
      <c r="EL38" s="202"/>
      <c r="EM38" s="202"/>
      <c r="EN38" s="202"/>
      <c r="EO38" s="202"/>
      <c r="EP38" s="202"/>
      <c r="EQ38" s="202"/>
      <c r="ER38" s="202"/>
      <c r="ES38" s="202"/>
      <c r="ET38" s="202"/>
      <c r="EU38" s="202"/>
      <c r="EV38" s="202"/>
      <c r="EW38" s="202"/>
      <c r="EX38" s="202"/>
      <c r="EY38" s="202"/>
      <c r="EZ38" s="202"/>
      <c r="FA38" s="202"/>
      <c r="FB38" s="202"/>
      <c r="FC38" s="202"/>
      <c r="FD38" s="202"/>
      <c r="FE38" s="202"/>
      <c r="FF38" s="202"/>
      <c r="FG38" s="202"/>
      <c r="FH38" s="202"/>
    </row>
    <row r="39" spans="3:164" s="92" customFormat="1">
      <c r="J39" s="217"/>
      <c r="K39" s="218"/>
      <c r="L39" s="218"/>
      <c r="M39" s="218"/>
      <c r="N39" s="218"/>
      <c r="O39" s="218"/>
      <c r="P39" s="218"/>
      <c r="Q39" s="218"/>
      <c r="R39" s="218"/>
      <c r="S39" s="218"/>
      <c r="T39" s="218"/>
      <c r="U39" s="218"/>
      <c r="V39" s="218"/>
      <c r="W39" s="218"/>
      <c r="X39" s="218"/>
      <c r="Y39" s="218"/>
      <c r="Z39" s="218"/>
      <c r="AA39" s="218"/>
      <c r="AB39" s="218"/>
      <c r="AC39" s="218"/>
      <c r="AD39" s="218"/>
      <c r="AE39" s="218"/>
      <c r="AF39" s="219"/>
      <c r="AG39" s="221"/>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221"/>
      <c r="BE39" s="215"/>
      <c r="BF39" s="215"/>
      <c r="BG39" s="215"/>
      <c r="BH39" s="215"/>
      <c r="BI39" s="215"/>
      <c r="BJ39" s="215"/>
      <c r="BK39" s="215"/>
      <c r="BL39" s="215"/>
      <c r="BM39" s="215"/>
      <c r="BN39" s="215"/>
      <c r="BO39" s="215"/>
      <c r="BP39" s="215"/>
      <c r="BQ39" s="215"/>
      <c r="BR39" s="215"/>
      <c r="BS39" s="215"/>
      <c r="BT39" s="215"/>
      <c r="BU39" s="215"/>
      <c r="BV39" s="215"/>
      <c r="BW39" s="215"/>
      <c r="BX39" s="215"/>
      <c r="BY39" s="215"/>
      <c r="BZ39" s="216"/>
      <c r="CA39" s="221"/>
      <c r="CB39" s="215"/>
      <c r="CC39" s="215"/>
      <c r="CD39" s="215"/>
      <c r="CE39" s="215"/>
      <c r="CF39" s="215"/>
      <c r="CG39" s="215"/>
      <c r="CH39" s="215"/>
      <c r="CI39" s="215"/>
      <c r="CJ39" s="215"/>
      <c r="CK39" s="215"/>
      <c r="CL39" s="215"/>
      <c r="CM39" s="215"/>
      <c r="CN39" s="215"/>
      <c r="CO39" s="215"/>
      <c r="CP39" s="215"/>
      <c r="CQ39" s="215"/>
      <c r="CR39" s="215"/>
      <c r="CS39" s="215"/>
      <c r="CT39" s="215"/>
      <c r="CU39" s="215"/>
      <c r="CV39" s="215"/>
      <c r="CW39" s="223"/>
      <c r="DK39" s="203"/>
      <c r="DL39" s="203"/>
      <c r="DM39" s="203"/>
      <c r="DN39" s="203"/>
      <c r="DO39" s="203"/>
      <c r="DP39" s="203"/>
      <c r="DQ39" s="203"/>
      <c r="DR39" s="203"/>
      <c r="DS39" s="203"/>
      <c r="DT39" s="203"/>
      <c r="DU39" s="203"/>
      <c r="DV39" s="203"/>
      <c r="DW39" s="203"/>
      <c r="DX39" s="203"/>
      <c r="DY39" s="203"/>
      <c r="DZ39" s="203"/>
      <c r="EA39" s="203"/>
      <c r="EB39" s="203"/>
      <c r="EC39" s="203"/>
      <c r="ED39" s="203"/>
      <c r="EE39" s="203"/>
      <c r="EF39" s="203"/>
      <c r="EG39" s="203"/>
      <c r="EH39" s="203"/>
      <c r="EI39" s="203"/>
      <c r="EJ39" s="203"/>
      <c r="EK39" s="203"/>
      <c r="EL39" s="203"/>
      <c r="EM39" s="203"/>
      <c r="EN39" s="203"/>
      <c r="EO39" s="203"/>
      <c r="EP39" s="203"/>
      <c r="EQ39" s="203"/>
      <c r="ER39" s="203"/>
      <c r="ES39" s="203"/>
      <c r="ET39" s="203"/>
      <c r="EU39" s="203"/>
      <c r="EV39" s="203"/>
      <c r="EW39" s="203"/>
      <c r="EX39" s="203"/>
      <c r="EY39" s="203"/>
      <c r="EZ39" s="203"/>
      <c r="FA39" s="203"/>
      <c r="FB39" s="203"/>
      <c r="FC39" s="203"/>
      <c r="FD39" s="203"/>
      <c r="FE39" s="203"/>
      <c r="FF39" s="203"/>
      <c r="FG39" s="203"/>
      <c r="FH39" s="203"/>
    </row>
    <row r="40" spans="3:164" s="92" customFormat="1" ht="12.75" thickBot="1">
      <c r="J40" s="204"/>
      <c r="K40" s="205"/>
      <c r="L40" s="205"/>
      <c r="M40" s="205"/>
      <c r="N40" s="205"/>
      <c r="O40" s="205"/>
      <c r="P40" s="205"/>
      <c r="Q40" s="205"/>
      <c r="R40" s="205"/>
      <c r="S40" s="205"/>
      <c r="T40" s="205"/>
      <c r="U40" s="205"/>
      <c r="V40" s="205"/>
      <c r="W40" s="205"/>
      <c r="X40" s="205"/>
      <c r="Y40" s="205"/>
      <c r="Z40" s="205"/>
      <c r="AA40" s="205"/>
      <c r="AB40" s="205"/>
      <c r="AC40" s="205"/>
      <c r="AD40" s="205"/>
      <c r="AE40" s="205"/>
      <c r="AF40" s="206"/>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8"/>
      <c r="DK40" s="203"/>
      <c r="DL40" s="203"/>
      <c r="DM40" s="203"/>
      <c r="DN40" s="203"/>
      <c r="DO40" s="203"/>
      <c r="DP40" s="203"/>
      <c r="DQ40" s="203"/>
      <c r="DR40" s="203"/>
      <c r="DS40" s="203"/>
      <c r="DT40" s="203"/>
      <c r="DU40" s="203"/>
      <c r="DV40" s="203"/>
      <c r="DW40" s="203"/>
      <c r="DX40" s="203"/>
      <c r="DY40" s="203"/>
      <c r="DZ40" s="203"/>
      <c r="EA40" s="203"/>
      <c r="EB40" s="203"/>
      <c r="EC40" s="203"/>
      <c r="ED40" s="203"/>
      <c r="EE40" s="203"/>
      <c r="EF40" s="203"/>
      <c r="EG40" s="203"/>
      <c r="EH40" s="203"/>
      <c r="EI40" s="203"/>
      <c r="EJ40" s="203"/>
      <c r="EK40" s="203"/>
      <c r="EL40" s="203"/>
      <c r="EM40" s="203"/>
      <c r="EN40" s="203"/>
      <c r="EO40" s="203"/>
      <c r="EP40" s="203"/>
      <c r="EQ40" s="203"/>
      <c r="ER40" s="203"/>
      <c r="ES40" s="203"/>
      <c r="ET40" s="203"/>
      <c r="EU40" s="203"/>
      <c r="EV40" s="203"/>
      <c r="EW40" s="203"/>
      <c r="EX40" s="203"/>
      <c r="EY40" s="203"/>
      <c r="EZ40" s="203"/>
      <c r="FA40" s="203"/>
      <c r="FB40" s="203"/>
      <c r="FC40" s="203"/>
      <c r="FD40" s="203"/>
      <c r="FE40" s="203"/>
      <c r="FF40" s="203"/>
      <c r="FG40" s="203"/>
      <c r="FH40" s="203"/>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99</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6"/>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572</v>
      </c>
    </row>
    <row r="2" spans="1:24">
      <c r="A2" s="98"/>
      <c r="G2" s="6" t="s">
        <v>1</v>
      </c>
      <c r="H2" s="7" t="s">
        <v>0</v>
      </c>
      <c r="I2" s="7" t="s">
        <v>17</v>
      </c>
      <c r="J2" s="7" t="s">
        <v>21</v>
      </c>
      <c r="K2" s="96"/>
      <c r="L2" s="103" t="s">
        <v>88</v>
      </c>
      <c r="M2" s="12">
        <f>COUNTA(B8:B446)-8</f>
        <v>339</v>
      </c>
      <c r="N2" s="99">
        <f>COUNTIF($H$9:$H$946,"OK")+COUNTIF($H$9:$H946,"－")</f>
        <v>0</v>
      </c>
      <c r="O2" s="99">
        <f>COUNTIF($H$9:$H$946,"NG")</f>
        <v>0</v>
      </c>
      <c r="P2" s="99">
        <f>COUNTIF($H$9:$H$946,"NG（済）")</f>
        <v>0</v>
      </c>
      <c r="Q2" s="99">
        <f>COUNTIF($H$9:$H$946,"未実施")</f>
        <v>0</v>
      </c>
    </row>
    <row r="3" spans="1:24">
      <c r="A3" s="98" t="s">
        <v>2</v>
      </c>
      <c r="B3" s="9" t="s">
        <v>80</v>
      </c>
      <c r="G3" s="10">
        <f>SUM(M2:M5)</f>
        <v>1017</v>
      </c>
      <c r="H3" s="10">
        <f>SUM(N2:N5)</f>
        <v>0</v>
      </c>
      <c r="I3" s="10">
        <f>SUM(O2:O5)</f>
        <v>0</v>
      </c>
      <c r="J3" s="10">
        <f>SUM(P2:P5)</f>
        <v>0</v>
      </c>
      <c r="K3" s="96"/>
      <c r="L3" s="104" t="s">
        <v>89</v>
      </c>
      <c r="M3" s="12">
        <f>COUNTA(B8:B446)-8</f>
        <v>339</v>
      </c>
      <c r="N3" s="99">
        <f>COUNTIF($K$9:$K$946,"OK")+COUNTIF($K$9:$K$946,"－")</f>
        <v>0</v>
      </c>
      <c r="O3" s="99">
        <f>COUNTIF($K$9:$K$946,"NG")</f>
        <v>0</v>
      </c>
      <c r="P3" s="99">
        <f>COUNTIF($K$9:$K$946,"NG（済）")</f>
        <v>0</v>
      </c>
      <c r="Q3" s="99">
        <f>COUNTIF($K$9:$K$946,"未実施")</f>
        <v>0</v>
      </c>
    </row>
    <row r="4" spans="1:24">
      <c r="A4" s="13"/>
      <c r="B4" s="99" t="s">
        <v>451</v>
      </c>
      <c r="L4" s="104" t="s">
        <v>90</v>
      </c>
      <c r="M4" s="12">
        <f>COUNTA(B8:B446)-8</f>
        <v>339</v>
      </c>
      <c r="N4" s="99">
        <f>COUNTIF($N$9:$N$946,"OK")+COUNTIF($N$9:$N$946,"－")</f>
        <v>0</v>
      </c>
      <c r="O4" s="99">
        <f>COUNTIF($N$9:$N$946,"NG")</f>
        <v>0</v>
      </c>
      <c r="P4" s="99">
        <f>COUNTIF($N$9:$N$946,"NG（済）")</f>
        <v>0</v>
      </c>
      <c r="Q4" s="99">
        <f>COUNTIF($N$9:$N$946,"未実施")</f>
        <v>0</v>
      </c>
    </row>
    <row r="5" spans="1:24">
      <c r="A5" s="13" t="s">
        <v>3</v>
      </c>
      <c r="B5" s="98" t="s">
        <v>13</v>
      </c>
      <c r="C5" s="97" t="s">
        <v>392</v>
      </c>
      <c r="D5" s="97"/>
      <c r="L5" s="104"/>
      <c r="M5" s="12"/>
      <c r="Q5" s="13"/>
      <c r="R5" s="13"/>
    </row>
    <row r="6" spans="1:24">
      <c r="A6" s="13"/>
      <c r="B6" s="98"/>
      <c r="L6" s="104"/>
      <c r="Q6" s="13"/>
      <c r="R6" s="13"/>
    </row>
    <row r="7" spans="1:24">
      <c r="B7" s="260" t="s">
        <v>4</v>
      </c>
      <c r="C7" s="262" t="s">
        <v>5</v>
      </c>
      <c r="D7" s="262" t="s">
        <v>79</v>
      </c>
      <c r="E7" s="262" t="s">
        <v>6</v>
      </c>
      <c r="F7" s="263" t="s">
        <v>7</v>
      </c>
      <c r="G7" s="264"/>
      <c r="H7" s="257" t="s">
        <v>91</v>
      </c>
      <c r="I7" s="257"/>
      <c r="J7" s="257"/>
      <c r="K7" s="257" t="s">
        <v>84</v>
      </c>
      <c r="L7" s="257"/>
      <c r="M7" s="257"/>
      <c r="N7" s="257" t="s">
        <v>85</v>
      </c>
      <c r="O7" s="257"/>
      <c r="P7" s="257"/>
      <c r="Q7" s="252" t="s">
        <v>573</v>
      </c>
      <c r="R7" s="252" t="s">
        <v>78</v>
      </c>
      <c r="S7" s="251" t="s">
        <v>14</v>
      </c>
      <c r="T7" s="251"/>
      <c r="U7" s="251"/>
      <c r="V7" s="112"/>
    </row>
    <row r="8" spans="1:24">
      <c r="B8" s="261"/>
      <c r="C8" s="253"/>
      <c r="D8" s="253"/>
      <c r="E8" s="253"/>
      <c r="F8" s="265"/>
      <c r="G8" s="266"/>
      <c r="H8" s="111" t="s">
        <v>8</v>
      </c>
      <c r="I8" s="111" t="s">
        <v>9</v>
      </c>
      <c r="J8" s="111" t="s">
        <v>10</v>
      </c>
      <c r="K8" s="111" t="s">
        <v>8</v>
      </c>
      <c r="L8" s="111" t="s">
        <v>9</v>
      </c>
      <c r="M8" s="111" t="s">
        <v>10</v>
      </c>
      <c r="N8" s="111" t="s">
        <v>8</v>
      </c>
      <c r="O8" s="111" t="s">
        <v>9</v>
      </c>
      <c r="P8" s="111" t="s">
        <v>10</v>
      </c>
      <c r="Q8" s="253"/>
      <c r="R8" s="253"/>
      <c r="S8" s="93"/>
      <c r="T8" s="94"/>
      <c r="U8" s="95"/>
      <c r="V8" s="200"/>
    </row>
    <row r="9" spans="1:24" ht="62.1" customHeight="1">
      <c r="B9" s="153" t="str">
        <f>"1-"&amp;ROW()-8</f>
        <v>1-1</v>
      </c>
      <c r="C9" s="42" t="s">
        <v>466</v>
      </c>
      <c r="D9" s="100" t="s">
        <v>83</v>
      </c>
      <c r="E9" s="100" t="s">
        <v>62</v>
      </c>
      <c r="F9" s="242" t="s">
        <v>465</v>
      </c>
      <c r="G9" s="243"/>
      <c r="H9" s="101"/>
      <c r="I9" s="20"/>
      <c r="J9" s="101"/>
      <c r="K9" s="101"/>
      <c r="L9" s="20"/>
      <c r="M9" s="101"/>
      <c r="N9" s="101"/>
      <c r="O9" s="20"/>
      <c r="P9" s="101"/>
      <c r="Q9" s="101"/>
      <c r="R9" s="101"/>
      <c r="S9" s="100"/>
      <c r="T9" s="102"/>
      <c r="U9" s="102"/>
      <c r="V9" s="200"/>
    </row>
    <row r="10" spans="1:24" ht="34.5" customHeight="1">
      <c r="B10" s="153" t="str">
        <f t="shared" ref="B10:B58" si="0">"1-"&amp;ROW()-8</f>
        <v>1-2</v>
      </c>
      <c r="C10" s="100" t="s">
        <v>83</v>
      </c>
      <c r="D10" s="100" t="s">
        <v>83</v>
      </c>
      <c r="E10" s="100" t="s">
        <v>62</v>
      </c>
      <c r="F10" s="242" t="s">
        <v>82</v>
      </c>
      <c r="G10" s="243"/>
      <c r="H10" s="101"/>
      <c r="I10" s="20"/>
      <c r="J10" s="101"/>
      <c r="K10" s="101"/>
      <c r="L10" s="20"/>
      <c r="M10" s="101"/>
      <c r="N10" s="161"/>
      <c r="O10" s="162"/>
      <c r="P10" s="161"/>
      <c r="Q10" s="101"/>
      <c r="R10" s="101"/>
      <c r="S10" s="100"/>
      <c r="T10" s="102"/>
      <c r="U10" s="102"/>
      <c r="V10" s="200"/>
    </row>
    <row r="11" spans="1:24" ht="48.75" customHeight="1">
      <c r="B11" s="153" t="str">
        <f t="shared" si="0"/>
        <v>1-3</v>
      </c>
      <c r="C11" s="100" t="s">
        <v>83</v>
      </c>
      <c r="D11" s="100" t="s">
        <v>83</v>
      </c>
      <c r="E11" s="100" t="s">
        <v>62</v>
      </c>
      <c r="F11" s="242" t="s">
        <v>92</v>
      </c>
      <c r="G11" s="243"/>
      <c r="H11" s="101"/>
      <c r="I11" s="20"/>
      <c r="J11" s="101"/>
      <c r="K11" s="101"/>
      <c r="L11" s="20"/>
      <c r="M11" s="101"/>
      <c r="N11" s="101"/>
      <c r="O11" s="20"/>
      <c r="P11" s="101"/>
      <c r="Q11" s="166"/>
      <c r="R11" s="101"/>
      <c r="S11" s="100"/>
      <c r="T11" s="102"/>
      <c r="U11" s="102"/>
      <c r="V11" s="200"/>
      <c r="W11" s="112"/>
      <c r="X11" s="112"/>
    </row>
    <row r="12" spans="1:24" ht="131.25" customHeight="1">
      <c r="B12" s="153" t="str">
        <f t="shared" si="0"/>
        <v>1-4</v>
      </c>
      <c r="C12" s="100" t="s">
        <v>83</v>
      </c>
      <c r="D12" s="100" t="s">
        <v>322</v>
      </c>
      <c r="E12" s="100" t="s">
        <v>62</v>
      </c>
      <c r="F12" s="242" t="s">
        <v>819</v>
      </c>
      <c r="G12" s="243"/>
      <c r="H12" s="101"/>
      <c r="I12" s="20"/>
      <c r="J12" s="101"/>
      <c r="K12" s="101"/>
      <c r="L12" s="20"/>
      <c r="M12" s="101"/>
      <c r="N12" s="101"/>
      <c r="O12" s="20"/>
      <c r="P12" s="101"/>
      <c r="Q12" s="166"/>
      <c r="R12" s="101"/>
      <c r="S12" s="100"/>
      <c r="T12" s="102"/>
      <c r="U12" s="102"/>
      <c r="V12" s="200"/>
      <c r="W12" s="112"/>
      <c r="X12" s="112"/>
    </row>
    <row r="13" spans="1:24" ht="114" customHeight="1">
      <c r="B13" s="153" t="str">
        <f t="shared" si="0"/>
        <v>1-5</v>
      </c>
      <c r="C13" s="100" t="s">
        <v>83</v>
      </c>
      <c r="D13" s="100" t="s">
        <v>83</v>
      </c>
      <c r="E13" s="114" t="s">
        <v>62</v>
      </c>
      <c r="F13" s="244" t="s">
        <v>93</v>
      </c>
      <c r="G13" s="245"/>
      <c r="H13" s="101"/>
      <c r="I13" s="20"/>
      <c r="J13" s="101"/>
      <c r="K13" s="101"/>
      <c r="L13" s="20"/>
      <c r="M13" s="101"/>
      <c r="N13" s="101"/>
      <c r="O13" s="20"/>
      <c r="P13" s="101"/>
      <c r="Q13" s="166"/>
      <c r="R13" s="101"/>
      <c r="S13" s="100"/>
      <c r="T13" s="102"/>
      <c r="U13" s="102"/>
      <c r="V13" s="200"/>
      <c r="W13" s="128"/>
      <c r="X13" s="128"/>
    </row>
    <row r="14" spans="1:24" ht="41.25" customHeight="1">
      <c r="B14" s="153" t="str">
        <f t="shared" si="0"/>
        <v>1-6</v>
      </c>
      <c r="C14" s="100" t="s">
        <v>83</v>
      </c>
      <c r="D14" s="100" t="s">
        <v>83</v>
      </c>
      <c r="E14" s="100" t="s">
        <v>147</v>
      </c>
      <c r="F14" s="242" t="s">
        <v>118</v>
      </c>
      <c r="G14" s="243"/>
      <c r="H14" s="101"/>
      <c r="I14" s="20"/>
      <c r="J14" s="101"/>
      <c r="K14" s="101"/>
      <c r="L14" s="20"/>
      <c r="M14" s="101"/>
      <c r="N14" s="101"/>
      <c r="O14" s="20"/>
      <c r="P14" s="101"/>
      <c r="Q14" s="101"/>
      <c r="R14" s="101"/>
      <c r="S14" s="100"/>
      <c r="T14" s="102"/>
      <c r="U14" s="102"/>
      <c r="V14" s="200"/>
    </row>
    <row r="15" spans="1:24" ht="38.1" customHeight="1">
      <c r="B15" s="153" t="str">
        <f t="shared" si="0"/>
        <v>1-7</v>
      </c>
      <c r="C15" s="100" t="s">
        <v>83</v>
      </c>
      <c r="D15" s="100" t="s">
        <v>111</v>
      </c>
      <c r="E15" s="100" t="s">
        <v>398</v>
      </c>
      <c r="F15" s="242" t="s">
        <v>399</v>
      </c>
      <c r="G15" s="243"/>
      <c r="H15" s="101"/>
      <c r="I15" s="20"/>
      <c r="J15" s="101"/>
      <c r="K15" s="101"/>
      <c r="L15" s="20"/>
      <c r="M15" s="101"/>
      <c r="N15" s="161"/>
      <c r="O15" s="162"/>
      <c r="P15" s="161"/>
      <c r="Q15" s="166"/>
      <c r="R15" s="101"/>
      <c r="S15" s="100"/>
      <c r="T15" s="102"/>
      <c r="U15" s="102"/>
      <c r="V15" s="200"/>
      <c r="W15" s="151"/>
      <c r="X15" s="151"/>
    </row>
    <row r="16" spans="1:24" ht="38.1" customHeight="1">
      <c r="B16" s="153" t="str">
        <f t="shared" si="0"/>
        <v>1-8</v>
      </c>
      <c r="C16" s="100" t="s">
        <v>83</v>
      </c>
      <c r="D16" s="100" t="s">
        <v>111</v>
      </c>
      <c r="E16" s="100" t="s">
        <v>397</v>
      </c>
      <c r="F16" s="242" t="s">
        <v>92</v>
      </c>
      <c r="G16" s="243"/>
      <c r="H16" s="183"/>
      <c r="I16" s="20"/>
      <c r="J16" s="101"/>
      <c r="K16" s="183"/>
      <c r="L16" s="20"/>
      <c r="M16" s="101"/>
      <c r="N16" s="183"/>
      <c r="O16" s="20"/>
      <c r="P16" s="101"/>
      <c r="Q16" s="101"/>
      <c r="R16" s="101"/>
      <c r="S16" s="100"/>
      <c r="T16" s="102"/>
      <c r="U16" s="102"/>
      <c r="V16" s="200"/>
      <c r="W16" s="151"/>
      <c r="X16" s="151"/>
    </row>
    <row r="17" spans="2:24" ht="38.1" customHeight="1">
      <c r="B17" s="153" t="str">
        <f t="shared" si="0"/>
        <v>1-9</v>
      </c>
      <c r="C17" s="100" t="s">
        <v>83</v>
      </c>
      <c r="D17" s="100" t="s">
        <v>400</v>
      </c>
      <c r="E17" s="100" t="s">
        <v>401</v>
      </c>
      <c r="F17" s="242" t="s">
        <v>93</v>
      </c>
      <c r="G17" s="243"/>
      <c r="H17" s="183"/>
      <c r="I17" s="20"/>
      <c r="J17" s="101"/>
      <c r="K17" s="183"/>
      <c r="L17" s="20"/>
      <c r="M17" s="101"/>
      <c r="N17" s="183"/>
      <c r="O17" s="20"/>
      <c r="P17" s="101"/>
      <c r="Q17" s="101"/>
      <c r="R17" s="101"/>
      <c r="S17" s="100"/>
      <c r="T17" s="102"/>
      <c r="U17" s="102"/>
      <c r="V17" s="200"/>
      <c r="W17" s="151"/>
      <c r="X17" s="151"/>
    </row>
    <row r="18" spans="2:24" ht="45" customHeight="1">
      <c r="B18" s="153" t="str">
        <f t="shared" si="0"/>
        <v>1-10</v>
      </c>
      <c r="C18" s="114" t="s">
        <v>104</v>
      </c>
      <c r="D18" s="115" t="s">
        <v>105</v>
      </c>
      <c r="E18" s="114" t="s">
        <v>154</v>
      </c>
      <c r="F18" s="244" t="s">
        <v>106</v>
      </c>
      <c r="G18" s="245"/>
      <c r="H18" s="101"/>
      <c r="I18" s="20"/>
      <c r="J18" s="101"/>
      <c r="K18" s="101"/>
      <c r="L18" s="20"/>
      <c r="M18" s="101"/>
      <c r="N18" s="101"/>
      <c r="O18" s="20"/>
      <c r="P18" s="101"/>
      <c r="Q18" s="166"/>
      <c r="R18" s="101"/>
      <c r="S18" s="100"/>
      <c r="T18" s="102"/>
      <c r="U18" s="102"/>
      <c r="V18" s="200"/>
    </row>
    <row r="19" spans="2:24" ht="45" customHeight="1">
      <c r="B19" s="153" t="str">
        <f t="shared" si="0"/>
        <v>1-11</v>
      </c>
      <c r="C19" s="114" t="s">
        <v>101</v>
      </c>
      <c r="D19" s="115" t="s">
        <v>107</v>
      </c>
      <c r="E19" s="114" t="s">
        <v>154</v>
      </c>
      <c r="F19" s="244" t="s">
        <v>108</v>
      </c>
      <c r="G19" s="245"/>
      <c r="H19" s="101"/>
      <c r="I19" s="20"/>
      <c r="J19" s="101"/>
      <c r="K19" s="101"/>
      <c r="L19" s="20"/>
      <c r="M19" s="101"/>
      <c r="N19" s="101"/>
      <c r="O19" s="20"/>
      <c r="P19" s="101"/>
      <c r="Q19" s="166"/>
      <c r="R19" s="101"/>
      <c r="S19" s="100"/>
      <c r="T19" s="102"/>
      <c r="U19" s="102"/>
      <c r="V19" s="200"/>
    </row>
    <row r="20" spans="2:24" ht="45" customHeight="1">
      <c r="B20" s="153" t="str">
        <f t="shared" si="0"/>
        <v>1-12</v>
      </c>
      <c r="C20" s="42" t="s">
        <v>509</v>
      </c>
      <c r="D20" s="100" t="s">
        <v>83</v>
      </c>
      <c r="E20" s="114" t="s">
        <v>200</v>
      </c>
      <c r="F20" s="271" t="s">
        <v>510</v>
      </c>
      <c r="G20" s="272"/>
      <c r="H20" s="101"/>
      <c r="I20" s="20"/>
      <c r="J20" s="101"/>
      <c r="K20" s="101"/>
      <c r="L20" s="20"/>
      <c r="M20" s="101"/>
      <c r="N20" s="101"/>
      <c r="O20" s="20"/>
      <c r="P20" s="101"/>
      <c r="Q20" s="101"/>
      <c r="R20" s="101"/>
      <c r="S20" s="100"/>
      <c r="T20" s="102"/>
      <c r="U20" s="102"/>
      <c r="V20" s="200"/>
    </row>
    <row r="21" spans="2:24" ht="45" customHeight="1">
      <c r="B21" s="153" t="str">
        <f t="shared" si="0"/>
        <v>1-13</v>
      </c>
      <c r="C21" s="100" t="s">
        <v>83</v>
      </c>
      <c r="D21" s="115" t="s">
        <v>325</v>
      </c>
      <c r="E21" s="100" t="s">
        <v>442</v>
      </c>
      <c r="F21" s="242" t="s">
        <v>402</v>
      </c>
      <c r="G21" s="243"/>
      <c r="H21" s="161"/>
      <c r="I21" s="162"/>
      <c r="J21" s="161"/>
      <c r="K21" s="101"/>
      <c r="L21" s="20"/>
      <c r="M21" s="101"/>
      <c r="N21" s="161"/>
      <c r="O21" s="162"/>
      <c r="P21" s="161"/>
      <c r="Q21" s="101"/>
      <c r="R21" s="101"/>
      <c r="S21" s="100"/>
      <c r="T21" s="102"/>
      <c r="U21" s="102"/>
      <c r="V21" s="200"/>
    </row>
    <row r="22" spans="2:24" ht="45" customHeight="1">
      <c r="B22" s="153" t="str">
        <f t="shared" si="0"/>
        <v>1-14</v>
      </c>
      <c r="C22" s="100" t="s">
        <v>83</v>
      </c>
      <c r="D22" s="100" t="s">
        <v>83</v>
      </c>
      <c r="E22" s="114" t="s">
        <v>326</v>
      </c>
      <c r="F22" s="271" t="s">
        <v>327</v>
      </c>
      <c r="G22" s="272"/>
      <c r="H22" s="101"/>
      <c r="I22" s="20"/>
      <c r="J22" s="101"/>
      <c r="K22" s="101"/>
      <c r="L22" s="20"/>
      <c r="M22" s="101"/>
      <c r="N22" s="101"/>
      <c r="O22" s="20"/>
      <c r="P22" s="101"/>
      <c r="Q22" s="166"/>
      <c r="R22" s="101"/>
      <c r="S22" s="100"/>
      <c r="T22" s="102"/>
      <c r="U22" s="102"/>
      <c r="V22" s="200"/>
    </row>
    <row r="23" spans="2:24" ht="45" customHeight="1">
      <c r="B23" s="153" t="str">
        <f t="shared" si="0"/>
        <v>1-15</v>
      </c>
      <c r="C23" s="100" t="s">
        <v>83</v>
      </c>
      <c r="D23" s="115" t="s">
        <v>511</v>
      </c>
      <c r="E23" s="100" t="s">
        <v>443</v>
      </c>
      <c r="F23" s="242" t="s">
        <v>293</v>
      </c>
      <c r="G23" s="243"/>
      <c r="H23" s="161"/>
      <c r="I23" s="162"/>
      <c r="J23" s="161"/>
      <c r="K23" s="189"/>
      <c r="L23" s="20"/>
      <c r="M23" s="101"/>
      <c r="N23" s="161"/>
      <c r="O23" s="162"/>
      <c r="P23" s="161"/>
      <c r="Q23" s="101"/>
      <c r="R23" s="101"/>
      <c r="S23" s="100"/>
      <c r="T23" s="102"/>
      <c r="U23" s="102"/>
      <c r="V23" s="200"/>
    </row>
    <row r="24" spans="2:24" ht="45" customHeight="1">
      <c r="B24" s="153" t="str">
        <f t="shared" si="0"/>
        <v>1-16</v>
      </c>
      <c r="C24" s="100" t="s">
        <v>83</v>
      </c>
      <c r="D24" s="100" t="s">
        <v>83</v>
      </c>
      <c r="E24" s="114" t="s">
        <v>326</v>
      </c>
      <c r="F24" s="271" t="s">
        <v>327</v>
      </c>
      <c r="G24" s="272"/>
      <c r="H24" s="101"/>
      <c r="I24" s="20"/>
      <c r="J24" s="101"/>
      <c r="K24" s="101"/>
      <c r="L24" s="20"/>
      <c r="M24" s="101"/>
      <c r="N24" s="101"/>
      <c r="O24" s="20"/>
      <c r="P24" s="101"/>
      <c r="Q24" s="166"/>
      <c r="R24" s="101"/>
      <c r="S24" s="100"/>
      <c r="T24" s="102"/>
      <c r="U24" s="102"/>
      <c r="V24" s="200"/>
    </row>
    <row r="25" spans="2:24" ht="45" customHeight="1">
      <c r="B25" s="153" t="str">
        <f t="shared" si="0"/>
        <v>1-17</v>
      </c>
      <c r="C25" s="115" t="s">
        <v>574</v>
      </c>
      <c r="D25" s="100" t="s">
        <v>83</v>
      </c>
      <c r="E25" s="100" t="s">
        <v>110</v>
      </c>
      <c r="F25" s="242" t="s">
        <v>193</v>
      </c>
      <c r="G25" s="243"/>
      <c r="H25" s="101"/>
      <c r="I25" s="20"/>
      <c r="J25" s="101"/>
      <c r="K25" s="101"/>
      <c r="L25" s="20"/>
      <c r="M25" s="101"/>
      <c r="N25" s="101"/>
      <c r="O25" s="20"/>
      <c r="P25" s="101"/>
      <c r="Q25" s="166"/>
      <c r="R25" s="101"/>
      <c r="S25" s="100"/>
      <c r="T25" s="102"/>
      <c r="U25" s="102"/>
      <c r="V25" s="200"/>
    </row>
    <row r="26" spans="2:24" ht="45" customHeight="1">
      <c r="B26" s="153" t="str">
        <f t="shared" si="0"/>
        <v>1-18</v>
      </c>
      <c r="C26" s="100" t="s">
        <v>526</v>
      </c>
      <c r="D26" s="100" t="s">
        <v>513</v>
      </c>
      <c r="E26" s="100" t="s">
        <v>253</v>
      </c>
      <c r="F26" s="242" t="s">
        <v>254</v>
      </c>
      <c r="G26" s="243"/>
      <c r="H26" s="101"/>
      <c r="I26" s="20"/>
      <c r="J26" s="101"/>
      <c r="K26" s="101"/>
      <c r="L26" s="20"/>
      <c r="M26" s="101"/>
      <c r="N26" s="101"/>
      <c r="O26" s="20"/>
      <c r="P26" s="101"/>
      <c r="Q26" s="166"/>
      <c r="R26" s="101"/>
      <c r="S26" s="100"/>
      <c r="T26" s="102"/>
      <c r="U26" s="102"/>
      <c r="V26" s="200"/>
    </row>
    <row r="27" spans="2:24" ht="48.95" customHeight="1">
      <c r="B27" s="153" t="str">
        <f t="shared" si="0"/>
        <v>1-19</v>
      </c>
      <c r="C27" s="100" t="s">
        <v>527</v>
      </c>
      <c r="D27" s="100" t="s">
        <v>83</v>
      </c>
      <c r="E27" s="100" t="s">
        <v>110</v>
      </c>
      <c r="F27" s="242" t="s">
        <v>193</v>
      </c>
      <c r="G27" s="243"/>
      <c r="H27" s="101"/>
      <c r="I27" s="20"/>
      <c r="J27" s="101"/>
      <c r="K27" s="101"/>
      <c r="L27" s="20"/>
      <c r="M27" s="101"/>
      <c r="N27" s="101"/>
      <c r="O27" s="20"/>
      <c r="P27" s="101"/>
      <c r="Q27" s="166"/>
      <c r="R27" s="101"/>
      <c r="S27" s="100"/>
      <c r="T27" s="102"/>
      <c r="U27" s="102"/>
      <c r="V27" s="200"/>
      <c r="W27" s="116"/>
      <c r="X27" s="116"/>
    </row>
    <row r="28" spans="2:24" ht="45" customHeight="1">
      <c r="B28" s="163" t="str">
        <f t="shared" si="0"/>
        <v>1-20</v>
      </c>
      <c r="C28" s="100" t="s">
        <v>526</v>
      </c>
      <c r="D28" s="100" t="s">
        <v>512</v>
      </c>
      <c r="E28" s="100" t="s">
        <v>442</v>
      </c>
      <c r="F28" s="244" t="s">
        <v>194</v>
      </c>
      <c r="G28" s="245"/>
      <c r="H28" s="161"/>
      <c r="I28" s="162"/>
      <c r="J28" s="161"/>
      <c r="K28" s="101"/>
      <c r="L28" s="20"/>
      <c r="M28" s="101"/>
      <c r="N28" s="161"/>
      <c r="O28" s="162"/>
      <c r="P28" s="161"/>
      <c r="Q28" s="166"/>
      <c r="R28" s="22"/>
      <c r="S28" s="100"/>
      <c r="T28" s="102"/>
      <c r="U28" s="102"/>
      <c r="V28" s="200"/>
    </row>
    <row r="29" spans="2:24" ht="45" customHeight="1">
      <c r="B29" s="163" t="str">
        <f t="shared" si="0"/>
        <v>1-21</v>
      </c>
      <c r="C29" s="100" t="s">
        <v>526</v>
      </c>
      <c r="D29" s="100" t="s">
        <v>195</v>
      </c>
      <c r="E29" s="100" t="s">
        <v>117</v>
      </c>
      <c r="F29" s="242" t="s">
        <v>102</v>
      </c>
      <c r="G29" s="243"/>
      <c r="H29" s="187"/>
      <c r="I29" s="188"/>
      <c r="J29" s="187"/>
      <c r="K29" s="187"/>
      <c r="L29" s="188"/>
      <c r="M29" s="187"/>
      <c r="N29" s="187"/>
      <c r="O29" s="188"/>
      <c r="P29" s="187"/>
      <c r="Q29" s="187"/>
      <c r="R29" s="101"/>
      <c r="S29" s="100"/>
      <c r="T29" s="102"/>
      <c r="U29" s="102"/>
      <c r="V29" s="200"/>
    </row>
    <row r="30" spans="2:24" ht="45" customHeight="1">
      <c r="B30" s="163" t="str">
        <f t="shared" si="0"/>
        <v>1-22</v>
      </c>
      <c r="C30" s="100" t="s">
        <v>526</v>
      </c>
      <c r="D30" s="100" t="s">
        <v>145</v>
      </c>
      <c r="E30" s="100" t="s">
        <v>117</v>
      </c>
      <c r="F30" s="242" t="s">
        <v>102</v>
      </c>
      <c r="G30" s="243"/>
      <c r="H30" s="187"/>
      <c r="I30" s="188"/>
      <c r="J30" s="187"/>
      <c r="K30" s="187"/>
      <c r="L30" s="188"/>
      <c r="M30" s="187"/>
      <c r="N30" s="187"/>
      <c r="O30" s="188"/>
      <c r="P30" s="187"/>
      <c r="Q30" s="187"/>
      <c r="R30" s="101"/>
      <c r="S30" s="100"/>
      <c r="T30" s="102"/>
      <c r="U30" s="102"/>
      <c r="V30" s="200"/>
    </row>
    <row r="31" spans="2:24" ht="45" customHeight="1">
      <c r="B31" s="178" t="str">
        <f t="shared" si="0"/>
        <v>1-23</v>
      </c>
      <c r="C31" s="179" t="s">
        <v>526</v>
      </c>
      <c r="D31" s="179" t="s">
        <v>335</v>
      </c>
      <c r="E31" s="179" t="s">
        <v>331</v>
      </c>
      <c r="F31" s="267" t="s">
        <v>223</v>
      </c>
      <c r="G31" s="268"/>
      <c r="H31" s="197"/>
      <c r="I31" s="197"/>
      <c r="J31" s="197"/>
      <c r="K31" s="197"/>
      <c r="L31" s="197"/>
      <c r="M31" s="197"/>
      <c r="N31" s="197"/>
      <c r="O31" s="197"/>
      <c r="P31" s="197"/>
      <c r="Q31" s="198"/>
      <c r="R31" s="184"/>
      <c r="S31" s="179"/>
      <c r="T31" s="181"/>
      <c r="U31" s="181"/>
      <c r="V31" s="200"/>
    </row>
    <row r="32" spans="2:24" ht="45" customHeight="1">
      <c r="B32" s="153" t="str">
        <f t="shared" si="0"/>
        <v>1-24</v>
      </c>
      <c r="C32" s="100" t="s">
        <v>526</v>
      </c>
      <c r="D32" s="100" t="s">
        <v>336</v>
      </c>
      <c r="E32" s="100" t="s">
        <v>331</v>
      </c>
      <c r="F32" s="244" t="s">
        <v>254</v>
      </c>
      <c r="G32" s="245"/>
      <c r="H32" s="187"/>
      <c r="I32" s="188"/>
      <c r="J32" s="187"/>
      <c r="K32" s="187"/>
      <c r="L32" s="188"/>
      <c r="M32" s="187"/>
      <c r="N32" s="187"/>
      <c r="O32" s="188"/>
      <c r="P32" s="187"/>
      <c r="Q32" s="194"/>
      <c r="R32" s="101"/>
      <c r="S32" s="100"/>
      <c r="T32" s="102"/>
      <c r="U32" s="102"/>
      <c r="V32" s="200"/>
    </row>
    <row r="33" spans="2:23" ht="45" customHeight="1">
      <c r="B33" s="153" t="str">
        <f t="shared" si="0"/>
        <v>1-25</v>
      </c>
      <c r="C33" s="100" t="s">
        <v>526</v>
      </c>
      <c r="D33" s="42" t="s">
        <v>488</v>
      </c>
      <c r="E33" s="100" t="s">
        <v>328</v>
      </c>
      <c r="F33" s="258" t="s">
        <v>193</v>
      </c>
      <c r="G33" s="259"/>
      <c r="H33" s="187"/>
      <c r="I33" s="188"/>
      <c r="J33" s="187"/>
      <c r="K33" s="187"/>
      <c r="L33" s="188"/>
      <c r="M33" s="187"/>
      <c r="N33" s="187"/>
      <c r="O33" s="188"/>
      <c r="P33" s="187"/>
      <c r="Q33" s="187"/>
      <c r="R33" s="22"/>
      <c r="S33" s="100"/>
      <c r="T33" s="102"/>
      <c r="U33" s="102"/>
      <c r="V33" s="200"/>
    </row>
    <row r="34" spans="2:23" ht="45" customHeight="1">
      <c r="B34" s="153" t="str">
        <f t="shared" si="0"/>
        <v>1-26</v>
      </c>
      <c r="C34" s="100" t="s">
        <v>526</v>
      </c>
      <c r="D34" s="100" t="s">
        <v>83</v>
      </c>
      <c r="E34" s="100" t="s">
        <v>329</v>
      </c>
      <c r="F34" s="258" t="s">
        <v>330</v>
      </c>
      <c r="G34" s="259"/>
      <c r="H34" s="187"/>
      <c r="I34" s="188"/>
      <c r="J34" s="187"/>
      <c r="K34" s="187"/>
      <c r="L34" s="188"/>
      <c r="M34" s="187"/>
      <c r="N34" s="187"/>
      <c r="O34" s="188"/>
      <c r="P34" s="187"/>
      <c r="Q34" s="187"/>
      <c r="R34" s="22"/>
      <c r="S34" s="100"/>
      <c r="T34" s="102"/>
      <c r="U34" s="102"/>
      <c r="V34" s="200"/>
    </row>
    <row r="35" spans="2:23" ht="45" customHeight="1">
      <c r="B35" s="178" t="str">
        <f t="shared" si="0"/>
        <v>1-27</v>
      </c>
      <c r="C35" s="179" t="s">
        <v>526</v>
      </c>
      <c r="D35" s="179" t="s">
        <v>489</v>
      </c>
      <c r="E35" s="179" t="s">
        <v>328</v>
      </c>
      <c r="F35" s="269" t="s">
        <v>193</v>
      </c>
      <c r="G35" s="270"/>
      <c r="H35" s="197"/>
      <c r="I35" s="197"/>
      <c r="J35" s="197"/>
      <c r="K35" s="197"/>
      <c r="L35" s="197"/>
      <c r="M35" s="197"/>
      <c r="N35" s="197"/>
      <c r="O35" s="197"/>
      <c r="P35" s="197"/>
      <c r="Q35" s="197"/>
      <c r="R35" s="184"/>
      <c r="S35" s="179"/>
      <c r="T35" s="181"/>
      <c r="U35" s="181"/>
      <c r="V35" s="200"/>
    </row>
    <row r="36" spans="2:23" ht="45" customHeight="1">
      <c r="B36" s="178" t="str">
        <f t="shared" si="0"/>
        <v>1-28</v>
      </c>
      <c r="C36" s="179" t="s">
        <v>526</v>
      </c>
      <c r="D36" s="179" t="s">
        <v>83</v>
      </c>
      <c r="E36" s="179" t="s">
        <v>329</v>
      </c>
      <c r="F36" s="269" t="s">
        <v>330</v>
      </c>
      <c r="G36" s="270"/>
      <c r="H36" s="197"/>
      <c r="I36" s="197"/>
      <c r="J36" s="197"/>
      <c r="K36" s="197"/>
      <c r="L36" s="197"/>
      <c r="M36" s="197"/>
      <c r="N36" s="197"/>
      <c r="O36" s="197"/>
      <c r="P36" s="197"/>
      <c r="Q36" s="197"/>
      <c r="R36" s="184"/>
      <c r="S36" s="179"/>
      <c r="T36" s="181"/>
      <c r="U36" s="181"/>
      <c r="V36" s="200"/>
    </row>
    <row r="37" spans="2:23" ht="45" customHeight="1">
      <c r="B37" s="153" t="str">
        <f t="shared" si="0"/>
        <v>1-29</v>
      </c>
      <c r="C37" s="100" t="s">
        <v>526</v>
      </c>
      <c r="D37" s="100" t="s">
        <v>490</v>
      </c>
      <c r="E37" s="100" t="s">
        <v>328</v>
      </c>
      <c r="F37" s="258" t="s">
        <v>193</v>
      </c>
      <c r="G37" s="259"/>
      <c r="H37" s="187"/>
      <c r="I37" s="188"/>
      <c r="J37" s="187"/>
      <c r="K37" s="187"/>
      <c r="L37" s="188"/>
      <c r="M37" s="187"/>
      <c r="N37" s="187"/>
      <c r="O37" s="188"/>
      <c r="P37" s="187"/>
      <c r="Q37" s="187"/>
      <c r="R37" s="22"/>
      <c r="S37" s="100"/>
      <c r="T37" s="102"/>
      <c r="U37" s="102"/>
      <c r="V37" s="200"/>
    </row>
    <row r="38" spans="2:23" ht="45" customHeight="1">
      <c r="B38" s="153" t="str">
        <f t="shared" si="0"/>
        <v>1-30</v>
      </c>
      <c r="C38" s="100" t="s">
        <v>526</v>
      </c>
      <c r="D38" s="100" t="s">
        <v>83</v>
      </c>
      <c r="E38" s="100" t="s">
        <v>329</v>
      </c>
      <c r="F38" s="258" t="s">
        <v>330</v>
      </c>
      <c r="G38" s="259"/>
      <c r="H38" s="187"/>
      <c r="I38" s="188"/>
      <c r="J38" s="187"/>
      <c r="K38" s="187"/>
      <c r="L38" s="188"/>
      <c r="M38" s="187"/>
      <c r="N38" s="187"/>
      <c r="O38" s="188"/>
      <c r="P38" s="187"/>
      <c r="Q38" s="187"/>
      <c r="R38" s="22"/>
      <c r="S38" s="100"/>
      <c r="T38" s="102"/>
      <c r="U38" s="102"/>
      <c r="V38" s="200"/>
    </row>
    <row r="39" spans="2:23" ht="45" customHeight="1">
      <c r="B39" s="163" t="str">
        <f t="shared" si="0"/>
        <v>1-31</v>
      </c>
      <c r="C39" s="100" t="s">
        <v>526</v>
      </c>
      <c r="D39" s="100" t="s">
        <v>514</v>
      </c>
      <c r="E39" s="100" t="s">
        <v>443</v>
      </c>
      <c r="F39" s="244" t="s">
        <v>194</v>
      </c>
      <c r="G39" s="245"/>
      <c r="H39" s="191"/>
      <c r="I39" s="192"/>
      <c r="J39" s="191"/>
      <c r="K39" s="189"/>
      <c r="L39" s="188"/>
      <c r="M39" s="187"/>
      <c r="N39" s="191"/>
      <c r="O39" s="192"/>
      <c r="P39" s="191"/>
      <c r="Q39" s="187"/>
      <c r="R39" s="22"/>
      <c r="S39" s="100"/>
      <c r="T39" s="102"/>
      <c r="U39" s="102"/>
      <c r="V39" s="200"/>
    </row>
    <row r="40" spans="2:23" ht="45" customHeight="1">
      <c r="B40" s="163" t="str">
        <f t="shared" si="0"/>
        <v>1-32</v>
      </c>
      <c r="C40" s="100" t="s">
        <v>526</v>
      </c>
      <c r="D40" s="100" t="s">
        <v>195</v>
      </c>
      <c r="E40" s="100" t="s">
        <v>117</v>
      </c>
      <c r="F40" s="242" t="s">
        <v>102</v>
      </c>
      <c r="G40" s="243"/>
      <c r="H40" s="187"/>
      <c r="I40" s="188"/>
      <c r="J40" s="187"/>
      <c r="K40" s="187"/>
      <c r="L40" s="188"/>
      <c r="M40" s="187"/>
      <c r="N40" s="187"/>
      <c r="O40" s="188"/>
      <c r="P40" s="187"/>
      <c r="Q40" s="187"/>
      <c r="R40" s="101"/>
      <c r="S40" s="100"/>
      <c r="T40" s="102"/>
      <c r="U40" s="102"/>
      <c r="V40" s="200"/>
    </row>
    <row r="41" spans="2:23" ht="45" customHeight="1">
      <c r="B41" s="163" t="str">
        <f t="shared" si="0"/>
        <v>1-33</v>
      </c>
      <c r="C41" s="100" t="s">
        <v>526</v>
      </c>
      <c r="D41" s="100" t="s">
        <v>145</v>
      </c>
      <c r="E41" s="100" t="s">
        <v>117</v>
      </c>
      <c r="F41" s="242" t="s">
        <v>102</v>
      </c>
      <c r="G41" s="243"/>
      <c r="H41" s="187"/>
      <c r="I41" s="188"/>
      <c r="J41" s="187"/>
      <c r="K41" s="187"/>
      <c r="L41" s="188"/>
      <c r="M41" s="187"/>
      <c r="N41" s="187"/>
      <c r="O41" s="188"/>
      <c r="P41" s="187"/>
      <c r="Q41" s="187"/>
      <c r="R41" s="101"/>
      <c r="S41" s="100"/>
      <c r="T41" s="102"/>
      <c r="U41" s="102"/>
      <c r="V41" s="200"/>
    </row>
    <row r="42" spans="2:23" ht="45" customHeight="1">
      <c r="B42" s="153" t="str">
        <f t="shared" si="0"/>
        <v>1-34</v>
      </c>
      <c r="C42" s="100" t="s">
        <v>526</v>
      </c>
      <c r="D42" s="100" t="s">
        <v>146</v>
      </c>
      <c r="E42" s="100" t="s">
        <v>470</v>
      </c>
      <c r="F42" s="242" t="s">
        <v>197</v>
      </c>
      <c r="G42" s="243"/>
      <c r="H42" s="101"/>
      <c r="I42" s="20"/>
      <c r="J42" s="101"/>
      <c r="K42" s="101"/>
      <c r="L42" s="20"/>
      <c r="M42" s="101"/>
      <c r="N42" s="122"/>
      <c r="O42" s="123"/>
      <c r="P42" s="101"/>
      <c r="Q42" s="166"/>
      <c r="R42" s="101"/>
      <c r="S42" s="133"/>
      <c r="T42" s="102"/>
      <c r="U42" s="102"/>
      <c r="V42" s="200"/>
    </row>
    <row r="43" spans="2:23" ht="35.450000000000003" customHeight="1">
      <c r="B43" s="153" t="str">
        <f t="shared" si="0"/>
        <v>1-35</v>
      </c>
      <c r="C43" s="100" t="s">
        <v>526</v>
      </c>
      <c r="D43" s="100" t="s">
        <v>491</v>
      </c>
      <c r="E43" s="100" t="s">
        <v>215</v>
      </c>
      <c r="F43" s="242" t="s">
        <v>216</v>
      </c>
      <c r="G43" s="243"/>
      <c r="H43" s="101"/>
      <c r="I43" s="20"/>
      <c r="J43" s="101"/>
      <c r="K43" s="101"/>
      <c r="L43" s="20"/>
      <c r="M43" s="101"/>
      <c r="N43" s="122"/>
      <c r="O43" s="123"/>
      <c r="P43" s="101"/>
      <c r="Q43" s="166"/>
      <c r="R43" s="101"/>
      <c r="S43" s="100"/>
      <c r="T43" s="102"/>
      <c r="U43" s="102"/>
      <c r="V43" s="201"/>
    </row>
    <row r="44" spans="2:23" ht="35.450000000000003" customHeight="1">
      <c r="B44" s="153" t="str">
        <f t="shared" si="0"/>
        <v>1-36</v>
      </c>
      <c r="C44" s="100" t="s">
        <v>526</v>
      </c>
      <c r="D44" s="42" t="s">
        <v>492</v>
      </c>
      <c r="E44" s="100" t="s">
        <v>221</v>
      </c>
      <c r="F44" s="242" t="s">
        <v>219</v>
      </c>
      <c r="G44" s="243"/>
      <c r="H44" s="101"/>
      <c r="I44" s="20"/>
      <c r="J44" s="101"/>
      <c r="K44" s="101"/>
      <c r="L44" s="20"/>
      <c r="M44" s="101"/>
      <c r="N44" s="122"/>
      <c r="O44" s="123"/>
      <c r="P44" s="101"/>
      <c r="Q44" s="166"/>
      <c r="R44" s="101"/>
      <c r="S44" s="100"/>
      <c r="T44" s="102"/>
      <c r="U44" s="102"/>
      <c r="V44" s="201"/>
    </row>
    <row r="45" spans="2:23" ht="35.450000000000003" customHeight="1">
      <c r="B45" s="153" t="str">
        <f t="shared" si="0"/>
        <v>1-37</v>
      </c>
      <c r="C45" s="100" t="s">
        <v>526</v>
      </c>
      <c r="D45" s="100" t="s">
        <v>83</v>
      </c>
      <c r="E45" s="100" t="s">
        <v>218</v>
      </c>
      <c r="F45" s="242" t="s">
        <v>222</v>
      </c>
      <c r="G45" s="243"/>
      <c r="H45" s="101"/>
      <c r="I45" s="20"/>
      <c r="J45" s="101"/>
      <c r="K45" s="101"/>
      <c r="L45" s="20"/>
      <c r="M45" s="101"/>
      <c r="N45" s="122"/>
      <c r="O45" s="123"/>
      <c r="P45" s="101"/>
      <c r="Q45" s="166"/>
      <c r="R45" s="101"/>
      <c r="S45" s="100"/>
      <c r="T45" s="102"/>
      <c r="U45" s="102"/>
      <c r="V45" s="201"/>
    </row>
    <row r="46" spans="2:23" ht="52.5" customHeight="1">
      <c r="B46" s="153" t="str">
        <f t="shared" si="0"/>
        <v>1-38</v>
      </c>
      <c r="C46" s="100" t="s">
        <v>526</v>
      </c>
      <c r="D46" s="100" t="s">
        <v>83</v>
      </c>
      <c r="E46" s="100" t="s">
        <v>83</v>
      </c>
      <c r="F46" s="242" t="s">
        <v>223</v>
      </c>
      <c r="G46" s="243"/>
      <c r="H46" s="101"/>
      <c r="I46" s="20"/>
      <c r="J46" s="101"/>
      <c r="K46" s="101"/>
      <c r="L46" s="20"/>
      <c r="M46" s="101"/>
      <c r="N46" s="122"/>
      <c r="O46" s="123"/>
      <c r="P46" s="101"/>
      <c r="Q46" s="166"/>
      <c r="R46" s="101"/>
      <c r="S46" s="100"/>
      <c r="T46" s="102"/>
      <c r="U46" s="102"/>
      <c r="V46" s="201"/>
    </row>
    <row r="47" spans="2:23" ht="39" customHeight="1">
      <c r="B47" s="178" t="str">
        <f t="shared" si="0"/>
        <v>1-39</v>
      </c>
      <c r="C47" s="179" t="s">
        <v>812</v>
      </c>
      <c r="D47" s="179" t="s">
        <v>83</v>
      </c>
      <c r="E47" s="179" t="s">
        <v>110</v>
      </c>
      <c r="F47" s="267" t="s">
        <v>193</v>
      </c>
      <c r="G47" s="268"/>
      <c r="H47" s="180"/>
      <c r="I47" s="180"/>
      <c r="J47" s="180"/>
      <c r="K47" s="180"/>
      <c r="L47" s="180"/>
      <c r="M47" s="180"/>
      <c r="N47" s="180"/>
      <c r="O47" s="180"/>
      <c r="P47" s="180"/>
      <c r="Q47" s="184"/>
      <c r="R47" s="184"/>
      <c r="S47" s="180"/>
      <c r="T47" s="179"/>
      <c r="U47" s="181"/>
      <c r="V47" s="200"/>
      <c r="W47" s="117"/>
    </row>
    <row r="48" spans="2:23" ht="45" customHeight="1">
      <c r="B48" s="178" t="str">
        <f t="shared" si="0"/>
        <v>1-40</v>
      </c>
      <c r="C48" s="179" t="s">
        <v>526</v>
      </c>
      <c r="D48" s="179" t="s">
        <v>512</v>
      </c>
      <c r="E48" s="179" t="s">
        <v>444</v>
      </c>
      <c r="F48" s="267" t="s">
        <v>194</v>
      </c>
      <c r="G48" s="268"/>
      <c r="H48" s="180"/>
      <c r="I48" s="180"/>
      <c r="J48" s="180"/>
      <c r="K48" s="180"/>
      <c r="L48" s="180"/>
      <c r="M48" s="180"/>
      <c r="N48" s="180"/>
      <c r="O48" s="180"/>
      <c r="P48" s="180"/>
      <c r="Q48" s="180"/>
      <c r="R48" s="184"/>
      <c r="S48" s="179"/>
      <c r="T48" s="181"/>
      <c r="U48" s="181"/>
      <c r="V48" s="200"/>
    </row>
    <row r="49" spans="2:23" ht="45" customHeight="1">
      <c r="B49" s="178" t="str">
        <f t="shared" si="0"/>
        <v>1-41</v>
      </c>
      <c r="C49" s="179" t="s">
        <v>526</v>
      </c>
      <c r="D49" s="179" t="s">
        <v>195</v>
      </c>
      <c r="E49" s="179" t="s">
        <v>117</v>
      </c>
      <c r="F49" s="267" t="s">
        <v>102</v>
      </c>
      <c r="G49" s="268"/>
      <c r="H49" s="180"/>
      <c r="I49" s="180"/>
      <c r="J49" s="180"/>
      <c r="K49" s="180"/>
      <c r="L49" s="180"/>
      <c r="M49" s="180"/>
      <c r="N49" s="180"/>
      <c r="O49" s="180"/>
      <c r="P49" s="180"/>
      <c r="Q49" s="185"/>
      <c r="R49" s="184"/>
      <c r="S49" s="179"/>
      <c r="T49" s="181"/>
      <c r="U49" s="181"/>
      <c r="V49" s="200"/>
    </row>
    <row r="50" spans="2:23" ht="45" customHeight="1">
      <c r="B50" s="178" t="str">
        <f t="shared" si="0"/>
        <v>1-42</v>
      </c>
      <c r="C50" s="179" t="s">
        <v>526</v>
      </c>
      <c r="D50" s="179" t="s">
        <v>145</v>
      </c>
      <c r="E50" s="179" t="s">
        <v>117</v>
      </c>
      <c r="F50" s="267" t="s">
        <v>102</v>
      </c>
      <c r="G50" s="268"/>
      <c r="H50" s="180"/>
      <c r="I50" s="180"/>
      <c r="J50" s="180"/>
      <c r="K50" s="180"/>
      <c r="L50" s="180"/>
      <c r="M50" s="180"/>
      <c r="N50" s="180"/>
      <c r="O50" s="180"/>
      <c r="P50" s="180"/>
      <c r="Q50" s="185"/>
      <c r="R50" s="184"/>
      <c r="S50" s="179"/>
      <c r="T50" s="181"/>
      <c r="U50" s="181"/>
      <c r="V50" s="200"/>
    </row>
    <row r="51" spans="2:23" ht="51.75" customHeight="1">
      <c r="B51" s="178" t="str">
        <f t="shared" si="0"/>
        <v>1-43</v>
      </c>
      <c r="C51" s="179" t="s">
        <v>526</v>
      </c>
      <c r="D51" s="179" t="s">
        <v>332</v>
      </c>
      <c r="E51" s="179" t="s">
        <v>331</v>
      </c>
      <c r="F51" s="267" t="s">
        <v>333</v>
      </c>
      <c r="G51" s="268"/>
      <c r="H51" s="180"/>
      <c r="I51" s="180"/>
      <c r="J51" s="180"/>
      <c r="K51" s="180"/>
      <c r="L51" s="180"/>
      <c r="M51" s="180"/>
      <c r="N51" s="180"/>
      <c r="O51" s="180"/>
      <c r="P51" s="180"/>
      <c r="Q51" s="184"/>
      <c r="R51" s="184"/>
      <c r="S51" s="180"/>
      <c r="T51" s="179"/>
      <c r="U51" s="181"/>
      <c r="V51" s="200"/>
      <c r="W51" s="132"/>
    </row>
    <row r="52" spans="2:23" ht="45" customHeight="1">
      <c r="B52" s="178" t="str">
        <f t="shared" si="0"/>
        <v>1-44</v>
      </c>
      <c r="C52" s="179" t="s">
        <v>526</v>
      </c>
      <c r="D52" s="179" t="s">
        <v>334</v>
      </c>
      <c r="E52" s="179" t="s">
        <v>331</v>
      </c>
      <c r="F52" s="267" t="s">
        <v>254</v>
      </c>
      <c r="G52" s="268"/>
      <c r="H52" s="180"/>
      <c r="I52" s="180"/>
      <c r="J52" s="180"/>
      <c r="K52" s="180"/>
      <c r="L52" s="180"/>
      <c r="M52" s="180"/>
      <c r="N52" s="180"/>
      <c r="O52" s="180"/>
      <c r="P52" s="180"/>
      <c r="Q52" s="185"/>
      <c r="R52" s="184"/>
      <c r="S52" s="179"/>
      <c r="T52" s="181"/>
      <c r="U52" s="181"/>
      <c r="V52" s="200"/>
    </row>
    <row r="53" spans="2:23" ht="45" customHeight="1">
      <c r="B53" s="178" t="str">
        <f t="shared" si="0"/>
        <v>1-45</v>
      </c>
      <c r="C53" s="179" t="s">
        <v>526</v>
      </c>
      <c r="D53" s="186" t="s">
        <v>488</v>
      </c>
      <c r="E53" s="179" t="s">
        <v>328</v>
      </c>
      <c r="F53" s="269" t="s">
        <v>193</v>
      </c>
      <c r="G53" s="270"/>
      <c r="H53" s="180"/>
      <c r="I53" s="180"/>
      <c r="J53" s="180"/>
      <c r="K53" s="180"/>
      <c r="L53" s="180"/>
      <c r="M53" s="180"/>
      <c r="N53" s="180"/>
      <c r="O53" s="180"/>
      <c r="P53" s="180"/>
      <c r="Q53" s="185"/>
      <c r="R53" s="184"/>
      <c r="S53" s="179"/>
      <c r="T53" s="181"/>
      <c r="U53" s="181"/>
      <c r="V53" s="200"/>
    </row>
    <row r="54" spans="2:23" ht="45" customHeight="1">
      <c r="B54" s="178" t="str">
        <f t="shared" si="0"/>
        <v>1-46</v>
      </c>
      <c r="C54" s="179" t="s">
        <v>526</v>
      </c>
      <c r="D54" s="179" t="s">
        <v>83</v>
      </c>
      <c r="E54" s="179" t="s">
        <v>329</v>
      </c>
      <c r="F54" s="269" t="s">
        <v>330</v>
      </c>
      <c r="G54" s="270"/>
      <c r="H54" s="180"/>
      <c r="I54" s="180"/>
      <c r="J54" s="180"/>
      <c r="K54" s="180"/>
      <c r="L54" s="180"/>
      <c r="M54" s="180"/>
      <c r="N54" s="180"/>
      <c r="O54" s="180"/>
      <c r="P54" s="180"/>
      <c r="Q54" s="185"/>
      <c r="R54" s="184"/>
      <c r="S54" s="179"/>
      <c r="T54" s="181"/>
      <c r="U54" s="181"/>
      <c r="V54" s="200"/>
    </row>
    <row r="55" spans="2:23" ht="45" customHeight="1">
      <c r="B55" s="178" t="str">
        <f t="shared" si="0"/>
        <v>1-47</v>
      </c>
      <c r="C55" s="179" t="s">
        <v>526</v>
      </c>
      <c r="D55" s="179" t="s">
        <v>489</v>
      </c>
      <c r="E55" s="179" t="s">
        <v>328</v>
      </c>
      <c r="F55" s="269" t="s">
        <v>193</v>
      </c>
      <c r="G55" s="270"/>
      <c r="H55" s="180"/>
      <c r="I55" s="180"/>
      <c r="J55" s="180"/>
      <c r="K55" s="180"/>
      <c r="L55" s="180"/>
      <c r="M55" s="180"/>
      <c r="N55" s="180"/>
      <c r="O55" s="180"/>
      <c r="P55" s="180"/>
      <c r="Q55" s="185"/>
      <c r="R55" s="184"/>
      <c r="S55" s="179"/>
      <c r="T55" s="181"/>
      <c r="U55" s="181"/>
      <c r="V55" s="200"/>
    </row>
    <row r="56" spans="2:23" ht="45" customHeight="1">
      <c r="B56" s="178" t="str">
        <f t="shared" si="0"/>
        <v>1-48</v>
      </c>
      <c r="C56" s="179" t="s">
        <v>526</v>
      </c>
      <c r="D56" s="179" t="s">
        <v>83</v>
      </c>
      <c r="E56" s="179" t="s">
        <v>329</v>
      </c>
      <c r="F56" s="269" t="s">
        <v>330</v>
      </c>
      <c r="G56" s="270"/>
      <c r="H56" s="180"/>
      <c r="I56" s="180"/>
      <c r="J56" s="180"/>
      <c r="K56" s="180"/>
      <c r="L56" s="180"/>
      <c r="M56" s="180"/>
      <c r="N56" s="180"/>
      <c r="O56" s="180"/>
      <c r="P56" s="180"/>
      <c r="Q56" s="185"/>
      <c r="R56" s="184"/>
      <c r="S56" s="179"/>
      <c r="T56" s="181"/>
      <c r="U56" s="181"/>
      <c r="V56" s="200"/>
    </row>
    <row r="57" spans="2:23" ht="45" customHeight="1">
      <c r="B57" s="178" t="str">
        <f t="shared" si="0"/>
        <v>1-49</v>
      </c>
      <c r="C57" s="179" t="s">
        <v>526</v>
      </c>
      <c r="D57" s="179" t="s">
        <v>490</v>
      </c>
      <c r="E57" s="179" t="s">
        <v>328</v>
      </c>
      <c r="F57" s="269" t="s">
        <v>193</v>
      </c>
      <c r="G57" s="270"/>
      <c r="H57" s="180"/>
      <c r="I57" s="180"/>
      <c r="J57" s="180"/>
      <c r="K57" s="180"/>
      <c r="L57" s="180"/>
      <c r="M57" s="180"/>
      <c r="N57" s="180"/>
      <c r="O57" s="180"/>
      <c r="P57" s="180"/>
      <c r="Q57" s="185"/>
      <c r="R57" s="184"/>
      <c r="S57" s="179"/>
      <c r="T57" s="181"/>
      <c r="U57" s="181"/>
      <c r="V57" s="200"/>
    </row>
    <row r="58" spans="2:23" ht="45" customHeight="1">
      <c r="B58" s="178" t="str">
        <f t="shared" si="0"/>
        <v>1-50</v>
      </c>
      <c r="C58" s="179" t="s">
        <v>526</v>
      </c>
      <c r="D58" s="179" t="s">
        <v>83</v>
      </c>
      <c r="E58" s="179" t="s">
        <v>329</v>
      </c>
      <c r="F58" s="269" t="s">
        <v>330</v>
      </c>
      <c r="G58" s="270"/>
      <c r="H58" s="180"/>
      <c r="I58" s="180"/>
      <c r="J58" s="180"/>
      <c r="K58" s="180"/>
      <c r="L58" s="180"/>
      <c r="M58" s="180"/>
      <c r="N58" s="180"/>
      <c r="O58" s="180"/>
      <c r="P58" s="180"/>
      <c r="Q58" s="185"/>
      <c r="R58" s="184"/>
      <c r="S58" s="179"/>
      <c r="T58" s="181"/>
      <c r="U58" s="181"/>
      <c r="V58" s="200"/>
    </row>
    <row r="59" spans="2:23" ht="39" customHeight="1">
      <c r="B59" s="153" t="str">
        <f t="shared" ref="B59:B116" si="1">"1-"&amp;ROW()-8</f>
        <v>1-51</v>
      </c>
      <c r="C59" s="100" t="s">
        <v>157</v>
      </c>
      <c r="D59" s="100" t="s">
        <v>83</v>
      </c>
      <c r="E59" s="100" t="s">
        <v>110</v>
      </c>
      <c r="F59" s="242" t="s">
        <v>193</v>
      </c>
      <c r="G59" s="243"/>
      <c r="H59" s="101"/>
      <c r="I59" s="20"/>
      <c r="J59" s="101"/>
      <c r="K59" s="101"/>
      <c r="L59" s="20"/>
      <c r="M59" s="101"/>
      <c r="N59" s="122"/>
      <c r="O59" s="123"/>
      <c r="P59" s="101"/>
      <c r="Q59" s="166"/>
      <c r="R59" s="101"/>
      <c r="S59" s="101"/>
      <c r="T59" s="100"/>
      <c r="U59" s="102"/>
      <c r="V59" s="200"/>
      <c r="W59" s="117"/>
    </row>
    <row r="60" spans="2:23" ht="51" customHeight="1">
      <c r="B60" s="153" t="str">
        <f t="shared" si="1"/>
        <v>1-52</v>
      </c>
      <c r="C60" s="100" t="s">
        <v>526</v>
      </c>
      <c r="D60" s="100" t="s">
        <v>512</v>
      </c>
      <c r="E60" s="100" t="s">
        <v>225</v>
      </c>
      <c r="F60" s="242" t="s">
        <v>224</v>
      </c>
      <c r="G60" s="243"/>
      <c r="H60" s="101"/>
      <c r="I60" s="20"/>
      <c r="J60" s="101"/>
      <c r="K60" s="101"/>
      <c r="L60" s="20"/>
      <c r="M60" s="101"/>
      <c r="N60" s="122"/>
      <c r="O60" s="123"/>
      <c r="P60" s="101"/>
      <c r="Q60" s="166"/>
      <c r="R60" s="101"/>
      <c r="S60" s="101"/>
      <c r="T60" s="100"/>
      <c r="U60" s="102"/>
      <c r="V60" s="200"/>
      <c r="W60" s="132"/>
    </row>
    <row r="61" spans="2:23" ht="45" customHeight="1">
      <c r="B61" s="153" t="str">
        <f t="shared" si="1"/>
        <v>1-53</v>
      </c>
      <c r="C61" s="100" t="s">
        <v>526</v>
      </c>
      <c r="D61" s="100" t="s">
        <v>83</v>
      </c>
      <c r="E61" s="100" t="s">
        <v>157</v>
      </c>
      <c r="F61" s="242" t="s">
        <v>254</v>
      </c>
      <c r="G61" s="243"/>
      <c r="H61" s="101"/>
      <c r="I61" s="20"/>
      <c r="J61" s="101"/>
      <c r="K61" s="101"/>
      <c r="L61" s="20"/>
      <c r="M61" s="101"/>
      <c r="N61" s="122"/>
      <c r="O61" s="123"/>
      <c r="P61" s="101"/>
      <c r="Q61" s="166"/>
      <c r="R61" s="101"/>
      <c r="S61" s="100"/>
      <c r="T61" s="102"/>
      <c r="U61" s="102"/>
      <c r="V61" s="200"/>
    </row>
    <row r="62" spans="2:23" ht="39" customHeight="1">
      <c r="B62" s="178" t="str">
        <f t="shared" si="1"/>
        <v>1-54</v>
      </c>
      <c r="C62" s="179" t="s">
        <v>337</v>
      </c>
      <c r="D62" s="179" t="s">
        <v>83</v>
      </c>
      <c r="E62" s="179" t="s">
        <v>110</v>
      </c>
      <c r="F62" s="267" t="s">
        <v>193</v>
      </c>
      <c r="G62" s="268"/>
      <c r="H62" s="180"/>
      <c r="I62" s="180"/>
      <c r="J62" s="180"/>
      <c r="K62" s="180"/>
      <c r="L62" s="180"/>
      <c r="M62" s="180"/>
      <c r="N62" s="180"/>
      <c r="O62" s="180"/>
      <c r="P62" s="180"/>
      <c r="Q62" s="185"/>
      <c r="R62" s="184"/>
      <c r="S62" s="180"/>
      <c r="T62" s="179"/>
      <c r="U62" s="181"/>
      <c r="V62" s="200"/>
      <c r="W62" s="132"/>
    </row>
    <row r="63" spans="2:23" ht="39" customHeight="1">
      <c r="B63" s="178" t="str">
        <f t="shared" si="1"/>
        <v>1-55</v>
      </c>
      <c r="C63" s="179" t="s">
        <v>526</v>
      </c>
      <c r="D63" s="179" t="s">
        <v>512</v>
      </c>
      <c r="E63" s="179" t="s">
        <v>226</v>
      </c>
      <c r="F63" s="267" t="s">
        <v>227</v>
      </c>
      <c r="G63" s="268"/>
      <c r="H63" s="180"/>
      <c r="I63" s="180"/>
      <c r="J63" s="180"/>
      <c r="K63" s="180"/>
      <c r="L63" s="180"/>
      <c r="M63" s="180"/>
      <c r="N63" s="180"/>
      <c r="O63" s="180"/>
      <c r="P63" s="180"/>
      <c r="Q63" s="185"/>
      <c r="R63" s="184"/>
      <c r="S63" s="180"/>
      <c r="T63" s="179"/>
      <c r="U63" s="181"/>
      <c r="V63" s="200"/>
      <c r="W63" s="132"/>
    </row>
    <row r="64" spans="2:23" ht="45" customHeight="1">
      <c r="B64" s="178" t="str">
        <f t="shared" si="1"/>
        <v>1-56</v>
      </c>
      <c r="C64" s="179" t="s">
        <v>526</v>
      </c>
      <c r="D64" s="179" t="s">
        <v>83</v>
      </c>
      <c r="E64" s="179" t="s">
        <v>338</v>
      </c>
      <c r="F64" s="267" t="s">
        <v>254</v>
      </c>
      <c r="G64" s="268"/>
      <c r="H64" s="180"/>
      <c r="I64" s="180"/>
      <c r="J64" s="180"/>
      <c r="K64" s="180"/>
      <c r="L64" s="180"/>
      <c r="M64" s="180"/>
      <c r="N64" s="180"/>
      <c r="O64" s="180"/>
      <c r="P64" s="180"/>
      <c r="Q64" s="185"/>
      <c r="R64" s="184"/>
      <c r="S64" s="179"/>
      <c r="T64" s="181"/>
      <c r="U64" s="181"/>
      <c r="V64" s="200"/>
    </row>
    <row r="65" spans="2:24" ht="48.95" customHeight="1">
      <c r="B65" s="153" t="str">
        <f t="shared" si="1"/>
        <v>1-57</v>
      </c>
      <c r="C65" s="100" t="s">
        <v>159</v>
      </c>
      <c r="D65" s="100" t="s">
        <v>83</v>
      </c>
      <c r="E65" s="100" t="s">
        <v>110</v>
      </c>
      <c r="F65" s="242" t="s">
        <v>193</v>
      </c>
      <c r="G65" s="243"/>
      <c r="H65" s="101"/>
      <c r="I65" s="20"/>
      <c r="J65" s="101"/>
      <c r="K65" s="101"/>
      <c r="L65" s="20"/>
      <c r="M65" s="101"/>
      <c r="N65" s="122"/>
      <c r="O65" s="123"/>
      <c r="P65" s="101"/>
      <c r="Q65" s="101"/>
      <c r="R65" s="101"/>
      <c r="S65" s="100"/>
      <c r="T65" s="102"/>
      <c r="U65" s="102"/>
      <c r="V65" s="200"/>
      <c r="W65" s="132"/>
      <c r="X65" s="132"/>
    </row>
    <row r="66" spans="2:24" ht="45" customHeight="1">
      <c r="B66" s="178" t="str">
        <f t="shared" si="1"/>
        <v>1-58</v>
      </c>
      <c r="C66" s="179" t="s">
        <v>526</v>
      </c>
      <c r="D66" s="179" t="s">
        <v>512</v>
      </c>
      <c r="E66" s="179" t="s">
        <v>228</v>
      </c>
      <c r="F66" s="267" t="s">
        <v>229</v>
      </c>
      <c r="G66" s="268"/>
      <c r="H66" s="180"/>
      <c r="I66" s="180"/>
      <c r="J66" s="180"/>
      <c r="K66" s="180"/>
      <c r="L66" s="180"/>
      <c r="M66" s="180"/>
      <c r="N66" s="180"/>
      <c r="O66" s="180"/>
      <c r="P66" s="180"/>
      <c r="Q66" s="185"/>
      <c r="R66" s="184"/>
      <c r="S66" s="179"/>
      <c r="T66" s="181"/>
      <c r="U66" s="181"/>
      <c r="V66" s="200"/>
    </row>
    <row r="67" spans="2:24" ht="45" customHeight="1">
      <c r="B67" s="178" t="str">
        <f t="shared" si="1"/>
        <v>1-59</v>
      </c>
      <c r="C67" s="179" t="s">
        <v>526</v>
      </c>
      <c r="D67" s="179" t="s">
        <v>83</v>
      </c>
      <c r="E67" s="179" t="s">
        <v>159</v>
      </c>
      <c r="F67" s="267" t="s">
        <v>254</v>
      </c>
      <c r="G67" s="268"/>
      <c r="H67" s="180"/>
      <c r="I67" s="180"/>
      <c r="J67" s="180"/>
      <c r="K67" s="180"/>
      <c r="L67" s="180"/>
      <c r="M67" s="180"/>
      <c r="N67" s="180"/>
      <c r="O67" s="180"/>
      <c r="P67" s="180"/>
      <c r="Q67" s="185"/>
      <c r="R67" s="184"/>
      <c r="S67" s="179"/>
      <c r="T67" s="181"/>
      <c r="U67" s="181"/>
      <c r="V67" s="200"/>
    </row>
    <row r="68" spans="2:24" ht="45" customHeight="1">
      <c r="B68" s="153" t="str">
        <f t="shared" si="1"/>
        <v>1-60</v>
      </c>
      <c r="C68" s="100" t="s">
        <v>526</v>
      </c>
      <c r="D68" s="100" t="s">
        <v>493</v>
      </c>
      <c r="E68" s="100" t="s">
        <v>476</v>
      </c>
      <c r="F68" s="242" t="s">
        <v>231</v>
      </c>
      <c r="G68" s="243"/>
      <c r="H68" s="101"/>
      <c r="I68" s="20"/>
      <c r="J68" s="101"/>
      <c r="K68" s="101"/>
      <c r="L68" s="20"/>
      <c r="M68" s="101"/>
      <c r="N68" s="122"/>
      <c r="O68" s="123"/>
      <c r="P68" s="101"/>
      <c r="Q68" s="101"/>
      <c r="R68" s="101"/>
      <c r="S68" s="100"/>
      <c r="T68" s="102"/>
      <c r="U68" s="102"/>
      <c r="V68" s="200"/>
    </row>
    <row r="69" spans="2:24" ht="35.450000000000003" customHeight="1">
      <c r="B69" s="153" t="str">
        <f t="shared" si="1"/>
        <v>1-61</v>
      </c>
      <c r="C69" s="100" t="s">
        <v>526</v>
      </c>
      <c r="D69" s="100" t="s">
        <v>494</v>
      </c>
      <c r="E69" s="100" t="s">
        <v>159</v>
      </c>
      <c r="F69" s="242" t="s">
        <v>216</v>
      </c>
      <c r="G69" s="243"/>
      <c r="H69" s="101"/>
      <c r="I69" s="20"/>
      <c r="J69" s="101"/>
      <c r="K69" s="101"/>
      <c r="L69" s="20"/>
      <c r="M69" s="101"/>
      <c r="N69" s="122"/>
      <c r="O69" s="123"/>
      <c r="P69" s="101"/>
      <c r="Q69" s="166"/>
      <c r="R69" s="101"/>
      <c r="S69" s="100"/>
      <c r="T69" s="102"/>
      <c r="U69" s="102"/>
      <c r="V69" s="201"/>
    </row>
    <row r="70" spans="2:24" ht="35.450000000000003" customHeight="1">
      <c r="B70" s="153" t="str">
        <f t="shared" si="1"/>
        <v>1-62</v>
      </c>
      <c r="C70" s="100" t="s">
        <v>526</v>
      </c>
      <c r="D70" s="42" t="s">
        <v>492</v>
      </c>
      <c r="E70" s="100" t="s">
        <v>230</v>
      </c>
      <c r="F70" s="242" t="s">
        <v>106</v>
      </c>
      <c r="G70" s="243"/>
      <c r="H70" s="101"/>
      <c r="I70" s="20"/>
      <c r="J70" s="101"/>
      <c r="K70" s="101"/>
      <c r="L70" s="20"/>
      <c r="M70" s="101"/>
      <c r="N70" s="122"/>
      <c r="O70" s="123"/>
      <c r="P70" s="101"/>
      <c r="Q70" s="166"/>
      <c r="R70" s="101"/>
      <c r="S70" s="100"/>
      <c r="T70" s="102"/>
      <c r="U70" s="102"/>
      <c r="V70" s="201"/>
    </row>
    <row r="71" spans="2:24" ht="35.450000000000003" customHeight="1">
      <c r="B71" s="178" t="str">
        <f t="shared" si="1"/>
        <v>1-63</v>
      </c>
      <c r="C71" s="179" t="s">
        <v>526</v>
      </c>
      <c r="D71" s="179" t="s">
        <v>83</v>
      </c>
      <c r="E71" s="179" t="s">
        <v>228</v>
      </c>
      <c r="F71" s="267" t="s">
        <v>108</v>
      </c>
      <c r="G71" s="268"/>
      <c r="H71" s="180"/>
      <c r="I71" s="180"/>
      <c r="J71" s="180"/>
      <c r="K71" s="180"/>
      <c r="L71" s="180"/>
      <c r="M71" s="180"/>
      <c r="N71" s="180"/>
      <c r="O71" s="180"/>
      <c r="P71" s="180"/>
      <c r="Q71" s="185"/>
      <c r="R71" s="180"/>
      <c r="S71" s="179"/>
      <c r="T71" s="181"/>
      <c r="U71" s="181"/>
      <c r="V71" s="201"/>
    </row>
    <row r="72" spans="2:24" ht="35.450000000000003" customHeight="1">
      <c r="B72" s="178" t="str">
        <f t="shared" si="1"/>
        <v>1-64</v>
      </c>
      <c r="C72" s="179" t="s">
        <v>526</v>
      </c>
      <c r="D72" s="179" t="s">
        <v>83</v>
      </c>
      <c r="E72" s="179" t="s">
        <v>83</v>
      </c>
      <c r="F72" s="267" t="s">
        <v>229</v>
      </c>
      <c r="G72" s="268"/>
      <c r="H72" s="180"/>
      <c r="I72" s="180"/>
      <c r="J72" s="180"/>
      <c r="K72" s="180"/>
      <c r="L72" s="180"/>
      <c r="M72" s="180"/>
      <c r="N72" s="180"/>
      <c r="O72" s="180"/>
      <c r="P72" s="180"/>
      <c r="Q72" s="185"/>
      <c r="R72" s="180"/>
      <c r="S72" s="179"/>
      <c r="T72" s="181"/>
      <c r="U72" s="181"/>
      <c r="V72" s="201"/>
    </row>
    <row r="73" spans="2:24" ht="48.95" customHeight="1">
      <c r="B73" s="178" t="str">
        <f t="shared" si="1"/>
        <v>1-65</v>
      </c>
      <c r="C73" s="179" t="s">
        <v>528</v>
      </c>
      <c r="D73" s="179" t="s">
        <v>83</v>
      </c>
      <c r="E73" s="179" t="s">
        <v>110</v>
      </c>
      <c r="F73" s="267" t="s">
        <v>251</v>
      </c>
      <c r="G73" s="268"/>
      <c r="H73" s="180"/>
      <c r="I73" s="180"/>
      <c r="J73" s="180"/>
      <c r="K73" s="180"/>
      <c r="L73" s="180"/>
      <c r="M73" s="180"/>
      <c r="N73" s="180"/>
      <c r="O73" s="180"/>
      <c r="P73" s="180"/>
      <c r="Q73" s="185"/>
      <c r="R73" s="184"/>
      <c r="S73" s="179"/>
      <c r="T73" s="181"/>
      <c r="U73" s="181"/>
      <c r="V73" s="200"/>
      <c r="W73" s="117"/>
      <c r="X73" s="117"/>
    </row>
    <row r="74" spans="2:24" ht="45" customHeight="1">
      <c r="B74" s="178" t="str">
        <f t="shared" si="1"/>
        <v>1-66</v>
      </c>
      <c r="C74" s="179" t="s">
        <v>526</v>
      </c>
      <c r="D74" s="179" t="s">
        <v>512</v>
      </c>
      <c r="E74" s="179" t="s">
        <v>159</v>
      </c>
      <c r="F74" s="267" t="s">
        <v>252</v>
      </c>
      <c r="G74" s="268"/>
      <c r="H74" s="180"/>
      <c r="I74" s="180"/>
      <c r="J74" s="180"/>
      <c r="K74" s="180"/>
      <c r="L74" s="180"/>
      <c r="M74" s="180"/>
      <c r="N74" s="180"/>
      <c r="O74" s="180"/>
      <c r="P74" s="180"/>
      <c r="Q74" s="185"/>
      <c r="R74" s="184"/>
      <c r="S74" s="179"/>
      <c r="T74" s="181"/>
      <c r="U74" s="181"/>
      <c r="V74" s="200"/>
    </row>
    <row r="75" spans="2:24" ht="39" customHeight="1">
      <c r="B75" s="178" t="str">
        <f t="shared" si="1"/>
        <v>1-67</v>
      </c>
      <c r="C75" s="179" t="s">
        <v>526</v>
      </c>
      <c r="D75" s="179" t="s">
        <v>83</v>
      </c>
      <c r="E75" s="179" t="s">
        <v>160</v>
      </c>
      <c r="F75" s="267" t="s">
        <v>254</v>
      </c>
      <c r="G75" s="268"/>
      <c r="H75" s="180"/>
      <c r="I75" s="180"/>
      <c r="J75" s="180"/>
      <c r="K75" s="180"/>
      <c r="L75" s="180"/>
      <c r="M75" s="180"/>
      <c r="N75" s="180"/>
      <c r="O75" s="180"/>
      <c r="P75" s="180"/>
      <c r="Q75" s="185"/>
      <c r="R75" s="184"/>
      <c r="S75" s="180"/>
      <c r="T75" s="179"/>
      <c r="U75" s="181"/>
      <c r="V75" s="200"/>
      <c r="W75" s="132"/>
    </row>
    <row r="76" spans="2:24" ht="39" customHeight="1">
      <c r="B76" s="153" t="str">
        <f t="shared" si="1"/>
        <v>1-68</v>
      </c>
      <c r="C76" s="100" t="s">
        <v>529</v>
      </c>
      <c r="D76" s="100" t="s">
        <v>83</v>
      </c>
      <c r="E76" s="100" t="s">
        <v>110</v>
      </c>
      <c r="F76" s="242" t="s">
        <v>193</v>
      </c>
      <c r="G76" s="243"/>
      <c r="H76" s="101"/>
      <c r="I76" s="20"/>
      <c r="J76" s="101"/>
      <c r="K76" s="101"/>
      <c r="L76" s="20"/>
      <c r="M76" s="101"/>
      <c r="N76" s="122"/>
      <c r="O76" s="123"/>
      <c r="P76" s="101"/>
      <c r="Q76" s="101"/>
      <c r="R76" s="101"/>
      <c r="S76" s="101"/>
      <c r="T76" s="100"/>
      <c r="U76" s="102"/>
      <c r="V76" s="200"/>
      <c r="W76" s="116"/>
    </row>
    <row r="77" spans="2:24" ht="45" customHeight="1">
      <c r="B77" s="153" t="str">
        <f t="shared" si="1"/>
        <v>1-69</v>
      </c>
      <c r="C77" s="100" t="s">
        <v>526</v>
      </c>
      <c r="D77" s="100" t="s">
        <v>512</v>
      </c>
      <c r="E77" s="100" t="s">
        <v>161</v>
      </c>
      <c r="F77" s="242" t="s">
        <v>254</v>
      </c>
      <c r="G77" s="243"/>
      <c r="H77" s="101"/>
      <c r="I77" s="20"/>
      <c r="J77" s="101"/>
      <c r="K77" s="101"/>
      <c r="L77" s="20"/>
      <c r="M77" s="101"/>
      <c r="N77" s="122"/>
      <c r="O77" s="123"/>
      <c r="P77" s="101"/>
      <c r="Q77" s="166"/>
      <c r="R77" s="101"/>
      <c r="S77" s="100"/>
      <c r="T77" s="102"/>
      <c r="U77" s="102"/>
      <c r="V77" s="200"/>
    </row>
    <row r="78" spans="2:24" ht="39" customHeight="1">
      <c r="B78" s="153" t="str">
        <f t="shared" si="1"/>
        <v>1-70</v>
      </c>
      <c r="C78" s="100" t="s">
        <v>530</v>
      </c>
      <c r="D78" s="100" t="s">
        <v>162</v>
      </c>
      <c r="E78" s="100" t="s">
        <v>110</v>
      </c>
      <c r="F78" s="242" t="s">
        <v>193</v>
      </c>
      <c r="G78" s="243"/>
      <c r="H78" s="101"/>
      <c r="I78" s="20"/>
      <c r="J78" s="101"/>
      <c r="K78" s="101"/>
      <c r="L78" s="20"/>
      <c r="M78" s="101"/>
      <c r="N78" s="122"/>
      <c r="O78" s="123"/>
      <c r="P78" s="101"/>
      <c r="Q78" s="101"/>
      <c r="R78" s="101"/>
      <c r="S78" s="101"/>
      <c r="T78" s="100"/>
      <c r="U78" s="102"/>
      <c r="V78" s="200"/>
      <c r="W78" s="116"/>
    </row>
    <row r="79" spans="2:24" ht="39" customHeight="1">
      <c r="B79" s="153" t="str">
        <f t="shared" si="1"/>
        <v>1-71</v>
      </c>
      <c r="C79" s="100" t="s">
        <v>526</v>
      </c>
      <c r="D79" s="100" t="s">
        <v>512</v>
      </c>
      <c r="E79" s="100" t="s">
        <v>162</v>
      </c>
      <c r="F79" s="242" t="s">
        <v>254</v>
      </c>
      <c r="G79" s="243"/>
      <c r="H79" s="101"/>
      <c r="I79" s="20"/>
      <c r="J79" s="101"/>
      <c r="K79" s="101"/>
      <c r="L79" s="20"/>
      <c r="M79" s="101"/>
      <c r="N79" s="122"/>
      <c r="O79" s="123"/>
      <c r="P79" s="101"/>
      <c r="Q79" s="166"/>
      <c r="R79" s="101"/>
      <c r="S79" s="101"/>
      <c r="T79" s="100"/>
      <c r="U79" s="102"/>
      <c r="V79" s="200"/>
      <c r="W79" s="132"/>
    </row>
    <row r="80" spans="2:24" ht="48.95" customHeight="1">
      <c r="B80" s="153" t="str">
        <f t="shared" si="1"/>
        <v>1-72</v>
      </c>
      <c r="C80" s="100" t="s">
        <v>531</v>
      </c>
      <c r="D80" s="100" t="s">
        <v>83</v>
      </c>
      <c r="E80" s="100" t="s">
        <v>110</v>
      </c>
      <c r="F80" s="242" t="s">
        <v>193</v>
      </c>
      <c r="G80" s="243"/>
      <c r="H80" s="101"/>
      <c r="I80" s="20"/>
      <c r="J80" s="101"/>
      <c r="K80" s="101"/>
      <c r="L80" s="20"/>
      <c r="M80" s="101"/>
      <c r="N80" s="122"/>
      <c r="O80" s="123"/>
      <c r="P80" s="101"/>
      <c r="Q80" s="101"/>
      <c r="R80" s="101"/>
      <c r="S80" s="100"/>
      <c r="T80" s="102"/>
      <c r="U80" s="102"/>
      <c r="V80" s="200"/>
      <c r="W80" s="116"/>
      <c r="X80" s="116"/>
    </row>
    <row r="81" spans="2:24" ht="39" customHeight="1">
      <c r="B81" s="153" t="str">
        <f t="shared" si="1"/>
        <v>1-73</v>
      </c>
      <c r="C81" s="100" t="s">
        <v>526</v>
      </c>
      <c r="D81" s="100" t="s">
        <v>512</v>
      </c>
      <c r="E81" s="100" t="s">
        <v>163</v>
      </c>
      <c r="F81" s="242" t="s">
        <v>254</v>
      </c>
      <c r="G81" s="243"/>
      <c r="H81" s="101"/>
      <c r="I81" s="20"/>
      <c r="J81" s="101"/>
      <c r="K81" s="101"/>
      <c r="L81" s="20"/>
      <c r="M81" s="101"/>
      <c r="N81" s="122"/>
      <c r="O81" s="123"/>
      <c r="P81" s="101"/>
      <c r="Q81" s="166"/>
      <c r="R81" s="101"/>
      <c r="S81" s="101"/>
      <c r="T81" s="100"/>
      <c r="U81" s="102"/>
      <c r="V81" s="200"/>
      <c r="W81" s="132"/>
    </row>
    <row r="82" spans="2:24" ht="48.95" customHeight="1">
      <c r="B82" s="153" t="str">
        <f t="shared" si="1"/>
        <v>1-74</v>
      </c>
      <c r="C82" s="100" t="s">
        <v>532</v>
      </c>
      <c r="D82" s="100" t="s">
        <v>301</v>
      </c>
      <c r="E82" s="100" t="s">
        <v>110</v>
      </c>
      <c r="F82" s="242" t="s">
        <v>193</v>
      </c>
      <c r="G82" s="243"/>
      <c r="H82" s="101"/>
      <c r="I82" s="20"/>
      <c r="J82" s="101"/>
      <c r="K82" s="101"/>
      <c r="L82" s="20"/>
      <c r="M82" s="101"/>
      <c r="N82" s="122"/>
      <c r="O82" s="123"/>
      <c r="P82" s="101"/>
      <c r="Q82" s="101"/>
      <c r="R82" s="101"/>
      <c r="S82" s="100"/>
      <c r="T82" s="102"/>
      <c r="U82" s="102"/>
      <c r="V82" s="200"/>
      <c r="W82" s="117"/>
      <c r="X82" s="117"/>
    </row>
    <row r="83" spans="2:24" ht="39" customHeight="1">
      <c r="B83" s="153" t="str">
        <f t="shared" si="1"/>
        <v>1-75</v>
      </c>
      <c r="C83" s="100" t="s">
        <v>526</v>
      </c>
      <c r="D83" s="100" t="s">
        <v>512</v>
      </c>
      <c r="E83" s="100" t="s">
        <v>164</v>
      </c>
      <c r="F83" s="242" t="s">
        <v>254</v>
      </c>
      <c r="G83" s="243"/>
      <c r="H83" s="101"/>
      <c r="I83" s="20"/>
      <c r="J83" s="101"/>
      <c r="K83" s="101"/>
      <c r="L83" s="20"/>
      <c r="M83" s="101"/>
      <c r="N83" s="122"/>
      <c r="O83" s="123"/>
      <c r="P83" s="101"/>
      <c r="Q83" s="166"/>
      <c r="R83" s="101"/>
      <c r="S83" s="101"/>
      <c r="T83" s="100"/>
      <c r="U83" s="102"/>
      <c r="V83" s="200"/>
      <c r="W83" s="132"/>
    </row>
    <row r="84" spans="2:24" ht="48.95" customHeight="1">
      <c r="B84" s="153" t="str">
        <f t="shared" si="1"/>
        <v>1-76</v>
      </c>
      <c r="C84" s="100" t="s">
        <v>533</v>
      </c>
      <c r="D84" s="100" t="s">
        <v>301</v>
      </c>
      <c r="E84" s="100" t="s">
        <v>110</v>
      </c>
      <c r="F84" s="242" t="s">
        <v>193</v>
      </c>
      <c r="G84" s="243"/>
      <c r="H84" s="101"/>
      <c r="I84" s="20"/>
      <c r="J84" s="101"/>
      <c r="K84" s="101"/>
      <c r="L84" s="20"/>
      <c r="M84" s="101"/>
      <c r="N84" s="122"/>
      <c r="O84" s="123"/>
      <c r="P84" s="101"/>
      <c r="Q84" s="101"/>
      <c r="R84" s="101"/>
      <c r="S84" s="100"/>
      <c r="T84" s="102"/>
      <c r="U84" s="102"/>
      <c r="V84" s="200"/>
      <c r="W84" s="117"/>
      <c r="X84" s="117"/>
    </row>
    <row r="85" spans="2:24" ht="39" customHeight="1">
      <c r="B85" s="153" t="str">
        <f t="shared" si="1"/>
        <v>1-77</v>
      </c>
      <c r="C85" s="100" t="s">
        <v>526</v>
      </c>
      <c r="D85" s="100" t="s">
        <v>512</v>
      </c>
      <c r="E85" s="100" t="s">
        <v>165</v>
      </c>
      <c r="F85" s="242" t="s">
        <v>254</v>
      </c>
      <c r="G85" s="243"/>
      <c r="H85" s="101"/>
      <c r="I85" s="20"/>
      <c r="J85" s="101"/>
      <c r="K85" s="101"/>
      <c r="L85" s="20"/>
      <c r="M85" s="101"/>
      <c r="N85" s="122"/>
      <c r="O85" s="123"/>
      <c r="P85" s="101"/>
      <c r="Q85" s="166"/>
      <c r="R85" s="101"/>
      <c r="S85" s="101"/>
      <c r="T85" s="100"/>
      <c r="U85" s="102"/>
      <c r="V85" s="200"/>
      <c r="W85" s="132"/>
    </row>
    <row r="86" spans="2:24" ht="48.95" customHeight="1">
      <c r="B86" s="153" t="str">
        <f t="shared" si="1"/>
        <v>1-78</v>
      </c>
      <c r="C86" s="100" t="s">
        <v>534</v>
      </c>
      <c r="D86" s="100" t="s">
        <v>301</v>
      </c>
      <c r="E86" s="100" t="s">
        <v>110</v>
      </c>
      <c r="F86" s="242" t="s">
        <v>116</v>
      </c>
      <c r="G86" s="243"/>
      <c r="H86" s="101"/>
      <c r="I86" s="20"/>
      <c r="J86" s="101"/>
      <c r="K86" s="101"/>
      <c r="L86" s="20"/>
      <c r="M86" s="101"/>
      <c r="N86" s="122"/>
      <c r="O86" s="123"/>
      <c r="P86" s="101"/>
      <c r="Q86" s="101"/>
      <c r="R86" s="101"/>
      <c r="S86" s="100"/>
      <c r="T86" s="102"/>
      <c r="U86" s="102"/>
      <c r="V86" s="200"/>
      <c r="W86" s="117"/>
      <c r="X86" s="117"/>
    </row>
    <row r="87" spans="2:24" ht="48.95" customHeight="1">
      <c r="B87" s="153" t="str">
        <f t="shared" si="1"/>
        <v>1-79</v>
      </c>
      <c r="C87" s="100" t="s">
        <v>526</v>
      </c>
      <c r="D87" s="100" t="s">
        <v>302</v>
      </c>
      <c r="E87" s="100" t="s">
        <v>303</v>
      </c>
      <c r="F87" s="244" t="s">
        <v>469</v>
      </c>
      <c r="G87" s="245"/>
      <c r="H87" s="101"/>
      <c r="I87" s="20"/>
      <c r="J87" s="101"/>
      <c r="K87" s="161"/>
      <c r="L87" s="162"/>
      <c r="M87" s="161"/>
      <c r="N87" s="161"/>
      <c r="O87" s="162"/>
      <c r="P87" s="161"/>
      <c r="Q87" s="166"/>
      <c r="R87" s="101"/>
      <c r="S87" s="100"/>
      <c r="T87" s="102"/>
      <c r="U87" s="102"/>
      <c r="V87" s="200"/>
      <c r="W87" s="132"/>
      <c r="X87" s="132"/>
    </row>
    <row r="88" spans="2:24" ht="48.95" customHeight="1">
      <c r="B88" s="153" t="str">
        <f t="shared" si="1"/>
        <v>1-80</v>
      </c>
      <c r="C88" s="100" t="s">
        <v>535</v>
      </c>
      <c r="D88" s="100" t="s">
        <v>301</v>
      </c>
      <c r="E88" s="100" t="s">
        <v>110</v>
      </c>
      <c r="F88" s="242" t="s">
        <v>116</v>
      </c>
      <c r="G88" s="243"/>
      <c r="H88" s="101"/>
      <c r="I88" s="20"/>
      <c r="J88" s="101"/>
      <c r="K88" s="101"/>
      <c r="L88" s="20"/>
      <c r="M88" s="101"/>
      <c r="N88" s="122"/>
      <c r="O88" s="123"/>
      <c r="P88" s="101"/>
      <c r="Q88" s="101"/>
      <c r="R88" s="101"/>
      <c r="S88" s="100"/>
      <c r="T88" s="102"/>
      <c r="U88" s="102"/>
      <c r="V88" s="200"/>
      <c r="W88" s="117"/>
      <c r="X88" s="117"/>
    </row>
    <row r="89" spans="2:24" ht="48.95" customHeight="1">
      <c r="B89" s="153" t="str">
        <f t="shared" si="1"/>
        <v>1-81</v>
      </c>
      <c r="C89" s="100" t="s">
        <v>526</v>
      </c>
      <c r="D89" s="100" t="s">
        <v>302</v>
      </c>
      <c r="E89" s="100" t="s">
        <v>303</v>
      </c>
      <c r="F89" s="244" t="s">
        <v>469</v>
      </c>
      <c r="G89" s="245"/>
      <c r="H89" s="101"/>
      <c r="I89" s="20"/>
      <c r="J89" s="101"/>
      <c r="K89" s="161"/>
      <c r="L89" s="162"/>
      <c r="M89" s="161"/>
      <c r="N89" s="161"/>
      <c r="O89" s="162"/>
      <c r="P89" s="161"/>
      <c r="Q89" s="166"/>
      <c r="R89" s="101"/>
      <c r="S89" s="100"/>
      <c r="T89" s="102"/>
      <c r="U89" s="102"/>
      <c r="V89" s="200"/>
      <c r="W89" s="132"/>
      <c r="X89" s="132"/>
    </row>
    <row r="90" spans="2:24" ht="48.95" customHeight="1">
      <c r="B90" s="153" t="str">
        <f t="shared" si="1"/>
        <v>1-82</v>
      </c>
      <c r="C90" s="100" t="s">
        <v>536</v>
      </c>
      <c r="D90" s="100" t="s">
        <v>301</v>
      </c>
      <c r="E90" s="100" t="s">
        <v>110</v>
      </c>
      <c r="F90" s="242" t="s">
        <v>116</v>
      </c>
      <c r="G90" s="243"/>
      <c r="H90" s="101"/>
      <c r="I90" s="20"/>
      <c r="J90" s="101"/>
      <c r="K90" s="101"/>
      <c r="L90" s="20"/>
      <c r="M90" s="101"/>
      <c r="N90" s="122"/>
      <c r="O90" s="123"/>
      <c r="P90" s="101"/>
      <c r="Q90" s="101"/>
      <c r="R90" s="101"/>
      <c r="S90" s="100"/>
      <c r="T90" s="102"/>
      <c r="U90" s="102"/>
      <c r="V90" s="200"/>
      <c r="W90" s="117"/>
      <c r="X90" s="117"/>
    </row>
    <row r="91" spans="2:24" ht="48.95" customHeight="1">
      <c r="B91" s="153" t="str">
        <f t="shared" si="1"/>
        <v>1-83</v>
      </c>
      <c r="C91" s="100" t="s">
        <v>526</v>
      </c>
      <c r="D91" s="100" t="s">
        <v>302</v>
      </c>
      <c r="E91" s="100" t="s">
        <v>303</v>
      </c>
      <c r="F91" s="244" t="s">
        <v>469</v>
      </c>
      <c r="G91" s="245"/>
      <c r="H91" s="101"/>
      <c r="I91" s="20"/>
      <c r="J91" s="101"/>
      <c r="K91" s="161"/>
      <c r="L91" s="162"/>
      <c r="M91" s="161"/>
      <c r="N91" s="161"/>
      <c r="O91" s="162"/>
      <c r="P91" s="161"/>
      <c r="Q91" s="166"/>
      <c r="R91" s="101"/>
      <c r="S91" s="100"/>
      <c r="T91" s="102"/>
      <c r="U91" s="102"/>
      <c r="V91" s="200"/>
      <c r="W91" s="132"/>
      <c r="X91" s="132"/>
    </row>
    <row r="92" spans="2:24" ht="48.95" customHeight="1">
      <c r="B92" s="153" t="str">
        <f t="shared" si="1"/>
        <v>1-84</v>
      </c>
      <c r="C92" s="100" t="s">
        <v>537</v>
      </c>
      <c r="D92" s="100" t="s">
        <v>301</v>
      </c>
      <c r="E92" s="100" t="s">
        <v>110</v>
      </c>
      <c r="F92" s="242" t="s">
        <v>116</v>
      </c>
      <c r="G92" s="243"/>
      <c r="H92" s="101"/>
      <c r="I92" s="20"/>
      <c r="J92" s="101"/>
      <c r="K92" s="101"/>
      <c r="L92" s="20"/>
      <c r="M92" s="101"/>
      <c r="N92" s="122"/>
      <c r="O92" s="123"/>
      <c r="P92" s="101"/>
      <c r="Q92" s="101"/>
      <c r="R92" s="101"/>
      <c r="S92" s="100"/>
      <c r="T92" s="102"/>
      <c r="U92" s="102"/>
      <c r="V92" s="200"/>
      <c r="W92" s="117"/>
      <c r="X92" s="117"/>
    </row>
    <row r="93" spans="2:24" ht="48.95" customHeight="1">
      <c r="B93" s="153" t="str">
        <f t="shared" si="1"/>
        <v>1-85</v>
      </c>
      <c r="C93" s="100" t="s">
        <v>526</v>
      </c>
      <c r="D93" s="100" t="s">
        <v>302</v>
      </c>
      <c r="E93" s="100" t="s">
        <v>303</v>
      </c>
      <c r="F93" s="244" t="s">
        <v>469</v>
      </c>
      <c r="G93" s="245"/>
      <c r="H93" s="101"/>
      <c r="I93" s="20"/>
      <c r="J93" s="101"/>
      <c r="K93" s="161"/>
      <c r="L93" s="162"/>
      <c r="M93" s="161"/>
      <c r="N93" s="161"/>
      <c r="O93" s="162"/>
      <c r="P93" s="161"/>
      <c r="Q93" s="166"/>
      <c r="R93" s="101"/>
      <c r="S93" s="100"/>
      <c r="T93" s="102"/>
      <c r="U93" s="102"/>
      <c r="V93" s="200"/>
      <c r="W93" s="132"/>
      <c r="X93" s="132"/>
    </row>
    <row r="94" spans="2:24" ht="48.95" customHeight="1">
      <c r="B94" s="153" t="str">
        <f t="shared" si="1"/>
        <v>1-86</v>
      </c>
      <c r="C94" s="100" t="s">
        <v>538</v>
      </c>
      <c r="D94" s="100" t="s">
        <v>301</v>
      </c>
      <c r="E94" s="100" t="s">
        <v>110</v>
      </c>
      <c r="F94" s="242" t="s">
        <v>116</v>
      </c>
      <c r="G94" s="243"/>
      <c r="H94" s="101"/>
      <c r="I94" s="20"/>
      <c r="J94" s="101"/>
      <c r="K94" s="101"/>
      <c r="L94" s="20"/>
      <c r="M94" s="101"/>
      <c r="N94" s="122"/>
      <c r="O94" s="123"/>
      <c r="P94" s="101"/>
      <c r="Q94" s="101"/>
      <c r="R94" s="101"/>
      <c r="S94" s="100"/>
      <c r="T94" s="102"/>
      <c r="U94" s="102"/>
      <c r="V94" s="200"/>
      <c r="W94" s="117"/>
      <c r="X94" s="117"/>
    </row>
    <row r="95" spans="2:24" ht="48.95" customHeight="1">
      <c r="B95" s="153" t="str">
        <f t="shared" si="1"/>
        <v>1-87</v>
      </c>
      <c r="C95" s="100" t="s">
        <v>526</v>
      </c>
      <c r="D95" s="100" t="s">
        <v>302</v>
      </c>
      <c r="E95" s="100" t="s">
        <v>303</v>
      </c>
      <c r="F95" s="244" t="s">
        <v>469</v>
      </c>
      <c r="G95" s="245"/>
      <c r="H95" s="101"/>
      <c r="I95" s="20"/>
      <c r="J95" s="101"/>
      <c r="K95" s="161"/>
      <c r="L95" s="162"/>
      <c r="M95" s="161"/>
      <c r="N95" s="161"/>
      <c r="O95" s="162"/>
      <c r="P95" s="161"/>
      <c r="Q95" s="166"/>
      <c r="R95" s="101"/>
      <c r="S95" s="100"/>
      <c r="T95" s="102"/>
      <c r="U95" s="102"/>
      <c r="V95" s="200"/>
      <c r="W95" s="132"/>
      <c r="X95" s="132"/>
    </row>
    <row r="96" spans="2:24" ht="48.95" customHeight="1">
      <c r="B96" s="153" t="str">
        <f t="shared" si="1"/>
        <v>1-88</v>
      </c>
      <c r="C96" s="100" t="s">
        <v>539</v>
      </c>
      <c r="D96" s="100" t="s">
        <v>301</v>
      </c>
      <c r="E96" s="100" t="s">
        <v>110</v>
      </c>
      <c r="F96" s="242" t="s">
        <v>116</v>
      </c>
      <c r="G96" s="243"/>
      <c r="H96" s="101"/>
      <c r="I96" s="20"/>
      <c r="J96" s="101"/>
      <c r="K96" s="101"/>
      <c r="L96" s="20"/>
      <c r="M96" s="101"/>
      <c r="N96" s="122"/>
      <c r="O96" s="123"/>
      <c r="P96" s="101"/>
      <c r="Q96" s="101"/>
      <c r="R96" s="101"/>
      <c r="S96" s="100"/>
      <c r="T96" s="102"/>
      <c r="U96" s="102"/>
      <c r="V96" s="200"/>
      <c r="W96" s="117"/>
      <c r="X96" s="117"/>
    </row>
    <row r="97" spans="2:24" ht="48.95" customHeight="1">
      <c r="B97" s="153" t="str">
        <f t="shared" si="1"/>
        <v>1-89</v>
      </c>
      <c r="C97" s="100" t="s">
        <v>526</v>
      </c>
      <c r="D97" s="100" t="s">
        <v>302</v>
      </c>
      <c r="E97" s="100" t="s">
        <v>303</v>
      </c>
      <c r="F97" s="244" t="s">
        <v>469</v>
      </c>
      <c r="G97" s="245"/>
      <c r="H97" s="101"/>
      <c r="I97" s="20"/>
      <c r="J97" s="101"/>
      <c r="K97" s="161"/>
      <c r="L97" s="162"/>
      <c r="M97" s="161"/>
      <c r="N97" s="161"/>
      <c r="O97" s="162"/>
      <c r="P97" s="161"/>
      <c r="Q97" s="166"/>
      <c r="R97" s="101"/>
      <c r="S97" s="100"/>
      <c r="T97" s="102"/>
      <c r="U97" s="102"/>
      <c r="V97" s="200"/>
      <c r="W97" s="132"/>
      <c r="X97" s="132"/>
    </row>
    <row r="98" spans="2:24" ht="48.95" customHeight="1">
      <c r="B98" s="153" t="str">
        <f t="shared" si="1"/>
        <v>1-90</v>
      </c>
      <c r="C98" s="100" t="s">
        <v>540</v>
      </c>
      <c r="D98" s="100" t="s">
        <v>301</v>
      </c>
      <c r="E98" s="100" t="s">
        <v>110</v>
      </c>
      <c r="F98" s="242" t="s">
        <v>116</v>
      </c>
      <c r="G98" s="243"/>
      <c r="H98" s="101"/>
      <c r="I98" s="20"/>
      <c r="J98" s="101"/>
      <c r="K98" s="101"/>
      <c r="L98" s="20"/>
      <c r="M98" s="101"/>
      <c r="N98" s="122"/>
      <c r="O98" s="123"/>
      <c r="P98" s="101"/>
      <c r="Q98" s="101"/>
      <c r="R98" s="101"/>
      <c r="S98" s="100"/>
      <c r="T98" s="102"/>
      <c r="U98" s="102"/>
      <c r="V98" s="200"/>
      <c r="W98" s="113"/>
      <c r="X98" s="113"/>
    </row>
    <row r="99" spans="2:24" ht="48.95" customHeight="1">
      <c r="B99" s="153" t="str">
        <f t="shared" si="1"/>
        <v>1-91</v>
      </c>
      <c r="C99" s="100" t="s">
        <v>526</v>
      </c>
      <c r="D99" s="100" t="s">
        <v>302</v>
      </c>
      <c r="E99" s="100" t="s">
        <v>303</v>
      </c>
      <c r="F99" s="244" t="s">
        <v>469</v>
      </c>
      <c r="G99" s="245"/>
      <c r="H99" s="101"/>
      <c r="I99" s="20"/>
      <c r="J99" s="101"/>
      <c r="K99" s="161"/>
      <c r="L99" s="162"/>
      <c r="M99" s="161"/>
      <c r="N99" s="161"/>
      <c r="O99" s="162"/>
      <c r="P99" s="161"/>
      <c r="Q99" s="166"/>
      <c r="R99" s="101"/>
      <c r="S99" s="100"/>
      <c r="T99" s="102"/>
      <c r="U99" s="102"/>
      <c r="V99" s="200"/>
      <c r="W99" s="132"/>
      <c r="X99" s="132"/>
    </row>
    <row r="100" spans="2:24" ht="48.95" customHeight="1">
      <c r="B100" s="153" t="str">
        <f t="shared" si="1"/>
        <v>1-92</v>
      </c>
      <c r="C100" s="100" t="s">
        <v>541</v>
      </c>
      <c r="D100" s="100" t="s">
        <v>301</v>
      </c>
      <c r="E100" s="100" t="s">
        <v>110</v>
      </c>
      <c r="F100" s="242" t="s">
        <v>116</v>
      </c>
      <c r="G100" s="243"/>
      <c r="H100" s="101"/>
      <c r="I100" s="20"/>
      <c r="J100" s="101"/>
      <c r="K100" s="101"/>
      <c r="L100" s="20"/>
      <c r="M100" s="101"/>
      <c r="N100" s="122"/>
      <c r="O100" s="123"/>
      <c r="P100" s="101"/>
      <c r="Q100" s="101"/>
      <c r="R100" s="101"/>
      <c r="S100" s="100"/>
      <c r="T100" s="102"/>
      <c r="U100" s="102"/>
      <c r="V100" s="200"/>
      <c r="W100" s="113"/>
      <c r="X100" s="113"/>
    </row>
    <row r="101" spans="2:24" ht="48.95" customHeight="1">
      <c r="B101" s="153" t="str">
        <f t="shared" si="1"/>
        <v>1-93</v>
      </c>
      <c r="C101" s="100" t="s">
        <v>526</v>
      </c>
      <c r="D101" s="100" t="s">
        <v>302</v>
      </c>
      <c r="E101" s="100" t="s">
        <v>303</v>
      </c>
      <c r="F101" s="244" t="s">
        <v>469</v>
      </c>
      <c r="G101" s="245"/>
      <c r="H101" s="101"/>
      <c r="I101" s="20"/>
      <c r="J101" s="101"/>
      <c r="K101" s="161"/>
      <c r="L101" s="162"/>
      <c r="M101" s="161"/>
      <c r="N101" s="161"/>
      <c r="O101" s="162"/>
      <c r="P101" s="161"/>
      <c r="Q101" s="166"/>
      <c r="R101" s="101"/>
      <c r="S101" s="100"/>
      <c r="T101" s="102"/>
      <c r="U101" s="102"/>
      <c r="V101" s="200"/>
      <c r="W101" s="132"/>
      <c r="X101" s="132"/>
    </row>
    <row r="102" spans="2:24" ht="48.95" customHeight="1">
      <c r="B102" s="153" t="str">
        <f t="shared" si="1"/>
        <v>1-94</v>
      </c>
      <c r="C102" s="100" t="s">
        <v>542</v>
      </c>
      <c r="D102" s="100" t="s">
        <v>301</v>
      </c>
      <c r="E102" s="100" t="s">
        <v>110</v>
      </c>
      <c r="F102" s="242" t="s">
        <v>116</v>
      </c>
      <c r="G102" s="243"/>
      <c r="H102" s="101"/>
      <c r="I102" s="20"/>
      <c r="J102" s="101"/>
      <c r="K102" s="101"/>
      <c r="L102" s="20"/>
      <c r="M102" s="101"/>
      <c r="N102" s="122"/>
      <c r="O102" s="123"/>
      <c r="P102" s="101"/>
      <c r="Q102" s="101"/>
      <c r="R102" s="101"/>
      <c r="S102" s="100"/>
      <c r="T102" s="102"/>
      <c r="U102" s="102"/>
      <c r="V102" s="200"/>
      <c r="W102" s="113"/>
      <c r="X102" s="113"/>
    </row>
    <row r="103" spans="2:24" ht="48.95" customHeight="1">
      <c r="B103" s="153" t="str">
        <f t="shared" si="1"/>
        <v>1-95</v>
      </c>
      <c r="C103" s="100" t="s">
        <v>526</v>
      </c>
      <c r="D103" s="100" t="s">
        <v>302</v>
      </c>
      <c r="E103" s="100" t="s">
        <v>303</v>
      </c>
      <c r="F103" s="244" t="s">
        <v>469</v>
      </c>
      <c r="G103" s="245"/>
      <c r="H103" s="101"/>
      <c r="I103" s="20"/>
      <c r="J103" s="101"/>
      <c r="K103" s="161"/>
      <c r="L103" s="162"/>
      <c r="M103" s="161"/>
      <c r="N103" s="161"/>
      <c r="O103" s="162"/>
      <c r="P103" s="161"/>
      <c r="Q103" s="166"/>
      <c r="R103" s="101"/>
      <c r="S103" s="100"/>
      <c r="T103" s="102"/>
      <c r="U103" s="102"/>
      <c r="V103" s="200"/>
      <c r="W103" s="132"/>
      <c r="X103" s="132"/>
    </row>
    <row r="104" spans="2:24" ht="48.95" customHeight="1">
      <c r="B104" s="153" t="str">
        <f t="shared" si="1"/>
        <v>1-96</v>
      </c>
      <c r="C104" s="100" t="s">
        <v>543</v>
      </c>
      <c r="D104" s="100" t="s">
        <v>301</v>
      </c>
      <c r="E104" s="100" t="s">
        <v>110</v>
      </c>
      <c r="F104" s="242" t="s">
        <v>116</v>
      </c>
      <c r="G104" s="243"/>
      <c r="H104" s="101"/>
      <c r="I104" s="20"/>
      <c r="J104" s="101"/>
      <c r="K104" s="101"/>
      <c r="L104" s="20"/>
      <c r="M104" s="101"/>
      <c r="N104" s="122"/>
      <c r="O104" s="123"/>
      <c r="P104" s="101"/>
      <c r="Q104" s="101"/>
      <c r="R104" s="101"/>
      <c r="S104" s="100"/>
      <c r="T104" s="102"/>
      <c r="U104" s="102"/>
      <c r="V104" s="200"/>
      <c r="W104" s="134"/>
      <c r="X104" s="134"/>
    </row>
    <row r="105" spans="2:24" ht="48.95" customHeight="1">
      <c r="B105" s="153" t="str">
        <f t="shared" si="1"/>
        <v>1-97</v>
      </c>
      <c r="C105" s="100" t="s">
        <v>526</v>
      </c>
      <c r="D105" s="100" t="s">
        <v>302</v>
      </c>
      <c r="E105" s="100" t="s">
        <v>303</v>
      </c>
      <c r="F105" s="244" t="s">
        <v>469</v>
      </c>
      <c r="G105" s="245"/>
      <c r="H105" s="101"/>
      <c r="I105" s="20"/>
      <c r="J105" s="101"/>
      <c r="K105" s="161"/>
      <c r="L105" s="162"/>
      <c r="M105" s="161"/>
      <c r="N105" s="161"/>
      <c r="O105" s="162"/>
      <c r="P105" s="161"/>
      <c r="Q105" s="166"/>
      <c r="R105" s="101"/>
      <c r="S105" s="100"/>
      <c r="T105" s="102"/>
      <c r="U105" s="102"/>
      <c r="V105" s="200"/>
      <c r="W105" s="134"/>
      <c r="X105" s="134"/>
    </row>
    <row r="106" spans="2:24" ht="48.95" customHeight="1">
      <c r="B106" s="153" t="str">
        <f t="shared" si="1"/>
        <v>1-98</v>
      </c>
      <c r="C106" s="100" t="s">
        <v>544</v>
      </c>
      <c r="D106" s="100" t="s">
        <v>301</v>
      </c>
      <c r="E106" s="100" t="s">
        <v>110</v>
      </c>
      <c r="F106" s="242" t="s">
        <v>193</v>
      </c>
      <c r="G106" s="243"/>
      <c r="H106" s="101"/>
      <c r="I106" s="20"/>
      <c r="J106" s="101"/>
      <c r="K106" s="101"/>
      <c r="L106" s="20"/>
      <c r="M106" s="101"/>
      <c r="N106" s="122"/>
      <c r="O106" s="123"/>
      <c r="P106" s="101"/>
      <c r="Q106" s="101"/>
      <c r="R106" s="101"/>
      <c r="S106" s="100"/>
      <c r="T106" s="102"/>
      <c r="U106" s="102"/>
      <c r="V106" s="200"/>
      <c r="W106" s="113"/>
      <c r="X106" s="113"/>
    </row>
    <row r="107" spans="2:24" ht="48.95" customHeight="1">
      <c r="B107" s="153" t="str">
        <f t="shared" si="1"/>
        <v>1-99</v>
      </c>
      <c r="C107" s="100" t="s">
        <v>526</v>
      </c>
      <c r="D107" s="100" t="s">
        <v>83</v>
      </c>
      <c r="E107" s="100" t="s">
        <v>175</v>
      </c>
      <c r="F107" s="242" t="s">
        <v>254</v>
      </c>
      <c r="G107" s="243"/>
      <c r="H107" s="101"/>
      <c r="I107" s="20"/>
      <c r="J107" s="101"/>
      <c r="K107" s="101"/>
      <c r="L107" s="20"/>
      <c r="M107" s="101"/>
      <c r="N107" s="122"/>
      <c r="O107" s="123"/>
      <c r="P107" s="101"/>
      <c r="Q107" s="166"/>
      <c r="R107" s="101"/>
      <c r="S107" s="100"/>
      <c r="T107" s="102"/>
      <c r="U107" s="102"/>
      <c r="V107" s="200"/>
      <c r="W107" s="132"/>
      <c r="X107" s="132"/>
    </row>
    <row r="108" spans="2:24" ht="48.95" customHeight="1">
      <c r="B108" s="153" t="str">
        <f t="shared" si="1"/>
        <v>1-100</v>
      </c>
      <c r="C108" s="100" t="s">
        <v>545</v>
      </c>
      <c r="D108" s="100" t="s">
        <v>83</v>
      </c>
      <c r="E108" s="100" t="s">
        <v>110</v>
      </c>
      <c r="F108" s="242" t="s">
        <v>193</v>
      </c>
      <c r="G108" s="243"/>
      <c r="H108" s="101"/>
      <c r="I108" s="20"/>
      <c r="J108" s="101"/>
      <c r="K108" s="101"/>
      <c r="L108" s="20"/>
      <c r="M108" s="101"/>
      <c r="N108" s="122"/>
      <c r="O108" s="123"/>
      <c r="P108" s="101"/>
      <c r="Q108" s="101"/>
      <c r="R108" s="101"/>
      <c r="S108" s="100"/>
      <c r="T108" s="102"/>
      <c r="U108" s="102"/>
      <c r="V108" s="200"/>
      <c r="W108" s="132"/>
      <c r="X108" s="132"/>
    </row>
    <row r="109" spans="2:24" ht="48.95" customHeight="1">
      <c r="B109" s="153" t="str">
        <f t="shared" si="1"/>
        <v>1-101</v>
      </c>
      <c r="C109" s="100" t="s">
        <v>526</v>
      </c>
      <c r="D109" s="100" t="s">
        <v>83</v>
      </c>
      <c r="E109" s="100" t="s">
        <v>176</v>
      </c>
      <c r="F109" s="242" t="s">
        <v>254</v>
      </c>
      <c r="G109" s="243"/>
      <c r="H109" s="101"/>
      <c r="I109" s="20"/>
      <c r="J109" s="101"/>
      <c r="K109" s="101"/>
      <c r="L109" s="20"/>
      <c r="M109" s="101"/>
      <c r="N109" s="122"/>
      <c r="O109" s="123"/>
      <c r="P109" s="101"/>
      <c r="Q109" s="166"/>
      <c r="R109" s="101"/>
      <c r="S109" s="100"/>
      <c r="T109" s="102"/>
      <c r="U109" s="102"/>
      <c r="V109" s="200"/>
      <c r="W109" s="132"/>
      <c r="X109" s="132"/>
    </row>
    <row r="110" spans="2:24" ht="48.95" customHeight="1">
      <c r="B110" s="153" t="str">
        <f t="shared" si="1"/>
        <v>1-102</v>
      </c>
      <c r="C110" s="100" t="s">
        <v>546</v>
      </c>
      <c r="D110" s="100" t="s">
        <v>83</v>
      </c>
      <c r="E110" s="100" t="s">
        <v>110</v>
      </c>
      <c r="F110" s="242" t="s">
        <v>193</v>
      </c>
      <c r="G110" s="243"/>
      <c r="H110" s="101"/>
      <c r="I110" s="20"/>
      <c r="J110" s="101"/>
      <c r="K110" s="101"/>
      <c r="L110" s="20"/>
      <c r="M110" s="101"/>
      <c r="N110" s="122"/>
      <c r="O110" s="123"/>
      <c r="P110" s="101"/>
      <c r="Q110" s="101"/>
      <c r="R110" s="101"/>
      <c r="S110" s="100"/>
      <c r="T110" s="102"/>
      <c r="U110" s="102"/>
      <c r="V110" s="200"/>
      <c r="W110" s="132"/>
      <c r="X110" s="132"/>
    </row>
    <row r="111" spans="2:24" ht="48.95" customHeight="1">
      <c r="B111" s="153" t="str">
        <f t="shared" si="1"/>
        <v>1-103</v>
      </c>
      <c r="C111" s="100" t="s">
        <v>526</v>
      </c>
      <c r="D111" s="100" t="s">
        <v>83</v>
      </c>
      <c r="E111" s="100" t="s">
        <v>177</v>
      </c>
      <c r="F111" s="242" t="s">
        <v>254</v>
      </c>
      <c r="G111" s="243"/>
      <c r="H111" s="101"/>
      <c r="I111" s="20"/>
      <c r="J111" s="101"/>
      <c r="K111" s="101"/>
      <c r="L111" s="20"/>
      <c r="M111" s="101"/>
      <c r="N111" s="122"/>
      <c r="O111" s="123"/>
      <c r="P111" s="101"/>
      <c r="Q111" s="166"/>
      <c r="R111" s="101"/>
      <c r="S111" s="100"/>
      <c r="T111" s="102"/>
      <c r="U111" s="102"/>
      <c r="V111" s="200"/>
      <c r="W111" s="132"/>
      <c r="X111" s="132"/>
    </row>
    <row r="112" spans="2:24" ht="48.95" customHeight="1">
      <c r="B112" s="153" t="str">
        <f t="shared" si="1"/>
        <v>1-104</v>
      </c>
      <c r="C112" s="100" t="s">
        <v>547</v>
      </c>
      <c r="D112" s="100" t="s">
        <v>83</v>
      </c>
      <c r="E112" s="100" t="s">
        <v>110</v>
      </c>
      <c r="F112" s="242" t="s">
        <v>193</v>
      </c>
      <c r="G112" s="243"/>
      <c r="H112" s="101"/>
      <c r="I112" s="20"/>
      <c r="J112" s="101"/>
      <c r="K112" s="101"/>
      <c r="L112" s="20"/>
      <c r="M112" s="101"/>
      <c r="N112" s="122"/>
      <c r="O112" s="123"/>
      <c r="P112" s="101"/>
      <c r="Q112" s="101"/>
      <c r="R112" s="101"/>
      <c r="S112" s="100"/>
      <c r="T112" s="102"/>
      <c r="U112" s="102"/>
      <c r="V112" s="200"/>
      <c r="W112" s="132"/>
      <c r="X112" s="132"/>
    </row>
    <row r="113" spans="2:24" ht="48.95" customHeight="1">
      <c r="B113" s="153" t="str">
        <f t="shared" si="1"/>
        <v>1-105</v>
      </c>
      <c r="C113" s="100" t="s">
        <v>526</v>
      </c>
      <c r="D113" s="100" t="s">
        <v>83</v>
      </c>
      <c r="E113" s="100" t="s">
        <v>178</v>
      </c>
      <c r="F113" s="242" t="s">
        <v>254</v>
      </c>
      <c r="G113" s="243"/>
      <c r="H113" s="101"/>
      <c r="I113" s="20"/>
      <c r="J113" s="101"/>
      <c r="K113" s="101"/>
      <c r="L113" s="20"/>
      <c r="M113" s="101"/>
      <c r="N113" s="122"/>
      <c r="O113" s="123"/>
      <c r="P113" s="101"/>
      <c r="Q113" s="166"/>
      <c r="R113" s="101"/>
      <c r="S113" s="100"/>
      <c r="T113" s="102"/>
      <c r="U113" s="102"/>
      <c r="V113" s="200"/>
      <c r="W113" s="132"/>
      <c r="X113" s="132"/>
    </row>
    <row r="114" spans="2:24" ht="48.95" customHeight="1">
      <c r="B114" s="153" t="str">
        <f t="shared" si="1"/>
        <v>1-106</v>
      </c>
      <c r="C114" s="100" t="s">
        <v>548</v>
      </c>
      <c r="D114" s="100" t="s">
        <v>83</v>
      </c>
      <c r="E114" s="100" t="s">
        <v>110</v>
      </c>
      <c r="F114" s="242" t="s">
        <v>193</v>
      </c>
      <c r="G114" s="243"/>
      <c r="H114" s="101"/>
      <c r="I114" s="20"/>
      <c r="J114" s="101"/>
      <c r="K114" s="101"/>
      <c r="L114" s="20"/>
      <c r="M114" s="101"/>
      <c r="N114" s="122"/>
      <c r="O114" s="123"/>
      <c r="P114" s="101"/>
      <c r="Q114" s="101"/>
      <c r="R114" s="101"/>
      <c r="S114" s="100"/>
      <c r="T114" s="102"/>
      <c r="U114" s="102"/>
      <c r="V114" s="200"/>
      <c r="W114" s="132"/>
      <c r="X114" s="132"/>
    </row>
    <row r="115" spans="2:24" ht="48.95" customHeight="1">
      <c r="B115" s="153" t="str">
        <f t="shared" si="1"/>
        <v>1-107</v>
      </c>
      <c r="C115" s="100" t="s">
        <v>526</v>
      </c>
      <c r="D115" s="100" t="s">
        <v>83</v>
      </c>
      <c r="E115" s="100" t="s">
        <v>179</v>
      </c>
      <c r="F115" s="242" t="s">
        <v>254</v>
      </c>
      <c r="G115" s="243"/>
      <c r="H115" s="101"/>
      <c r="I115" s="20"/>
      <c r="J115" s="101"/>
      <c r="K115" s="101"/>
      <c r="L115" s="20"/>
      <c r="M115" s="101"/>
      <c r="N115" s="122"/>
      <c r="O115" s="123"/>
      <c r="P115" s="101"/>
      <c r="Q115" s="166"/>
      <c r="R115" s="101"/>
      <c r="S115" s="100"/>
      <c r="T115" s="102"/>
      <c r="U115" s="102"/>
      <c r="V115" s="200"/>
      <c r="W115" s="132"/>
      <c r="X115" s="132"/>
    </row>
    <row r="116" spans="2:24" ht="48.95" customHeight="1">
      <c r="B116" s="153" t="str">
        <f t="shared" si="1"/>
        <v>1-108</v>
      </c>
      <c r="C116" s="100" t="s">
        <v>549</v>
      </c>
      <c r="D116" s="100" t="s">
        <v>83</v>
      </c>
      <c r="E116" s="100" t="s">
        <v>110</v>
      </c>
      <c r="F116" s="242" t="s">
        <v>193</v>
      </c>
      <c r="G116" s="243"/>
      <c r="H116" s="101"/>
      <c r="I116" s="20"/>
      <c r="J116" s="101"/>
      <c r="K116" s="101"/>
      <c r="L116" s="20"/>
      <c r="M116" s="101"/>
      <c r="N116" s="122"/>
      <c r="O116" s="123"/>
      <c r="P116" s="101"/>
      <c r="Q116" s="101"/>
      <c r="R116" s="101"/>
      <c r="S116" s="100"/>
      <c r="T116" s="102"/>
      <c r="U116" s="102"/>
      <c r="V116" s="200"/>
      <c r="W116" s="117"/>
      <c r="X116" s="117"/>
    </row>
    <row r="117" spans="2:24" ht="48.95" customHeight="1">
      <c r="B117" s="153" t="str">
        <f t="shared" ref="B117:B168" si="2">"1-"&amp;ROW()-8</f>
        <v>1-109</v>
      </c>
      <c r="C117" s="100" t="s">
        <v>526</v>
      </c>
      <c r="D117" s="100" t="s">
        <v>512</v>
      </c>
      <c r="E117" s="100" t="s">
        <v>180</v>
      </c>
      <c r="F117" s="242" t="s">
        <v>254</v>
      </c>
      <c r="G117" s="243"/>
      <c r="H117" s="101"/>
      <c r="I117" s="20"/>
      <c r="J117" s="101"/>
      <c r="K117" s="101"/>
      <c r="L117" s="20"/>
      <c r="M117" s="101"/>
      <c r="N117" s="122"/>
      <c r="O117" s="123"/>
      <c r="P117" s="101"/>
      <c r="Q117" s="166"/>
      <c r="R117" s="101"/>
      <c r="S117" s="100"/>
      <c r="T117" s="102"/>
      <c r="U117" s="102"/>
      <c r="V117" s="200"/>
      <c r="W117" s="132"/>
      <c r="X117" s="132"/>
    </row>
    <row r="118" spans="2:24" ht="48.95" customHeight="1">
      <c r="B118" s="153" t="str">
        <f t="shared" si="2"/>
        <v>1-110</v>
      </c>
      <c r="C118" s="100" t="s">
        <v>550</v>
      </c>
      <c r="D118" s="100" t="s">
        <v>83</v>
      </c>
      <c r="E118" s="100" t="s">
        <v>110</v>
      </c>
      <c r="F118" s="242" t="s">
        <v>193</v>
      </c>
      <c r="G118" s="243"/>
      <c r="H118" s="101"/>
      <c r="I118" s="20"/>
      <c r="J118" s="101"/>
      <c r="K118" s="101"/>
      <c r="L118" s="20"/>
      <c r="M118" s="101"/>
      <c r="N118" s="122"/>
      <c r="O118" s="123"/>
      <c r="P118" s="101"/>
      <c r="Q118" s="101"/>
      <c r="R118" s="101"/>
      <c r="S118" s="100"/>
      <c r="T118" s="102"/>
      <c r="U118" s="102"/>
      <c r="V118" s="200"/>
      <c r="W118" s="117"/>
      <c r="X118" s="117"/>
    </row>
    <row r="119" spans="2:24" ht="48.95" customHeight="1">
      <c r="B119" s="153" t="str">
        <f t="shared" si="2"/>
        <v>1-111</v>
      </c>
      <c r="C119" s="100" t="s">
        <v>526</v>
      </c>
      <c r="D119" s="100" t="s">
        <v>512</v>
      </c>
      <c r="E119" s="100" t="s">
        <v>181</v>
      </c>
      <c r="F119" s="242" t="s">
        <v>254</v>
      </c>
      <c r="G119" s="243"/>
      <c r="H119" s="101"/>
      <c r="I119" s="20"/>
      <c r="J119" s="101"/>
      <c r="K119" s="101"/>
      <c r="L119" s="20"/>
      <c r="M119" s="101"/>
      <c r="N119" s="122"/>
      <c r="O119" s="123"/>
      <c r="P119" s="101"/>
      <c r="Q119" s="166"/>
      <c r="R119" s="101"/>
      <c r="S119" s="100"/>
      <c r="T119" s="102"/>
      <c r="U119" s="102"/>
      <c r="V119" s="200"/>
      <c r="W119" s="132"/>
      <c r="X119" s="132"/>
    </row>
    <row r="120" spans="2:24" ht="48.95" customHeight="1">
      <c r="B120" s="153" t="str">
        <f t="shared" si="2"/>
        <v>1-112</v>
      </c>
      <c r="C120" s="100" t="s">
        <v>490</v>
      </c>
      <c r="D120" s="100" t="s">
        <v>83</v>
      </c>
      <c r="E120" s="100" t="s">
        <v>110</v>
      </c>
      <c r="F120" s="242" t="s">
        <v>193</v>
      </c>
      <c r="G120" s="243"/>
      <c r="H120" s="101"/>
      <c r="I120" s="20"/>
      <c r="J120" s="101"/>
      <c r="K120" s="101"/>
      <c r="L120" s="20"/>
      <c r="M120" s="101"/>
      <c r="N120" s="122"/>
      <c r="O120" s="123"/>
      <c r="P120" s="101"/>
      <c r="Q120" s="101"/>
      <c r="R120" s="101"/>
      <c r="S120" s="100"/>
      <c r="T120" s="102"/>
      <c r="U120" s="102"/>
      <c r="V120" s="200"/>
      <c r="W120" s="132"/>
      <c r="X120" s="132"/>
    </row>
    <row r="121" spans="2:24" ht="45" customHeight="1">
      <c r="B121" s="153" t="str">
        <f t="shared" si="2"/>
        <v>1-113</v>
      </c>
      <c r="C121" s="100" t="s">
        <v>526</v>
      </c>
      <c r="D121" s="100" t="s">
        <v>512</v>
      </c>
      <c r="E121" s="100" t="s">
        <v>255</v>
      </c>
      <c r="F121" s="242" t="s">
        <v>254</v>
      </c>
      <c r="G121" s="243"/>
      <c r="H121" s="101"/>
      <c r="I121" s="20"/>
      <c r="J121" s="101"/>
      <c r="K121" s="101"/>
      <c r="L121" s="20"/>
      <c r="M121" s="101"/>
      <c r="N121" s="122"/>
      <c r="O121" s="123"/>
      <c r="P121" s="101"/>
      <c r="Q121" s="101"/>
      <c r="R121" s="101"/>
      <c r="S121" s="100"/>
      <c r="T121" s="102"/>
      <c r="U121" s="102"/>
      <c r="V121" s="200"/>
    </row>
    <row r="122" spans="2:24" ht="45" customHeight="1">
      <c r="B122" s="153" t="str">
        <f t="shared" si="2"/>
        <v>1-114</v>
      </c>
      <c r="C122" s="100" t="s">
        <v>526</v>
      </c>
      <c r="D122" s="100" t="s">
        <v>515</v>
      </c>
      <c r="E122" s="100" t="s">
        <v>483</v>
      </c>
      <c r="F122" s="242" t="s">
        <v>257</v>
      </c>
      <c r="G122" s="243"/>
      <c r="H122" s="101"/>
      <c r="I122" s="20"/>
      <c r="J122" s="101"/>
      <c r="K122" s="101"/>
      <c r="L122" s="20"/>
      <c r="M122" s="101"/>
      <c r="N122" s="122"/>
      <c r="O122" s="123"/>
      <c r="P122" s="101"/>
      <c r="Q122" s="166"/>
      <c r="R122" s="101"/>
      <c r="S122" s="100"/>
      <c r="T122" s="102"/>
      <c r="U122" s="102"/>
      <c r="V122" s="200"/>
    </row>
    <row r="123" spans="2:24" ht="35.450000000000003" customHeight="1">
      <c r="B123" s="153" t="str">
        <f t="shared" si="2"/>
        <v>1-115</v>
      </c>
      <c r="C123" s="100" t="s">
        <v>526</v>
      </c>
      <c r="D123" s="100" t="s">
        <v>495</v>
      </c>
      <c r="E123" s="100" t="s">
        <v>258</v>
      </c>
      <c r="F123" s="242" t="s">
        <v>216</v>
      </c>
      <c r="G123" s="243"/>
      <c r="H123" s="101"/>
      <c r="I123" s="20"/>
      <c r="J123" s="101"/>
      <c r="K123" s="101"/>
      <c r="L123" s="20"/>
      <c r="M123" s="101"/>
      <c r="N123" s="122"/>
      <c r="O123" s="123"/>
      <c r="P123" s="101"/>
      <c r="Q123" s="166"/>
      <c r="R123" s="101"/>
      <c r="S123" s="100"/>
      <c r="T123" s="102"/>
      <c r="U123" s="102"/>
      <c r="V123" s="201"/>
    </row>
    <row r="124" spans="2:24" ht="35.450000000000003" customHeight="1">
      <c r="B124" s="153" t="str">
        <f t="shared" si="2"/>
        <v>1-116</v>
      </c>
      <c r="C124" s="100" t="s">
        <v>526</v>
      </c>
      <c r="D124" s="100" t="s">
        <v>83</v>
      </c>
      <c r="E124" s="100" t="s">
        <v>256</v>
      </c>
      <c r="F124" s="242" t="s">
        <v>108</v>
      </c>
      <c r="G124" s="243"/>
      <c r="H124" s="101"/>
      <c r="I124" s="20"/>
      <c r="J124" s="101"/>
      <c r="K124" s="101"/>
      <c r="L124" s="20"/>
      <c r="M124" s="101"/>
      <c r="N124" s="122"/>
      <c r="O124" s="123"/>
      <c r="P124" s="101"/>
      <c r="Q124" s="101"/>
      <c r="R124" s="101"/>
      <c r="S124" s="100"/>
      <c r="T124" s="102"/>
      <c r="U124" s="102"/>
      <c r="V124" s="201"/>
    </row>
    <row r="125" spans="2:24" ht="35.450000000000003" customHeight="1">
      <c r="B125" s="153" t="str">
        <f t="shared" si="2"/>
        <v>1-117</v>
      </c>
      <c r="C125" s="100" t="s">
        <v>526</v>
      </c>
      <c r="D125" s="100" t="s">
        <v>83</v>
      </c>
      <c r="E125" s="100" t="s">
        <v>83</v>
      </c>
      <c r="F125" s="242" t="s">
        <v>259</v>
      </c>
      <c r="G125" s="243"/>
      <c r="H125" s="101"/>
      <c r="I125" s="20"/>
      <c r="J125" s="101"/>
      <c r="K125" s="101"/>
      <c r="L125" s="20"/>
      <c r="M125" s="101"/>
      <c r="N125" s="122"/>
      <c r="O125" s="123"/>
      <c r="P125" s="101"/>
      <c r="Q125" s="101"/>
      <c r="R125" s="101"/>
      <c r="S125" s="100"/>
      <c r="T125" s="102"/>
      <c r="U125" s="102"/>
      <c r="V125" s="201"/>
    </row>
    <row r="126" spans="2:24" ht="35.450000000000003" customHeight="1">
      <c r="B126" s="153" t="str">
        <f t="shared" si="2"/>
        <v>1-118</v>
      </c>
      <c r="C126" s="100" t="s">
        <v>526</v>
      </c>
      <c r="D126" s="42" t="s">
        <v>492</v>
      </c>
      <c r="E126" s="100" t="s">
        <v>256</v>
      </c>
      <c r="F126" s="242" t="s">
        <v>106</v>
      </c>
      <c r="G126" s="243"/>
      <c r="H126" s="101"/>
      <c r="I126" s="20"/>
      <c r="J126" s="101"/>
      <c r="K126" s="101"/>
      <c r="L126" s="20"/>
      <c r="M126" s="101"/>
      <c r="N126" s="122"/>
      <c r="O126" s="123"/>
      <c r="P126" s="101"/>
      <c r="Q126" s="101"/>
      <c r="R126" s="101"/>
      <c r="S126" s="100"/>
      <c r="T126" s="102"/>
      <c r="U126" s="102"/>
      <c r="V126" s="201"/>
    </row>
    <row r="127" spans="2:24" ht="48.95" customHeight="1">
      <c r="B127" s="153" t="str">
        <f t="shared" si="2"/>
        <v>1-119</v>
      </c>
      <c r="C127" s="100" t="s">
        <v>551</v>
      </c>
      <c r="D127" s="100" t="s">
        <v>83</v>
      </c>
      <c r="E127" s="100" t="s">
        <v>110</v>
      </c>
      <c r="F127" s="242" t="s">
        <v>106</v>
      </c>
      <c r="G127" s="243"/>
      <c r="H127" s="101"/>
      <c r="I127" s="20"/>
      <c r="J127" s="101"/>
      <c r="K127" s="101"/>
      <c r="L127" s="20"/>
      <c r="M127" s="101"/>
      <c r="N127" s="122"/>
      <c r="O127" s="123"/>
      <c r="P127" s="101"/>
      <c r="Q127" s="101"/>
      <c r="R127" s="101"/>
      <c r="S127" s="100"/>
      <c r="T127" s="102"/>
      <c r="U127" s="102"/>
      <c r="V127" s="200"/>
      <c r="W127" s="117"/>
      <c r="X127" s="117"/>
    </row>
    <row r="128" spans="2:24" ht="48.95" customHeight="1">
      <c r="B128" s="153" t="str">
        <f t="shared" si="2"/>
        <v>1-120</v>
      </c>
      <c r="C128" s="100" t="s">
        <v>526</v>
      </c>
      <c r="D128" s="100" t="s">
        <v>83</v>
      </c>
      <c r="E128" s="100" t="s">
        <v>516</v>
      </c>
      <c r="F128" s="242" t="s">
        <v>123</v>
      </c>
      <c r="G128" s="243"/>
      <c r="H128" s="101"/>
      <c r="I128" s="20"/>
      <c r="J128" s="101"/>
      <c r="K128" s="101"/>
      <c r="L128" s="20"/>
      <c r="M128" s="101"/>
      <c r="N128" s="122"/>
      <c r="O128" s="123"/>
      <c r="P128" s="101"/>
      <c r="Q128" s="101"/>
      <c r="R128" s="101"/>
      <c r="S128" s="100"/>
      <c r="T128" s="102"/>
      <c r="U128" s="102"/>
      <c r="V128" s="200"/>
      <c r="W128" s="132"/>
      <c r="X128" s="132"/>
    </row>
    <row r="129" spans="2:24" ht="48.95" customHeight="1">
      <c r="B129" s="153" t="str">
        <f t="shared" si="2"/>
        <v>1-121</v>
      </c>
      <c r="C129" s="100" t="s">
        <v>552</v>
      </c>
      <c r="D129" s="100" t="s">
        <v>83</v>
      </c>
      <c r="E129" s="100" t="s">
        <v>110</v>
      </c>
      <c r="F129" s="242" t="s">
        <v>193</v>
      </c>
      <c r="G129" s="243"/>
      <c r="H129" s="101"/>
      <c r="I129" s="20"/>
      <c r="J129" s="101"/>
      <c r="K129" s="101"/>
      <c r="L129" s="20"/>
      <c r="M129" s="101"/>
      <c r="N129" s="122"/>
      <c r="O129" s="123"/>
      <c r="P129" s="101"/>
      <c r="Q129" s="101"/>
      <c r="R129" s="101"/>
      <c r="S129" s="100"/>
      <c r="T129" s="102"/>
      <c r="U129" s="102"/>
      <c r="V129" s="200"/>
      <c r="W129" s="117"/>
      <c r="X129" s="117"/>
    </row>
    <row r="130" spans="2:24" ht="48.95" customHeight="1">
      <c r="B130" s="153" t="str">
        <f t="shared" si="2"/>
        <v>1-122</v>
      </c>
      <c r="C130" s="100" t="s">
        <v>526</v>
      </c>
      <c r="D130" s="100" t="s">
        <v>512</v>
      </c>
      <c r="E130" s="100" t="s">
        <v>183</v>
      </c>
      <c r="F130" s="242" t="s">
        <v>254</v>
      </c>
      <c r="G130" s="243"/>
      <c r="H130" s="101"/>
      <c r="I130" s="20"/>
      <c r="J130" s="101"/>
      <c r="K130" s="101"/>
      <c r="L130" s="20"/>
      <c r="M130" s="101"/>
      <c r="N130" s="122"/>
      <c r="O130" s="123"/>
      <c r="P130" s="101"/>
      <c r="Q130" s="101"/>
      <c r="R130" s="101"/>
      <c r="S130" s="100"/>
      <c r="T130" s="102"/>
      <c r="U130" s="102"/>
      <c r="V130" s="200"/>
      <c r="W130" s="132"/>
      <c r="X130" s="132"/>
    </row>
    <row r="131" spans="2:24" ht="48.95" customHeight="1">
      <c r="B131" s="153" t="str">
        <f t="shared" si="2"/>
        <v>1-123</v>
      </c>
      <c r="C131" s="100" t="s">
        <v>553</v>
      </c>
      <c r="D131" s="100" t="s">
        <v>83</v>
      </c>
      <c r="E131" s="100" t="s">
        <v>110</v>
      </c>
      <c r="F131" s="242" t="s">
        <v>193</v>
      </c>
      <c r="G131" s="243"/>
      <c r="H131" s="101"/>
      <c r="I131" s="20"/>
      <c r="J131" s="101"/>
      <c r="K131" s="101"/>
      <c r="L131" s="20"/>
      <c r="M131" s="101"/>
      <c r="N131" s="122"/>
      <c r="O131" s="123"/>
      <c r="P131" s="101"/>
      <c r="Q131" s="101"/>
      <c r="R131" s="101"/>
      <c r="S131" s="100"/>
      <c r="T131" s="102"/>
      <c r="U131" s="102"/>
      <c r="V131" s="200"/>
      <c r="W131" s="117"/>
      <c r="X131" s="117"/>
    </row>
    <row r="132" spans="2:24" ht="48.95" customHeight="1">
      <c r="B132" s="153" t="str">
        <f t="shared" si="2"/>
        <v>1-124</v>
      </c>
      <c r="C132" s="100" t="s">
        <v>526</v>
      </c>
      <c r="D132" s="100" t="s">
        <v>512</v>
      </c>
      <c r="E132" s="100" t="s">
        <v>184</v>
      </c>
      <c r="F132" s="242" t="s">
        <v>254</v>
      </c>
      <c r="G132" s="243"/>
      <c r="H132" s="101"/>
      <c r="I132" s="20"/>
      <c r="J132" s="101"/>
      <c r="K132" s="101"/>
      <c r="L132" s="20"/>
      <c r="M132" s="101"/>
      <c r="N132" s="122"/>
      <c r="O132" s="123"/>
      <c r="P132" s="101"/>
      <c r="Q132" s="101"/>
      <c r="R132" s="101"/>
      <c r="S132" s="100"/>
      <c r="T132" s="102"/>
      <c r="U132" s="102"/>
      <c r="V132" s="200"/>
      <c r="W132" s="132"/>
      <c r="X132" s="132"/>
    </row>
    <row r="133" spans="2:24" ht="48.95" customHeight="1">
      <c r="B133" s="153" t="str">
        <f t="shared" si="2"/>
        <v>1-125</v>
      </c>
      <c r="C133" s="100" t="s">
        <v>554</v>
      </c>
      <c r="D133" s="100" t="s">
        <v>83</v>
      </c>
      <c r="E133" s="100" t="s">
        <v>110</v>
      </c>
      <c r="F133" s="242" t="s">
        <v>193</v>
      </c>
      <c r="G133" s="243"/>
      <c r="H133" s="101"/>
      <c r="I133" s="20"/>
      <c r="J133" s="101"/>
      <c r="K133" s="101"/>
      <c r="L133" s="20"/>
      <c r="M133" s="101"/>
      <c r="N133" s="122"/>
      <c r="O133" s="123"/>
      <c r="P133" s="101"/>
      <c r="Q133" s="101"/>
      <c r="R133" s="101"/>
      <c r="S133" s="100"/>
      <c r="T133" s="102"/>
      <c r="U133" s="102"/>
      <c r="V133" s="200"/>
      <c r="W133" s="117"/>
      <c r="X133" s="117"/>
    </row>
    <row r="134" spans="2:24" ht="48.95" customHeight="1">
      <c r="B134" s="153" t="str">
        <f t="shared" si="2"/>
        <v>1-126</v>
      </c>
      <c r="C134" s="100" t="s">
        <v>526</v>
      </c>
      <c r="D134" s="100" t="s">
        <v>512</v>
      </c>
      <c r="E134" s="100" t="s">
        <v>185</v>
      </c>
      <c r="F134" s="242" t="s">
        <v>254</v>
      </c>
      <c r="G134" s="243"/>
      <c r="H134" s="101"/>
      <c r="I134" s="20"/>
      <c r="J134" s="101"/>
      <c r="K134" s="101"/>
      <c r="L134" s="20"/>
      <c r="M134" s="101"/>
      <c r="N134" s="122"/>
      <c r="O134" s="123"/>
      <c r="P134" s="101"/>
      <c r="Q134" s="101"/>
      <c r="R134" s="101"/>
      <c r="S134" s="100"/>
      <c r="T134" s="102"/>
      <c r="U134" s="102"/>
      <c r="V134" s="200"/>
      <c r="W134" s="132"/>
      <c r="X134" s="132"/>
    </row>
    <row r="135" spans="2:24" ht="48.95" customHeight="1">
      <c r="B135" s="153" t="str">
        <f t="shared" si="2"/>
        <v>1-127</v>
      </c>
      <c r="C135" s="100" t="s">
        <v>555</v>
      </c>
      <c r="D135" s="100" t="s">
        <v>83</v>
      </c>
      <c r="E135" s="100" t="s">
        <v>110</v>
      </c>
      <c r="F135" s="242" t="s">
        <v>193</v>
      </c>
      <c r="G135" s="243"/>
      <c r="H135" s="101"/>
      <c r="I135" s="20"/>
      <c r="J135" s="101"/>
      <c r="K135" s="101"/>
      <c r="L135" s="20"/>
      <c r="M135" s="101"/>
      <c r="N135" s="122"/>
      <c r="O135" s="123"/>
      <c r="P135" s="101"/>
      <c r="Q135" s="101"/>
      <c r="R135" s="101"/>
      <c r="S135" s="100"/>
      <c r="T135" s="102"/>
      <c r="U135" s="102"/>
      <c r="V135" s="200"/>
      <c r="W135" s="117"/>
      <c r="X135" s="117"/>
    </row>
    <row r="136" spans="2:24" ht="48.95" customHeight="1">
      <c r="B136" s="153" t="str">
        <f t="shared" si="2"/>
        <v>1-128</v>
      </c>
      <c r="C136" s="100" t="s">
        <v>526</v>
      </c>
      <c r="D136" s="100" t="s">
        <v>512</v>
      </c>
      <c r="E136" s="100" t="s">
        <v>186</v>
      </c>
      <c r="F136" s="242" t="s">
        <v>254</v>
      </c>
      <c r="G136" s="243"/>
      <c r="H136" s="101"/>
      <c r="I136" s="20"/>
      <c r="J136" s="101"/>
      <c r="K136" s="101"/>
      <c r="L136" s="20"/>
      <c r="M136" s="101"/>
      <c r="N136" s="122"/>
      <c r="O136" s="123"/>
      <c r="P136" s="101"/>
      <c r="Q136" s="101"/>
      <c r="R136" s="101"/>
      <c r="S136" s="100"/>
      <c r="T136" s="102"/>
      <c r="U136" s="102"/>
      <c r="V136" s="200"/>
      <c r="W136" s="132"/>
      <c r="X136" s="132"/>
    </row>
    <row r="137" spans="2:24" ht="48.95" customHeight="1">
      <c r="B137" s="153" t="str">
        <f t="shared" si="2"/>
        <v>1-129</v>
      </c>
      <c r="C137" s="100" t="s">
        <v>575</v>
      </c>
      <c r="D137" s="100" t="s">
        <v>83</v>
      </c>
      <c r="E137" s="100" t="s">
        <v>110</v>
      </c>
      <c r="F137" s="242" t="s">
        <v>193</v>
      </c>
      <c r="G137" s="243"/>
      <c r="H137" s="187"/>
      <c r="I137" s="188"/>
      <c r="J137" s="187"/>
      <c r="K137" s="187"/>
      <c r="L137" s="188"/>
      <c r="M137" s="187"/>
      <c r="N137" s="187"/>
      <c r="O137" s="188"/>
      <c r="P137" s="187"/>
      <c r="Q137" s="187"/>
      <c r="R137" s="101"/>
      <c r="S137" s="100"/>
      <c r="T137" s="102"/>
      <c r="U137" s="102"/>
      <c r="V137" s="200"/>
      <c r="W137" s="117"/>
      <c r="X137" s="117"/>
    </row>
    <row r="138" spans="2:24" ht="48.95" customHeight="1">
      <c r="B138" s="153" t="str">
        <f t="shared" si="2"/>
        <v>1-130</v>
      </c>
      <c r="C138" s="100" t="s">
        <v>526</v>
      </c>
      <c r="D138" s="100" t="s">
        <v>512</v>
      </c>
      <c r="E138" s="100" t="s">
        <v>188</v>
      </c>
      <c r="F138" s="242" t="s">
        <v>254</v>
      </c>
      <c r="G138" s="243"/>
      <c r="H138" s="187"/>
      <c r="I138" s="188"/>
      <c r="J138" s="187"/>
      <c r="K138" s="187"/>
      <c r="L138" s="188"/>
      <c r="M138" s="187"/>
      <c r="N138" s="187"/>
      <c r="O138" s="188"/>
      <c r="P138" s="187"/>
      <c r="Q138" s="187"/>
      <c r="R138" s="101"/>
      <c r="S138" s="100"/>
      <c r="T138" s="102"/>
      <c r="U138" s="102"/>
      <c r="V138" s="200"/>
      <c r="W138" s="132"/>
      <c r="X138" s="132"/>
    </row>
    <row r="139" spans="2:24" ht="48.95" customHeight="1">
      <c r="B139" s="153" t="str">
        <f t="shared" si="2"/>
        <v>1-131</v>
      </c>
      <c r="C139" s="100" t="s">
        <v>557</v>
      </c>
      <c r="D139" s="100" t="s">
        <v>83</v>
      </c>
      <c r="E139" s="100" t="s">
        <v>110</v>
      </c>
      <c r="F139" s="242" t="s">
        <v>193</v>
      </c>
      <c r="G139" s="243"/>
      <c r="H139" s="187"/>
      <c r="I139" s="188"/>
      <c r="J139" s="187"/>
      <c r="K139" s="187"/>
      <c r="L139" s="188"/>
      <c r="M139" s="187"/>
      <c r="N139" s="187"/>
      <c r="O139" s="188"/>
      <c r="P139" s="187"/>
      <c r="Q139" s="187"/>
      <c r="R139" s="101"/>
      <c r="S139" s="100"/>
      <c r="T139" s="102"/>
      <c r="U139" s="102"/>
      <c r="V139" s="200"/>
      <c r="W139" s="128"/>
      <c r="X139" s="128"/>
    </row>
    <row r="140" spans="2:24" ht="48.95" customHeight="1">
      <c r="B140" s="153" t="str">
        <f t="shared" si="2"/>
        <v>1-132</v>
      </c>
      <c r="C140" s="100" t="s">
        <v>526</v>
      </c>
      <c r="D140" s="100" t="s">
        <v>512</v>
      </c>
      <c r="E140" s="100" t="s">
        <v>189</v>
      </c>
      <c r="F140" s="242" t="s">
        <v>254</v>
      </c>
      <c r="G140" s="243"/>
      <c r="H140" s="187"/>
      <c r="I140" s="188"/>
      <c r="J140" s="187"/>
      <c r="K140" s="187"/>
      <c r="L140" s="188"/>
      <c r="M140" s="187"/>
      <c r="N140" s="187"/>
      <c r="O140" s="188"/>
      <c r="P140" s="187"/>
      <c r="Q140" s="187"/>
      <c r="R140" s="101"/>
      <c r="S140" s="100"/>
      <c r="T140" s="102"/>
      <c r="U140" s="102"/>
      <c r="V140" s="200"/>
      <c r="W140" s="132"/>
      <c r="X140" s="132"/>
    </row>
    <row r="141" spans="2:24" ht="48.95" customHeight="1">
      <c r="B141" s="153" t="str">
        <f t="shared" si="2"/>
        <v>1-133</v>
      </c>
      <c r="C141" s="100" t="s">
        <v>558</v>
      </c>
      <c r="D141" s="100" t="s">
        <v>83</v>
      </c>
      <c r="E141" s="100" t="s">
        <v>110</v>
      </c>
      <c r="F141" s="242" t="s">
        <v>193</v>
      </c>
      <c r="G141" s="243"/>
      <c r="H141" s="187"/>
      <c r="I141" s="188"/>
      <c r="J141" s="187"/>
      <c r="K141" s="187"/>
      <c r="L141" s="188"/>
      <c r="M141" s="187"/>
      <c r="N141" s="187"/>
      <c r="O141" s="188"/>
      <c r="P141" s="187"/>
      <c r="Q141" s="187"/>
      <c r="R141" s="101"/>
      <c r="S141" s="100"/>
      <c r="T141" s="102"/>
      <c r="U141" s="102"/>
      <c r="V141" s="200"/>
      <c r="W141" s="128"/>
      <c r="X141" s="128"/>
    </row>
    <row r="142" spans="2:24" ht="48.95" customHeight="1">
      <c r="B142" s="153" t="str">
        <f t="shared" si="2"/>
        <v>1-134</v>
      </c>
      <c r="C142" s="100" t="s">
        <v>526</v>
      </c>
      <c r="D142" s="100" t="s">
        <v>512</v>
      </c>
      <c r="E142" s="100" t="s">
        <v>190</v>
      </c>
      <c r="F142" s="242" t="s">
        <v>254</v>
      </c>
      <c r="G142" s="243"/>
      <c r="H142" s="187"/>
      <c r="I142" s="188"/>
      <c r="J142" s="187"/>
      <c r="K142" s="187"/>
      <c r="L142" s="188"/>
      <c r="M142" s="187"/>
      <c r="N142" s="187"/>
      <c r="O142" s="188"/>
      <c r="P142" s="187"/>
      <c r="Q142" s="187"/>
      <c r="R142" s="101"/>
      <c r="S142" s="100"/>
      <c r="T142" s="102"/>
      <c r="U142" s="102"/>
      <c r="V142" s="200"/>
      <c r="W142" s="132"/>
      <c r="X142" s="132"/>
    </row>
    <row r="143" spans="2:24" ht="48.95" customHeight="1">
      <c r="B143" s="153" t="str">
        <f t="shared" si="2"/>
        <v>1-135</v>
      </c>
      <c r="C143" s="100" t="s">
        <v>556</v>
      </c>
      <c r="D143" s="100" t="s">
        <v>83</v>
      </c>
      <c r="E143" s="100" t="s">
        <v>110</v>
      </c>
      <c r="F143" s="242" t="s">
        <v>193</v>
      </c>
      <c r="G143" s="243"/>
      <c r="H143" s="187"/>
      <c r="I143" s="188"/>
      <c r="J143" s="187"/>
      <c r="K143" s="187"/>
      <c r="L143" s="188"/>
      <c r="M143" s="187"/>
      <c r="N143" s="189"/>
      <c r="O143" s="190"/>
      <c r="P143" s="187"/>
      <c r="Q143" s="187"/>
      <c r="R143" s="101"/>
      <c r="S143" s="100"/>
      <c r="T143" s="102"/>
      <c r="U143" s="102"/>
      <c r="V143" s="200"/>
      <c r="W143" s="117"/>
      <c r="X143" s="117"/>
    </row>
    <row r="144" spans="2:24" ht="48.95" customHeight="1">
      <c r="B144" s="153" t="str">
        <f t="shared" si="2"/>
        <v>1-136</v>
      </c>
      <c r="C144" s="100" t="s">
        <v>526</v>
      </c>
      <c r="D144" s="100" t="s">
        <v>512</v>
      </c>
      <c r="E144" s="100" t="s">
        <v>187</v>
      </c>
      <c r="F144" s="242" t="s">
        <v>254</v>
      </c>
      <c r="G144" s="243"/>
      <c r="H144" s="101"/>
      <c r="I144" s="20"/>
      <c r="J144" s="101"/>
      <c r="K144" s="101"/>
      <c r="L144" s="20"/>
      <c r="M144" s="101"/>
      <c r="N144" s="122"/>
      <c r="O144" s="123"/>
      <c r="P144" s="101"/>
      <c r="Q144" s="101"/>
      <c r="R144" s="101"/>
      <c r="S144" s="100"/>
      <c r="T144" s="102"/>
      <c r="U144" s="102"/>
      <c r="V144" s="200"/>
      <c r="W144" s="132"/>
      <c r="X144" s="132"/>
    </row>
    <row r="145" spans="2:24" ht="48.95" customHeight="1">
      <c r="B145" s="153" t="str">
        <f t="shared" si="2"/>
        <v>1-137</v>
      </c>
      <c r="C145" s="100" t="s">
        <v>559</v>
      </c>
      <c r="D145" s="100" t="s">
        <v>83</v>
      </c>
      <c r="E145" s="100" t="s">
        <v>110</v>
      </c>
      <c r="F145" s="242" t="s">
        <v>116</v>
      </c>
      <c r="G145" s="243"/>
      <c r="H145" s="101"/>
      <c r="I145" s="20"/>
      <c r="J145" s="101"/>
      <c r="K145" s="101"/>
      <c r="L145" s="20"/>
      <c r="M145" s="101"/>
      <c r="N145" s="122"/>
      <c r="O145" s="123"/>
      <c r="P145" s="101"/>
      <c r="Q145" s="101"/>
      <c r="R145" s="101"/>
      <c r="S145" s="100"/>
      <c r="T145" s="102"/>
      <c r="U145" s="102"/>
      <c r="V145" s="200"/>
      <c r="W145" s="132"/>
      <c r="X145" s="132"/>
    </row>
    <row r="146" spans="2:24" ht="48.95" customHeight="1">
      <c r="B146" s="153" t="str">
        <f t="shared" si="2"/>
        <v>1-138</v>
      </c>
      <c r="C146" s="100" t="s">
        <v>526</v>
      </c>
      <c r="D146" s="100" t="s">
        <v>302</v>
      </c>
      <c r="E146" s="100" t="s">
        <v>303</v>
      </c>
      <c r="F146" s="244" t="s">
        <v>469</v>
      </c>
      <c r="G146" s="245"/>
      <c r="H146" s="101"/>
      <c r="I146" s="20"/>
      <c r="J146" s="101"/>
      <c r="K146" s="161"/>
      <c r="L146" s="162"/>
      <c r="M146" s="161"/>
      <c r="N146" s="161"/>
      <c r="O146" s="162"/>
      <c r="P146" s="161"/>
      <c r="Q146" s="101"/>
      <c r="R146" s="101"/>
      <c r="S146" s="100"/>
      <c r="T146" s="102"/>
      <c r="U146" s="102"/>
      <c r="V146" s="200"/>
      <c r="W146" s="132"/>
      <c r="X146" s="132"/>
    </row>
    <row r="147" spans="2:24" ht="48.95" customHeight="1">
      <c r="B147" s="153" t="str">
        <f t="shared" si="2"/>
        <v>1-139</v>
      </c>
      <c r="C147" s="100" t="s">
        <v>560</v>
      </c>
      <c r="D147" s="100" t="s">
        <v>302</v>
      </c>
      <c r="E147" s="100" t="s">
        <v>110</v>
      </c>
      <c r="F147" s="242" t="s">
        <v>193</v>
      </c>
      <c r="G147" s="243"/>
      <c r="H147" s="101"/>
      <c r="I147" s="20"/>
      <c r="J147" s="101"/>
      <c r="K147" s="101"/>
      <c r="L147" s="20"/>
      <c r="M147" s="101"/>
      <c r="N147" s="122"/>
      <c r="O147" s="123"/>
      <c r="P147" s="101"/>
      <c r="Q147" s="101"/>
      <c r="R147" s="101"/>
      <c r="S147" s="100"/>
      <c r="T147" s="102"/>
      <c r="U147" s="102"/>
      <c r="V147" s="200"/>
      <c r="W147" s="128"/>
      <c r="X147" s="128"/>
    </row>
    <row r="148" spans="2:24" ht="48.95" customHeight="1">
      <c r="B148" s="153" t="str">
        <f t="shared" si="2"/>
        <v>1-140</v>
      </c>
      <c r="C148" s="100" t="s">
        <v>526</v>
      </c>
      <c r="D148" s="100" t="s">
        <v>512</v>
      </c>
      <c r="E148" s="100" t="s">
        <v>191</v>
      </c>
      <c r="F148" s="242" t="s">
        <v>254</v>
      </c>
      <c r="G148" s="243"/>
      <c r="H148" s="101"/>
      <c r="I148" s="20"/>
      <c r="J148" s="101"/>
      <c r="K148" s="101"/>
      <c r="L148" s="20"/>
      <c r="M148" s="101"/>
      <c r="N148" s="122"/>
      <c r="O148" s="123"/>
      <c r="P148" s="101"/>
      <c r="Q148" s="166"/>
      <c r="R148" s="101"/>
      <c r="S148" s="100"/>
      <c r="T148" s="102"/>
      <c r="U148" s="102"/>
      <c r="V148" s="200"/>
      <c r="W148" s="132"/>
      <c r="X148" s="132"/>
    </row>
    <row r="149" spans="2:24" ht="41.25" customHeight="1">
      <c r="B149" s="153" t="str">
        <f t="shared" si="2"/>
        <v>1-141</v>
      </c>
      <c r="C149" s="100" t="s">
        <v>561</v>
      </c>
      <c r="D149" s="100" t="s">
        <v>83</v>
      </c>
      <c r="E149" s="100" t="s">
        <v>110</v>
      </c>
      <c r="F149" s="242" t="s">
        <v>123</v>
      </c>
      <c r="G149" s="243"/>
      <c r="H149" s="101"/>
      <c r="I149" s="20"/>
      <c r="J149" s="101"/>
      <c r="K149" s="101"/>
      <c r="L149" s="20"/>
      <c r="M149" s="101"/>
      <c r="N149" s="122"/>
      <c r="O149" s="123"/>
      <c r="P149" s="101"/>
      <c r="Q149" s="101"/>
      <c r="R149" s="101"/>
      <c r="S149" s="100"/>
      <c r="T149" s="102"/>
      <c r="U149" s="102"/>
      <c r="V149" s="200"/>
    </row>
    <row r="150" spans="2:24" ht="41.25" customHeight="1">
      <c r="B150" s="153" t="str">
        <f t="shared" si="2"/>
        <v>1-142</v>
      </c>
      <c r="C150" s="100" t="s">
        <v>562</v>
      </c>
      <c r="D150" s="100" t="s">
        <v>83</v>
      </c>
      <c r="E150" s="100" t="s">
        <v>110</v>
      </c>
      <c r="F150" s="242" t="s">
        <v>123</v>
      </c>
      <c r="G150" s="243"/>
      <c r="H150" s="101"/>
      <c r="I150" s="20"/>
      <c r="J150" s="101"/>
      <c r="K150" s="101"/>
      <c r="L150" s="20"/>
      <c r="M150" s="101"/>
      <c r="N150" s="122"/>
      <c r="O150" s="123"/>
      <c r="P150" s="101"/>
      <c r="Q150" s="101"/>
      <c r="R150" s="101"/>
      <c r="S150" s="100"/>
      <c r="T150" s="102"/>
      <c r="U150" s="102"/>
      <c r="V150" s="200"/>
    </row>
    <row r="151" spans="2:24" ht="41.25" customHeight="1">
      <c r="B151" s="153" t="str">
        <f t="shared" si="2"/>
        <v>1-143</v>
      </c>
      <c r="C151" s="100" t="s">
        <v>563</v>
      </c>
      <c r="D151" s="100" t="s">
        <v>83</v>
      </c>
      <c r="E151" s="100" t="s">
        <v>110</v>
      </c>
      <c r="F151" s="242" t="s">
        <v>116</v>
      </c>
      <c r="G151" s="243"/>
      <c r="H151" s="101"/>
      <c r="I151" s="20"/>
      <c r="J151" s="101"/>
      <c r="K151" s="101"/>
      <c r="L151" s="20"/>
      <c r="M151" s="101"/>
      <c r="N151" s="122"/>
      <c r="O151" s="123"/>
      <c r="P151" s="101"/>
      <c r="Q151" s="101"/>
      <c r="R151" s="101"/>
      <c r="S151" s="100"/>
      <c r="T151" s="102"/>
      <c r="U151" s="102"/>
      <c r="V151" s="200"/>
    </row>
    <row r="152" spans="2:24" ht="41.25" customHeight="1">
      <c r="B152" s="153" t="str">
        <f t="shared" si="2"/>
        <v>1-144</v>
      </c>
      <c r="C152" s="100" t="s">
        <v>564</v>
      </c>
      <c r="D152" s="100" t="s">
        <v>83</v>
      </c>
      <c r="E152" s="100" t="s">
        <v>110</v>
      </c>
      <c r="F152" s="242" t="s">
        <v>109</v>
      </c>
      <c r="G152" s="243"/>
      <c r="H152" s="101"/>
      <c r="I152" s="20"/>
      <c r="J152" s="101"/>
      <c r="K152" s="101"/>
      <c r="L152" s="20"/>
      <c r="M152" s="101"/>
      <c r="N152" s="122"/>
      <c r="O152" s="123"/>
      <c r="P152" s="101"/>
      <c r="Q152" s="101"/>
      <c r="R152" s="101"/>
      <c r="S152" s="100"/>
      <c r="T152" s="102"/>
      <c r="U152" s="102"/>
      <c r="V152" s="200"/>
    </row>
    <row r="153" spans="2:24" ht="48.95" customHeight="1">
      <c r="B153" s="153" t="str">
        <f t="shared" si="2"/>
        <v>1-145</v>
      </c>
      <c r="C153" s="100" t="s">
        <v>565</v>
      </c>
      <c r="D153" s="100" t="s">
        <v>83</v>
      </c>
      <c r="E153" s="100" t="s">
        <v>110</v>
      </c>
      <c r="F153" s="242" t="s">
        <v>323</v>
      </c>
      <c r="G153" s="243"/>
      <c r="H153" s="101"/>
      <c r="I153" s="20"/>
      <c r="J153" s="101"/>
      <c r="K153" s="101"/>
      <c r="L153" s="20"/>
      <c r="M153" s="101"/>
      <c r="N153" s="122"/>
      <c r="O153" s="123"/>
      <c r="P153" s="101"/>
      <c r="Q153" s="101"/>
      <c r="R153" s="101"/>
      <c r="S153" s="100"/>
      <c r="T153" s="102"/>
      <c r="U153" s="102"/>
      <c r="V153" s="200"/>
      <c r="W153" s="150"/>
      <c r="X153" s="150"/>
    </row>
    <row r="154" spans="2:24" ht="48.95" customHeight="1">
      <c r="B154" s="153" t="str">
        <f t="shared" si="2"/>
        <v>1-146</v>
      </c>
      <c r="C154" s="100" t="s">
        <v>566</v>
      </c>
      <c r="D154" s="100" t="s">
        <v>517</v>
      </c>
      <c r="E154" s="100" t="s">
        <v>444</v>
      </c>
      <c r="F154" s="242" t="s">
        <v>293</v>
      </c>
      <c r="G154" s="243"/>
      <c r="H154" s="191"/>
      <c r="I154" s="192"/>
      <c r="J154" s="191"/>
      <c r="K154" s="187"/>
      <c r="L154" s="188"/>
      <c r="M154" s="187"/>
      <c r="N154" s="191"/>
      <c r="O154" s="192"/>
      <c r="P154" s="191"/>
      <c r="Q154" s="187"/>
      <c r="R154" s="101"/>
      <c r="S154" s="100"/>
      <c r="T154" s="102"/>
      <c r="U154" s="102"/>
      <c r="V154" s="200"/>
      <c r="W154" s="117"/>
      <c r="X154" s="117"/>
    </row>
    <row r="155" spans="2:24" ht="48.95" customHeight="1">
      <c r="B155" s="163" t="str">
        <f t="shared" si="2"/>
        <v>1-147</v>
      </c>
      <c r="C155" s="100" t="s">
        <v>526</v>
      </c>
      <c r="D155" s="100" t="s">
        <v>195</v>
      </c>
      <c r="E155" s="100" t="s">
        <v>117</v>
      </c>
      <c r="F155" s="242" t="s">
        <v>102</v>
      </c>
      <c r="G155" s="243"/>
      <c r="H155" s="187"/>
      <c r="I155" s="188"/>
      <c r="J155" s="187"/>
      <c r="K155" s="187"/>
      <c r="L155" s="188"/>
      <c r="M155" s="187"/>
      <c r="N155" s="187"/>
      <c r="O155" s="188"/>
      <c r="P155" s="187"/>
      <c r="Q155" s="187"/>
      <c r="R155" s="101"/>
      <c r="S155" s="100"/>
      <c r="T155" s="102"/>
      <c r="U155" s="102"/>
      <c r="V155" s="200"/>
      <c r="W155" s="116"/>
      <c r="X155" s="116"/>
    </row>
    <row r="156" spans="2:24" ht="41.25" customHeight="1">
      <c r="B156" s="163" t="str">
        <f t="shared" si="2"/>
        <v>1-148</v>
      </c>
      <c r="C156" s="100" t="s">
        <v>526</v>
      </c>
      <c r="D156" s="100" t="s">
        <v>145</v>
      </c>
      <c r="E156" s="100" t="s">
        <v>117</v>
      </c>
      <c r="F156" s="240" t="s">
        <v>102</v>
      </c>
      <c r="G156" s="241"/>
      <c r="H156" s="187"/>
      <c r="I156" s="188"/>
      <c r="J156" s="187"/>
      <c r="K156" s="187"/>
      <c r="L156" s="188"/>
      <c r="M156" s="187"/>
      <c r="N156" s="187"/>
      <c r="O156" s="188"/>
      <c r="P156" s="187"/>
      <c r="Q156" s="187"/>
      <c r="R156" s="101"/>
      <c r="S156" s="100"/>
      <c r="T156" s="102"/>
      <c r="U156" s="102"/>
      <c r="V156" s="200"/>
    </row>
    <row r="157" spans="2:24" ht="41.25" customHeight="1">
      <c r="B157" s="163" t="str">
        <f t="shared" si="2"/>
        <v>1-149</v>
      </c>
      <c r="C157" s="100" t="s">
        <v>526</v>
      </c>
      <c r="D157" s="100" t="s">
        <v>83</v>
      </c>
      <c r="E157" s="100" t="s">
        <v>119</v>
      </c>
      <c r="F157" s="240" t="s">
        <v>123</v>
      </c>
      <c r="G157" s="241"/>
      <c r="H157" s="187"/>
      <c r="I157" s="188"/>
      <c r="J157" s="187"/>
      <c r="K157" s="187"/>
      <c r="L157" s="188"/>
      <c r="M157" s="187"/>
      <c r="N157" s="187"/>
      <c r="O157" s="188"/>
      <c r="P157" s="187"/>
      <c r="Q157" s="187"/>
      <c r="R157" s="101"/>
      <c r="S157" s="100"/>
      <c r="T157" s="102"/>
      <c r="U157" s="102"/>
      <c r="V157" s="200"/>
    </row>
    <row r="158" spans="2:24" ht="41.25" customHeight="1">
      <c r="B158" s="163" t="str">
        <f t="shared" si="2"/>
        <v>1-150</v>
      </c>
      <c r="C158" s="100" t="s">
        <v>526</v>
      </c>
      <c r="D158" s="100" t="s">
        <v>83</v>
      </c>
      <c r="E158" s="100" t="s">
        <v>120</v>
      </c>
      <c r="F158" s="240" t="s">
        <v>123</v>
      </c>
      <c r="G158" s="241"/>
      <c r="H158" s="187"/>
      <c r="I158" s="188"/>
      <c r="J158" s="187"/>
      <c r="K158" s="187"/>
      <c r="L158" s="188"/>
      <c r="M158" s="187"/>
      <c r="N158" s="187"/>
      <c r="O158" s="188"/>
      <c r="P158" s="187"/>
      <c r="Q158" s="187"/>
      <c r="R158" s="101"/>
      <c r="S158" s="100"/>
      <c r="T158" s="102"/>
      <c r="U158" s="102"/>
      <c r="V158" s="200"/>
    </row>
    <row r="159" spans="2:24" ht="41.25" customHeight="1">
      <c r="B159" s="163" t="str">
        <f t="shared" si="2"/>
        <v>1-151</v>
      </c>
      <c r="C159" s="100" t="s">
        <v>526</v>
      </c>
      <c r="D159" s="100" t="s">
        <v>83</v>
      </c>
      <c r="E159" s="100" t="s">
        <v>121</v>
      </c>
      <c r="F159" s="240" t="s">
        <v>123</v>
      </c>
      <c r="G159" s="241"/>
      <c r="H159" s="187"/>
      <c r="I159" s="188"/>
      <c r="J159" s="187"/>
      <c r="K159" s="187"/>
      <c r="L159" s="188"/>
      <c r="M159" s="187"/>
      <c r="N159" s="187"/>
      <c r="O159" s="188"/>
      <c r="P159" s="187"/>
      <c r="Q159" s="187"/>
      <c r="R159" s="101"/>
      <c r="S159" s="100"/>
      <c r="T159" s="102"/>
      <c r="U159" s="102"/>
      <c r="V159" s="200"/>
    </row>
    <row r="160" spans="2:24" ht="48.95" customHeight="1">
      <c r="B160" s="163" t="str">
        <f t="shared" si="2"/>
        <v>1-152</v>
      </c>
      <c r="C160" s="100" t="s">
        <v>526</v>
      </c>
      <c r="D160" s="100" t="s">
        <v>83</v>
      </c>
      <c r="E160" s="100" t="s">
        <v>122</v>
      </c>
      <c r="F160" s="240" t="s">
        <v>124</v>
      </c>
      <c r="G160" s="241"/>
      <c r="H160" s="187"/>
      <c r="I160" s="188"/>
      <c r="J160" s="187"/>
      <c r="K160" s="187"/>
      <c r="L160" s="188"/>
      <c r="M160" s="187"/>
      <c r="N160" s="187"/>
      <c r="O160" s="188"/>
      <c r="P160" s="187"/>
      <c r="Q160" s="187"/>
      <c r="R160" s="101"/>
      <c r="S160" s="100"/>
      <c r="T160" s="102"/>
      <c r="U160" s="102"/>
      <c r="V160" s="200"/>
      <c r="W160" s="132"/>
      <c r="X160" s="132"/>
    </row>
    <row r="161" spans="2:24" ht="41.25" customHeight="1">
      <c r="B161" s="163" t="str">
        <f t="shared" si="2"/>
        <v>1-153</v>
      </c>
      <c r="C161" s="100" t="s">
        <v>526</v>
      </c>
      <c r="D161" s="100" t="s">
        <v>83</v>
      </c>
      <c r="E161" s="100" t="s">
        <v>361</v>
      </c>
      <c r="F161" s="240" t="s">
        <v>362</v>
      </c>
      <c r="G161" s="241"/>
      <c r="H161" s="187"/>
      <c r="I161" s="188"/>
      <c r="J161" s="187"/>
      <c r="K161" s="187"/>
      <c r="L161" s="188"/>
      <c r="M161" s="187"/>
      <c r="N161" s="187"/>
      <c r="O161" s="188"/>
      <c r="P161" s="187"/>
      <c r="Q161" s="187"/>
      <c r="R161" s="101"/>
      <c r="S161" s="100"/>
      <c r="T161" s="102"/>
      <c r="U161" s="102"/>
      <c r="V161" s="200"/>
    </row>
    <row r="162" spans="2:24" ht="41.25" customHeight="1">
      <c r="B162" s="163" t="str">
        <f t="shared" si="2"/>
        <v>1-154</v>
      </c>
      <c r="C162" s="100" t="s">
        <v>526</v>
      </c>
      <c r="D162" s="100" t="s">
        <v>83</v>
      </c>
      <c r="E162" s="100" t="s">
        <v>147</v>
      </c>
      <c r="F162" s="240" t="s">
        <v>118</v>
      </c>
      <c r="G162" s="241"/>
      <c r="H162" s="187"/>
      <c r="I162" s="188"/>
      <c r="J162" s="187"/>
      <c r="K162" s="187"/>
      <c r="L162" s="188"/>
      <c r="M162" s="187"/>
      <c r="N162" s="187"/>
      <c r="O162" s="188"/>
      <c r="P162" s="187"/>
      <c r="Q162" s="187"/>
      <c r="R162" s="101"/>
      <c r="S162" s="100"/>
      <c r="T162" s="102"/>
      <c r="U162" s="102"/>
      <c r="V162" s="200"/>
    </row>
    <row r="163" spans="2:24" ht="41.25" customHeight="1">
      <c r="B163" s="163" t="str">
        <f t="shared" si="2"/>
        <v>1-155</v>
      </c>
      <c r="C163" s="100" t="s">
        <v>526</v>
      </c>
      <c r="D163" s="100" t="s">
        <v>83</v>
      </c>
      <c r="E163" s="100" t="s">
        <v>83</v>
      </c>
      <c r="F163" s="240" t="s">
        <v>324</v>
      </c>
      <c r="G163" s="241"/>
      <c r="H163" s="187"/>
      <c r="I163" s="188"/>
      <c r="J163" s="187"/>
      <c r="K163" s="187"/>
      <c r="L163" s="188"/>
      <c r="M163" s="187"/>
      <c r="N163" s="187"/>
      <c r="O163" s="188"/>
      <c r="P163" s="187"/>
      <c r="Q163" s="187"/>
      <c r="R163" s="101"/>
      <c r="S163" s="100"/>
      <c r="T163" s="102"/>
      <c r="U163" s="102"/>
      <c r="V163" s="200"/>
    </row>
    <row r="164" spans="2:24" ht="41.25" customHeight="1">
      <c r="B164" s="153" t="str">
        <f t="shared" si="2"/>
        <v>1-156</v>
      </c>
      <c r="C164" s="100" t="s">
        <v>526</v>
      </c>
      <c r="D164" s="121" t="s">
        <v>125</v>
      </c>
      <c r="E164" s="100" t="s">
        <v>147</v>
      </c>
      <c r="F164" s="242" t="s">
        <v>118</v>
      </c>
      <c r="G164" s="243"/>
      <c r="H164" s="101"/>
      <c r="I164" s="20"/>
      <c r="J164" s="101"/>
      <c r="K164" s="101"/>
      <c r="L164" s="20"/>
      <c r="M164" s="101"/>
      <c r="N164" s="101"/>
      <c r="O164" s="20"/>
      <c r="P164" s="101"/>
      <c r="Q164" s="166"/>
      <c r="R164" s="101"/>
      <c r="S164" s="100"/>
      <c r="T164" s="102"/>
      <c r="U164" s="102"/>
      <c r="V164" s="200"/>
    </row>
    <row r="165" spans="2:24" ht="41.25" customHeight="1">
      <c r="B165" s="153" t="str">
        <f t="shared" si="2"/>
        <v>1-157</v>
      </c>
      <c r="C165" s="100" t="s">
        <v>526</v>
      </c>
      <c r="D165" s="100" t="s">
        <v>83</v>
      </c>
      <c r="E165" s="100" t="s">
        <v>119</v>
      </c>
      <c r="F165" s="242" t="s">
        <v>123</v>
      </c>
      <c r="G165" s="243"/>
      <c r="H165" s="101"/>
      <c r="I165" s="20"/>
      <c r="J165" s="101"/>
      <c r="K165" s="101"/>
      <c r="L165" s="20"/>
      <c r="M165" s="101"/>
      <c r="N165" s="101"/>
      <c r="O165" s="20"/>
      <c r="P165" s="101"/>
      <c r="Q165" s="101"/>
      <c r="R165" s="101"/>
      <c r="S165" s="100"/>
      <c r="T165" s="102"/>
      <c r="U165" s="102"/>
      <c r="V165" s="200"/>
    </row>
    <row r="166" spans="2:24" ht="41.25" customHeight="1">
      <c r="B166" s="153" t="str">
        <f t="shared" si="2"/>
        <v>1-158</v>
      </c>
      <c r="C166" s="100" t="s">
        <v>526</v>
      </c>
      <c r="D166" s="100" t="s">
        <v>83</v>
      </c>
      <c r="E166" s="100" t="s">
        <v>120</v>
      </c>
      <c r="F166" s="242" t="s">
        <v>123</v>
      </c>
      <c r="G166" s="243"/>
      <c r="H166" s="101"/>
      <c r="I166" s="20"/>
      <c r="J166" s="101"/>
      <c r="K166" s="101"/>
      <c r="L166" s="20"/>
      <c r="M166" s="101"/>
      <c r="N166" s="101"/>
      <c r="O166" s="20"/>
      <c r="P166" s="101"/>
      <c r="Q166" s="101"/>
      <c r="R166" s="101"/>
      <c r="S166" s="100"/>
      <c r="T166" s="102"/>
      <c r="U166" s="102"/>
      <c r="V166" s="200"/>
    </row>
    <row r="167" spans="2:24" ht="41.25" customHeight="1">
      <c r="B167" s="153" t="str">
        <f t="shared" si="2"/>
        <v>1-159</v>
      </c>
      <c r="C167" s="100" t="s">
        <v>526</v>
      </c>
      <c r="D167" s="100" t="s">
        <v>83</v>
      </c>
      <c r="E167" s="100" t="s">
        <v>128</v>
      </c>
      <c r="F167" s="242" t="s">
        <v>116</v>
      </c>
      <c r="G167" s="243"/>
      <c r="H167" s="101"/>
      <c r="I167" s="20"/>
      <c r="J167" s="101"/>
      <c r="K167" s="101"/>
      <c r="L167" s="20"/>
      <c r="M167" s="101"/>
      <c r="N167" s="101"/>
      <c r="O167" s="20"/>
      <c r="P167" s="101"/>
      <c r="Q167" s="101"/>
      <c r="R167" s="101"/>
      <c r="S167" s="100"/>
      <c r="T167" s="102"/>
      <c r="U167" s="102"/>
      <c r="V167" s="200"/>
    </row>
    <row r="168" spans="2:24" ht="41.25" customHeight="1">
      <c r="B168" s="153" t="str">
        <f t="shared" si="2"/>
        <v>1-160</v>
      </c>
      <c r="C168" s="100" t="s">
        <v>526</v>
      </c>
      <c r="D168" s="100" t="s">
        <v>83</v>
      </c>
      <c r="E168" s="100" t="s">
        <v>121</v>
      </c>
      <c r="F168" s="242" t="s">
        <v>123</v>
      </c>
      <c r="G168" s="243"/>
      <c r="H168" s="101"/>
      <c r="I168" s="20"/>
      <c r="J168" s="101"/>
      <c r="K168" s="101"/>
      <c r="L168" s="20"/>
      <c r="M168" s="101"/>
      <c r="N168" s="101"/>
      <c r="O168" s="20"/>
      <c r="P168" s="101"/>
      <c r="Q168" s="101"/>
      <c r="R168" s="101"/>
      <c r="S168" s="100"/>
      <c r="T168" s="102"/>
      <c r="U168" s="102"/>
      <c r="V168" s="200"/>
    </row>
    <row r="169" spans="2:24" ht="48.95" customHeight="1">
      <c r="B169" s="153" t="str">
        <f t="shared" ref="B169:B238" si="3">"1-"&amp;ROW()-8</f>
        <v>1-161</v>
      </c>
      <c r="C169" s="100" t="s">
        <v>526</v>
      </c>
      <c r="D169" s="100" t="s">
        <v>83</v>
      </c>
      <c r="E169" s="100" t="s">
        <v>122</v>
      </c>
      <c r="F169" s="242" t="s">
        <v>124</v>
      </c>
      <c r="G169" s="243"/>
      <c r="H169" s="101"/>
      <c r="I169" s="20"/>
      <c r="J169" s="101"/>
      <c r="K169" s="101"/>
      <c r="L169" s="20"/>
      <c r="M169" s="101"/>
      <c r="N169" s="101"/>
      <c r="O169" s="20"/>
      <c r="P169" s="101"/>
      <c r="Q169" s="101"/>
      <c r="R169" s="101"/>
      <c r="S169" s="100"/>
      <c r="T169" s="102"/>
      <c r="U169" s="102"/>
      <c r="V169" s="200"/>
      <c r="W169" s="132"/>
      <c r="X169" s="132"/>
    </row>
    <row r="170" spans="2:24" ht="41.25" customHeight="1">
      <c r="B170" s="153" t="str">
        <f t="shared" si="3"/>
        <v>1-162</v>
      </c>
      <c r="C170" s="100" t="s">
        <v>526</v>
      </c>
      <c r="D170" s="100" t="s">
        <v>83</v>
      </c>
      <c r="E170" s="100" t="s">
        <v>361</v>
      </c>
      <c r="F170" s="242" t="s">
        <v>362</v>
      </c>
      <c r="G170" s="243"/>
      <c r="H170" s="101"/>
      <c r="I170" s="20"/>
      <c r="J170" s="101"/>
      <c r="K170" s="101"/>
      <c r="L170" s="20"/>
      <c r="M170" s="101"/>
      <c r="N170" s="101"/>
      <c r="O170" s="20"/>
      <c r="P170" s="101"/>
      <c r="Q170" s="101"/>
      <c r="R170" s="101"/>
      <c r="S170" s="100"/>
      <c r="T170" s="102"/>
      <c r="U170" s="102"/>
      <c r="V170" s="200"/>
    </row>
    <row r="171" spans="2:24" ht="68.45" customHeight="1">
      <c r="B171" s="153" t="str">
        <f t="shared" si="3"/>
        <v>1-163</v>
      </c>
      <c r="C171" s="100" t="s">
        <v>526</v>
      </c>
      <c r="D171" s="100" t="s">
        <v>83</v>
      </c>
      <c r="E171" s="100" t="s">
        <v>149</v>
      </c>
      <c r="F171" s="242" t="s">
        <v>792</v>
      </c>
      <c r="G171" s="243"/>
      <c r="H171" s="189"/>
      <c r="I171" s="20"/>
      <c r="J171" s="101"/>
      <c r="K171" s="101"/>
      <c r="L171" s="20"/>
      <c r="M171" s="101"/>
      <c r="N171" s="101"/>
      <c r="O171" s="20"/>
      <c r="P171" s="101"/>
      <c r="Q171" s="101"/>
      <c r="R171" s="101"/>
      <c r="S171" s="100"/>
      <c r="T171" s="102"/>
      <c r="U171" s="102"/>
      <c r="V171" s="200"/>
    </row>
    <row r="172" spans="2:24" ht="41.25" customHeight="1">
      <c r="B172" s="153" t="str">
        <f t="shared" si="3"/>
        <v>1-164</v>
      </c>
      <c r="C172" s="100" t="s">
        <v>526</v>
      </c>
      <c r="D172" s="100" t="s">
        <v>340</v>
      </c>
      <c r="E172" s="100" t="s">
        <v>147</v>
      </c>
      <c r="F172" s="242" t="s">
        <v>148</v>
      </c>
      <c r="G172" s="243"/>
      <c r="H172" s="101"/>
      <c r="I172" s="20"/>
      <c r="J172" s="101"/>
      <c r="K172" s="101"/>
      <c r="L172" s="20"/>
      <c r="M172" s="101"/>
      <c r="N172" s="101"/>
      <c r="O172" s="20"/>
      <c r="P172" s="101"/>
      <c r="Q172" s="166"/>
      <c r="R172" s="101"/>
      <c r="S172" s="100"/>
      <c r="T172" s="102"/>
      <c r="U172" s="102"/>
      <c r="V172" s="200"/>
    </row>
    <row r="173" spans="2:24" ht="41.25" customHeight="1">
      <c r="B173" s="153" t="str">
        <f t="shared" si="3"/>
        <v>1-165</v>
      </c>
      <c r="C173" s="100" t="s">
        <v>526</v>
      </c>
      <c r="D173" s="100" t="s">
        <v>83</v>
      </c>
      <c r="E173" s="100" t="s">
        <v>119</v>
      </c>
      <c r="F173" s="242" t="s">
        <v>123</v>
      </c>
      <c r="G173" s="243"/>
      <c r="H173" s="101"/>
      <c r="I173" s="20"/>
      <c r="J173" s="101"/>
      <c r="K173" s="101"/>
      <c r="L173" s="20"/>
      <c r="M173" s="101"/>
      <c r="N173" s="101"/>
      <c r="O173" s="20"/>
      <c r="P173" s="101"/>
      <c r="Q173" s="101"/>
      <c r="R173" s="101"/>
      <c r="S173" s="100"/>
      <c r="T173" s="102"/>
      <c r="U173" s="102"/>
      <c r="V173" s="200"/>
    </row>
    <row r="174" spans="2:24" ht="41.25" customHeight="1">
      <c r="B174" s="153" t="str">
        <f t="shared" si="3"/>
        <v>1-166</v>
      </c>
      <c r="C174" s="100" t="s">
        <v>526</v>
      </c>
      <c r="D174" s="100" t="s">
        <v>83</v>
      </c>
      <c r="E174" s="100" t="s">
        <v>120</v>
      </c>
      <c r="F174" s="242" t="s">
        <v>123</v>
      </c>
      <c r="G174" s="243"/>
      <c r="H174" s="101"/>
      <c r="I174" s="20"/>
      <c r="J174" s="101"/>
      <c r="K174" s="101"/>
      <c r="L174" s="20"/>
      <c r="M174" s="101"/>
      <c r="N174" s="101"/>
      <c r="O174" s="20"/>
      <c r="P174" s="101"/>
      <c r="Q174" s="101"/>
      <c r="R174" s="101"/>
      <c r="S174" s="100"/>
      <c r="T174" s="102"/>
      <c r="U174" s="102"/>
      <c r="V174" s="200"/>
    </row>
    <row r="175" spans="2:24" ht="41.25" customHeight="1">
      <c r="B175" s="153" t="str">
        <f t="shared" si="3"/>
        <v>1-167</v>
      </c>
      <c r="C175" s="100" t="s">
        <v>526</v>
      </c>
      <c r="D175" s="100" t="s">
        <v>83</v>
      </c>
      <c r="E175" s="100" t="s">
        <v>128</v>
      </c>
      <c r="F175" s="242" t="s">
        <v>131</v>
      </c>
      <c r="G175" s="243"/>
      <c r="H175" s="101"/>
      <c r="I175" s="20"/>
      <c r="J175" s="101"/>
      <c r="K175" s="101"/>
      <c r="L175" s="20"/>
      <c r="M175" s="101"/>
      <c r="N175" s="101"/>
      <c r="O175" s="20"/>
      <c r="P175" s="101"/>
      <c r="Q175" s="101"/>
      <c r="R175" s="101"/>
      <c r="S175" s="100"/>
      <c r="T175" s="102"/>
      <c r="U175" s="102"/>
      <c r="V175" s="200"/>
    </row>
    <row r="176" spans="2:24" ht="41.25" customHeight="1">
      <c r="B176" s="153" t="str">
        <f t="shared" si="3"/>
        <v>1-168</v>
      </c>
      <c r="C176" s="100" t="s">
        <v>526</v>
      </c>
      <c r="D176" s="100" t="s">
        <v>83</v>
      </c>
      <c r="E176" s="100" t="s">
        <v>121</v>
      </c>
      <c r="F176" s="242" t="s">
        <v>126</v>
      </c>
      <c r="G176" s="243"/>
      <c r="H176" s="101"/>
      <c r="I176" s="20"/>
      <c r="J176" s="101"/>
      <c r="K176" s="101"/>
      <c r="L176" s="20"/>
      <c r="M176" s="101"/>
      <c r="N176" s="101"/>
      <c r="O176" s="20"/>
      <c r="P176" s="101"/>
      <c r="Q176" s="101"/>
      <c r="R176" s="101"/>
      <c r="S176" s="100"/>
      <c r="T176" s="102"/>
      <c r="U176" s="102"/>
      <c r="V176" s="200"/>
    </row>
    <row r="177" spans="2:22" ht="41.25" customHeight="1">
      <c r="B177" s="153" t="str">
        <f t="shared" si="3"/>
        <v>1-169</v>
      </c>
      <c r="C177" s="100" t="s">
        <v>526</v>
      </c>
      <c r="D177" s="100" t="s">
        <v>83</v>
      </c>
      <c r="E177" s="100" t="s">
        <v>122</v>
      </c>
      <c r="F177" s="242" t="s">
        <v>341</v>
      </c>
      <c r="G177" s="243"/>
      <c r="H177" s="101"/>
      <c r="I177" s="20"/>
      <c r="J177" s="101"/>
      <c r="K177" s="101"/>
      <c r="L177" s="20"/>
      <c r="M177" s="101"/>
      <c r="N177" s="101"/>
      <c r="O177" s="20"/>
      <c r="P177" s="101"/>
      <c r="Q177" s="101"/>
      <c r="R177" s="101"/>
      <c r="S177" s="100"/>
      <c r="T177" s="102"/>
      <c r="U177" s="102"/>
      <c r="V177" s="200"/>
    </row>
    <row r="178" spans="2:22" ht="41.25" customHeight="1">
      <c r="B178" s="153" t="str">
        <f t="shared" si="3"/>
        <v>1-170</v>
      </c>
      <c r="C178" s="100" t="s">
        <v>526</v>
      </c>
      <c r="D178" s="100" t="s">
        <v>83</v>
      </c>
      <c r="E178" s="100" t="s">
        <v>361</v>
      </c>
      <c r="F178" s="242" t="s">
        <v>108</v>
      </c>
      <c r="G178" s="243"/>
      <c r="H178" s="101"/>
      <c r="I178" s="20"/>
      <c r="J178" s="101"/>
      <c r="K178" s="101"/>
      <c r="L178" s="20"/>
      <c r="M178" s="101"/>
      <c r="N178" s="101"/>
      <c r="O178" s="20"/>
      <c r="P178" s="101"/>
      <c r="Q178" s="101"/>
      <c r="R178" s="101"/>
      <c r="S178" s="100"/>
      <c r="T178" s="102"/>
      <c r="U178" s="102"/>
      <c r="V178" s="200"/>
    </row>
    <row r="179" spans="2:22" ht="68.45" customHeight="1">
      <c r="B179" s="153" t="str">
        <f t="shared" si="3"/>
        <v>1-171</v>
      </c>
      <c r="C179" s="100" t="s">
        <v>526</v>
      </c>
      <c r="D179" s="100" t="s">
        <v>83</v>
      </c>
      <c r="E179" s="100" t="s">
        <v>149</v>
      </c>
      <c r="F179" s="242" t="s">
        <v>339</v>
      </c>
      <c r="G179" s="243"/>
      <c r="H179" s="189"/>
      <c r="I179" s="20"/>
      <c r="J179" s="101"/>
      <c r="K179" s="101"/>
      <c r="L179" s="20"/>
      <c r="M179" s="101"/>
      <c r="N179" s="101"/>
      <c r="O179" s="20"/>
      <c r="P179" s="101"/>
      <c r="Q179" s="101"/>
      <c r="R179" s="101"/>
      <c r="S179" s="100"/>
      <c r="T179" s="102"/>
      <c r="U179" s="102"/>
      <c r="V179" s="200"/>
    </row>
    <row r="180" spans="2:22" ht="41.25" customHeight="1">
      <c r="B180" s="153" t="str">
        <f t="shared" si="3"/>
        <v>1-172</v>
      </c>
      <c r="C180" s="100" t="s">
        <v>526</v>
      </c>
      <c r="D180" s="100" t="s">
        <v>127</v>
      </c>
      <c r="E180" s="100" t="s">
        <v>147</v>
      </c>
      <c r="F180" s="242" t="s">
        <v>148</v>
      </c>
      <c r="G180" s="243"/>
      <c r="H180" s="101"/>
      <c r="I180" s="20"/>
      <c r="J180" s="101"/>
      <c r="K180" s="101"/>
      <c r="L180" s="20"/>
      <c r="M180" s="101"/>
      <c r="N180" s="101"/>
      <c r="O180" s="20"/>
      <c r="P180" s="101"/>
      <c r="Q180" s="166"/>
      <c r="R180" s="101"/>
      <c r="S180" s="100"/>
      <c r="T180" s="102"/>
      <c r="U180" s="102"/>
      <c r="V180" s="200"/>
    </row>
    <row r="181" spans="2:22" ht="41.25" customHeight="1">
      <c r="B181" s="153" t="str">
        <f t="shared" si="3"/>
        <v>1-173</v>
      </c>
      <c r="C181" s="100" t="s">
        <v>526</v>
      </c>
      <c r="D181" s="100" t="s">
        <v>83</v>
      </c>
      <c r="E181" s="100" t="s">
        <v>119</v>
      </c>
      <c r="F181" s="242" t="s">
        <v>123</v>
      </c>
      <c r="G181" s="243"/>
      <c r="H181" s="101"/>
      <c r="I181" s="20"/>
      <c r="J181" s="101"/>
      <c r="K181" s="101"/>
      <c r="L181" s="20"/>
      <c r="M181" s="101"/>
      <c r="N181" s="101"/>
      <c r="O181" s="20"/>
      <c r="P181" s="101"/>
      <c r="Q181" s="101"/>
      <c r="R181" s="101"/>
      <c r="S181" s="100"/>
      <c r="T181" s="102"/>
      <c r="U181" s="102"/>
      <c r="V181" s="200"/>
    </row>
    <row r="182" spans="2:22" ht="41.25" customHeight="1">
      <c r="B182" s="153" t="str">
        <f t="shared" si="3"/>
        <v>1-174</v>
      </c>
      <c r="C182" s="100" t="s">
        <v>526</v>
      </c>
      <c r="D182" s="100" t="s">
        <v>83</v>
      </c>
      <c r="E182" s="100" t="s">
        <v>120</v>
      </c>
      <c r="F182" s="242" t="s">
        <v>126</v>
      </c>
      <c r="G182" s="243"/>
      <c r="H182" s="101"/>
      <c r="I182" s="20"/>
      <c r="J182" s="101"/>
      <c r="K182" s="101"/>
      <c r="L182" s="20"/>
      <c r="M182" s="101"/>
      <c r="N182" s="101"/>
      <c r="O182" s="20"/>
      <c r="P182" s="101"/>
      <c r="Q182" s="101"/>
      <c r="R182" s="101"/>
      <c r="S182" s="100"/>
      <c r="T182" s="102"/>
      <c r="U182" s="102"/>
      <c r="V182" s="200"/>
    </row>
    <row r="183" spans="2:22" ht="41.25" customHeight="1">
      <c r="B183" s="153" t="str">
        <f t="shared" si="3"/>
        <v>1-175</v>
      </c>
      <c r="C183" s="100" t="s">
        <v>526</v>
      </c>
      <c r="D183" s="100" t="s">
        <v>83</v>
      </c>
      <c r="E183" s="100" t="s">
        <v>128</v>
      </c>
      <c r="F183" s="242" t="s">
        <v>131</v>
      </c>
      <c r="G183" s="243"/>
      <c r="H183" s="101"/>
      <c r="I183" s="20"/>
      <c r="J183" s="101"/>
      <c r="K183" s="101"/>
      <c r="L183" s="20"/>
      <c r="M183" s="101"/>
      <c r="N183" s="101"/>
      <c r="O183" s="20"/>
      <c r="P183" s="101"/>
      <c r="Q183" s="101"/>
      <c r="R183" s="101"/>
      <c r="S183" s="100"/>
      <c r="T183" s="102"/>
      <c r="U183" s="102"/>
      <c r="V183" s="200"/>
    </row>
    <row r="184" spans="2:22" ht="41.25" customHeight="1">
      <c r="B184" s="153" t="str">
        <f t="shared" si="3"/>
        <v>1-176</v>
      </c>
      <c r="C184" s="100" t="s">
        <v>526</v>
      </c>
      <c r="D184" s="100" t="s">
        <v>83</v>
      </c>
      <c r="E184" s="100" t="s">
        <v>121</v>
      </c>
      <c r="F184" s="242" t="s">
        <v>126</v>
      </c>
      <c r="G184" s="243"/>
      <c r="H184" s="101"/>
      <c r="I184" s="20"/>
      <c r="J184" s="101"/>
      <c r="K184" s="101"/>
      <c r="L184" s="20"/>
      <c r="M184" s="101"/>
      <c r="N184" s="101"/>
      <c r="O184" s="20"/>
      <c r="P184" s="101"/>
      <c r="Q184" s="101"/>
      <c r="R184" s="101"/>
      <c r="S184" s="100"/>
      <c r="T184" s="102"/>
      <c r="U184" s="102"/>
      <c r="V184" s="200"/>
    </row>
    <row r="185" spans="2:22" ht="41.25" customHeight="1">
      <c r="B185" s="153" t="str">
        <f t="shared" si="3"/>
        <v>1-177</v>
      </c>
      <c r="C185" s="100" t="s">
        <v>526</v>
      </c>
      <c r="D185" s="100" t="s">
        <v>83</v>
      </c>
      <c r="E185" s="100" t="s">
        <v>122</v>
      </c>
      <c r="F185" s="242" t="s">
        <v>295</v>
      </c>
      <c r="G185" s="243"/>
      <c r="H185" s="101"/>
      <c r="I185" s="20"/>
      <c r="J185" s="101"/>
      <c r="K185" s="101"/>
      <c r="L185" s="20"/>
      <c r="M185" s="101"/>
      <c r="N185" s="101"/>
      <c r="O185" s="20"/>
      <c r="P185" s="101"/>
      <c r="Q185" s="101"/>
      <c r="R185" s="101"/>
      <c r="S185" s="100"/>
      <c r="T185" s="102"/>
      <c r="U185" s="102"/>
      <c r="V185" s="200"/>
    </row>
    <row r="186" spans="2:22" ht="41.25" customHeight="1">
      <c r="B186" s="153" t="str">
        <f t="shared" si="3"/>
        <v>1-178</v>
      </c>
      <c r="C186" s="100" t="s">
        <v>526</v>
      </c>
      <c r="D186" s="100" t="s">
        <v>294</v>
      </c>
      <c r="E186" s="100" t="s">
        <v>147</v>
      </c>
      <c r="F186" s="242" t="s">
        <v>148</v>
      </c>
      <c r="G186" s="243"/>
      <c r="H186" s="101"/>
      <c r="I186" s="20"/>
      <c r="J186" s="101"/>
      <c r="K186" s="101"/>
      <c r="L186" s="20"/>
      <c r="M186" s="101"/>
      <c r="N186" s="101"/>
      <c r="O186" s="20"/>
      <c r="P186" s="101"/>
      <c r="Q186" s="166"/>
      <c r="R186" s="101"/>
      <c r="S186" s="100"/>
      <c r="T186" s="102"/>
      <c r="U186" s="102"/>
      <c r="V186" s="200"/>
    </row>
    <row r="187" spans="2:22" ht="41.25" customHeight="1">
      <c r="B187" s="153" t="str">
        <f t="shared" si="3"/>
        <v>1-179</v>
      </c>
      <c r="C187" s="100" t="s">
        <v>526</v>
      </c>
      <c r="D187" s="100" t="s">
        <v>83</v>
      </c>
      <c r="E187" s="100" t="s">
        <v>119</v>
      </c>
      <c r="F187" s="242" t="s">
        <v>123</v>
      </c>
      <c r="G187" s="243"/>
      <c r="H187" s="101"/>
      <c r="I187" s="20"/>
      <c r="J187" s="101"/>
      <c r="K187" s="101"/>
      <c r="L187" s="20"/>
      <c r="M187" s="101"/>
      <c r="N187" s="101"/>
      <c r="O187" s="20"/>
      <c r="P187" s="101"/>
      <c r="Q187" s="101"/>
      <c r="R187" s="101"/>
      <c r="S187" s="100"/>
      <c r="T187" s="102"/>
      <c r="U187" s="102"/>
      <c r="V187" s="200"/>
    </row>
    <row r="188" spans="2:22" ht="41.25" customHeight="1">
      <c r="B188" s="153" t="str">
        <f t="shared" si="3"/>
        <v>1-180</v>
      </c>
      <c r="C188" s="100" t="s">
        <v>526</v>
      </c>
      <c r="D188" s="100" t="s">
        <v>83</v>
      </c>
      <c r="E188" s="100" t="s">
        <v>120</v>
      </c>
      <c r="F188" s="242" t="s">
        <v>126</v>
      </c>
      <c r="G188" s="243"/>
      <c r="H188" s="101"/>
      <c r="I188" s="20"/>
      <c r="J188" s="101"/>
      <c r="K188" s="101"/>
      <c r="L188" s="20"/>
      <c r="M188" s="101"/>
      <c r="N188" s="101"/>
      <c r="O188" s="20"/>
      <c r="P188" s="101"/>
      <c r="Q188" s="101"/>
      <c r="R188" s="101"/>
      <c r="S188" s="100"/>
      <c r="T188" s="102"/>
      <c r="U188" s="102"/>
      <c r="V188" s="200"/>
    </row>
    <row r="189" spans="2:22" ht="41.25" customHeight="1">
      <c r="B189" s="153" t="str">
        <f t="shared" si="3"/>
        <v>1-181</v>
      </c>
      <c r="C189" s="100" t="s">
        <v>526</v>
      </c>
      <c r="D189" s="100" t="s">
        <v>83</v>
      </c>
      <c r="E189" s="100" t="s">
        <v>128</v>
      </c>
      <c r="F189" s="242" t="s">
        <v>131</v>
      </c>
      <c r="G189" s="243"/>
      <c r="H189" s="101"/>
      <c r="I189" s="20"/>
      <c r="J189" s="101"/>
      <c r="K189" s="101"/>
      <c r="L189" s="20"/>
      <c r="M189" s="101"/>
      <c r="N189" s="101"/>
      <c r="O189" s="20"/>
      <c r="P189" s="101"/>
      <c r="Q189" s="101"/>
      <c r="R189" s="101"/>
      <c r="S189" s="100"/>
      <c r="T189" s="102"/>
      <c r="U189" s="102"/>
      <c r="V189" s="200"/>
    </row>
    <row r="190" spans="2:22" ht="41.25" customHeight="1">
      <c r="B190" s="153" t="str">
        <f t="shared" si="3"/>
        <v>1-182</v>
      </c>
      <c r="C190" s="100" t="s">
        <v>526</v>
      </c>
      <c r="D190" s="100" t="s">
        <v>83</v>
      </c>
      <c r="E190" s="100" t="s">
        <v>121</v>
      </c>
      <c r="F190" s="242" t="s">
        <v>126</v>
      </c>
      <c r="G190" s="243"/>
      <c r="H190" s="101"/>
      <c r="I190" s="20"/>
      <c r="J190" s="101"/>
      <c r="K190" s="101"/>
      <c r="L190" s="20"/>
      <c r="M190" s="101"/>
      <c r="N190" s="101"/>
      <c r="O190" s="20"/>
      <c r="P190" s="101"/>
      <c r="Q190" s="101"/>
      <c r="R190" s="101"/>
      <c r="S190" s="100"/>
      <c r="T190" s="102"/>
      <c r="U190" s="102"/>
      <c r="V190" s="200"/>
    </row>
    <row r="191" spans="2:22" ht="41.25" customHeight="1">
      <c r="B191" s="153" t="str">
        <f t="shared" si="3"/>
        <v>1-183</v>
      </c>
      <c r="C191" s="100" t="s">
        <v>526</v>
      </c>
      <c r="D191" s="100" t="s">
        <v>83</v>
      </c>
      <c r="E191" s="100" t="s">
        <v>122</v>
      </c>
      <c r="F191" s="242" t="s">
        <v>296</v>
      </c>
      <c r="G191" s="243"/>
      <c r="H191" s="101"/>
      <c r="I191" s="20"/>
      <c r="J191" s="101"/>
      <c r="K191" s="101"/>
      <c r="L191" s="20"/>
      <c r="M191" s="101"/>
      <c r="N191" s="101"/>
      <c r="O191" s="20"/>
      <c r="P191" s="101"/>
      <c r="Q191" s="101"/>
      <c r="R191" s="101"/>
      <c r="S191" s="100"/>
      <c r="T191" s="102"/>
      <c r="U191" s="102"/>
      <c r="V191" s="200"/>
    </row>
    <row r="192" spans="2:22" ht="41.25" customHeight="1">
      <c r="B192" s="153" t="str">
        <f t="shared" si="3"/>
        <v>1-184</v>
      </c>
      <c r="C192" s="100" t="s">
        <v>562</v>
      </c>
      <c r="D192" s="100" t="s">
        <v>517</v>
      </c>
      <c r="E192" s="100" t="s">
        <v>445</v>
      </c>
      <c r="F192" s="242" t="s">
        <v>293</v>
      </c>
      <c r="G192" s="243"/>
      <c r="H192" s="161"/>
      <c r="I192" s="162"/>
      <c r="J192" s="161"/>
      <c r="K192" s="182"/>
      <c r="L192" s="20"/>
      <c r="M192" s="101"/>
      <c r="N192" s="161"/>
      <c r="O192" s="162"/>
      <c r="P192" s="161"/>
      <c r="Q192" s="166"/>
      <c r="R192" s="101"/>
      <c r="S192" s="100"/>
      <c r="T192" s="102"/>
      <c r="U192" s="102"/>
      <c r="V192" s="200"/>
    </row>
    <row r="193" spans="2:22" ht="41.25" customHeight="1">
      <c r="B193" s="153" t="str">
        <f t="shared" si="3"/>
        <v>1-185</v>
      </c>
      <c r="C193" s="100" t="s">
        <v>526</v>
      </c>
      <c r="D193" s="100" t="s">
        <v>83</v>
      </c>
      <c r="E193" s="100" t="s">
        <v>147</v>
      </c>
      <c r="F193" s="242" t="s">
        <v>148</v>
      </c>
      <c r="G193" s="243"/>
      <c r="H193" s="101"/>
      <c r="I193" s="20"/>
      <c r="J193" s="101"/>
      <c r="K193" s="101"/>
      <c r="L193" s="20"/>
      <c r="M193" s="101"/>
      <c r="N193" s="101"/>
      <c r="O193" s="20"/>
      <c r="P193" s="101"/>
      <c r="Q193" s="166"/>
      <c r="R193" s="101"/>
      <c r="S193" s="100"/>
      <c r="T193" s="102"/>
      <c r="U193" s="102"/>
      <c r="V193" s="200"/>
    </row>
    <row r="194" spans="2:22" ht="41.25" customHeight="1">
      <c r="B194" s="153" t="str">
        <f t="shared" si="3"/>
        <v>1-186</v>
      </c>
      <c r="C194" s="100" t="s">
        <v>526</v>
      </c>
      <c r="D194" s="100" t="s">
        <v>83</v>
      </c>
      <c r="E194" s="100" t="s">
        <v>130</v>
      </c>
      <c r="F194" s="242" t="s">
        <v>126</v>
      </c>
      <c r="G194" s="243"/>
      <c r="H194" s="101"/>
      <c r="I194" s="20"/>
      <c r="J194" s="101"/>
      <c r="K194" s="101"/>
      <c r="L194" s="20"/>
      <c r="M194" s="101"/>
      <c r="N194" s="101"/>
      <c r="O194" s="20"/>
      <c r="P194" s="101"/>
      <c r="Q194" s="101"/>
      <c r="R194" s="101"/>
      <c r="S194" s="100"/>
      <c r="T194" s="102"/>
      <c r="U194" s="102"/>
      <c r="V194" s="200"/>
    </row>
    <row r="195" spans="2:22" ht="41.25" customHeight="1">
      <c r="B195" s="153" t="str">
        <f t="shared" si="3"/>
        <v>1-187</v>
      </c>
      <c r="C195" s="100" t="s">
        <v>526</v>
      </c>
      <c r="D195" s="100" t="s">
        <v>83</v>
      </c>
      <c r="E195" s="100" t="s">
        <v>129</v>
      </c>
      <c r="F195" s="242" t="s">
        <v>126</v>
      </c>
      <c r="G195" s="243"/>
      <c r="H195" s="101"/>
      <c r="I195" s="20"/>
      <c r="J195" s="101"/>
      <c r="K195" s="101"/>
      <c r="L195" s="20"/>
      <c r="M195" s="101"/>
      <c r="N195" s="101"/>
      <c r="O195" s="20"/>
      <c r="P195" s="101"/>
      <c r="Q195" s="101"/>
      <c r="R195" s="101"/>
      <c r="S195" s="100"/>
      <c r="T195" s="102"/>
      <c r="U195" s="102"/>
      <c r="V195" s="200"/>
    </row>
    <row r="196" spans="2:22" ht="41.25" customHeight="1">
      <c r="B196" s="153" t="str">
        <f t="shared" si="3"/>
        <v>1-188</v>
      </c>
      <c r="C196" s="100" t="s">
        <v>526</v>
      </c>
      <c r="D196" s="100" t="s">
        <v>83</v>
      </c>
      <c r="E196" s="100" t="s">
        <v>128</v>
      </c>
      <c r="F196" s="242" t="s">
        <v>132</v>
      </c>
      <c r="G196" s="243"/>
      <c r="H196" s="101"/>
      <c r="I196" s="20"/>
      <c r="J196" s="101"/>
      <c r="K196" s="101"/>
      <c r="L196" s="20"/>
      <c r="M196" s="101"/>
      <c r="N196" s="101"/>
      <c r="O196" s="20"/>
      <c r="P196" s="101"/>
      <c r="Q196" s="101"/>
      <c r="R196" s="101"/>
      <c r="S196" s="100"/>
      <c r="T196" s="102"/>
      <c r="U196" s="102"/>
      <c r="V196" s="200"/>
    </row>
    <row r="197" spans="2:22" ht="41.25" customHeight="1">
      <c r="B197" s="153" t="str">
        <f t="shared" si="3"/>
        <v>1-189</v>
      </c>
      <c r="C197" s="100" t="s">
        <v>526</v>
      </c>
      <c r="D197" s="100" t="s">
        <v>83</v>
      </c>
      <c r="E197" s="100" t="s">
        <v>121</v>
      </c>
      <c r="F197" s="242" t="s">
        <v>126</v>
      </c>
      <c r="G197" s="243"/>
      <c r="H197" s="101"/>
      <c r="I197" s="20"/>
      <c r="J197" s="101"/>
      <c r="K197" s="101"/>
      <c r="L197" s="20"/>
      <c r="M197" s="101"/>
      <c r="N197" s="101"/>
      <c r="O197" s="20"/>
      <c r="P197" s="101"/>
      <c r="Q197" s="101"/>
      <c r="R197" s="101"/>
      <c r="S197" s="100"/>
      <c r="T197" s="102"/>
      <c r="U197" s="102"/>
      <c r="V197" s="200"/>
    </row>
    <row r="198" spans="2:22" ht="41.25" customHeight="1">
      <c r="B198" s="153" t="str">
        <f t="shared" si="3"/>
        <v>1-190</v>
      </c>
      <c r="C198" s="100" t="s">
        <v>526</v>
      </c>
      <c r="D198" s="100" t="s">
        <v>83</v>
      </c>
      <c r="E198" s="100" t="s">
        <v>122</v>
      </c>
      <c r="F198" s="242" t="s">
        <v>297</v>
      </c>
      <c r="G198" s="243"/>
      <c r="H198" s="101"/>
      <c r="I198" s="20"/>
      <c r="J198" s="101"/>
      <c r="K198" s="101"/>
      <c r="L198" s="20"/>
      <c r="M198" s="101"/>
      <c r="N198" s="101"/>
      <c r="O198" s="20"/>
      <c r="P198" s="101"/>
      <c r="Q198" s="101"/>
      <c r="R198" s="101"/>
      <c r="S198" s="100"/>
      <c r="T198" s="102"/>
      <c r="U198" s="102"/>
      <c r="V198" s="200"/>
    </row>
    <row r="199" spans="2:22" ht="41.25" customHeight="1">
      <c r="B199" s="153" t="str">
        <f t="shared" si="3"/>
        <v>1-191</v>
      </c>
      <c r="C199" s="100" t="s">
        <v>561</v>
      </c>
      <c r="D199" s="100" t="s">
        <v>517</v>
      </c>
      <c r="E199" s="100" t="s">
        <v>446</v>
      </c>
      <c r="F199" s="242" t="s">
        <v>293</v>
      </c>
      <c r="G199" s="243"/>
      <c r="H199" s="161"/>
      <c r="I199" s="162"/>
      <c r="J199" s="161"/>
      <c r="K199" s="183"/>
      <c r="L199" s="20"/>
      <c r="M199" s="101"/>
      <c r="N199" s="161"/>
      <c r="O199" s="162"/>
      <c r="P199" s="161"/>
      <c r="Q199" s="101"/>
      <c r="R199" s="101"/>
      <c r="S199" s="100"/>
      <c r="T199" s="102"/>
      <c r="U199" s="102"/>
      <c r="V199" s="200"/>
    </row>
    <row r="200" spans="2:22" ht="66.75" customHeight="1">
      <c r="B200" s="153" t="str">
        <f t="shared" si="3"/>
        <v>1-192</v>
      </c>
      <c r="C200" s="100" t="s">
        <v>526</v>
      </c>
      <c r="D200" s="100" t="s">
        <v>83</v>
      </c>
      <c r="E200" s="100" t="s">
        <v>147</v>
      </c>
      <c r="F200" s="242" t="s">
        <v>148</v>
      </c>
      <c r="G200" s="243"/>
      <c r="H200" s="101"/>
      <c r="I200" s="20"/>
      <c r="J200" s="101"/>
      <c r="K200" s="101"/>
      <c r="L200" s="20"/>
      <c r="M200" s="101"/>
      <c r="N200" s="101"/>
      <c r="O200" s="20"/>
      <c r="P200" s="101"/>
      <c r="Q200" s="166"/>
      <c r="R200" s="101"/>
      <c r="S200" s="100"/>
      <c r="T200" s="102"/>
      <c r="U200" s="102"/>
      <c r="V200" s="200"/>
    </row>
    <row r="201" spans="2:22" ht="41.25" customHeight="1">
      <c r="B201" s="153" t="str">
        <f t="shared" si="3"/>
        <v>1-193</v>
      </c>
      <c r="C201" s="100" t="s">
        <v>526</v>
      </c>
      <c r="D201" s="100" t="s">
        <v>83</v>
      </c>
      <c r="E201" s="100" t="s">
        <v>130</v>
      </c>
      <c r="F201" s="242" t="s">
        <v>123</v>
      </c>
      <c r="G201" s="243"/>
      <c r="H201" s="101"/>
      <c r="I201" s="20"/>
      <c r="J201" s="101"/>
      <c r="K201" s="101"/>
      <c r="L201" s="20"/>
      <c r="M201" s="101"/>
      <c r="N201" s="101"/>
      <c r="O201" s="20"/>
      <c r="P201" s="101"/>
      <c r="Q201" s="101"/>
      <c r="R201" s="101"/>
      <c r="S201" s="100"/>
      <c r="T201" s="102"/>
      <c r="U201" s="102"/>
      <c r="V201" s="200"/>
    </row>
    <row r="202" spans="2:22" ht="41.25" customHeight="1">
      <c r="B202" s="153" t="str">
        <f t="shared" si="3"/>
        <v>1-194</v>
      </c>
      <c r="C202" s="100" t="s">
        <v>526</v>
      </c>
      <c r="D202" s="100" t="s">
        <v>83</v>
      </c>
      <c r="E202" s="100" t="s">
        <v>129</v>
      </c>
      <c r="F202" s="242" t="s">
        <v>126</v>
      </c>
      <c r="G202" s="243"/>
      <c r="H202" s="101"/>
      <c r="I202" s="20"/>
      <c r="J202" s="101"/>
      <c r="K202" s="101"/>
      <c r="L202" s="20"/>
      <c r="M202" s="101"/>
      <c r="N202" s="101"/>
      <c r="O202" s="20"/>
      <c r="P202" s="101"/>
      <c r="Q202" s="101"/>
      <c r="R202" s="101"/>
      <c r="S202" s="100"/>
      <c r="T202" s="102"/>
      <c r="U202" s="102"/>
      <c r="V202" s="200"/>
    </row>
    <row r="203" spans="2:22" ht="41.25" customHeight="1">
      <c r="B203" s="153" t="str">
        <f t="shared" si="3"/>
        <v>1-195</v>
      </c>
      <c r="C203" s="100" t="s">
        <v>526</v>
      </c>
      <c r="D203" s="100" t="s">
        <v>83</v>
      </c>
      <c r="E203" s="100" t="s">
        <v>128</v>
      </c>
      <c r="F203" s="242" t="s">
        <v>131</v>
      </c>
      <c r="G203" s="243"/>
      <c r="H203" s="101"/>
      <c r="I203" s="20"/>
      <c r="J203" s="101"/>
      <c r="K203" s="101"/>
      <c r="L203" s="20"/>
      <c r="M203" s="101"/>
      <c r="N203" s="101"/>
      <c r="O203" s="20"/>
      <c r="P203" s="101"/>
      <c r="Q203" s="101"/>
      <c r="R203" s="101"/>
      <c r="S203" s="100"/>
      <c r="T203" s="102"/>
      <c r="U203" s="102"/>
      <c r="V203" s="200"/>
    </row>
    <row r="204" spans="2:22" ht="41.25" customHeight="1">
      <c r="B204" s="153" t="str">
        <f t="shared" si="3"/>
        <v>1-196</v>
      </c>
      <c r="C204" s="100" t="s">
        <v>526</v>
      </c>
      <c r="D204" s="100" t="s">
        <v>83</v>
      </c>
      <c r="E204" s="100" t="s">
        <v>121</v>
      </c>
      <c r="F204" s="242" t="s">
        <v>126</v>
      </c>
      <c r="G204" s="243"/>
      <c r="H204" s="101"/>
      <c r="I204" s="20"/>
      <c r="J204" s="101"/>
      <c r="K204" s="101"/>
      <c r="L204" s="20"/>
      <c r="M204" s="101"/>
      <c r="N204" s="101"/>
      <c r="O204" s="20"/>
      <c r="P204" s="101"/>
      <c r="Q204" s="101"/>
      <c r="R204" s="101"/>
      <c r="S204" s="100"/>
      <c r="T204" s="102"/>
      <c r="U204" s="102"/>
      <c r="V204" s="200"/>
    </row>
    <row r="205" spans="2:22" ht="41.25" customHeight="1">
      <c r="B205" s="153" t="str">
        <f t="shared" si="3"/>
        <v>1-197</v>
      </c>
      <c r="C205" s="100" t="s">
        <v>526</v>
      </c>
      <c r="D205" s="100" t="s">
        <v>83</v>
      </c>
      <c r="E205" s="100" t="s">
        <v>122</v>
      </c>
      <c r="F205" s="242" t="s">
        <v>296</v>
      </c>
      <c r="G205" s="243"/>
      <c r="H205" s="101"/>
      <c r="I205" s="20"/>
      <c r="J205" s="101"/>
      <c r="K205" s="101"/>
      <c r="L205" s="20"/>
      <c r="M205" s="101"/>
      <c r="N205" s="101"/>
      <c r="O205" s="20"/>
      <c r="P205" s="101"/>
      <c r="Q205" s="101"/>
      <c r="R205" s="101"/>
      <c r="S205" s="100"/>
      <c r="T205" s="102"/>
      <c r="U205" s="102"/>
      <c r="V205" s="200"/>
    </row>
    <row r="206" spans="2:22" ht="41.25" customHeight="1">
      <c r="B206" s="153" t="str">
        <f t="shared" si="3"/>
        <v>1-198</v>
      </c>
      <c r="C206" s="100" t="s">
        <v>563</v>
      </c>
      <c r="D206" s="100" t="s">
        <v>518</v>
      </c>
      <c r="E206" s="100" t="s">
        <v>447</v>
      </c>
      <c r="F206" s="242" t="s">
        <v>293</v>
      </c>
      <c r="G206" s="243"/>
      <c r="H206" s="161"/>
      <c r="I206" s="162"/>
      <c r="J206" s="161"/>
      <c r="K206" s="183"/>
      <c r="L206" s="20"/>
      <c r="M206" s="101"/>
      <c r="N206" s="161"/>
      <c r="O206" s="162"/>
      <c r="P206" s="161"/>
      <c r="Q206" s="101"/>
      <c r="R206" s="101"/>
      <c r="S206" s="100"/>
      <c r="T206" s="102"/>
      <c r="U206" s="102"/>
      <c r="V206" s="200"/>
    </row>
    <row r="207" spans="2:22" ht="57" customHeight="1">
      <c r="B207" s="153" t="str">
        <f t="shared" si="3"/>
        <v>1-199</v>
      </c>
      <c r="C207" s="100" t="s">
        <v>526</v>
      </c>
      <c r="D207" s="100" t="s">
        <v>83</v>
      </c>
      <c r="E207" s="100" t="s">
        <v>147</v>
      </c>
      <c r="F207" s="242" t="s">
        <v>148</v>
      </c>
      <c r="G207" s="243"/>
      <c r="H207" s="101"/>
      <c r="I207" s="20"/>
      <c r="J207" s="101"/>
      <c r="K207" s="101"/>
      <c r="L207" s="20"/>
      <c r="M207" s="101"/>
      <c r="N207" s="101"/>
      <c r="O207" s="20"/>
      <c r="P207" s="101"/>
      <c r="Q207" s="166"/>
      <c r="R207" s="101"/>
      <c r="S207" s="100"/>
      <c r="T207" s="102"/>
      <c r="U207" s="102"/>
      <c r="V207" s="200"/>
    </row>
    <row r="208" spans="2:22" ht="41.25" customHeight="1">
      <c r="B208" s="153" t="str">
        <f t="shared" si="3"/>
        <v>1-200</v>
      </c>
      <c r="C208" s="100" t="s">
        <v>526</v>
      </c>
      <c r="D208" s="100" t="s">
        <v>83</v>
      </c>
      <c r="E208" s="100" t="s">
        <v>130</v>
      </c>
      <c r="F208" s="242" t="s">
        <v>126</v>
      </c>
      <c r="G208" s="243"/>
      <c r="H208" s="101"/>
      <c r="I208" s="20"/>
      <c r="J208" s="101"/>
      <c r="K208" s="101"/>
      <c r="L208" s="20"/>
      <c r="M208" s="101"/>
      <c r="N208" s="101"/>
      <c r="O208" s="20"/>
      <c r="P208" s="101"/>
      <c r="Q208" s="101"/>
      <c r="R208" s="101"/>
      <c r="S208" s="100"/>
      <c r="T208" s="102"/>
      <c r="U208" s="102"/>
      <c r="V208" s="200"/>
    </row>
    <row r="209" spans="2:24" ht="41.25" customHeight="1">
      <c r="B209" s="153" t="str">
        <f t="shared" si="3"/>
        <v>1-201</v>
      </c>
      <c r="C209" s="100" t="s">
        <v>526</v>
      </c>
      <c r="D209" s="100" t="s">
        <v>83</v>
      </c>
      <c r="E209" s="100" t="s">
        <v>129</v>
      </c>
      <c r="F209" s="242" t="s">
        <v>123</v>
      </c>
      <c r="G209" s="243"/>
      <c r="H209" s="101"/>
      <c r="I209" s="20"/>
      <c r="J209" s="101"/>
      <c r="K209" s="101"/>
      <c r="L209" s="20"/>
      <c r="M209" s="101"/>
      <c r="N209" s="101"/>
      <c r="O209" s="20"/>
      <c r="P209" s="101"/>
      <c r="Q209" s="101"/>
      <c r="R209" s="101"/>
      <c r="S209" s="100"/>
      <c r="T209" s="102"/>
      <c r="U209" s="102"/>
      <c r="V209" s="200"/>
    </row>
    <row r="210" spans="2:24" ht="41.25" customHeight="1">
      <c r="B210" s="153" t="str">
        <f t="shared" si="3"/>
        <v>1-202</v>
      </c>
      <c r="C210" s="100" t="s">
        <v>526</v>
      </c>
      <c r="D210" s="100" t="s">
        <v>83</v>
      </c>
      <c r="E210" s="100" t="s">
        <v>128</v>
      </c>
      <c r="F210" s="242" t="s">
        <v>133</v>
      </c>
      <c r="G210" s="243"/>
      <c r="H210" s="101"/>
      <c r="I210" s="20"/>
      <c r="J210" s="101"/>
      <c r="K210" s="101"/>
      <c r="L210" s="20"/>
      <c r="M210" s="101"/>
      <c r="N210" s="101"/>
      <c r="O210" s="20"/>
      <c r="P210" s="101"/>
      <c r="Q210" s="101"/>
      <c r="R210" s="101"/>
      <c r="S210" s="100"/>
      <c r="T210" s="102"/>
      <c r="U210" s="102"/>
      <c r="V210" s="200"/>
    </row>
    <row r="211" spans="2:24" ht="41.25" customHeight="1">
      <c r="B211" s="153" t="str">
        <f t="shared" si="3"/>
        <v>1-203</v>
      </c>
      <c r="C211" s="100" t="s">
        <v>526</v>
      </c>
      <c r="D211" s="100" t="s">
        <v>83</v>
      </c>
      <c r="E211" s="100" t="s">
        <v>121</v>
      </c>
      <c r="F211" s="242" t="s">
        <v>126</v>
      </c>
      <c r="G211" s="243"/>
      <c r="H211" s="101"/>
      <c r="I211" s="20"/>
      <c r="J211" s="101"/>
      <c r="K211" s="101"/>
      <c r="L211" s="20"/>
      <c r="M211" s="101"/>
      <c r="N211" s="101"/>
      <c r="O211" s="20"/>
      <c r="P211" s="101"/>
      <c r="Q211" s="101"/>
      <c r="R211" s="101"/>
      <c r="S211" s="100"/>
      <c r="T211" s="102"/>
      <c r="U211" s="102"/>
      <c r="V211" s="200"/>
    </row>
    <row r="212" spans="2:24" ht="41.25" customHeight="1">
      <c r="B212" s="153" t="str">
        <f t="shared" si="3"/>
        <v>1-204</v>
      </c>
      <c r="C212" s="100" t="s">
        <v>526</v>
      </c>
      <c r="D212" s="100" t="s">
        <v>83</v>
      </c>
      <c r="E212" s="100" t="s">
        <v>122</v>
      </c>
      <c r="F212" s="242" t="s">
        <v>298</v>
      </c>
      <c r="G212" s="243"/>
      <c r="H212" s="101"/>
      <c r="I212" s="20"/>
      <c r="J212" s="101"/>
      <c r="K212" s="101"/>
      <c r="L212" s="20"/>
      <c r="M212" s="101"/>
      <c r="N212" s="101"/>
      <c r="O212" s="20"/>
      <c r="P212" s="101"/>
      <c r="Q212" s="101"/>
      <c r="R212" s="101"/>
      <c r="S212" s="100"/>
      <c r="T212" s="102"/>
      <c r="U212" s="102"/>
      <c r="V212" s="200"/>
    </row>
    <row r="213" spans="2:24" ht="45" customHeight="1">
      <c r="B213" s="153" t="str">
        <f t="shared" si="3"/>
        <v>1-205</v>
      </c>
      <c r="C213" s="114" t="s">
        <v>567</v>
      </c>
      <c r="D213" s="114" t="s">
        <v>299</v>
      </c>
      <c r="E213" s="100" t="s">
        <v>134</v>
      </c>
      <c r="F213" s="242" t="s">
        <v>364</v>
      </c>
      <c r="G213" s="243"/>
      <c r="H213" s="101"/>
      <c r="I213" s="20"/>
      <c r="J213" s="101"/>
      <c r="K213" s="101"/>
      <c r="L213" s="20"/>
      <c r="M213" s="101"/>
      <c r="N213" s="101"/>
      <c r="O213" s="20"/>
      <c r="P213" s="101"/>
      <c r="Q213" s="166"/>
      <c r="R213" s="101"/>
      <c r="S213" s="100"/>
      <c r="T213" s="102"/>
      <c r="U213" s="102"/>
      <c r="V213" s="200"/>
    </row>
    <row r="214" spans="2:24" ht="29.45" customHeight="1">
      <c r="B214" s="153" t="str">
        <f t="shared" si="3"/>
        <v>1-206</v>
      </c>
      <c r="C214" s="100" t="s">
        <v>83</v>
      </c>
      <c r="D214" s="114" t="s">
        <v>393</v>
      </c>
      <c r="E214" s="100" t="s">
        <v>448</v>
      </c>
      <c r="F214" s="242" t="s">
        <v>379</v>
      </c>
      <c r="G214" s="243"/>
      <c r="H214" s="191"/>
      <c r="I214" s="192"/>
      <c r="J214" s="191"/>
      <c r="K214" s="189"/>
      <c r="L214" s="188"/>
      <c r="M214" s="187"/>
      <c r="N214" s="191"/>
      <c r="O214" s="192"/>
      <c r="P214" s="191"/>
      <c r="Q214" s="187"/>
      <c r="R214" s="101"/>
      <c r="S214" s="100"/>
      <c r="T214" s="102"/>
      <c r="U214" s="102"/>
      <c r="V214" s="201"/>
    </row>
    <row r="215" spans="2:24" ht="29.45" customHeight="1">
      <c r="B215" s="163" t="str">
        <f t="shared" si="3"/>
        <v>1-207</v>
      </c>
      <c r="C215" s="100" t="s">
        <v>83</v>
      </c>
      <c r="D215" s="100" t="s">
        <v>195</v>
      </c>
      <c r="E215" s="100" t="s">
        <v>117</v>
      </c>
      <c r="F215" s="244" t="s">
        <v>103</v>
      </c>
      <c r="G215" s="245"/>
      <c r="H215" s="187"/>
      <c r="I215" s="188"/>
      <c r="J215" s="187"/>
      <c r="K215" s="187"/>
      <c r="L215" s="188"/>
      <c r="M215" s="187"/>
      <c r="N215" s="187"/>
      <c r="O215" s="188"/>
      <c r="P215" s="187"/>
      <c r="Q215" s="187"/>
      <c r="R215" s="101"/>
      <c r="S215" s="100"/>
      <c r="T215" s="102"/>
      <c r="U215" s="102"/>
      <c r="V215" s="201"/>
    </row>
    <row r="216" spans="2:24" ht="29.45" customHeight="1">
      <c r="B216" s="163" t="str">
        <f t="shared" si="3"/>
        <v>1-208</v>
      </c>
      <c r="C216" s="100" t="s">
        <v>83</v>
      </c>
      <c r="D216" s="100" t="s">
        <v>145</v>
      </c>
      <c r="E216" s="100" t="s">
        <v>117</v>
      </c>
      <c r="F216" s="244" t="s">
        <v>103</v>
      </c>
      <c r="G216" s="245"/>
      <c r="H216" s="187"/>
      <c r="I216" s="188"/>
      <c r="J216" s="187"/>
      <c r="K216" s="187"/>
      <c r="L216" s="188"/>
      <c r="M216" s="187"/>
      <c r="N216" s="187"/>
      <c r="O216" s="188"/>
      <c r="P216" s="187"/>
      <c r="Q216" s="187"/>
      <c r="R216" s="101"/>
      <c r="S216" s="100"/>
      <c r="T216" s="102"/>
      <c r="U216" s="102"/>
      <c r="V216" s="201"/>
    </row>
    <row r="217" spans="2:24" ht="45" customHeight="1">
      <c r="B217" s="163" t="str">
        <f t="shared" si="3"/>
        <v>1-209</v>
      </c>
      <c r="C217" s="114" t="s">
        <v>526</v>
      </c>
      <c r="D217" s="114"/>
      <c r="E217" s="100" t="s">
        <v>449</v>
      </c>
      <c r="F217" s="242" t="s">
        <v>293</v>
      </c>
      <c r="G217" s="243"/>
      <c r="H217" s="191"/>
      <c r="I217" s="192"/>
      <c r="J217" s="191"/>
      <c r="K217" s="187"/>
      <c r="L217" s="188"/>
      <c r="M217" s="187"/>
      <c r="N217" s="191"/>
      <c r="O217" s="192"/>
      <c r="P217" s="191"/>
      <c r="Q217" s="187"/>
      <c r="R217" s="22"/>
      <c r="S217" s="100"/>
      <c r="T217" s="102"/>
      <c r="U217" s="102"/>
      <c r="V217" s="200"/>
    </row>
    <row r="218" spans="2:24" ht="29.45" customHeight="1">
      <c r="B218" s="163" t="str">
        <f t="shared" si="3"/>
        <v>1-210</v>
      </c>
      <c r="C218" s="100" t="s">
        <v>83</v>
      </c>
      <c r="D218" s="100" t="s">
        <v>195</v>
      </c>
      <c r="E218" s="100" t="s">
        <v>117</v>
      </c>
      <c r="F218" s="244" t="s">
        <v>103</v>
      </c>
      <c r="G218" s="245"/>
      <c r="H218" s="187"/>
      <c r="I218" s="188"/>
      <c r="J218" s="187"/>
      <c r="K218" s="187"/>
      <c r="L218" s="188"/>
      <c r="M218" s="187"/>
      <c r="N218" s="187"/>
      <c r="O218" s="188"/>
      <c r="P218" s="187"/>
      <c r="Q218" s="187"/>
      <c r="R218" s="101"/>
      <c r="S218" s="100"/>
      <c r="T218" s="102"/>
      <c r="U218" s="102"/>
      <c r="V218" s="201"/>
    </row>
    <row r="219" spans="2:24" ht="29.45" customHeight="1">
      <c r="B219" s="163" t="str">
        <f t="shared" si="3"/>
        <v>1-211</v>
      </c>
      <c r="C219" s="100" t="s">
        <v>83</v>
      </c>
      <c r="D219" s="100" t="s">
        <v>145</v>
      </c>
      <c r="E219" s="100" t="s">
        <v>117</v>
      </c>
      <c r="F219" s="244" t="s">
        <v>103</v>
      </c>
      <c r="G219" s="245"/>
      <c r="H219" s="187"/>
      <c r="I219" s="188"/>
      <c r="J219" s="187"/>
      <c r="K219" s="187"/>
      <c r="L219" s="188"/>
      <c r="M219" s="187"/>
      <c r="N219" s="187"/>
      <c r="O219" s="188"/>
      <c r="P219" s="187"/>
      <c r="Q219" s="187"/>
      <c r="R219" s="101"/>
      <c r="S219" s="100"/>
      <c r="T219" s="102"/>
      <c r="U219" s="102"/>
      <c r="V219" s="201"/>
    </row>
    <row r="220" spans="2:24" ht="45" customHeight="1">
      <c r="B220" s="163" t="str">
        <f t="shared" si="3"/>
        <v>1-212</v>
      </c>
      <c r="C220" s="114" t="s">
        <v>526</v>
      </c>
      <c r="D220" s="114" t="s">
        <v>101</v>
      </c>
      <c r="E220" s="100" t="s">
        <v>128</v>
      </c>
      <c r="F220" s="242" t="s">
        <v>394</v>
      </c>
      <c r="G220" s="243"/>
      <c r="H220" s="187"/>
      <c r="I220" s="188"/>
      <c r="J220" s="187"/>
      <c r="K220" s="187"/>
      <c r="L220" s="188"/>
      <c r="M220" s="187"/>
      <c r="N220" s="187"/>
      <c r="O220" s="188"/>
      <c r="P220" s="187"/>
      <c r="Q220" s="187"/>
      <c r="R220" s="101"/>
      <c r="S220" s="100"/>
      <c r="T220" s="102"/>
      <c r="U220" s="102"/>
      <c r="V220" s="200"/>
    </row>
    <row r="221" spans="2:24" ht="45" customHeight="1">
      <c r="B221" s="153" t="str">
        <f t="shared" si="3"/>
        <v>1-213</v>
      </c>
      <c r="C221" s="114" t="s">
        <v>526</v>
      </c>
      <c r="D221" s="114" t="s">
        <v>101</v>
      </c>
      <c r="E221" s="100" t="s">
        <v>395</v>
      </c>
      <c r="F221" s="258" t="s">
        <v>396</v>
      </c>
      <c r="G221" s="259"/>
      <c r="H221" s="187"/>
      <c r="I221" s="188"/>
      <c r="J221" s="187"/>
      <c r="K221" s="187"/>
      <c r="L221" s="188"/>
      <c r="M221" s="187"/>
      <c r="N221" s="187"/>
      <c r="O221" s="188"/>
      <c r="P221" s="187"/>
      <c r="Q221" s="187"/>
      <c r="R221" s="101"/>
      <c r="S221" s="100"/>
      <c r="T221" s="102"/>
      <c r="U221" s="102"/>
      <c r="V221" s="200"/>
    </row>
    <row r="222" spans="2:24" ht="48.95" customHeight="1">
      <c r="B222" s="153" t="str">
        <f t="shared" si="3"/>
        <v>1-214</v>
      </c>
      <c r="C222" s="42" t="s">
        <v>568</v>
      </c>
      <c r="D222" s="42" t="s">
        <v>805</v>
      </c>
      <c r="E222" s="42" t="s">
        <v>806</v>
      </c>
      <c r="F222" s="242" t="s">
        <v>123</v>
      </c>
      <c r="G222" s="243"/>
      <c r="H222" s="101"/>
      <c r="I222" s="20"/>
      <c r="J222" s="101"/>
      <c r="K222" s="101"/>
      <c r="L222" s="20"/>
      <c r="M222" s="101"/>
      <c r="N222" s="101"/>
      <c r="O222" s="20"/>
      <c r="P222" s="101"/>
      <c r="Q222" s="101"/>
      <c r="R222" s="101"/>
      <c r="S222" s="100"/>
      <c r="T222" s="102"/>
      <c r="U222" s="102"/>
      <c r="V222" s="200"/>
      <c r="W222" s="159"/>
      <c r="X222" s="159"/>
    </row>
    <row r="223" spans="2:24" ht="48.95" customHeight="1">
      <c r="B223" s="153" t="str">
        <f t="shared" si="3"/>
        <v>1-215</v>
      </c>
      <c r="C223" s="100" t="s">
        <v>526</v>
      </c>
      <c r="D223" s="42" t="s">
        <v>807</v>
      </c>
      <c r="E223" s="42" t="s">
        <v>806</v>
      </c>
      <c r="F223" s="242" t="s">
        <v>126</v>
      </c>
      <c r="G223" s="243"/>
      <c r="H223" s="101"/>
      <c r="I223" s="20"/>
      <c r="J223" s="101"/>
      <c r="K223" s="101"/>
      <c r="L223" s="20"/>
      <c r="M223" s="101"/>
      <c r="N223" s="101"/>
      <c r="O223" s="20"/>
      <c r="P223" s="101"/>
      <c r="Q223" s="101"/>
      <c r="R223" s="101"/>
      <c r="S223" s="100"/>
      <c r="T223" s="102"/>
      <c r="U223" s="102"/>
      <c r="V223" s="200"/>
      <c r="W223" s="159"/>
      <c r="X223" s="159"/>
    </row>
    <row r="224" spans="2:24" ht="48.95" customHeight="1">
      <c r="B224" s="153" t="str">
        <f t="shared" si="3"/>
        <v>1-216</v>
      </c>
      <c r="C224" s="100" t="s">
        <v>526</v>
      </c>
      <c r="D224" s="42" t="s">
        <v>525</v>
      </c>
      <c r="E224" s="100" t="s">
        <v>134</v>
      </c>
      <c r="F224" s="242" t="s">
        <v>520</v>
      </c>
      <c r="G224" s="243"/>
      <c r="H224" s="101"/>
      <c r="I224" s="20"/>
      <c r="J224" s="101"/>
      <c r="K224" s="101"/>
      <c r="L224" s="20"/>
      <c r="M224" s="101"/>
      <c r="N224" s="101"/>
      <c r="O224" s="20"/>
      <c r="P224" s="101"/>
      <c r="Q224" s="166"/>
      <c r="R224" s="101"/>
      <c r="S224" s="100"/>
      <c r="T224" s="102"/>
      <c r="U224" s="102"/>
      <c r="V224" s="200"/>
      <c r="W224" s="159"/>
      <c r="X224" s="159"/>
    </row>
    <row r="225" spans="1:24" ht="48.95" customHeight="1">
      <c r="B225" s="153" t="str">
        <f t="shared" si="3"/>
        <v>1-217</v>
      </c>
      <c r="C225" s="100" t="s">
        <v>569</v>
      </c>
      <c r="D225" s="100" t="s">
        <v>299</v>
      </c>
      <c r="E225" s="100" t="s">
        <v>134</v>
      </c>
      <c r="F225" s="242" t="s">
        <v>522</v>
      </c>
      <c r="G225" s="243"/>
      <c r="H225" s="101"/>
      <c r="I225" s="20"/>
      <c r="J225" s="101"/>
      <c r="K225" s="101"/>
      <c r="L225" s="20"/>
      <c r="M225" s="101"/>
      <c r="N225" s="101"/>
      <c r="O225" s="20"/>
      <c r="P225" s="101"/>
      <c r="Q225" s="166"/>
      <c r="R225" s="101"/>
      <c r="S225" s="100"/>
      <c r="T225" s="102"/>
      <c r="U225" s="102"/>
      <c r="V225" s="200"/>
      <c r="W225" s="159"/>
      <c r="X225" s="159"/>
    </row>
    <row r="226" spans="1:24" ht="48.95" customHeight="1">
      <c r="B226" s="153" t="str">
        <f t="shared" si="3"/>
        <v>1-218</v>
      </c>
      <c r="C226" s="100" t="s">
        <v>570</v>
      </c>
      <c r="D226" s="100" t="s">
        <v>521</v>
      </c>
      <c r="E226" s="100" t="s">
        <v>134</v>
      </c>
      <c r="F226" s="242" t="s">
        <v>523</v>
      </c>
      <c r="G226" s="243"/>
      <c r="H226" s="101"/>
      <c r="I226" s="20"/>
      <c r="J226" s="101"/>
      <c r="K226" s="101"/>
      <c r="L226" s="20"/>
      <c r="M226" s="101"/>
      <c r="N226" s="101"/>
      <c r="O226" s="20"/>
      <c r="P226" s="101"/>
      <c r="Q226" s="166"/>
      <c r="R226" s="101"/>
      <c r="S226" s="100"/>
      <c r="T226" s="102"/>
      <c r="U226" s="102"/>
      <c r="V226" s="200"/>
      <c r="W226" s="159"/>
      <c r="X226" s="159"/>
    </row>
    <row r="227" spans="1:24" ht="48.95" customHeight="1">
      <c r="B227" s="153" t="str">
        <f t="shared" si="3"/>
        <v>1-219</v>
      </c>
      <c r="C227" s="100" t="s">
        <v>571</v>
      </c>
      <c r="D227" s="100" t="s">
        <v>299</v>
      </c>
      <c r="E227" s="100" t="s">
        <v>134</v>
      </c>
      <c r="F227" s="242" t="s">
        <v>524</v>
      </c>
      <c r="G227" s="243"/>
      <c r="H227" s="101"/>
      <c r="I227" s="20"/>
      <c r="J227" s="101"/>
      <c r="K227" s="101"/>
      <c r="L227" s="20"/>
      <c r="M227" s="101"/>
      <c r="N227" s="101"/>
      <c r="O227" s="20"/>
      <c r="P227" s="101"/>
      <c r="Q227" s="166"/>
      <c r="R227" s="101"/>
      <c r="S227" s="100"/>
      <c r="T227" s="102"/>
      <c r="U227" s="102"/>
      <c r="V227" s="200"/>
      <c r="W227" s="159"/>
      <c r="X227" s="159"/>
    </row>
    <row r="228" spans="1:24" ht="45" customHeight="1">
      <c r="B228" s="153" t="str">
        <f t="shared" si="3"/>
        <v>1-220</v>
      </c>
      <c r="C228" s="100" t="s">
        <v>143</v>
      </c>
      <c r="D228" s="42" t="s">
        <v>346</v>
      </c>
      <c r="E228" s="100" t="s">
        <v>448</v>
      </c>
      <c r="F228" s="240" t="s">
        <v>293</v>
      </c>
      <c r="G228" s="241"/>
      <c r="H228" s="191"/>
      <c r="I228" s="192"/>
      <c r="J228" s="191"/>
      <c r="K228" s="189"/>
      <c r="L228" s="188"/>
      <c r="M228" s="187"/>
      <c r="N228" s="191"/>
      <c r="O228" s="192"/>
      <c r="P228" s="191"/>
      <c r="Q228" s="187"/>
      <c r="R228" s="101"/>
      <c r="S228" s="100"/>
      <c r="T228" s="102"/>
      <c r="U228" s="102"/>
      <c r="V228" s="200"/>
    </row>
    <row r="229" spans="1:24" ht="45" customHeight="1">
      <c r="B229" s="153" t="str">
        <f t="shared" si="3"/>
        <v>1-221</v>
      </c>
      <c r="C229" s="114" t="s">
        <v>101</v>
      </c>
      <c r="D229" s="114" t="s">
        <v>101</v>
      </c>
      <c r="E229" s="100" t="s">
        <v>117</v>
      </c>
      <c r="F229" s="240" t="s">
        <v>820</v>
      </c>
      <c r="G229" s="241"/>
      <c r="H229" s="189"/>
      <c r="I229" s="188"/>
      <c r="J229" s="187"/>
      <c r="K229" s="189"/>
      <c r="L229" s="188"/>
      <c r="M229" s="187"/>
      <c r="N229" s="189"/>
      <c r="O229" s="188"/>
      <c r="P229" s="187"/>
      <c r="Q229" s="187"/>
      <c r="R229" s="166"/>
      <c r="S229" s="100"/>
      <c r="T229" s="102"/>
      <c r="U229" s="102"/>
      <c r="V229" s="200"/>
    </row>
    <row r="230" spans="1:24" ht="34.5" customHeight="1">
      <c r="B230" s="153" t="str">
        <f t="shared" si="3"/>
        <v>1-222</v>
      </c>
      <c r="C230" s="18" t="s">
        <v>135</v>
      </c>
      <c r="D230" s="18" t="s">
        <v>136</v>
      </c>
      <c r="E230" s="100" t="s">
        <v>134</v>
      </c>
      <c r="F230" s="246" t="s">
        <v>137</v>
      </c>
      <c r="G230" s="247"/>
      <c r="H230" s="189"/>
      <c r="I230" s="190"/>
      <c r="J230" s="187"/>
      <c r="K230" s="189"/>
      <c r="L230" s="190"/>
      <c r="M230" s="187"/>
      <c r="N230" s="189"/>
      <c r="O230" s="190"/>
      <c r="P230" s="187"/>
      <c r="Q230" s="193"/>
      <c r="R230" s="124"/>
      <c r="S230" s="114"/>
      <c r="T230" s="102"/>
      <c r="U230" s="102"/>
      <c r="V230" s="200"/>
    </row>
    <row r="231" spans="1:24" ht="34.5" customHeight="1">
      <c r="B231" s="153" t="str">
        <f t="shared" si="3"/>
        <v>1-223</v>
      </c>
      <c r="C231" s="18" t="s">
        <v>144</v>
      </c>
      <c r="D231" s="18" t="s">
        <v>144</v>
      </c>
      <c r="E231" s="100" t="s">
        <v>134</v>
      </c>
      <c r="F231" s="246" t="s">
        <v>138</v>
      </c>
      <c r="G231" s="247"/>
      <c r="H231" s="189"/>
      <c r="I231" s="190"/>
      <c r="J231" s="187"/>
      <c r="K231" s="189"/>
      <c r="L231" s="190"/>
      <c r="M231" s="187"/>
      <c r="N231" s="189"/>
      <c r="O231" s="190"/>
      <c r="P231" s="187"/>
      <c r="Q231" s="193"/>
      <c r="R231" s="124"/>
      <c r="S231" s="114"/>
      <c r="T231" s="102"/>
      <c r="U231" s="102"/>
      <c r="V231" s="200"/>
    </row>
    <row r="232" spans="1:24" ht="34.5" customHeight="1">
      <c r="B232" s="153" t="str">
        <f t="shared" si="3"/>
        <v>1-224</v>
      </c>
      <c r="C232" s="18" t="s">
        <v>144</v>
      </c>
      <c r="D232" s="18" t="s">
        <v>150</v>
      </c>
      <c r="E232" s="100" t="s">
        <v>134</v>
      </c>
      <c r="F232" s="244" t="s">
        <v>151</v>
      </c>
      <c r="G232" s="245"/>
      <c r="H232" s="122"/>
      <c r="I232" s="190"/>
      <c r="J232" s="187"/>
      <c r="K232" s="189"/>
      <c r="L232" s="190"/>
      <c r="M232" s="187"/>
      <c r="N232" s="189"/>
      <c r="O232" s="190"/>
      <c r="P232" s="187"/>
      <c r="Q232" s="193"/>
      <c r="R232" s="124"/>
      <c r="S232" s="114"/>
      <c r="T232" s="102"/>
      <c r="U232" s="102"/>
      <c r="V232" s="200"/>
    </row>
    <row r="233" spans="1:24" ht="34.5" customHeight="1">
      <c r="B233" s="153" t="str">
        <f t="shared" si="3"/>
        <v>1-225</v>
      </c>
      <c r="C233" s="18" t="s">
        <v>144</v>
      </c>
      <c r="D233" s="18" t="s">
        <v>144</v>
      </c>
      <c r="E233" s="100" t="s">
        <v>134</v>
      </c>
      <c r="F233" s="244" t="s">
        <v>138</v>
      </c>
      <c r="G233" s="245"/>
      <c r="H233" s="122"/>
      <c r="I233" s="123"/>
      <c r="J233" s="101"/>
      <c r="K233" s="122"/>
      <c r="L233" s="123"/>
      <c r="M233" s="101"/>
      <c r="N233" s="122"/>
      <c r="O233" s="123"/>
      <c r="P233" s="101"/>
      <c r="Q233" s="124"/>
      <c r="R233" s="124"/>
      <c r="S233" s="114"/>
      <c r="T233" s="102"/>
      <c r="U233" s="102"/>
      <c r="V233" s="200"/>
    </row>
    <row r="234" spans="1:24" ht="34.5" customHeight="1">
      <c r="B234" s="153" t="str">
        <f t="shared" si="3"/>
        <v>1-226</v>
      </c>
      <c r="C234" s="18" t="s">
        <v>144</v>
      </c>
      <c r="D234" s="18" t="s">
        <v>152</v>
      </c>
      <c r="E234" s="100" t="s">
        <v>134</v>
      </c>
      <c r="F234" s="244" t="s">
        <v>153</v>
      </c>
      <c r="G234" s="245"/>
      <c r="H234" s="122"/>
      <c r="I234" s="123"/>
      <c r="J234" s="101"/>
      <c r="K234" s="122"/>
      <c r="L234" s="123"/>
      <c r="M234" s="101"/>
      <c r="N234" s="122"/>
      <c r="O234" s="123"/>
      <c r="P234" s="101"/>
      <c r="Q234" s="124"/>
      <c r="R234" s="124"/>
      <c r="S234" s="114"/>
      <c r="T234" s="102"/>
      <c r="U234" s="102"/>
      <c r="V234" s="200"/>
    </row>
    <row r="235" spans="1:24" ht="34.5" customHeight="1">
      <c r="B235" s="153" t="str">
        <f t="shared" si="3"/>
        <v>1-227</v>
      </c>
      <c r="C235" s="18" t="s">
        <v>144</v>
      </c>
      <c r="D235" s="18" t="s">
        <v>144</v>
      </c>
      <c r="E235" s="100" t="s">
        <v>134</v>
      </c>
      <c r="F235" s="244" t="s">
        <v>138</v>
      </c>
      <c r="G235" s="245"/>
      <c r="H235" s="122"/>
      <c r="I235" s="123"/>
      <c r="J235" s="101"/>
      <c r="K235" s="122"/>
      <c r="L235" s="123"/>
      <c r="M235" s="101"/>
      <c r="N235" s="122"/>
      <c r="O235" s="123"/>
      <c r="P235" s="101"/>
      <c r="Q235" s="124"/>
      <c r="R235" s="124"/>
      <c r="S235" s="114"/>
      <c r="T235" s="102"/>
      <c r="U235" s="102"/>
      <c r="V235" s="200"/>
    </row>
    <row r="236" spans="1:24" ht="34.5" customHeight="1">
      <c r="A236" s="15"/>
      <c r="B236" s="153" t="str">
        <f t="shared" si="3"/>
        <v>1-228</v>
      </c>
      <c r="C236" s="18" t="s">
        <v>473</v>
      </c>
      <c r="D236" s="18" t="s">
        <v>144</v>
      </c>
      <c r="E236" s="18" t="s">
        <v>474</v>
      </c>
      <c r="F236" s="242" t="s">
        <v>475</v>
      </c>
      <c r="G236" s="243"/>
      <c r="H236" s="101"/>
      <c r="I236" s="20"/>
      <c r="J236" s="101"/>
      <c r="K236" s="101"/>
      <c r="L236" s="20"/>
      <c r="M236" s="101"/>
      <c r="N236" s="101"/>
      <c r="O236" s="20"/>
      <c r="P236" s="101"/>
      <c r="Q236" s="124"/>
      <c r="R236" s="124"/>
      <c r="S236" s="100"/>
      <c r="T236" s="102"/>
      <c r="U236" s="102"/>
      <c r="V236" s="200"/>
    </row>
    <row r="237" spans="1:24" ht="34.5" customHeight="1">
      <c r="B237" s="163" t="str">
        <f t="shared" si="3"/>
        <v>1-229</v>
      </c>
      <c r="C237" s="18" t="s">
        <v>139</v>
      </c>
      <c r="D237" s="18" t="s">
        <v>140</v>
      </c>
      <c r="E237" s="100" t="s">
        <v>467</v>
      </c>
      <c r="F237" s="244" t="s">
        <v>141</v>
      </c>
      <c r="G237" s="245"/>
      <c r="H237" s="122"/>
      <c r="I237" s="123"/>
      <c r="J237" s="101"/>
      <c r="K237" s="122"/>
      <c r="L237" s="123"/>
      <c r="M237" s="101"/>
      <c r="N237" s="122"/>
      <c r="O237" s="123"/>
      <c r="P237" s="101"/>
      <c r="Q237" s="22"/>
      <c r="R237" s="124"/>
      <c r="S237" s="114"/>
      <c r="T237" s="102"/>
      <c r="U237" s="102"/>
      <c r="V237" s="200"/>
    </row>
    <row r="238" spans="1:24" ht="34.5" customHeight="1">
      <c r="B238" s="163" t="str">
        <f t="shared" si="3"/>
        <v>1-230</v>
      </c>
      <c r="C238" s="114" t="s">
        <v>101</v>
      </c>
      <c r="D238" s="18" t="s">
        <v>142</v>
      </c>
      <c r="E238" s="100" t="s">
        <v>468</v>
      </c>
      <c r="F238" s="244" t="s">
        <v>141</v>
      </c>
      <c r="G238" s="245"/>
      <c r="H238" s="122"/>
      <c r="I238" s="123"/>
      <c r="J238" s="101"/>
      <c r="K238" s="122"/>
      <c r="L238" s="123"/>
      <c r="M238" s="101"/>
      <c r="N238" s="122"/>
      <c r="O238" s="123"/>
      <c r="P238" s="101"/>
      <c r="Q238" s="22"/>
      <c r="R238" s="124"/>
      <c r="S238" s="114"/>
      <c r="T238" s="102"/>
      <c r="U238" s="102"/>
      <c r="V238" s="200"/>
    </row>
    <row r="240" spans="1:24">
      <c r="B240" s="2" t="s">
        <v>266</v>
      </c>
      <c r="C240" s="99" t="s">
        <v>471</v>
      </c>
    </row>
    <row r="241" spans="2:21">
      <c r="B241" s="260" t="s">
        <v>4</v>
      </c>
      <c r="C241" s="262" t="s">
        <v>5</v>
      </c>
      <c r="D241" s="262" t="s">
        <v>79</v>
      </c>
      <c r="E241" s="262" t="s">
        <v>6</v>
      </c>
      <c r="F241" s="263" t="s">
        <v>7</v>
      </c>
      <c r="G241" s="264"/>
      <c r="H241" s="257" t="s">
        <v>91</v>
      </c>
      <c r="I241" s="257"/>
      <c r="J241" s="257"/>
      <c r="K241" s="257" t="s">
        <v>84</v>
      </c>
      <c r="L241" s="257"/>
      <c r="M241" s="257"/>
      <c r="N241" s="257" t="s">
        <v>85</v>
      </c>
      <c r="O241" s="257"/>
      <c r="P241" s="257"/>
      <c r="Q241" s="252" t="s">
        <v>576</v>
      </c>
      <c r="R241" s="252" t="s">
        <v>78</v>
      </c>
      <c r="S241" s="251" t="s">
        <v>14</v>
      </c>
      <c r="T241" s="251"/>
      <c r="U241" s="251"/>
    </row>
    <row r="242" spans="2:21">
      <c r="B242" s="261"/>
      <c r="C242" s="253"/>
      <c r="D242" s="253"/>
      <c r="E242" s="253"/>
      <c r="F242" s="265"/>
      <c r="G242" s="266"/>
      <c r="H242" s="127" t="s">
        <v>8</v>
      </c>
      <c r="I242" s="127" t="s">
        <v>9</v>
      </c>
      <c r="J242" s="127" t="s">
        <v>10</v>
      </c>
      <c r="K242" s="127" t="s">
        <v>8</v>
      </c>
      <c r="L242" s="127" t="s">
        <v>9</v>
      </c>
      <c r="M242" s="127" t="s">
        <v>10</v>
      </c>
      <c r="N242" s="127" t="s">
        <v>8</v>
      </c>
      <c r="O242" s="127" t="s">
        <v>9</v>
      </c>
      <c r="P242" s="127" t="s">
        <v>10</v>
      </c>
      <c r="Q242" s="253"/>
      <c r="R242" s="253"/>
      <c r="S242" s="93"/>
      <c r="T242" s="94"/>
      <c r="U242" s="95"/>
    </row>
    <row r="243" spans="2:21" ht="35.450000000000003" customHeight="1">
      <c r="B243" s="153" t="str">
        <f>"2-"&amp;ROW()-242</f>
        <v>2-1</v>
      </c>
      <c r="C243" s="42" t="s">
        <v>480</v>
      </c>
      <c r="D243" s="100" t="s">
        <v>196</v>
      </c>
      <c r="E243" s="100" t="s">
        <v>62</v>
      </c>
      <c r="F243" s="242" t="s">
        <v>94</v>
      </c>
      <c r="G243" s="243"/>
      <c r="H243" s="122"/>
      <c r="I243" s="123"/>
      <c r="J243" s="101"/>
      <c r="K243" s="122"/>
      <c r="L243" s="123"/>
      <c r="M243" s="101"/>
      <c r="N243" s="122"/>
      <c r="O243" s="123"/>
      <c r="P243" s="101"/>
      <c r="Q243" s="166"/>
      <c r="R243" s="101"/>
      <c r="S243" s="100"/>
      <c r="T243" s="102"/>
      <c r="U243" s="102"/>
    </row>
    <row r="244" spans="2:21" ht="35.450000000000003" customHeight="1">
      <c r="B244" s="153" t="str">
        <f t="shared" ref="B244:B266" si="4">"2-"&amp;ROW()-242</f>
        <v>2-2</v>
      </c>
      <c r="C244" s="100" t="s">
        <v>83</v>
      </c>
      <c r="D244" s="100" t="s">
        <v>196</v>
      </c>
      <c r="E244" s="100" t="s">
        <v>117</v>
      </c>
      <c r="F244" s="242" t="s">
        <v>92</v>
      </c>
      <c r="G244" s="243"/>
      <c r="H244" s="122"/>
      <c r="I244" s="123"/>
      <c r="J244" s="101"/>
      <c r="K244" s="122"/>
      <c r="L244" s="123"/>
      <c r="M244" s="101"/>
      <c r="N244" s="122"/>
      <c r="O244" s="123"/>
      <c r="P244" s="101"/>
      <c r="Q244" s="101"/>
      <c r="R244" s="101"/>
      <c r="S244" s="100"/>
      <c r="T244" s="102"/>
      <c r="U244" s="102"/>
    </row>
    <row r="245" spans="2:21" ht="35.450000000000003" customHeight="1">
      <c r="B245" s="153" t="str">
        <f t="shared" si="4"/>
        <v>2-3</v>
      </c>
      <c r="C245" s="100" t="s">
        <v>203</v>
      </c>
      <c r="D245" s="100" t="s">
        <v>200</v>
      </c>
      <c r="E245" s="100" t="s">
        <v>207</v>
      </c>
      <c r="F245" s="242" t="s">
        <v>206</v>
      </c>
      <c r="G245" s="243"/>
      <c r="H245" s="122"/>
      <c r="I245" s="123"/>
      <c r="J245" s="101"/>
      <c r="K245" s="122"/>
      <c r="L245" s="123"/>
      <c r="M245" s="101"/>
      <c r="N245" s="122"/>
      <c r="O245" s="123"/>
      <c r="P245" s="101"/>
      <c r="Q245" s="101"/>
      <c r="R245" s="101"/>
      <c r="S245" s="100"/>
      <c r="T245" s="102"/>
      <c r="U245" s="102"/>
    </row>
    <row r="246" spans="2:21" ht="35.450000000000003" customHeight="1">
      <c r="B246" s="153" t="str">
        <f t="shared" si="4"/>
        <v>2-4</v>
      </c>
      <c r="C246" s="100" t="s">
        <v>83</v>
      </c>
      <c r="D246" s="100" t="s">
        <v>83</v>
      </c>
      <c r="E246" s="100" t="s">
        <v>208</v>
      </c>
      <c r="F246" s="125" t="s">
        <v>209</v>
      </c>
      <c r="G246" s="126"/>
      <c r="H246" s="122"/>
      <c r="I246" s="123"/>
      <c r="J246" s="101"/>
      <c r="K246" s="122"/>
      <c r="L246" s="123"/>
      <c r="M246" s="101"/>
      <c r="N246" s="122"/>
      <c r="O246" s="123"/>
      <c r="P246" s="101"/>
      <c r="Q246" s="166"/>
      <c r="R246" s="101"/>
      <c r="S246" s="100"/>
      <c r="T246" s="102"/>
      <c r="U246" s="102"/>
    </row>
    <row r="247" spans="2:21" ht="35.450000000000003" customHeight="1">
      <c r="B247" s="153" t="str">
        <f t="shared" si="4"/>
        <v>2-5</v>
      </c>
      <c r="C247" s="100" t="s">
        <v>83</v>
      </c>
      <c r="D247" s="100" t="s">
        <v>210</v>
      </c>
      <c r="E247" s="100" t="s">
        <v>199</v>
      </c>
      <c r="F247" s="242" t="s">
        <v>204</v>
      </c>
      <c r="G247" s="243"/>
      <c r="H247" s="122"/>
      <c r="I247" s="123"/>
      <c r="J247" s="101"/>
      <c r="K247" s="122"/>
      <c r="L247" s="123"/>
      <c r="M247" s="101"/>
      <c r="N247" s="122"/>
      <c r="O247" s="123"/>
      <c r="P247" s="101"/>
      <c r="Q247" s="166"/>
      <c r="R247" s="101"/>
      <c r="S247" s="100"/>
      <c r="T247" s="102"/>
      <c r="U247" s="102"/>
    </row>
    <row r="248" spans="2:21" ht="35.450000000000003" customHeight="1">
      <c r="B248" s="153" t="str">
        <f t="shared" si="4"/>
        <v>2-6</v>
      </c>
      <c r="C248" s="100" t="s">
        <v>83</v>
      </c>
      <c r="D248" s="100" t="s">
        <v>83</v>
      </c>
      <c r="E248" s="100" t="s">
        <v>205</v>
      </c>
      <c r="F248" s="242" t="s">
        <v>204</v>
      </c>
      <c r="G248" s="243"/>
      <c r="H248" s="122"/>
      <c r="I248" s="123"/>
      <c r="J248" s="101"/>
      <c r="K248" s="122"/>
      <c r="L248" s="123"/>
      <c r="M248" s="101"/>
      <c r="N248" s="122"/>
      <c r="O248" s="123"/>
      <c r="P248" s="101"/>
      <c r="Q248" s="166"/>
      <c r="R248" s="101"/>
      <c r="S248" s="100"/>
      <c r="T248" s="102"/>
      <c r="U248" s="102"/>
    </row>
    <row r="249" spans="2:21" ht="35.450000000000003" customHeight="1">
      <c r="B249" s="153" t="str">
        <f t="shared" si="4"/>
        <v>2-7</v>
      </c>
      <c r="C249" s="100" t="s">
        <v>83</v>
      </c>
      <c r="D249" s="100" t="s">
        <v>211</v>
      </c>
      <c r="E249" s="100" t="s">
        <v>199</v>
      </c>
      <c r="F249" s="242" t="s">
        <v>212</v>
      </c>
      <c r="G249" s="243"/>
      <c r="H249" s="122"/>
      <c r="I249" s="123"/>
      <c r="J249" s="101"/>
      <c r="K249" s="122"/>
      <c r="L249" s="123"/>
      <c r="M249" s="101"/>
      <c r="N249" s="122"/>
      <c r="O249" s="123"/>
      <c r="P249" s="101"/>
      <c r="Q249" s="166"/>
      <c r="R249" s="101"/>
      <c r="S249" s="100"/>
      <c r="T249" s="102"/>
      <c r="U249" s="102"/>
    </row>
    <row r="250" spans="2:21" ht="35.450000000000003" customHeight="1">
      <c r="B250" s="153" t="str">
        <f t="shared" si="4"/>
        <v>2-8</v>
      </c>
      <c r="C250" s="100" t="s">
        <v>83</v>
      </c>
      <c r="D250" s="100" t="s">
        <v>83</v>
      </c>
      <c r="E250" s="100" t="s">
        <v>205</v>
      </c>
      <c r="F250" s="242" t="s">
        <v>212</v>
      </c>
      <c r="G250" s="243"/>
      <c r="H250" s="122"/>
      <c r="I250" s="123"/>
      <c r="J250" s="101"/>
      <c r="K250" s="122"/>
      <c r="L250" s="123"/>
      <c r="M250" s="101"/>
      <c r="N250" s="122"/>
      <c r="O250" s="123"/>
      <c r="P250" s="101"/>
      <c r="Q250" s="166"/>
      <c r="R250" s="101"/>
      <c r="S250" s="100"/>
      <c r="T250" s="102"/>
      <c r="U250" s="102"/>
    </row>
    <row r="251" spans="2:21" ht="35.450000000000003" customHeight="1">
      <c r="B251" s="153" t="str">
        <f t="shared" si="4"/>
        <v>2-9</v>
      </c>
      <c r="C251" s="100" t="s">
        <v>199</v>
      </c>
      <c r="D251" s="100" t="s">
        <v>201</v>
      </c>
      <c r="E251" s="100" t="s">
        <v>213</v>
      </c>
      <c r="F251" s="242" t="s">
        <v>202</v>
      </c>
      <c r="G251" s="243"/>
      <c r="H251" s="122"/>
      <c r="I251" s="123"/>
      <c r="J251" s="101"/>
      <c r="K251" s="122"/>
      <c r="L251" s="123"/>
      <c r="M251" s="101"/>
      <c r="N251" s="122"/>
      <c r="O251" s="123"/>
      <c r="P251" s="101"/>
      <c r="Q251" s="166"/>
      <c r="R251" s="101"/>
      <c r="S251" s="100"/>
      <c r="T251" s="102"/>
      <c r="U251" s="102"/>
    </row>
    <row r="252" spans="2:21" ht="35.450000000000003" customHeight="1">
      <c r="B252" s="153" t="str">
        <f t="shared" si="4"/>
        <v>2-10</v>
      </c>
      <c r="C252" s="100" t="s">
        <v>83</v>
      </c>
      <c r="D252" s="100" t="s">
        <v>83</v>
      </c>
      <c r="E252" s="100" t="s">
        <v>199</v>
      </c>
      <c r="F252" s="242" t="s">
        <v>212</v>
      </c>
      <c r="G252" s="243"/>
      <c r="H252" s="122"/>
      <c r="I252" s="123"/>
      <c r="J252" s="101"/>
      <c r="K252" s="122"/>
      <c r="L252" s="123"/>
      <c r="M252" s="101"/>
      <c r="N252" s="122"/>
      <c r="O252" s="123"/>
      <c r="P252" s="101"/>
      <c r="Q252" s="166"/>
      <c r="R252" s="101"/>
      <c r="S252" s="100"/>
      <c r="T252" s="102"/>
      <c r="U252" s="102"/>
    </row>
    <row r="253" spans="2:21" ht="35.450000000000003" customHeight="1">
      <c r="B253" s="153" t="str">
        <f t="shared" si="4"/>
        <v>2-11</v>
      </c>
      <c r="C253" s="100" t="s">
        <v>83</v>
      </c>
      <c r="D253" s="100" t="s">
        <v>83</v>
      </c>
      <c r="E253" s="100" t="s">
        <v>205</v>
      </c>
      <c r="F253" s="242" t="s">
        <v>212</v>
      </c>
      <c r="G253" s="243"/>
      <c r="H253" s="122"/>
      <c r="I253" s="123"/>
      <c r="J253" s="101"/>
      <c r="K253" s="122"/>
      <c r="L253" s="123"/>
      <c r="M253" s="101"/>
      <c r="N253" s="122"/>
      <c r="O253" s="123"/>
      <c r="P253" s="101"/>
      <c r="Q253" s="166"/>
      <c r="R253" s="101"/>
      <c r="S253" s="100"/>
      <c r="T253" s="102"/>
      <c r="U253" s="102"/>
    </row>
    <row r="254" spans="2:21" ht="35.450000000000003" customHeight="1">
      <c r="B254" s="153" t="str">
        <f t="shared" si="4"/>
        <v>2-12</v>
      </c>
      <c r="C254" s="100" t="s">
        <v>205</v>
      </c>
      <c r="D254" s="100" t="s">
        <v>304</v>
      </c>
      <c r="E254" s="100" t="s">
        <v>470</v>
      </c>
      <c r="F254" s="242" t="s">
        <v>214</v>
      </c>
      <c r="G254" s="243"/>
      <c r="H254" s="122"/>
      <c r="I254" s="123"/>
      <c r="J254" s="101"/>
      <c r="K254" s="122"/>
      <c r="L254" s="123"/>
      <c r="M254" s="101"/>
      <c r="N254" s="122"/>
      <c r="O254" s="123"/>
      <c r="P254" s="101"/>
      <c r="Q254" s="166"/>
      <c r="R254" s="101"/>
      <c r="S254" s="100"/>
      <c r="T254" s="102"/>
      <c r="U254" s="102"/>
    </row>
    <row r="255" spans="2:21" ht="35.450000000000003" customHeight="1">
      <c r="B255" s="153" t="str">
        <f t="shared" si="4"/>
        <v>2-13</v>
      </c>
      <c r="C255" s="100" t="s">
        <v>83</v>
      </c>
      <c r="D255" s="100" t="s">
        <v>478</v>
      </c>
      <c r="E255" s="100" t="s">
        <v>215</v>
      </c>
      <c r="F255" s="242" t="s">
        <v>216</v>
      </c>
      <c r="G255" s="243"/>
      <c r="H255" s="122"/>
      <c r="I255" s="123"/>
      <c r="J255" s="101"/>
      <c r="K255" s="122"/>
      <c r="L255" s="123"/>
      <c r="M255" s="101"/>
      <c r="N255" s="122"/>
      <c r="O255" s="123"/>
      <c r="P255" s="101"/>
      <c r="Q255" s="166"/>
      <c r="R255" s="101"/>
      <c r="S255" s="100"/>
      <c r="T255" s="102"/>
      <c r="U255" s="102"/>
    </row>
    <row r="256" spans="2:21" ht="35.450000000000003" customHeight="1">
      <c r="B256" s="153" t="str">
        <f t="shared" si="4"/>
        <v>2-14</v>
      </c>
      <c r="C256" s="100" t="s">
        <v>83</v>
      </c>
      <c r="D256" s="100" t="s">
        <v>83</v>
      </c>
      <c r="E256" s="100" t="s">
        <v>218</v>
      </c>
      <c r="F256" s="242" t="s">
        <v>219</v>
      </c>
      <c r="G256" s="243"/>
      <c r="H256" s="122"/>
      <c r="I256" s="123"/>
      <c r="J256" s="101"/>
      <c r="K256" s="122"/>
      <c r="L256" s="123"/>
      <c r="M256" s="101"/>
      <c r="N256" s="122"/>
      <c r="O256" s="123"/>
      <c r="P256" s="101"/>
      <c r="Q256" s="166"/>
      <c r="R256" s="101"/>
      <c r="S256" s="100"/>
      <c r="T256" s="102"/>
      <c r="U256" s="102"/>
    </row>
    <row r="257" spans="2:22" ht="35.450000000000003" customHeight="1">
      <c r="B257" s="153" t="str">
        <f t="shared" si="4"/>
        <v>2-15</v>
      </c>
      <c r="C257" s="100" t="s">
        <v>83</v>
      </c>
      <c r="D257" s="100" t="s">
        <v>83</v>
      </c>
      <c r="E257" s="100" t="s">
        <v>221</v>
      </c>
      <c r="F257" s="242" t="s">
        <v>220</v>
      </c>
      <c r="G257" s="243"/>
      <c r="H257" s="122"/>
      <c r="I257" s="123"/>
      <c r="J257" s="101"/>
      <c r="K257" s="122"/>
      <c r="L257" s="123"/>
      <c r="M257" s="101"/>
      <c r="N257" s="122"/>
      <c r="O257" s="123"/>
      <c r="P257" s="101"/>
      <c r="Q257" s="166"/>
      <c r="R257" s="101"/>
      <c r="S257" s="100"/>
      <c r="T257" s="102"/>
      <c r="U257" s="102"/>
    </row>
    <row r="258" spans="2:22" ht="35.450000000000003" customHeight="1">
      <c r="B258" s="153" t="str">
        <f t="shared" si="4"/>
        <v>2-16</v>
      </c>
      <c r="C258" s="100" t="s">
        <v>83</v>
      </c>
      <c r="D258" s="100" t="s">
        <v>83</v>
      </c>
      <c r="E258" s="100" t="s">
        <v>83</v>
      </c>
      <c r="F258" s="242" t="s">
        <v>577</v>
      </c>
      <c r="G258" s="243"/>
      <c r="H258" s="122"/>
      <c r="I258" s="123"/>
      <c r="J258" s="101"/>
      <c r="K258" s="122"/>
      <c r="L258" s="123"/>
      <c r="M258" s="101"/>
      <c r="N258" s="122"/>
      <c r="O258" s="123"/>
      <c r="P258" s="101"/>
      <c r="Q258" s="166"/>
      <c r="R258" s="101"/>
      <c r="S258" s="100"/>
      <c r="T258" s="102"/>
      <c r="U258" s="102"/>
    </row>
    <row r="259" spans="2:22" ht="35.450000000000003" customHeight="1">
      <c r="B259" s="153" t="str">
        <f t="shared" si="4"/>
        <v>2-17</v>
      </c>
      <c r="C259" s="100" t="s">
        <v>217</v>
      </c>
      <c r="D259" s="100" t="s">
        <v>201</v>
      </c>
      <c r="E259" s="100" t="s">
        <v>470</v>
      </c>
      <c r="F259" s="242" t="s">
        <v>214</v>
      </c>
      <c r="G259" s="243"/>
      <c r="H259" s="122"/>
      <c r="I259" s="123"/>
      <c r="J259" s="101"/>
      <c r="K259" s="122"/>
      <c r="L259" s="123"/>
      <c r="M259" s="101"/>
      <c r="N259" s="122"/>
      <c r="O259" s="123"/>
      <c r="P259" s="101"/>
      <c r="Q259" s="166"/>
      <c r="R259" s="101"/>
      <c r="S259" s="100"/>
      <c r="T259" s="102"/>
      <c r="U259" s="102"/>
    </row>
    <row r="260" spans="2:22" ht="35.450000000000003" customHeight="1">
      <c r="B260" s="153" t="str">
        <f t="shared" si="4"/>
        <v>2-18</v>
      </c>
      <c r="C260" s="100" t="s">
        <v>83</v>
      </c>
      <c r="D260" s="100" t="s">
        <v>479</v>
      </c>
      <c r="E260" s="100" t="s">
        <v>215</v>
      </c>
      <c r="F260" s="242" t="s">
        <v>472</v>
      </c>
      <c r="G260" s="243"/>
      <c r="H260" s="122"/>
      <c r="I260" s="123"/>
      <c r="J260" s="101"/>
      <c r="K260" s="122"/>
      <c r="L260" s="123"/>
      <c r="M260" s="101"/>
      <c r="N260" s="122"/>
      <c r="O260" s="123"/>
      <c r="P260" s="101"/>
      <c r="Q260" s="166"/>
      <c r="R260" s="101"/>
      <c r="S260" s="100"/>
      <c r="T260" s="102"/>
      <c r="U260" s="102"/>
    </row>
    <row r="261" spans="2:22" ht="34.5" customHeight="1">
      <c r="B261" s="153" t="str">
        <f t="shared" si="4"/>
        <v>2-19</v>
      </c>
      <c r="C261" s="18" t="s">
        <v>135</v>
      </c>
      <c r="D261" s="18" t="s">
        <v>136</v>
      </c>
      <c r="E261" s="100" t="s">
        <v>134</v>
      </c>
      <c r="F261" s="244" t="s">
        <v>137</v>
      </c>
      <c r="G261" s="245"/>
      <c r="H261" s="122"/>
      <c r="I261" s="123"/>
      <c r="J261" s="101"/>
      <c r="K261" s="122"/>
      <c r="L261" s="123"/>
      <c r="M261" s="101"/>
      <c r="N261" s="122"/>
      <c r="O261" s="123"/>
      <c r="P261" s="101"/>
      <c r="Q261" s="124"/>
      <c r="R261" s="124"/>
      <c r="S261" s="114"/>
      <c r="T261" s="102"/>
      <c r="U261" s="102"/>
      <c r="V261" s="128"/>
    </row>
    <row r="262" spans="2:22" ht="34.5" customHeight="1">
      <c r="B262" s="153" t="str">
        <f t="shared" si="4"/>
        <v>2-20</v>
      </c>
      <c r="C262" s="18" t="s">
        <v>144</v>
      </c>
      <c r="D262" s="18" t="s">
        <v>144</v>
      </c>
      <c r="E262" s="100" t="s">
        <v>134</v>
      </c>
      <c r="F262" s="244" t="s">
        <v>138</v>
      </c>
      <c r="G262" s="245"/>
      <c r="H262" s="122"/>
      <c r="I262" s="123"/>
      <c r="J262" s="101"/>
      <c r="K262" s="122"/>
      <c r="L262" s="123"/>
      <c r="M262" s="101"/>
      <c r="N262" s="122"/>
      <c r="O262" s="123"/>
      <c r="P262" s="101"/>
      <c r="Q262" s="124"/>
      <c r="R262" s="124"/>
      <c r="S262" s="114"/>
      <c r="T262" s="102"/>
      <c r="U262" s="102"/>
      <c r="V262" s="128"/>
    </row>
    <row r="263" spans="2:22" ht="34.5" customHeight="1">
      <c r="B263" s="153" t="str">
        <f t="shared" si="4"/>
        <v>2-21</v>
      </c>
      <c r="C263" s="18" t="s">
        <v>144</v>
      </c>
      <c r="D263" s="18" t="s">
        <v>150</v>
      </c>
      <c r="E263" s="100" t="s">
        <v>134</v>
      </c>
      <c r="F263" s="244" t="s">
        <v>151</v>
      </c>
      <c r="G263" s="245"/>
      <c r="H263" s="122"/>
      <c r="I263" s="123"/>
      <c r="J263" s="101"/>
      <c r="K263" s="122"/>
      <c r="L263" s="123"/>
      <c r="M263" s="101"/>
      <c r="N263" s="122"/>
      <c r="O263" s="123"/>
      <c r="P263" s="101"/>
      <c r="Q263" s="124"/>
      <c r="R263" s="124"/>
      <c r="S263" s="114"/>
      <c r="T263" s="102"/>
      <c r="U263" s="102"/>
      <c r="V263" s="128"/>
    </row>
    <row r="264" spans="2:22" ht="34.5" customHeight="1">
      <c r="B264" s="153" t="str">
        <f t="shared" si="4"/>
        <v>2-22</v>
      </c>
      <c r="C264" s="18" t="s">
        <v>144</v>
      </c>
      <c r="D264" s="18" t="s">
        <v>144</v>
      </c>
      <c r="E264" s="100" t="s">
        <v>134</v>
      </c>
      <c r="F264" s="244" t="s">
        <v>138</v>
      </c>
      <c r="G264" s="245"/>
      <c r="H264" s="122"/>
      <c r="I264" s="123"/>
      <c r="J264" s="101"/>
      <c r="K264" s="122"/>
      <c r="L264" s="123"/>
      <c r="M264" s="101"/>
      <c r="N264" s="122"/>
      <c r="O264" s="123"/>
      <c r="P264" s="101"/>
      <c r="Q264" s="124"/>
      <c r="R264" s="124"/>
      <c r="S264" s="114"/>
      <c r="T264" s="102"/>
      <c r="U264" s="102"/>
      <c r="V264" s="128"/>
    </row>
    <row r="265" spans="2:22" ht="34.5" customHeight="1">
      <c r="B265" s="153" t="str">
        <f t="shared" si="4"/>
        <v>2-23</v>
      </c>
      <c r="C265" s="18" t="s">
        <v>144</v>
      </c>
      <c r="D265" s="18" t="s">
        <v>152</v>
      </c>
      <c r="E265" s="100" t="s">
        <v>134</v>
      </c>
      <c r="F265" s="244" t="s">
        <v>153</v>
      </c>
      <c r="G265" s="245"/>
      <c r="H265" s="122"/>
      <c r="I265" s="123"/>
      <c r="J265" s="101"/>
      <c r="K265" s="122"/>
      <c r="L265" s="123"/>
      <c r="M265" s="101"/>
      <c r="N265" s="122"/>
      <c r="O265" s="123"/>
      <c r="P265" s="101"/>
      <c r="Q265" s="124"/>
      <c r="R265" s="124"/>
      <c r="S265" s="114"/>
      <c r="T265" s="102"/>
      <c r="U265" s="102"/>
      <c r="V265" s="128"/>
    </row>
    <row r="266" spans="2:22" ht="34.5" customHeight="1">
      <c r="B266" s="153" t="str">
        <f t="shared" si="4"/>
        <v>2-24</v>
      </c>
      <c r="C266" s="18" t="s">
        <v>144</v>
      </c>
      <c r="D266" s="18" t="s">
        <v>144</v>
      </c>
      <c r="E266" s="100" t="s">
        <v>134</v>
      </c>
      <c r="F266" s="244" t="s">
        <v>138</v>
      </c>
      <c r="G266" s="245"/>
      <c r="H266" s="122"/>
      <c r="I266" s="123"/>
      <c r="J266" s="101"/>
      <c r="K266" s="122"/>
      <c r="L266" s="123"/>
      <c r="M266" s="101"/>
      <c r="N266" s="122"/>
      <c r="O266" s="123"/>
      <c r="P266" s="101"/>
      <c r="Q266" s="124"/>
      <c r="R266" s="124"/>
      <c r="S266" s="114"/>
      <c r="T266" s="102"/>
      <c r="U266" s="102"/>
      <c r="V266" s="128"/>
    </row>
    <row r="268" spans="2:22">
      <c r="B268" s="2" t="s">
        <v>241</v>
      </c>
      <c r="C268" s="99" t="s">
        <v>477</v>
      </c>
    </row>
    <row r="269" spans="2:22">
      <c r="B269" s="260" t="s">
        <v>4</v>
      </c>
      <c r="C269" s="262" t="s">
        <v>5</v>
      </c>
      <c r="D269" s="262" t="s">
        <v>79</v>
      </c>
      <c r="E269" s="262" t="s">
        <v>6</v>
      </c>
      <c r="F269" s="263" t="s">
        <v>7</v>
      </c>
      <c r="G269" s="264"/>
      <c r="H269" s="257" t="s">
        <v>91</v>
      </c>
      <c r="I269" s="257"/>
      <c r="J269" s="257"/>
      <c r="K269" s="257" t="s">
        <v>84</v>
      </c>
      <c r="L269" s="257"/>
      <c r="M269" s="257"/>
      <c r="N269" s="257" t="s">
        <v>85</v>
      </c>
      <c r="O269" s="257"/>
      <c r="P269" s="257"/>
      <c r="Q269" s="252" t="s">
        <v>78</v>
      </c>
      <c r="R269" s="252" t="s">
        <v>78</v>
      </c>
      <c r="S269" s="251" t="s">
        <v>14</v>
      </c>
      <c r="T269" s="251"/>
      <c r="U269" s="251"/>
    </row>
    <row r="270" spans="2:22">
      <c r="B270" s="261"/>
      <c r="C270" s="253"/>
      <c r="D270" s="253"/>
      <c r="E270" s="253"/>
      <c r="F270" s="265"/>
      <c r="G270" s="266"/>
      <c r="H270" s="131" t="s">
        <v>8</v>
      </c>
      <c r="I270" s="131" t="s">
        <v>9</v>
      </c>
      <c r="J270" s="131" t="s">
        <v>10</v>
      </c>
      <c r="K270" s="131" t="s">
        <v>8</v>
      </c>
      <c r="L270" s="131" t="s">
        <v>9</v>
      </c>
      <c r="M270" s="131" t="s">
        <v>10</v>
      </c>
      <c r="N270" s="131" t="s">
        <v>8</v>
      </c>
      <c r="O270" s="131" t="s">
        <v>9</v>
      </c>
      <c r="P270" s="131" t="s">
        <v>10</v>
      </c>
      <c r="Q270" s="253"/>
      <c r="R270" s="253"/>
      <c r="S270" s="93"/>
      <c r="T270" s="94"/>
      <c r="U270" s="95"/>
    </row>
    <row r="271" spans="2:22" ht="35.450000000000003" customHeight="1">
      <c r="B271" s="153" t="str">
        <f>"3-"&amp;ROW()-270</f>
        <v>3-1</v>
      </c>
      <c r="C271" s="42" t="s">
        <v>481</v>
      </c>
      <c r="D271" s="100" t="s">
        <v>101</v>
      </c>
      <c r="E271" s="100" t="s">
        <v>62</v>
      </c>
      <c r="F271" s="242" t="s">
        <v>94</v>
      </c>
      <c r="G271" s="243"/>
      <c r="H271" s="101"/>
      <c r="I271" s="20"/>
      <c r="J271" s="101"/>
      <c r="K271" s="101"/>
      <c r="L271" s="20"/>
      <c r="M271" s="101"/>
      <c r="N271" s="101"/>
      <c r="O271" s="20"/>
      <c r="P271" s="101"/>
      <c r="Q271" s="166"/>
      <c r="R271" s="101"/>
      <c r="S271" s="100"/>
      <c r="T271" s="102"/>
      <c r="U271" s="102"/>
      <c r="V271" s="15"/>
    </row>
    <row r="272" spans="2:22" ht="35.450000000000003" customHeight="1">
      <c r="B272" s="153" t="str">
        <f t="shared" ref="B272:B302" si="5">"3-"&amp;ROW()-270</f>
        <v>3-2</v>
      </c>
      <c r="C272" s="100" t="s">
        <v>83</v>
      </c>
      <c r="D272" s="100" t="s">
        <v>101</v>
      </c>
      <c r="E272" s="100" t="s">
        <v>117</v>
      </c>
      <c r="F272" s="242" t="s">
        <v>92</v>
      </c>
      <c r="G272" s="243"/>
      <c r="H272" s="101"/>
      <c r="I272" s="20"/>
      <c r="J272" s="101"/>
      <c r="K272" s="101"/>
      <c r="L272" s="20"/>
      <c r="M272" s="101"/>
      <c r="N272" s="101"/>
      <c r="O272" s="20"/>
      <c r="P272" s="101"/>
      <c r="Q272" s="166"/>
      <c r="R272" s="101"/>
      <c r="S272" s="100"/>
      <c r="T272" s="102"/>
      <c r="U272" s="102"/>
      <c r="V272" s="15"/>
    </row>
    <row r="273" spans="2:22" ht="35.450000000000003" customHeight="1">
      <c r="B273" s="153" t="str">
        <f t="shared" si="5"/>
        <v>3-3</v>
      </c>
      <c r="C273" s="100" t="s">
        <v>482</v>
      </c>
      <c r="D273" s="100" t="s">
        <v>83</v>
      </c>
      <c r="E273" s="100" t="s">
        <v>236</v>
      </c>
      <c r="F273" s="242" t="s">
        <v>234</v>
      </c>
      <c r="G273" s="243"/>
      <c r="H273" s="101"/>
      <c r="I273" s="20"/>
      <c r="J273" s="101"/>
      <c r="K273" s="101"/>
      <c r="L273" s="20"/>
      <c r="M273" s="101"/>
      <c r="N273" s="101"/>
      <c r="O273" s="20"/>
      <c r="P273" s="101"/>
      <c r="Q273" s="166"/>
      <c r="R273" s="101"/>
      <c r="S273" s="100"/>
      <c r="T273" s="102"/>
      <c r="U273" s="102"/>
      <c r="V273" s="15"/>
    </row>
    <row r="274" spans="2:22" ht="35.450000000000003" customHeight="1">
      <c r="B274" s="153" t="str">
        <f t="shared" si="5"/>
        <v>3-4</v>
      </c>
      <c r="C274" s="100" t="s">
        <v>237</v>
      </c>
      <c r="D274" s="100" t="s">
        <v>83</v>
      </c>
      <c r="E274" s="100" t="s">
        <v>236</v>
      </c>
      <c r="F274" s="242" t="s">
        <v>238</v>
      </c>
      <c r="G274" s="243"/>
      <c r="H274" s="101"/>
      <c r="I274" s="20"/>
      <c r="J274" s="101"/>
      <c r="K274" s="101"/>
      <c r="L274" s="20"/>
      <c r="M274" s="101"/>
      <c r="N274" s="101"/>
      <c r="O274" s="20"/>
      <c r="P274" s="101"/>
      <c r="Q274" s="166"/>
      <c r="R274" s="101"/>
      <c r="S274" s="100"/>
      <c r="T274" s="102"/>
      <c r="U274" s="102"/>
      <c r="V274" s="15"/>
    </row>
    <row r="275" spans="2:22" ht="35.450000000000003" customHeight="1">
      <c r="B275" s="153" t="str">
        <f t="shared" si="5"/>
        <v>3-5</v>
      </c>
      <c r="C275" s="100" t="s">
        <v>233</v>
      </c>
      <c r="D275" s="100" t="s">
        <v>83</v>
      </c>
      <c r="E275" s="100" t="s">
        <v>236</v>
      </c>
      <c r="F275" s="242" t="s">
        <v>242</v>
      </c>
      <c r="G275" s="243"/>
      <c r="H275" s="187"/>
      <c r="I275" s="188"/>
      <c r="J275" s="187"/>
      <c r="K275" s="187"/>
      <c r="L275" s="188"/>
      <c r="M275" s="187"/>
      <c r="N275" s="187"/>
      <c r="O275" s="188"/>
      <c r="P275" s="187"/>
      <c r="Q275" s="166"/>
      <c r="R275" s="101"/>
      <c r="S275" s="100"/>
      <c r="T275" s="102"/>
      <c r="U275" s="102"/>
      <c r="V275" s="15"/>
    </row>
    <row r="276" spans="2:22" ht="35.450000000000003" customHeight="1">
      <c r="B276" s="153" t="str">
        <f t="shared" si="5"/>
        <v>3-6</v>
      </c>
      <c r="C276" s="100" t="s">
        <v>239</v>
      </c>
      <c r="D276" s="100" t="s">
        <v>240</v>
      </c>
      <c r="E276" s="100" t="s">
        <v>445</v>
      </c>
      <c r="F276" s="244" t="s">
        <v>194</v>
      </c>
      <c r="G276" s="245"/>
      <c r="H276" s="187"/>
      <c r="I276" s="188"/>
      <c r="J276" s="187"/>
      <c r="K276" s="187"/>
      <c r="L276" s="188"/>
      <c r="M276" s="187"/>
      <c r="N276" s="187"/>
      <c r="O276" s="188"/>
      <c r="P276" s="187"/>
      <c r="Q276" s="187"/>
      <c r="R276" s="101"/>
      <c r="S276" s="100"/>
      <c r="T276" s="102"/>
      <c r="U276" s="102"/>
      <c r="V276" s="15"/>
    </row>
    <row r="277" spans="2:22" ht="35.450000000000003" customHeight="1">
      <c r="B277" s="153" t="str">
        <f t="shared" si="5"/>
        <v>3-7</v>
      </c>
      <c r="C277" s="100" t="s">
        <v>83</v>
      </c>
      <c r="D277" s="100" t="s">
        <v>195</v>
      </c>
      <c r="E277" s="100" t="s">
        <v>117</v>
      </c>
      <c r="F277" s="244" t="s">
        <v>103</v>
      </c>
      <c r="G277" s="245"/>
      <c r="H277" s="187"/>
      <c r="I277" s="188"/>
      <c r="J277" s="187"/>
      <c r="K277" s="187"/>
      <c r="L277" s="188"/>
      <c r="M277" s="187"/>
      <c r="N277" s="187"/>
      <c r="O277" s="188"/>
      <c r="P277" s="187"/>
      <c r="Q277" s="187"/>
      <c r="R277" s="101"/>
      <c r="S277" s="100"/>
      <c r="T277" s="102"/>
      <c r="U277" s="102"/>
      <c r="V277" s="15"/>
    </row>
    <row r="278" spans="2:22" ht="35.450000000000003" customHeight="1">
      <c r="B278" s="153" t="str">
        <f t="shared" si="5"/>
        <v>3-8</v>
      </c>
      <c r="C278" s="100" t="s">
        <v>83</v>
      </c>
      <c r="D278" s="100" t="s">
        <v>145</v>
      </c>
      <c r="E278" s="100" t="s">
        <v>117</v>
      </c>
      <c r="F278" s="244" t="s">
        <v>103</v>
      </c>
      <c r="G278" s="245"/>
      <c r="H278" s="187"/>
      <c r="I278" s="188"/>
      <c r="J278" s="187"/>
      <c r="K278" s="187"/>
      <c r="L278" s="188"/>
      <c r="M278" s="187"/>
      <c r="N278" s="187"/>
      <c r="O278" s="188"/>
      <c r="P278" s="187"/>
      <c r="Q278" s="187"/>
      <c r="R278" s="101"/>
      <c r="S278" s="100"/>
      <c r="T278" s="102"/>
      <c r="U278" s="102"/>
      <c r="V278" s="15"/>
    </row>
    <row r="279" spans="2:22" ht="35.450000000000003" customHeight="1">
      <c r="B279" s="153" t="str">
        <f t="shared" si="5"/>
        <v>3-9</v>
      </c>
      <c r="C279" s="100" t="s">
        <v>83</v>
      </c>
      <c r="D279" s="100" t="s">
        <v>496</v>
      </c>
      <c r="E279" s="100" t="s">
        <v>233</v>
      </c>
      <c r="F279" s="129" t="s">
        <v>249</v>
      </c>
      <c r="G279" s="130"/>
      <c r="H279" s="187"/>
      <c r="I279" s="188"/>
      <c r="J279" s="187"/>
      <c r="K279" s="187"/>
      <c r="L279" s="188"/>
      <c r="M279" s="187"/>
      <c r="N279" s="187"/>
      <c r="O279" s="188"/>
      <c r="P279" s="187"/>
      <c r="Q279" s="194"/>
      <c r="R279" s="101"/>
      <c r="S279" s="100"/>
      <c r="T279" s="102"/>
      <c r="U279" s="102"/>
      <c r="V279" s="15"/>
    </row>
    <row r="280" spans="2:22" ht="35.450000000000003" customHeight="1">
      <c r="B280" s="153" t="str">
        <f t="shared" si="5"/>
        <v>3-10</v>
      </c>
      <c r="C280" s="100" t="s">
        <v>83</v>
      </c>
      <c r="D280" s="100" t="s">
        <v>248</v>
      </c>
      <c r="E280" s="100" t="s">
        <v>446</v>
      </c>
      <c r="F280" s="242" t="s">
        <v>100</v>
      </c>
      <c r="G280" s="243"/>
      <c r="H280" s="187"/>
      <c r="I280" s="188"/>
      <c r="J280" s="187"/>
      <c r="K280" s="187"/>
      <c r="L280" s="188"/>
      <c r="M280" s="187"/>
      <c r="N280" s="187"/>
      <c r="O280" s="188"/>
      <c r="P280" s="187"/>
      <c r="Q280" s="187"/>
      <c r="R280" s="101"/>
      <c r="S280" s="100"/>
      <c r="T280" s="102"/>
      <c r="U280" s="102"/>
      <c r="V280" s="15"/>
    </row>
    <row r="281" spans="2:22" ht="35.450000000000003" customHeight="1">
      <c r="B281" s="153" t="str">
        <f t="shared" si="5"/>
        <v>3-11</v>
      </c>
      <c r="C281" s="100" t="s">
        <v>83</v>
      </c>
      <c r="D281" s="100" t="s">
        <v>195</v>
      </c>
      <c r="E281" s="100" t="s">
        <v>117</v>
      </c>
      <c r="F281" s="244" t="s">
        <v>103</v>
      </c>
      <c r="G281" s="245"/>
      <c r="H281" s="187"/>
      <c r="I281" s="188"/>
      <c r="J281" s="187"/>
      <c r="K281" s="187"/>
      <c r="L281" s="188"/>
      <c r="M281" s="187"/>
      <c r="N281" s="187"/>
      <c r="O281" s="188"/>
      <c r="P281" s="187"/>
      <c r="Q281" s="187"/>
      <c r="R281" s="101"/>
      <c r="S281" s="100"/>
      <c r="T281" s="102"/>
      <c r="U281" s="102"/>
      <c r="V281" s="15"/>
    </row>
    <row r="282" spans="2:22" ht="35.450000000000003" customHeight="1">
      <c r="B282" s="153" t="str">
        <f t="shared" si="5"/>
        <v>3-12</v>
      </c>
      <c r="C282" s="100" t="s">
        <v>83</v>
      </c>
      <c r="D282" s="100" t="s">
        <v>145</v>
      </c>
      <c r="E282" s="100" t="s">
        <v>117</v>
      </c>
      <c r="F282" s="244" t="s">
        <v>103</v>
      </c>
      <c r="G282" s="245"/>
      <c r="H282" s="187"/>
      <c r="I282" s="188"/>
      <c r="J282" s="187"/>
      <c r="K282" s="187"/>
      <c r="L282" s="188"/>
      <c r="M282" s="187"/>
      <c r="N282" s="187"/>
      <c r="O282" s="188"/>
      <c r="P282" s="187"/>
      <c r="Q282" s="187"/>
      <c r="R282" s="101"/>
      <c r="S282" s="100"/>
      <c r="T282" s="102"/>
      <c r="U282" s="102"/>
      <c r="V282" s="15"/>
    </row>
    <row r="283" spans="2:22" ht="35.450000000000003" customHeight="1">
      <c r="B283" s="153" t="str">
        <f t="shared" si="5"/>
        <v>3-13</v>
      </c>
      <c r="C283" s="100" t="s">
        <v>83</v>
      </c>
      <c r="D283" s="100" t="s">
        <v>496</v>
      </c>
      <c r="E283" s="100" t="s">
        <v>233</v>
      </c>
      <c r="F283" s="129" t="s">
        <v>249</v>
      </c>
      <c r="G283" s="130"/>
      <c r="H283" s="187"/>
      <c r="I283" s="188"/>
      <c r="J283" s="187"/>
      <c r="K283" s="187"/>
      <c r="L283" s="188"/>
      <c r="M283" s="187"/>
      <c r="N283" s="187"/>
      <c r="O283" s="188"/>
      <c r="P283" s="187"/>
      <c r="Q283" s="187"/>
      <c r="R283" s="101"/>
      <c r="S283" s="100"/>
      <c r="T283" s="102"/>
      <c r="U283" s="102"/>
      <c r="V283" s="15"/>
    </row>
    <row r="284" spans="2:22" ht="35.450000000000003" customHeight="1">
      <c r="B284" s="153" t="str">
        <f t="shared" si="5"/>
        <v>3-14</v>
      </c>
      <c r="C284" s="100" t="s">
        <v>83</v>
      </c>
      <c r="D284" s="100" t="s">
        <v>83</v>
      </c>
      <c r="E284" s="100" t="s">
        <v>83</v>
      </c>
      <c r="F284" s="129" t="s">
        <v>250</v>
      </c>
      <c r="G284" s="130"/>
      <c r="H284" s="101"/>
      <c r="I284" s="20"/>
      <c r="J284" s="101"/>
      <c r="K284" s="101"/>
      <c r="L284" s="20"/>
      <c r="M284" s="101"/>
      <c r="N284" s="101"/>
      <c r="O284" s="20"/>
      <c r="P284" s="101"/>
      <c r="Q284" s="166"/>
      <c r="R284" s="101"/>
      <c r="S284" s="100"/>
      <c r="T284" s="102"/>
      <c r="U284" s="102"/>
      <c r="V284" s="15"/>
    </row>
    <row r="285" spans="2:22" ht="35.450000000000003" customHeight="1">
      <c r="B285" s="153" t="str">
        <f t="shared" si="5"/>
        <v>3-15</v>
      </c>
      <c r="C285" s="100" t="s">
        <v>199</v>
      </c>
      <c r="D285" s="100" t="s">
        <v>83</v>
      </c>
      <c r="E285" s="100" t="s">
        <v>236</v>
      </c>
      <c r="F285" s="242" t="s">
        <v>123</v>
      </c>
      <c r="G285" s="243"/>
      <c r="H285" s="101"/>
      <c r="I285" s="20"/>
      <c r="J285" s="101"/>
      <c r="K285" s="101"/>
      <c r="L285" s="20"/>
      <c r="M285" s="101"/>
      <c r="N285" s="101"/>
      <c r="O285" s="20"/>
      <c r="P285" s="101"/>
      <c r="Q285" s="166"/>
      <c r="R285" s="101"/>
      <c r="S285" s="100"/>
      <c r="T285" s="102"/>
      <c r="U285" s="102"/>
      <c r="V285" s="15"/>
    </row>
    <row r="286" spans="2:22" ht="35.450000000000003" customHeight="1">
      <c r="B286" s="153" t="str">
        <f t="shared" si="5"/>
        <v>3-16</v>
      </c>
      <c r="C286" s="100" t="s">
        <v>83</v>
      </c>
      <c r="D286" s="100" t="s">
        <v>201</v>
      </c>
      <c r="E286" s="100" t="s">
        <v>233</v>
      </c>
      <c r="F286" s="242" t="s">
        <v>202</v>
      </c>
      <c r="G286" s="243"/>
      <c r="H286" s="101"/>
      <c r="I286" s="20"/>
      <c r="J286" s="101"/>
      <c r="K286" s="101"/>
      <c r="L286" s="20"/>
      <c r="M286" s="101"/>
      <c r="N286" s="101"/>
      <c r="O286" s="20"/>
      <c r="P286" s="101"/>
      <c r="Q286" s="166"/>
      <c r="R286" s="101"/>
      <c r="S286" s="100"/>
      <c r="T286" s="102"/>
      <c r="U286" s="102"/>
      <c r="V286" s="15"/>
    </row>
    <row r="287" spans="2:22" ht="35.450000000000003" customHeight="1">
      <c r="B287" s="153" t="str">
        <f t="shared" si="5"/>
        <v>3-17</v>
      </c>
      <c r="C287" s="100" t="s">
        <v>83</v>
      </c>
      <c r="D287" s="100" t="s">
        <v>83</v>
      </c>
      <c r="E287" s="100" t="s">
        <v>199</v>
      </c>
      <c r="F287" s="242" t="s">
        <v>123</v>
      </c>
      <c r="G287" s="243"/>
      <c r="H287" s="101"/>
      <c r="I287" s="20"/>
      <c r="J287" s="101"/>
      <c r="K287" s="101"/>
      <c r="L287" s="20"/>
      <c r="M287" s="101"/>
      <c r="N287" s="101"/>
      <c r="O287" s="20"/>
      <c r="P287" s="101"/>
      <c r="Q287" s="166"/>
      <c r="R287" s="101"/>
      <c r="S287" s="100"/>
      <c r="T287" s="102"/>
      <c r="U287" s="102"/>
      <c r="V287" s="15"/>
    </row>
    <row r="288" spans="2:22" ht="35.450000000000003" customHeight="1">
      <c r="B288" s="153" t="str">
        <f t="shared" si="5"/>
        <v>3-18</v>
      </c>
      <c r="C288" s="100" t="s">
        <v>83</v>
      </c>
      <c r="D288" s="100" t="s">
        <v>83</v>
      </c>
      <c r="E288" s="100" t="s">
        <v>205</v>
      </c>
      <c r="F288" s="242" t="s">
        <v>123</v>
      </c>
      <c r="G288" s="243"/>
      <c r="H288" s="101"/>
      <c r="I288" s="20"/>
      <c r="J288" s="101"/>
      <c r="K288" s="101"/>
      <c r="L288" s="20"/>
      <c r="M288" s="101"/>
      <c r="N288" s="101"/>
      <c r="O288" s="20"/>
      <c r="P288" s="101"/>
      <c r="Q288" s="166"/>
      <c r="R288" s="101"/>
      <c r="S288" s="100"/>
      <c r="T288" s="102"/>
      <c r="U288" s="102"/>
      <c r="V288" s="15"/>
    </row>
    <row r="289" spans="2:22" ht="35.450000000000003" customHeight="1">
      <c r="B289" s="153" t="str">
        <f t="shared" si="5"/>
        <v>3-19</v>
      </c>
      <c r="C289" s="100" t="s">
        <v>205</v>
      </c>
      <c r="D289" s="100" t="s">
        <v>304</v>
      </c>
      <c r="E289" s="100" t="s">
        <v>243</v>
      </c>
      <c r="F289" s="242" t="s">
        <v>214</v>
      </c>
      <c r="G289" s="243"/>
      <c r="H289" s="101"/>
      <c r="I289" s="20"/>
      <c r="J289" s="101"/>
      <c r="K289" s="101"/>
      <c r="L289" s="20"/>
      <c r="M289" s="101"/>
      <c r="N289" s="101"/>
      <c r="O289" s="20"/>
      <c r="P289" s="101"/>
      <c r="Q289" s="166"/>
      <c r="R289" s="101"/>
      <c r="S289" s="100"/>
      <c r="T289" s="102"/>
      <c r="U289" s="102"/>
      <c r="V289" s="15"/>
    </row>
    <row r="290" spans="2:22" ht="35.450000000000003" customHeight="1">
      <c r="B290" s="153" t="str">
        <f t="shared" si="5"/>
        <v>3-20</v>
      </c>
      <c r="C290" s="100" t="s">
        <v>83</v>
      </c>
      <c r="D290" s="100" t="s">
        <v>497</v>
      </c>
      <c r="E290" s="100" t="s">
        <v>232</v>
      </c>
      <c r="F290" s="242" t="s">
        <v>216</v>
      </c>
      <c r="G290" s="243"/>
      <c r="H290" s="101"/>
      <c r="I290" s="20"/>
      <c r="J290" s="101"/>
      <c r="K290" s="101"/>
      <c r="L290" s="20"/>
      <c r="M290" s="101"/>
      <c r="N290" s="101"/>
      <c r="O290" s="20"/>
      <c r="P290" s="101"/>
      <c r="Q290" s="166"/>
      <c r="R290" s="101"/>
      <c r="S290" s="100"/>
      <c r="T290" s="102"/>
      <c r="U290" s="102"/>
      <c r="V290" s="15"/>
    </row>
    <row r="291" spans="2:22" ht="35.450000000000003" customHeight="1">
      <c r="B291" s="153" t="str">
        <f t="shared" si="5"/>
        <v>3-21</v>
      </c>
      <c r="C291" s="100" t="s">
        <v>83</v>
      </c>
      <c r="D291" s="100" t="s">
        <v>83</v>
      </c>
      <c r="E291" s="100" t="s">
        <v>246</v>
      </c>
      <c r="F291" s="242" t="s">
        <v>106</v>
      </c>
      <c r="G291" s="243"/>
      <c r="H291" s="101"/>
      <c r="I291" s="20"/>
      <c r="J291" s="101"/>
      <c r="K291" s="101"/>
      <c r="L291" s="20"/>
      <c r="M291" s="101"/>
      <c r="N291" s="101"/>
      <c r="O291" s="20"/>
      <c r="P291" s="101"/>
      <c r="Q291" s="166"/>
      <c r="R291" s="101"/>
      <c r="S291" s="100"/>
      <c r="T291" s="102"/>
      <c r="U291" s="102"/>
      <c r="V291" s="15"/>
    </row>
    <row r="292" spans="2:22" ht="35.450000000000003" customHeight="1">
      <c r="B292" s="153" t="str">
        <f t="shared" si="5"/>
        <v>3-22</v>
      </c>
      <c r="C292" s="100" t="s">
        <v>83</v>
      </c>
      <c r="D292" s="100" t="s">
        <v>83</v>
      </c>
      <c r="E292" s="100" t="s">
        <v>244</v>
      </c>
      <c r="F292" s="242" t="s">
        <v>220</v>
      </c>
      <c r="G292" s="243"/>
      <c r="H292" s="101"/>
      <c r="I292" s="20"/>
      <c r="J292" s="101"/>
      <c r="K292" s="101"/>
      <c r="L292" s="20"/>
      <c r="M292" s="101"/>
      <c r="N292" s="101"/>
      <c r="O292" s="20"/>
      <c r="P292" s="101"/>
      <c r="Q292" s="166"/>
      <c r="R292" s="101"/>
      <c r="S292" s="100"/>
      <c r="T292" s="102"/>
      <c r="U292" s="102"/>
      <c r="V292" s="15"/>
    </row>
    <row r="293" spans="2:22" ht="35.450000000000003" customHeight="1">
      <c r="B293" s="153" t="str">
        <f t="shared" si="5"/>
        <v>3-23</v>
      </c>
      <c r="C293" s="100" t="s">
        <v>83</v>
      </c>
      <c r="D293" s="100" t="s">
        <v>83</v>
      </c>
      <c r="E293" s="100" t="s">
        <v>83</v>
      </c>
      <c r="F293" s="242" t="s">
        <v>247</v>
      </c>
      <c r="G293" s="243"/>
      <c r="H293" s="101"/>
      <c r="I293" s="20"/>
      <c r="J293" s="101"/>
      <c r="K293" s="101"/>
      <c r="L293" s="20"/>
      <c r="M293" s="101"/>
      <c r="N293" s="101"/>
      <c r="O293" s="20"/>
      <c r="P293" s="101"/>
      <c r="Q293" s="166"/>
      <c r="R293" s="101"/>
      <c r="S293" s="100"/>
      <c r="T293" s="102"/>
      <c r="U293" s="102"/>
      <c r="V293" s="15"/>
    </row>
    <row r="294" spans="2:22" ht="35.450000000000003" customHeight="1">
      <c r="B294" s="153" t="str">
        <f t="shared" si="5"/>
        <v>3-24</v>
      </c>
      <c r="C294" s="100" t="s">
        <v>217</v>
      </c>
      <c r="D294" s="100" t="s">
        <v>201</v>
      </c>
      <c r="E294" s="100" t="s">
        <v>243</v>
      </c>
      <c r="F294" s="242" t="s">
        <v>214</v>
      </c>
      <c r="G294" s="243"/>
      <c r="H294" s="101"/>
      <c r="I294" s="20"/>
      <c r="J294" s="101"/>
      <c r="K294" s="101"/>
      <c r="L294" s="20"/>
      <c r="M294" s="101"/>
      <c r="N294" s="101"/>
      <c r="O294" s="20"/>
      <c r="P294" s="101"/>
      <c r="Q294" s="166"/>
      <c r="R294" s="101"/>
      <c r="S294" s="100"/>
      <c r="T294" s="102"/>
      <c r="U294" s="102"/>
      <c r="V294" s="15"/>
    </row>
    <row r="295" spans="2:22" ht="35.450000000000003" customHeight="1">
      <c r="B295" s="153" t="str">
        <f t="shared" si="5"/>
        <v>3-25</v>
      </c>
      <c r="C295" s="100" t="s">
        <v>83</v>
      </c>
      <c r="D295" s="100" t="s">
        <v>497</v>
      </c>
      <c r="E295" s="100" t="s">
        <v>232</v>
      </c>
      <c r="F295" s="242" t="s">
        <v>245</v>
      </c>
      <c r="G295" s="243"/>
      <c r="H295" s="101"/>
      <c r="I295" s="20"/>
      <c r="J295" s="101"/>
      <c r="K295" s="101"/>
      <c r="L295" s="20"/>
      <c r="M295" s="101"/>
      <c r="N295" s="101"/>
      <c r="O295" s="20"/>
      <c r="P295" s="101"/>
      <c r="Q295" s="166"/>
      <c r="R295" s="101"/>
      <c r="S295" s="100"/>
      <c r="T295" s="102"/>
      <c r="U295" s="102"/>
      <c r="V295" s="15"/>
    </row>
    <row r="296" spans="2:22" ht="34.5" customHeight="1">
      <c r="B296" s="153" t="str">
        <f t="shared" si="5"/>
        <v>3-26</v>
      </c>
      <c r="C296" s="18" t="s">
        <v>135</v>
      </c>
      <c r="D296" s="18" t="s">
        <v>136</v>
      </c>
      <c r="E296" s="100" t="s">
        <v>134</v>
      </c>
      <c r="F296" s="244" t="s">
        <v>137</v>
      </c>
      <c r="G296" s="245"/>
      <c r="H296" s="101"/>
      <c r="I296" s="20"/>
      <c r="J296" s="101"/>
      <c r="K296" s="101"/>
      <c r="L296" s="20"/>
      <c r="M296" s="101"/>
      <c r="N296" s="101"/>
      <c r="O296" s="20"/>
      <c r="P296" s="101"/>
      <c r="Q296" s="124"/>
      <c r="R296" s="124"/>
      <c r="S296" s="100"/>
      <c r="T296" s="102"/>
      <c r="U296" s="102"/>
      <c r="V296" s="199"/>
    </row>
    <row r="297" spans="2:22" ht="34.5" customHeight="1">
      <c r="B297" s="153" t="str">
        <f t="shared" si="5"/>
        <v>3-27</v>
      </c>
      <c r="C297" s="18" t="s">
        <v>144</v>
      </c>
      <c r="D297" s="18" t="s">
        <v>144</v>
      </c>
      <c r="E297" s="100" t="s">
        <v>134</v>
      </c>
      <c r="F297" s="244" t="s">
        <v>138</v>
      </c>
      <c r="G297" s="245"/>
      <c r="H297" s="101"/>
      <c r="I297" s="20"/>
      <c r="J297" s="101"/>
      <c r="K297" s="101"/>
      <c r="L297" s="20"/>
      <c r="M297" s="101"/>
      <c r="N297" s="101"/>
      <c r="O297" s="20"/>
      <c r="P297" s="101"/>
      <c r="Q297" s="124"/>
      <c r="R297" s="124"/>
      <c r="S297" s="100"/>
      <c r="T297" s="102"/>
      <c r="U297" s="102"/>
      <c r="V297" s="199"/>
    </row>
    <row r="298" spans="2:22" ht="34.5" customHeight="1">
      <c r="B298" s="153" t="str">
        <f t="shared" si="5"/>
        <v>3-28</v>
      </c>
      <c r="C298" s="18" t="s">
        <v>144</v>
      </c>
      <c r="D298" s="18" t="s">
        <v>150</v>
      </c>
      <c r="E298" s="100" t="s">
        <v>134</v>
      </c>
      <c r="F298" s="244" t="s">
        <v>151</v>
      </c>
      <c r="G298" s="245"/>
      <c r="H298" s="101"/>
      <c r="I298" s="20"/>
      <c r="J298" s="101"/>
      <c r="K298" s="101"/>
      <c r="L298" s="20"/>
      <c r="M298" s="101"/>
      <c r="N298" s="101"/>
      <c r="O298" s="20"/>
      <c r="P298" s="101"/>
      <c r="Q298" s="124"/>
      <c r="R298" s="124"/>
      <c r="S298" s="100"/>
      <c r="T298" s="102"/>
      <c r="U298" s="102"/>
      <c r="V298" s="199"/>
    </row>
    <row r="299" spans="2:22" ht="34.5" customHeight="1">
      <c r="B299" s="153" t="str">
        <f t="shared" si="5"/>
        <v>3-29</v>
      </c>
      <c r="C299" s="18" t="s">
        <v>144</v>
      </c>
      <c r="D299" s="18" t="s">
        <v>144</v>
      </c>
      <c r="E299" s="100" t="s">
        <v>134</v>
      </c>
      <c r="F299" s="244" t="s">
        <v>138</v>
      </c>
      <c r="G299" s="245"/>
      <c r="H299" s="101"/>
      <c r="I299" s="20"/>
      <c r="J299" s="101"/>
      <c r="K299" s="101"/>
      <c r="L299" s="20"/>
      <c r="M299" s="101"/>
      <c r="N299" s="101"/>
      <c r="O299" s="20"/>
      <c r="P299" s="101"/>
      <c r="Q299" s="124"/>
      <c r="R299" s="124"/>
      <c r="S299" s="100"/>
      <c r="T299" s="102"/>
      <c r="U299" s="102"/>
      <c r="V299" s="199"/>
    </row>
    <row r="300" spans="2:22" ht="34.5" customHeight="1">
      <c r="B300" s="153" t="str">
        <f t="shared" si="5"/>
        <v>3-30</v>
      </c>
      <c r="C300" s="18" t="s">
        <v>144</v>
      </c>
      <c r="D300" s="18" t="s">
        <v>152</v>
      </c>
      <c r="E300" s="100" t="s">
        <v>134</v>
      </c>
      <c r="F300" s="244" t="s">
        <v>153</v>
      </c>
      <c r="G300" s="245"/>
      <c r="H300" s="101"/>
      <c r="I300" s="20"/>
      <c r="J300" s="101"/>
      <c r="K300" s="101"/>
      <c r="L300" s="20"/>
      <c r="M300" s="101"/>
      <c r="N300" s="101"/>
      <c r="O300" s="20"/>
      <c r="P300" s="101"/>
      <c r="Q300" s="124"/>
      <c r="R300" s="124"/>
      <c r="S300" s="100"/>
      <c r="T300" s="102"/>
      <c r="U300" s="102"/>
      <c r="V300" s="199"/>
    </row>
    <row r="301" spans="2:22" ht="34.5" customHeight="1">
      <c r="B301" s="153" t="str">
        <f t="shared" si="5"/>
        <v>3-31</v>
      </c>
      <c r="C301" s="18" t="s">
        <v>144</v>
      </c>
      <c r="D301" s="18" t="s">
        <v>144</v>
      </c>
      <c r="E301" s="100" t="s">
        <v>134</v>
      </c>
      <c r="F301" s="244" t="s">
        <v>138</v>
      </c>
      <c r="G301" s="245"/>
      <c r="H301" s="101"/>
      <c r="I301" s="20"/>
      <c r="J301" s="101"/>
      <c r="K301" s="101"/>
      <c r="L301" s="20"/>
      <c r="M301" s="101"/>
      <c r="N301" s="101"/>
      <c r="O301" s="20"/>
      <c r="P301" s="101"/>
      <c r="Q301" s="124"/>
      <c r="R301" s="124"/>
      <c r="S301" s="100"/>
      <c r="T301" s="102"/>
      <c r="U301" s="102"/>
      <c r="V301" s="199"/>
    </row>
    <row r="302" spans="2:22" ht="34.5" customHeight="1">
      <c r="B302" s="153" t="str">
        <f t="shared" si="5"/>
        <v>3-32</v>
      </c>
      <c r="C302" s="18" t="s">
        <v>139</v>
      </c>
      <c r="D302" s="18" t="s">
        <v>809</v>
      </c>
      <c r="E302" s="100" t="s">
        <v>810</v>
      </c>
      <c r="F302" s="244" t="s">
        <v>808</v>
      </c>
      <c r="G302" s="245"/>
      <c r="H302" s="101"/>
      <c r="I302" s="20"/>
      <c r="J302" s="101"/>
      <c r="K302" s="101"/>
      <c r="L302" s="20"/>
      <c r="M302" s="101"/>
      <c r="N302" s="101"/>
      <c r="O302" s="20"/>
      <c r="P302" s="101"/>
      <c r="Q302" s="124"/>
      <c r="R302" s="124"/>
      <c r="S302" s="100"/>
      <c r="T302" s="102"/>
      <c r="U302" s="102"/>
      <c r="V302" s="199"/>
    </row>
    <row r="304" spans="2:22">
      <c r="B304" s="2" t="s">
        <v>260</v>
      </c>
      <c r="C304" s="99" t="s">
        <v>484</v>
      </c>
    </row>
    <row r="305" spans="2:24" ht="13.5" customHeight="1">
      <c r="B305" s="260" t="s">
        <v>4</v>
      </c>
      <c r="C305" s="262" t="s">
        <v>5</v>
      </c>
      <c r="D305" s="262" t="s">
        <v>79</v>
      </c>
      <c r="E305" s="262" t="s">
        <v>6</v>
      </c>
      <c r="F305" s="263" t="s">
        <v>7</v>
      </c>
      <c r="G305" s="264"/>
      <c r="H305" s="257" t="s">
        <v>91</v>
      </c>
      <c r="I305" s="257"/>
      <c r="J305" s="257"/>
      <c r="K305" s="257" t="s">
        <v>84</v>
      </c>
      <c r="L305" s="257"/>
      <c r="M305" s="257"/>
      <c r="N305" s="257" t="s">
        <v>85</v>
      </c>
      <c r="O305" s="257"/>
      <c r="P305" s="257"/>
      <c r="Q305" s="252" t="s">
        <v>573</v>
      </c>
      <c r="R305" s="252" t="s">
        <v>78</v>
      </c>
      <c r="S305" s="251" t="s">
        <v>14</v>
      </c>
      <c r="T305" s="251"/>
      <c r="U305" s="251"/>
    </row>
    <row r="306" spans="2:24">
      <c r="B306" s="261"/>
      <c r="C306" s="253"/>
      <c r="D306" s="253"/>
      <c r="E306" s="253"/>
      <c r="F306" s="265"/>
      <c r="G306" s="266"/>
      <c r="H306" s="131" t="s">
        <v>8</v>
      </c>
      <c r="I306" s="131" t="s">
        <v>9</v>
      </c>
      <c r="J306" s="131" t="s">
        <v>10</v>
      </c>
      <c r="K306" s="131" t="s">
        <v>8</v>
      </c>
      <c r="L306" s="131" t="s">
        <v>9</v>
      </c>
      <c r="M306" s="131" t="s">
        <v>10</v>
      </c>
      <c r="N306" s="131" t="s">
        <v>8</v>
      </c>
      <c r="O306" s="131" t="s">
        <v>9</v>
      </c>
      <c r="P306" s="131" t="s">
        <v>10</v>
      </c>
      <c r="Q306" s="253"/>
      <c r="R306" s="253"/>
      <c r="S306" s="93"/>
      <c r="T306" s="94"/>
      <c r="U306" s="95"/>
    </row>
    <row r="307" spans="2:24" ht="35.1" customHeight="1">
      <c r="B307" s="153" t="str">
        <f>"4-"&amp;ROW()-306</f>
        <v>4-1</v>
      </c>
      <c r="C307" s="100" t="s">
        <v>198</v>
      </c>
      <c r="D307" s="100" t="s">
        <v>101</v>
      </c>
      <c r="E307" s="100" t="s">
        <v>62</v>
      </c>
      <c r="F307" s="242" t="s">
        <v>94</v>
      </c>
      <c r="G307" s="243"/>
      <c r="H307" s="101"/>
      <c r="I307" s="20"/>
      <c r="J307" s="101"/>
      <c r="K307" s="101"/>
      <c r="L307" s="20"/>
      <c r="M307" s="101"/>
      <c r="N307" s="101"/>
      <c r="O307" s="20"/>
      <c r="P307" s="101"/>
      <c r="Q307" s="101"/>
      <c r="R307" s="101"/>
      <c r="S307" s="100"/>
      <c r="T307" s="102"/>
      <c r="U307" s="102"/>
      <c r="V307" s="15"/>
      <c r="W307" s="15"/>
      <c r="X307" s="15"/>
    </row>
    <row r="308" spans="2:24" ht="35.1" customHeight="1">
      <c r="B308" s="153" t="str">
        <f t="shared" ref="B308:B337" si="6">"4-"&amp;ROW()-306</f>
        <v>4-2</v>
      </c>
      <c r="C308" s="100" t="s">
        <v>83</v>
      </c>
      <c r="D308" s="100" t="s">
        <v>101</v>
      </c>
      <c r="E308" s="100" t="s">
        <v>117</v>
      </c>
      <c r="F308" s="242" t="s">
        <v>92</v>
      </c>
      <c r="G308" s="243"/>
      <c r="H308" s="101"/>
      <c r="I308" s="20"/>
      <c r="J308" s="101"/>
      <c r="K308" s="101"/>
      <c r="L308" s="20"/>
      <c r="M308" s="101"/>
      <c r="N308" s="101"/>
      <c r="O308" s="20"/>
      <c r="P308" s="101"/>
      <c r="Q308" s="101"/>
      <c r="R308" s="101"/>
      <c r="S308" s="100"/>
      <c r="T308" s="102"/>
      <c r="U308" s="102"/>
      <c r="V308" s="15"/>
      <c r="W308" s="15"/>
      <c r="X308" s="15"/>
    </row>
    <row r="309" spans="2:24" ht="35.1" customHeight="1">
      <c r="B309" s="153" t="str">
        <f t="shared" si="6"/>
        <v>4-3</v>
      </c>
      <c r="C309" s="100" t="s">
        <v>235</v>
      </c>
      <c r="D309" s="100" t="s">
        <v>83</v>
      </c>
      <c r="E309" s="100" t="s">
        <v>236</v>
      </c>
      <c r="F309" s="242" t="s">
        <v>234</v>
      </c>
      <c r="G309" s="243"/>
      <c r="H309" s="101"/>
      <c r="I309" s="20"/>
      <c r="J309" s="101"/>
      <c r="K309" s="101"/>
      <c r="L309" s="20"/>
      <c r="M309" s="101"/>
      <c r="N309" s="101"/>
      <c r="O309" s="20"/>
      <c r="P309" s="101"/>
      <c r="Q309" s="101"/>
      <c r="R309" s="101"/>
      <c r="S309" s="100"/>
      <c r="T309" s="102"/>
      <c r="U309" s="102"/>
      <c r="V309" s="15"/>
      <c r="W309" s="15"/>
      <c r="X309" s="15"/>
    </row>
    <row r="310" spans="2:24" ht="35.1" customHeight="1">
      <c r="B310" s="153" t="str">
        <f t="shared" si="6"/>
        <v>4-4</v>
      </c>
      <c r="C310" s="100" t="s">
        <v>261</v>
      </c>
      <c r="D310" s="100" t="s">
        <v>83</v>
      </c>
      <c r="E310" s="100" t="s">
        <v>236</v>
      </c>
      <c r="F310" s="242" t="s">
        <v>238</v>
      </c>
      <c r="G310" s="243"/>
      <c r="H310" s="101"/>
      <c r="I310" s="20"/>
      <c r="J310" s="101"/>
      <c r="K310" s="101"/>
      <c r="L310" s="20"/>
      <c r="M310" s="101"/>
      <c r="N310" s="101"/>
      <c r="O310" s="20"/>
      <c r="P310" s="101"/>
      <c r="Q310" s="101"/>
      <c r="R310" s="101"/>
      <c r="S310" s="100"/>
      <c r="T310" s="102"/>
      <c r="U310" s="102"/>
      <c r="V310" s="15"/>
      <c r="W310" s="15"/>
      <c r="X310" s="15"/>
    </row>
    <row r="311" spans="2:24" ht="35.1" customHeight="1">
      <c r="B311" s="153" t="str">
        <f t="shared" si="6"/>
        <v>4-5</v>
      </c>
      <c r="C311" s="100" t="s">
        <v>262</v>
      </c>
      <c r="D311" s="100" t="s">
        <v>83</v>
      </c>
      <c r="E311" s="100" t="s">
        <v>236</v>
      </c>
      <c r="F311" s="240" t="s">
        <v>242</v>
      </c>
      <c r="G311" s="241"/>
      <c r="H311" s="187"/>
      <c r="I311" s="188"/>
      <c r="J311" s="187"/>
      <c r="K311" s="187"/>
      <c r="L311" s="188"/>
      <c r="M311" s="187"/>
      <c r="N311" s="187"/>
      <c r="O311" s="188"/>
      <c r="P311" s="187"/>
      <c r="Q311" s="187"/>
      <c r="R311" s="101"/>
      <c r="S311" s="100"/>
      <c r="T311" s="102"/>
      <c r="U311" s="102"/>
      <c r="V311" s="15"/>
      <c r="W311" s="15"/>
      <c r="X311" s="15"/>
    </row>
    <row r="312" spans="2:24" ht="35.1" customHeight="1">
      <c r="B312" s="153" t="str">
        <f t="shared" si="6"/>
        <v>4-6</v>
      </c>
      <c r="C312" s="100" t="s">
        <v>239</v>
      </c>
      <c r="D312" s="100" t="s">
        <v>263</v>
      </c>
      <c r="E312" s="100" t="s">
        <v>447</v>
      </c>
      <c r="F312" s="246" t="s">
        <v>194</v>
      </c>
      <c r="G312" s="247"/>
      <c r="H312" s="187"/>
      <c r="I312" s="188"/>
      <c r="J312" s="187"/>
      <c r="K312" s="187"/>
      <c r="L312" s="188"/>
      <c r="M312" s="187"/>
      <c r="N312" s="187"/>
      <c r="O312" s="188"/>
      <c r="P312" s="187"/>
      <c r="Q312" s="187"/>
      <c r="R312" s="101"/>
      <c r="S312" s="100"/>
      <c r="T312" s="102"/>
      <c r="U312" s="102"/>
      <c r="V312" s="15"/>
      <c r="W312" s="15"/>
      <c r="X312" s="15"/>
    </row>
    <row r="313" spans="2:24" ht="35.1" customHeight="1">
      <c r="B313" s="153" t="str">
        <f t="shared" si="6"/>
        <v>4-7</v>
      </c>
      <c r="C313" s="100" t="s">
        <v>83</v>
      </c>
      <c r="D313" s="100" t="s">
        <v>195</v>
      </c>
      <c r="E313" s="100" t="s">
        <v>117</v>
      </c>
      <c r="F313" s="246" t="s">
        <v>103</v>
      </c>
      <c r="G313" s="247"/>
      <c r="H313" s="187"/>
      <c r="I313" s="188"/>
      <c r="J313" s="187"/>
      <c r="K313" s="187"/>
      <c r="L313" s="188"/>
      <c r="M313" s="187"/>
      <c r="N313" s="187"/>
      <c r="O313" s="188"/>
      <c r="P313" s="187"/>
      <c r="Q313" s="187"/>
      <c r="R313" s="101"/>
      <c r="S313" s="100"/>
      <c r="T313" s="102"/>
      <c r="U313" s="102"/>
      <c r="V313" s="15"/>
      <c r="W313" s="15"/>
      <c r="X313" s="15"/>
    </row>
    <row r="314" spans="2:24" ht="35.1" customHeight="1">
      <c r="B314" s="153" t="str">
        <f t="shared" si="6"/>
        <v>4-8</v>
      </c>
      <c r="C314" s="100" t="s">
        <v>83</v>
      </c>
      <c r="D314" s="100" t="s">
        <v>145</v>
      </c>
      <c r="E314" s="100" t="s">
        <v>117</v>
      </c>
      <c r="F314" s="246" t="s">
        <v>103</v>
      </c>
      <c r="G314" s="247"/>
      <c r="H314" s="187"/>
      <c r="I314" s="188"/>
      <c r="J314" s="187"/>
      <c r="K314" s="187"/>
      <c r="L314" s="188"/>
      <c r="M314" s="187"/>
      <c r="N314" s="187"/>
      <c r="O314" s="188"/>
      <c r="P314" s="187"/>
      <c r="Q314" s="187"/>
      <c r="R314" s="101"/>
      <c r="S314" s="100"/>
      <c r="T314" s="102"/>
      <c r="U314" s="102"/>
      <c r="V314" s="15"/>
      <c r="W314" s="15"/>
      <c r="X314" s="15"/>
    </row>
    <row r="315" spans="2:24" ht="35.1" customHeight="1">
      <c r="B315" s="153" t="str">
        <f t="shared" si="6"/>
        <v>4-9</v>
      </c>
      <c r="C315" s="100" t="s">
        <v>83</v>
      </c>
      <c r="D315" s="100" t="s">
        <v>496</v>
      </c>
      <c r="E315" s="100" t="s">
        <v>262</v>
      </c>
      <c r="F315" s="195" t="s">
        <v>249</v>
      </c>
      <c r="G315" s="196"/>
      <c r="H315" s="187"/>
      <c r="I315" s="188"/>
      <c r="J315" s="187"/>
      <c r="K315" s="187"/>
      <c r="L315" s="188"/>
      <c r="M315" s="187"/>
      <c r="N315" s="187"/>
      <c r="O315" s="188"/>
      <c r="P315" s="187"/>
      <c r="Q315" s="194"/>
      <c r="R315" s="101"/>
      <c r="S315" s="100"/>
      <c r="T315" s="102"/>
      <c r="U315" s="102"/>
      <c r="V315" s="15"/>
      <c r="W315" s="15"/>
      <c r="X315" s="15"/>
    </row>
    <row r="316" spans="2:24" ht="35.1" customHeight="1">
      <c r="B316" s="153" t="str">
        <f t="shared" si="6"/>
        <v>4-10</v>
      </c>
      <c r="C316" s="100" t="s">
        <v>83</v>
      </c>
      <c r="D316" s="100" t="s">
        <v>264</v>
      </c>
      <c r="E316" s="100" t="s">
        <v>449</v>
      </c>
      <c r="F316" s="240" t="s">
        <v>100</v>
      </c>
      <c r="G316" s="241"/>
      <c r="H316" s="187"/>
      <c r="I316" s="188"/>
      <c r="J316" s="187"/>
      <c r="K316" s="187"/>
      <c r="L316" s="188"/>
      <c r="M316" s="187"/>
      <c r="N316" s="187"/>
      <c r="O316" s="188"/>
      <c r="P316" s="187"/>
      <c r="Q316" s="187"/>
      <c r="R316" s="101"/>
      <c r="S316" s="100"/>
      <c r="T316" s="102"/>
      <c r="U316" s="102"/>
      <c r="V316" s="15"/>
      <c r="W316" s="15"/>
      <c r="X316" s="15"/>
    </row>
    <row r="317" spans="2:24" ht="35.1" customHeight="1">
      <c r="B317" s="153" t="str">
        <f t="shared" si="6"/>
        <v>4-11</v>
      </c>
      <c r="C317" s="100" t="s">
        <v>83</v>
      </c>
      <c r="D317" s="100" t="s">
        <v>195</v>
      </c>
      <c r="E317" s="100" t="s">
        <v>117</v>
      </c>
      <c r="F317" s="246" t="s">
        <v>103</v>
      </c>
      <c r="G317" s="247"/>
      <c r="H317" s="187"/>
      <c r="I317" s="188"/>
      <c r="J317" s="187"/>
      <c r="K317" s="187"/>
      <c r="L317" s="188"/>
      <c r="M317" s="187"/>
      <c r="N317" s="187"/>
      <c r="O317" s="188"/>
      <c r="P317" s="187"/>
      <c r="Q317" s="187"/>
      <c r="R317" s="101"/>
      <c r="S317" s="100"/>
      <c r="T317" s="102"/>
      <c r="U317" s="102"/>
      <c r="V317" s="15"/>
      <c r="W317" s="15"/>
      <c r="X317" s="15"/>
    </row>
    <row r="318" spans="2:24" ht="35.1" customHeight="1">
      <c r="B318" s="153" t="str">
        <f t="shared" si="6"/>
        <v>4-12</v>
      </c>
      <c r="C318" s="100" t="s">
        <v>83</v>
      </c>
      <c r="D318" s="100" t="s">
        <v>145</v>
      </c>
      <c r="E318" s="100" t="s">
        <v>117</v>
      </c>
      <c r="F318" s="246" t="s">
        <v>103</v>
      </c>
      <c r="G318" s="247"/>
      <c r="H318" s="187"/>
      <c r="I318" s="188"/>
      <c r="J318" s="187"/>
      <c r="K318" s="187"/>
      <c r="L318" s="188"/>
      <c r="M318" s="187"/>
      <c r="N318" s="187"/>
      <c r="O318" s="188"/>
      <c r="P318" s="187"/>
      <c r="Q318" s="187"/>
      <c r="R318" s="101"/>
      <c r="S318" s="100"/>
      <c r="T318" s="102"/>
      <c r="U318" s="102"/>
      <c r="V318" s="15"/>
      <c r="W318" s="15"/>
      <c r="X318" s="15"/>
    </row>
    <row r="319" spans="2:24" ht="35.1" customHeight="1">
      <c r="B319" s="153" t="str">
        <f t="shared" si="6"/>
        <v>4-13</v>
      </c>
      <c r="C319" s="100" t="s">
        <v>83</v>
      </c>
      <c r="D319" s="100" t="s">
        <v>496</v>
      </c>
      <c r="E319" s="100" t="s">
        <v>262</v>
      </c>
      <c r="F319" s="195" t="s">
        <v>249</v>
      </c>
      <c r="G319" s="196"/>
      <c r="H319" s="187"/>
      <c r="I319" s="188"/>
      <c r="J319" s="187"/>
      <c r="K319" s="187"/>
      <c r="L319" s="188"/>
      <c r="M319" s="187"/>
      <c r="N319" s="187"/>
      <c r="O319" s="188"/>
      <c r="P319" s="187"/>
      <c r="Q319" s="194"/>
      <c r="R319" s="101"/>
      <c r="S319" s="100"/>
      <c r="T319" s="102"/>
      <c r="U319" s="102"/>
      <c r="V319" s="15"/>
      <c r="W319" s="15"/>
      <c r="X319" s="15"/>
    </row>
    <row r="320" spans="2:24" ht="35.1" customHeight="1">
      <c r="B320" s="153" t="str">
        <f t="shared" si="6"/>
        <v>4-14</v>
      </c>
      <c r="C320" s="100" t="s">
        <v>83</v>
      </c>
      <c r="D320" s="100" t="s">
        <v>83</v>
      </c>
      <c r="E320" s="100" t="s">
        <v>83</v>
      </c>
      <c r="F320" s="129" t="s">
        <v>250</v>
      </c>
      <c r="G320" s="130"/>
      <c r="H320" s="101"/>
      <c r="I320" s="20"/>
      <c r="J320" s="101"/>
      <c r="K320" s="101"/>
      <c r="L320" s="20"/>
      <c r="M320" s="101"/>
      <c r="N320" s="101"/>
      <c r="O320" s="20"/>
      <c r="P320" s="101"/>
      <c r="Q320" s="166"/>
      <c r="R320" s="101"/>
      <c r="S320" s="100"/>
      <c r="T320" s="102"/>
      <c r="U320" s="102"/>
      <c r="V320" s="15"/>
      <c r="W320" s="15"/>
      <c r="X320" s="15"/>
    </row>
    <row r="321" spans="2:24" ht="35.1" customHeight="1">
      <c r="B321" s="153" t="str">
        <f t="shared" si="6"/>
        <v>4-15</v>
      </c>
      <c r="C321" s="100" t="s">
        <v>199</v>
      </c>
      <c r="D321" s="100" t="s">
        <v>83</v>
      </c>
      <c r="E321" s="100" t="s">
        <v>236</v>
      </c>
      <c r="F321" s="242" t="s">
        <v>123</v>
      </c>
      <c r="G321" s="243"/>
      <c r="H321" s="101"/>
      <c r="I321" s="20"/>
      <c r="J321" s="101"/>
      <c r="K321" s="101"/>
      <c r="L321" s="20"/>
      <c r="M321" s="101"/>
      <c r="N321" s="101"/>
      <c r="O321" s="20"/>
      <c r="P321" s="101"/>
      <c r="Q321" s="101"/>
      <c r="R321" s="101"/>
      <c r="S321" s="100"/>
      <c r="T321" s="102"/>
      <c r="U321" s="102"/>
      <c r="V321" s="15"/>
      <c r="W321" s="15"/>
      <c r="X321" s="15"/>
    </row>
    <row r="322" spans="2:24" ht="35.1" customHeight="1">
      <c r="B322" s="153" t="str">
        <f t="shared" si="6"/>
        <v>4-16</v>
      </c>
      <c r="C322" s="100" t="s">
        <v>83</v>
      </c>
      <c r="D322" s="100" t="s">
        <v>201</v>
      </c>
      <c r="E322" s="100" t="s">
        <v>262</v>
      </c>
      <c r="F322" s="242" t="s">
        <v>202</v>
      </c>
      <c r="G322" s="243"/>
      <c r="H322" s="101"/>
      <c r="I322" s="20"/>
      <c r="J322" s="101"/>
      <c r="K322" s="101"/>
      <c r="L322" s="20"/>
      <c r="M322" s="101"/>
      <c r="N322" s="101"/>
      <c r="O322" s="20"/>
      <c r="P322" s="101"/>
      <c r="Q322" s="166"/>
      <c r="R322" s="101"/>
      <c r="S322" s="100"/>
      <c r="T322" s="102"/>
      <c r="U322" s="102"/>
      <c r="V322" s="15"/>
      <c r="W322" s="15"/>
      <c r="X322" s="15"/>
    </row>
    <row r="323" spans="2:24" ht="35.1" customHeight="1">
      <c r="B323" s="153" t="str">
        <f t="shared" si="6"/>
        <v>4-17</v>
      </c>
      <c r="C323" s="100" t="s">
        <v>83</v>
      </c>
      <c r="D323" s="100" t="s">
        <v>83</v>
      </c>
      <c r="E323" s="100" t="s">
        <v>199</v>
      </c>
      <c r="F323" s="242" t="s">
        <v>123</v>
      </c>
      <c r="G323" s="243"/>
      <c r="H323" s="101"/>
      <c r="I323" s="20"/>
      <c r="J323" s="101"/>
      <c r="K323" s="101"/>
      <c r="L323" s="20"/>
      <c r="M323" s="101"/>
      <c r="N323" s="101"/>
      <c r="O323" s="20"/>
      <c r="P323" s="101"/>
      <c r="Q323" s="166"/>
      <c r="R323" s="101"/>
      <c r="S323" s="100"/>
      <c r="T323" s="102"/>
      <c r="U323" s="102"/>
      <c r="V323" s="15"/>
      <c r="W323" s="15"/>
      <c r="X323" s="15"/>
    </row>
    <row r="324" spans="2:24" ht="35.1" customHeight="1">
      <c r="B324" s="153" t="str">
        <f t="shared" si="6"/>
        <v>4-18</v>
      </c>
      <c r="C324" s="100" t="s">
        <v>83</v>
      </c>
      <c r="D324" s="100" t="s">
        <v>83</v>
      </c>
      <c r="E324" s="100" t="s">
        <v>205</v>
      </c>
      <c r="F324" s="242" t="s">
        <v>123</v>
      </c>
      <c r="G324" s="243"/>
      <c r="H324" s="101"/>
      <c r="I324" s="20"/>
      <c r="J324" s="101"/>
      <c r="K324" s="101"/>
      <c r="L324" s="20"/>
      <c r="M324" s="101"/>
      <c r="N324" s="101"/>
      <c r="O324" s="20"/>
      <c r="P324" s="101"/>
      <c r="Q324" s="166"/>
      <c r="R324" s="101"/>
      <c r="S324" s="100"/>
      <c r="T324" s="102"/>
      <c r="U324" s="102"/>
      <c r="V324" s="15"/>
      <c r="W324" s="15"/>
      <c r="X324" s="15"/>
    </row>
    <row r="325" spans="2:24" ht="35.450000000000003" customHeight="1">
      <c r="B325" s="153" t="str">
        <f t="shared" si="6"/>
        <v>4-19</v>
      </c>
      <c r="C325" s="100" t="s">
        <v>205</v>
      </c>
      <c r="D325" s="100" t="s">
        <v>304</v>
      </c>
      <c r="E325" s="100" t="s">
        <v>483</v>
      </c>
      <c r="F325" s="242" t="s">
        <v>214</v>
      </c>
      <c r="G325" s="243"/>
      <c r="H325" s="101"/>
      <c r="I325" s="20"/>
      <c r="J325" s="101"/>
      <c r="K325" s="101"/>
      <c r="L325" s="20"/>
      <c r="M325" s="101"/>
      <c r="N325" s="101"/>
      <c r="O325" s="20"/>
      <c r="P325" s="101"/>
      <c r="Q325" s="166"/>
      <c r="R325" s="101"/>
      <c r="S325" s="100"/>
      <c r="T325" s="102"/>
      <c r="U325" s="102"/>
      <c r="V325" s="15"/>
      <c r="W325" s="15"/>
      <c r="X325" s="15"/>
    </row>
    <row r="326" spans="2:24" ht="35.1" customHeight="1">
      <c r="B326" s="153" t="str">
        <f t="shared" si="6"/>
        <v>4-20</v>
      </c>
      <c r="C326" s="100" t="s">
        <v>83</v>
      </c>
      <c r="D326" s="100" t="s">
        <v>498</v>
      </c>
      <c r="E326" s="100" t="s">
        <v>258</v>
      </c>
      <c r="F326" s="242" t="s">
        <v>216</v>
      </c>
      <c r="G326" s="243"/>
      <c r="H326" s="101"/>
      <c r="I326" s="20"/>
      <c r="J326" s="101"/>
      <c r="K326" s="101"/>
      <c r="L326" s="20"/>
      <c r="M326" s="101"/>
      <c r="N326" s="101"/>
      <c r="O326" s="20"/>
      <c r="P326" s="101"/>
      <c r="Q326" s="166"/>
      <c r="R326" s="101"/>
      <c r="S326" s="100"/>
      <c r="T326" s="102"/>
      <c r="U326" s="102"/>
      <c r="V326" s="15"/>
      <c r="W326" s="15"/>
      <c r="X326" s="15"/>
    </row>
    <row r="327" spans="2:24" ht="35.1" customHeight="1">
      <c r="B327" s="153" t="str">
        <f t="shared" si="6"/>
        <v>4-21</v>
      </c>
      <c r="C327" s="100" t="s">
        <v>83</v>
      </c>
      <c r="D327" s="100" t="s">
        <v>83</v>
      </c>
      <c r="E327" s="100" t="s">
        <v>265</v>
      </c>
      <c r="F327" s="242" t="s">
        <v>220</v>
      </c>
      <c r="G327" s="243"/>
      <c r="H327" s="101"/>
      <c r="I327" s="20"/>
      <c r="J327" s="101"/>
      <c r="K327" s="101"/>
      <c r="L327" s="20"/>
      <c r="M327" s="101"/>
      <c r="N327" s="101"/>
      <c r="O327" s="20"/>
      <c r="P327" s="101"/>
      <c r="Q327" s="166"/>
      <c r="R327" s="101"/>
      <c r="S327" s="100"/>
      <c r="T327" s="102"/>
      <c r="U327" s="102"/>
      <c r="V327" s="15"/>
      <c r="W327" s="15"/>
      <c r="X327" s="15"/>
    </row>
    <row r="328" spans="2:24" ht="35.1" customHeight="1">
      <c r="B328" s="153" t="str">
        <f t="shared" si="6"/>
        <v>4-22</v>
      </c>
      <c r="C328" s="100" t="s">
        <v>83</v>
      </c>
      <c r="D328" s="100" t="s">
        <v>83</v>
      </c>
      <c r="E328" s="100" t="s">
        <v>83</v>
      </c>
      <c r="F328" s="242" t="s">
        <v>485</v>
      </c>
      <c r="G328" s="243"/>
      <c r="H328" s="101"/>
      <c r="I328" s="20"/>
      <c r="J328" s="101"/>
      <c r="K328" s="101"/>
      <c r="L328" s="20"/>
      <c r="M328" s="101"/>
      <c r="N328" s="101"/>
      <c r="O328" s="20"/>
      <c r="P328" s="101"/>
      <c r="Q328" s="166"/>
      <c r="R328" s="101"/>
      <c r="S328" s="100"/>
      <c r="T328" s="102"/>
      <c r="U328" s="102"/>
      <c r="V328" s="15"/>
      <c r="W328" s="15"/>
      <c r="X328" s="15"/>
    </row>
    <row r="329" spans="2:24" ht="35.1" customHeight="1">
      <c r="B329" s="153" t="str">
        <f t="shared" si="6"/>
        <v>4-23</v>
      </c>
      <c r="C329" s="100" t="s">
        <v>217</v>
      </c>
      <c r="D329" s="100" t="s">
        <v>201</v>
      </c>
      <c r="E329" s="100" t="s">
        <v>483</v>
      </c>
      <c r="F329" s="242" t="s">
        <v>214</v>
      </c>
      <c r="G329" s="243"/>
      <c r="H329" s="101"/>
      <c r="I329" s="20"/>
      <c r="J329" s="101"/>
      <c r="K329" s="101"/>
      <c r="L329" s="20"/>
      <c r="M329" s="101"/>
      <c r="N329" s="101"/>
      <c r="O329" s="20"/>
      <c r="P329" s="101"/>
      <c r="Q329" s="166"/>
      <c r="R329" s="101"/>
      <c r="S329" s="100"/>
      <c r="T329" s="102"/>
      <c r="U329" s="102"/>
      <c r="V329" s="15"/>
      <c r="W329" s="15"/>
      <c r="X329" s="15"/>
    </row>
    <row r="330" spans="2:24" ht="35.1" customHeight="1">
      <c r="B330" s="153" t="str">
        <f t="shared" si="6"/>
        <v>4-24</v>
      </c>
      <c r="C330" s="100" t="s">
        <v>83</v>
      </c>
      <c r="D330" s="100" t="s">
        <v>499</v>
      </c>
      <c r="E330" s="100" t="s">
        <v>258</v>
      </c>
      <c r="F330" s="242" t="s">
        <v>486</v>
      </c>
      <c r="G330" s="243"/>
      <c r="H330" s="101"/>
      <c r="I330" s="20"/>
      <c r="J330" s="101"/>
      <c r="K330" s="101"/>
      <c r="L330" s="20"/>
      <c r="M330" s="101"/>
      <c r="N330" s="101"/>
      <c r="O330" s="20"/>
      <c r="P330" s="101"/>
      <c r="Q330" s="166"/>
      <c r="R330" s="101"/>
      <c r="S330" s="100"/>
      <c r="T330" s="102"/>
      <c r="U330" s="102"/>
      <c r="V330" s="15"/>
      <c r="W330" s="15"/>
      <c r="X330" s="15"/>
    </row>
    <row r="331" spans="2:24" ht="35.1" customHeight="1">
      <c r="B331" s="153" t="str">
        <f t="shared" si="6"/>
        <v>4-25</v>
      </c>
      <c r="C331" s="18" t="s">
        <v>135</v>
      </c>
      <c r="D331" s="18" t="s">
        <v>136</v>
      </c>
      <c r="E331" s="100" t="s">
        <v>134</v>
      </c>
      <c r="F331" s="244" t="s">
        <v>137</v>
      </c>
      <c r="G331" s="245"/>
      <c r="H331" s="101"/>
      <c r="I331" s="20"/>
      <c r="J331" s="101"/>
      <c r="K331" s="101"/>
      <c r="L331" s="20"/>
      <c r="M331" s="101"/>
      <c r="N331" s="101"/>
      <c r="O331" s="20"/>
      <c r="P331" s="101"/>
      <c r="Q331" s="124"/>
      <c r="R331" s="124"/>
      <c r="S331" s="100"/>
      <c r="T331" s="102"/>
      <c r="U331" s="102"/>
      <c r="V331" s="15"/>
      <c r="W331" s="15"/>
      <c r="X331" s="15"/>
    </row>
    <row r="332" spans="2:24" ht="35.1" customHeight="1">
      <c r="B332" s="153" t="str">
        <f t="shared" si="6"/>
        <v>4-26</v>
      </c>
      <c r="C332" s="18" t="s">
        <v>144</v>
      </c>
      <c r="D332" s="18" t="s">
        <v>144</v>
      </c>
      <c r="E332" s="100" t="s">
        <v>134</v>
      </c>
      <c r="F332" s="244" t="s">
        <v>138</v>
      </c>
      <c r="G332" s="245"/>
      <c r="H332" s="101"/>
      <c r="I332" s="20"/>
      <c r="J332" s="101"/>
      <c r="K332" s="101"/>
      <c r="L332" s="20"/>
      <c r="M332" s="101"/>
      <c r="N332" s="101"/>
      <c r="O332" s="20"/>
      <c r="P332" s="101"/>
      <c r="Q332" s="124"/>
      <c r="R332" s="124"/>
      <c r="S332" s="100"/>
      <c r="T332" s="102"/>
      <c r="U332" s="102"/>
      <c r="V332" s="15"/>
      <c r="W332" s="15"/>
      <c r="X332" s="15"/>
    </row>
    <row r="333" spans="2:24" ht="35.1" customHeight="1">
      <c r="B333" s="153" t="str">
        <f t="shared" si="6"/>
        <v>4-27</v>
      </c>
      <c r="C333" s="18" t="s">
        <v>144</v>
      </c>
      <c r="D333" s="18" t="s">
        <v>150</v>
      </c>
      <c r="E333" s="100" t="s">
        <v>134</v>
      </c>
      <c r="F333" s="244" t="s">
        <v>151</v>
      </c>
      <c r="G333" s="245"/>
      <c r="H333" s="101"/>
      <c r="I333" s="20"/>
      <c r="J333" s="101"/>
      <c r="K333" s="101"/>
      <c r="L333" s="20"/>
      <c r="M333" s="101"/>
      <c r="N333" s="101"/>
      <c r="O333" s="20"/>
      <c r="P333" s="101"/>
      <c r="Q333" s="124"/>
      <c r="R333" s="124"/>
      <c r="S333" s="100"/>
      <c r="T333" s="102"/>
      <c r="U333" s="102"/>
      <c r="V333" s="15"/>
      <c r="W333" s="15"/>
      <c r="X333" s="15"/>
    </row>
    <row r="334" spans="2:24" ht="35.1" customHeight="1">
      <c r="B334" s="153" t="str">
        <f t="shared" si="6"/>
        <v>4-28</v>
      </c>
      <c r="C334" s="18" t="s">
        <v>144</v>
      </c>
      <c r="D334" s="18" t="s">
        <v>144</v>
      </c>
      <c r="E334" s="100" t="s">
        <v>134</v>
      </c>
      <c r="F334" s="244" t="s">
        <v>138</v>
      </c>
      <c r="G334" s="245"/>
      <c r="H334" s="101"/>
      <c r="I334" s="20"/>
      <c r="J334" s="101"/>
      <c r="K334" s="101"/>
      <c r="L334" s="20"/>
      <c r="M334" s="101"/>
      <c r="N334" s="101"/>
      <c r="O334" s="20"/>
      <c r="P334" s="101"/>
      <c r="Q334" s="124"/>
      <c r="R334" s="124"/>
      <c r="S334" s="100"/>
      <c r="T334" s="102"/>
      <c r="U334" s="102"/>
      <c r="V334" s="15"/>
      <c r="W334" s="15"/>
      <c r="X334" s="15"/>
    </row>
    <row r="335" spans="2:24" ht="35.1" customHeight="1">
      <c r="B335" s="153" t="str">
        <f t="shared" si="6"/>
        <v>4-29</v>
      </c>
      <c r="C335" s="18" t="s">
        <v>144</v>
      </c>
      <c r="D335" s="18" t="s">
        <v>152</v>
      </c>
      <c r="E335" s="100" t="s">
        <v>134</v>
      </c>
      <c r="F335" s="244" t="s">
        <v>153</v>
      </c>
      <c r="G335" s="245"/>
      <c r="H335" s="101"/>
      <c r="I335" s="20"/>
      <c r="J335" s="101"/>
      <c r="K335" s="101"/>
      <c r="L335" s="20"/>
      <c r="M335" s="101"/>
      <c r="N335" s="101"/>
      <c r="O335" s="20"/>
      <c r="P335" s="101"/>
      <c r="Q335" s="124"/>
      <c r="R335" s="124"/>
      <c r="S335" s="100"/>
      <c r="T335" s="102"/>
      <c r="U335" s="102"/>
      <c r="V335" s="15"/>
      <c r="W335" s="15"/>
      <c r="X335" s="15"/>
    </row>
    <row r="336" spans="2:24" ht="35.1" customHeight="1">
      <c r="B336" s="153" t="str">
        <f t="shared" si="6"/>
        <v>4-30</v>
      </c>
      <c r="C336" s="18" t="s">
        <v>144</v>
      </c>
      <c r="D336" s="18" t="s">
        <v>144</v>
      </c>
      <c r="E336" s="100" t="s">
        <v>134</v>
      </c>
      <c r="F336" s="244" t="s">
        <v>138</v>
      </c>
      <c r="G336" s="245"/>
      <c r="H336" s="101"/>
      <c r="I336" s="20"/>
      <c r="J336" s="101"/>
      <c r="K336" s="101"/>
      <c r="L336" s="20"/>
      <c r="M336" s="101"/>
      <c r="N336" s="101"/>
      <c r="O336" s="20"/>
      <c r="P336" s="101"/>
      <c r="Q336" s="124"/>
      <c r="R336" s="124"/>
      <c r="S336" s="100"/>
      <c r="T336" s="102"/>
      <c r="U336" s="102"/>
      <c r="V336" s="15"/>
      <c r="W336" s="15"/>
      <c r="X336" s="15"/>
    </row>
    <row r="337" spans="2:24" ht="34.5" customHeight="1">
      <c r="B337" s="153" t="str">
        <f t="shared" si="6"/>
        <v>4-31</v>
      </c>
      <c r="C337" s="18" t="s">
        <v>139</v>
      </c>
      <c r="D337" s="18" t="s">
        <v>809</v>
      </c>
      <c r="E337" s="100" t="s">
        <v>810</v>
      </c>
      <c r="F337" s="244" t="s">
        <v>808</v>
      </c>
      <c r="G337" s="245"/>
      <c r="H337" s="101"/>
      <c r="I337" s="20"/>
      <c r="J337" s="101"/>
      <c r="K337" s="101"/>
      <c r="L337" s="20"/>
      <c r="M337" s="101"/>
      <c r="N337" s="101"/>
      <c r="O337" s="20"/>
      <c r="P337" s="101"/>
      <c r="Q337" s="124"/>
      <c r="R337" s="124"/>
      <c r="S337" s="100"/>
      <c r="T337" s="102"/>
      <c r="U337" s="102"/>
      <c r="V337" s="199"/>
      <c r="W337" s="15"/>
      <c r="X337" s="15"/>
    </row>
    <row r="339" spans="2:24">
      <c r="B339" s="2" t="s">
        <v>487</v>
      </c>
      <c r="C339" s="99" t="s">
        <v>363</v>
      </c>
    </row>
    <row r="340" spans="2:24" ht="13.5" customHeight="1">
      <c r="B340" s="260" t="s">
        <v>4</v>
      </c>
      <c r="C340" s="262" t="s">
        <v>5</v>
      </c>
      <c r="D340" s="262" t="s">
        <v>79</v>
      </c>
      <c r="E340" s="262" t="s">
        <v>6</v>
      </c>
      <c r="F340" s="263" t="s">
        <v>7</v>
      </c>
      <c r="G340" s="264"/>
      <c r="H340" s="254" t="s">
        <v>91</v>
      </c>
      <c r="I340" s="255"/>
      <c r="J340" s="256"/>
      <c r="K340" s="254" t="s">
        <v>84</v>
      </c>
      <c r="L340" s="255"/>
      <c r="M340" s="256"/>
      <c r="N340" s="254" t="s">
        <v>85</v>
      </c>
      <c r="O340" s="255"/>
      <c r="P340" s="256"/>
      <c r="Q340" s="252" t="s">
        <v>573</v>
      </c>
      <c r="R340" s="252" t="s">
        <v>78</v>
      </c>
      <c r="S340" s="248" t="s">
        <v>14</v>
      </c>
      <c r="T340" s="249"/>
      <c r="U340" s="250"/>
    </row>
    <row r="341" spans="2:24">
      <c r="B341" s="261"/>
      <c r="C341" s="253"/>
      <c r="D341" s="253"/>
      <c r="E341" s="253"/>
      <c r="F341" s="265"/>
      <c r="G341" s="266"/>
      <c r="H341" s="148" t="s">
        <v>8</v>
      </c>
      <c r="I341" s="148" t="s">
        <v>9</v>
      </c>
      <c r="J341" s="148" t="s">
        <v>10</v>
      </c>
      <c r="K341" s="148" t="s">
        <v>8</v>
      </c>
      <c r="L341" s="148" t="s">
        <v>9</v>
      </c>
      <c r="M341" s="148" t="s">
        <v>10</v>
      </c>
      <c r="N341" s="148" t="s">
        <v>8</v>
      </c>
      <c r="O341" s="148" t="s">
        <v>9</v>
      </c>
      <c r="P341" s="148" t="s">
        <v>10</v>
      </c>
      <c r="Q341" s="253"/>
      <c r="R341" s="253"/>
      <c r="S341" s="93"/>
      <c r="T341" s="94"/>
      <c r="U341" s="95"/>
    </row>
    <row r="342" spans="2:24" ht="29.45" customHeight="1">
      <c r="B342" s="153" t="str">
        <f>"5-"&amp;ROW()-341</f>
        <v>5-1</v>
      </c>
      <c r="C342" s="100" t="s">
        <v>198</v>
      </c>
      <c r="D342" s="100" t="s">
        <v>101</v>
      </c>
      <c r="E342" s="100" t="s">
        <v>62</v>
      </c>
      <c r="F342" s="242" t="s">
        <v>94</v>
      </c>
      <c r="G342" s="243"/>
      <c r="H342" s="101"/>
      <c r="I342" s="20"/>
      <c r="J342" s="101"/>
      <c r="K342" s="101"/>
      <c r="L342" s="20"/>
      <c r="M342" s="101"/>
      <c r="N342" s="101"/>
      <c r="O342" s="20"/>
      <c r="P342" s="101"/>
      <c r="Q342" s="101"/>
      <c r="R342" s="101"/>
      <c r="S342" s="102"/>
      <c r="T342" s="102"/>
      <c r="U342" s="102"/>
    </row>
    <row r="343" spans="2:24" ht="29.45" customHeight="1">
      <c r="B343" s="153" t="str">
        <f t="shared" ref="B343:B363" si="7">"5-"&amp;ROW()-341</f>
        <v>5-2</v>
      </c>
      <c r="C343" s="100" t="s">
        <v>83</v>
      </c>
      <c r="D343" s="100" t="s">
        <v>101</v>
      </c>
      <c r="E343" s="100" t="s">
        <v>448</v>
      </c>
      <c r="F343" s="240" t="s">
        <v>800</v>
      </c>
      <c r="G343" s="241"/>
      <c r="H343" s="187"/>
      <c r="I343" s="188"/>
      <c r="J343" s="187"/>
      <c r="K343" s="187"/>
      <c r="L343" s="188"/>
      <c r="M343" s="187"/>
      <c r="N343" s="187"/>
      <c r="O343" s="188"/>
      <c r="P343" s="187"/>
      <c r="Q343" s="187"/>
      <c r="R343" s="101"/>
      <c r="S343" s="100"/>
      <c r="T343" s="102"/>
      <c r="U343" s="102"/>
    </row>
    <row r="344" spans="2:24" ht="29.45" customHeight="1">
      <c r="B344" s="153" t="str">
        <f t="shared" si="7"/>
        <v>5-3</v>
      </c>
      <c r="C344" s="100" t="s">
        <v>83</v>
      </c>
      <c r="D344" s="100" t="s">
        <v>195</v>
      </c>
      <c r="E344" s="100" t="s">
        <v>117</v>
      </c>
      <c r="F344" s="246" t="s">
        <v>103</v>
      </c>
      <c r="G344" s="247"/>
      <c r="H344" s="187"/>
      <c r="I344" s="188"/>
      <c r="J344" s="187"/>
      <c r="K344" s="187"/>
      <c r="L344" s="188"/>
      <c r="M344" s="187"/>
      <c r="N344" s="187"/>
      <c r="O344" s="188"/>
      <c r="P344" s="187"/>
      <c r="Q344" s="187"/>
      <c r="R344" s="101"/>
      <c r="S344" s="100"/>
      <c r="T344" s="102"/>
      <c r="U344" s="102"/>
    </row>
    <row r="345" spans="2:24" ht="29.45" customHeight="1">
      <c r="B345" s="153" t="str">
        <f t="shared" si="7"/>
        <v>5-4</v>
      </c>
      <c r="C345" s="100" t="s">
        <v>83</v>
      </c>
      <c r="D345" s="100" t="s">
        <v>145</v>
      </c>
      <c r="E345" s="100" t="s">
        <v>117</v>
      </c>
      <c r="F345" s="246" t="s">
        <v>103</v>
      </c>
      <c r="G345" s="247"/>
      <c r="H345" s="187"/>
      <c r="I345" s="188"/>
      <c r="J345" s="187"/>
      <c r="K345" s="187"/>
      <c r="L345" s="188"/>
      <c r="M345" s="187"/>
      <c r="N345" s="187"/>
      <c r="O345" s="188"/>
      <c r="P345" s="187"/>
      <c r="Q345" s="187"/>
      <c r="R345" s="101"/>
      <c r="S345" s="100"/>
      <c r="T345" s="102"/>
      <c r="U345" s="102"/>
    </row>
    <row r="346" spans="2:24" ht="29.45" customHeight="1">
      <c r="B346" s="153" t="str">
        <f t="shared" si="7"/>
        <v>5-5</v>
      </c>
      <c r="C346" s="100" t="s">
        <v>83</v>
      </c>
      <c r="D346" s="100" t="s">
        <v>101</v>
      </c>
      <c r="E346" s="100" t="s">
        <v>448</v>
      </c>
      <c r="F346" s="240" t="s">
        <v>365</v>
      </c>
      <c r="G346" s="241"/>
      <c r="H346" s="187"/>
      <c r="I346" s="188"/>
      <c r="J346" s="187"/>
      <c r="K346" s="187"/>
      <c r="L346" s="188"/>
      <c r="M346" s="187"/>
      <c r="N346" s="187"/>
      <c r="O346" s="188"/>
      <c r="P346" s="187"/>
      <c r="Q346" s="187"/>
      <c r="R346" s="101"/>
      <c r="S346" s="100"/>
      <c r="T346" s="102"/>
      <c r="U346" s="102"/>
    </row>
    <row r="347" spans="2:24" ht="29.45" customHeight="1">
      <c r="B347" s="153" t="str">
        <f t="shared" si="7"/>
        <v>5-6</v>
      </c>
      <c r="C347" s="100" t="s">
        <v>83</v>
      </c>
      <c r="D347" s="100" t="s">
        <v>195</v>
      </c>
      <c r="E347" s="100" t="s">
        <v>117</v>
      </c>
      <c r="F347" s="246" t="s">
        <v>103</v>
      </c>
      <c r="G347" s="247"/>
      <c r="H347" s="187"/>
      <c r="I347" s="188"/>
      <c r="J347" s="187"/>
      <c r="K347" s="187"/>
      <c r="L347" s="188"/>
      <c r="M347" s="187"/>
      <c r="N347" s="187"/>
      <c r="O347" s="188"/>
      <c r="P347" s="187"/>
      <c r="Q347" s="187"/>
      <c r="R347" s="101"/>
      <c r="S347" s="100"/>
      <c r="T347" s="102"/>
      <c r="U347" s="102"/>
    </row>
    <row r="348" spans="2:24" ht="29.45" customHeight="1">
      <c r="B348" s="153" t="str">
        <f t="shared" si="7"/>
        <v>5-7</v>
      </c>
      <c r="C348" s="100" t="s">
        <v>83</v>
      </c>
      <c r="D348" s="100" t="s">
        <v>145</v>
      </c>
      <c r="E348" s="100" t="s">
        <v>117</v>
      </c>
      <c r="F348" s="246" t="s">
        <v>103</v>
      </c>
      <c r="G348" s="247"/>
      <c r="H348" s="187"/>
      <c r="I348" s="188"/>
      <c r="J348" s="187"/>
      <c r="K348" s="187"/>
      <c r="L348" s="188"/>
      <c r="M348" s="187"/>
      <c r="N348" s="187"/>
      <c r="O348" s="188"/>
      <c r="P348" s="187"/>
      <c r="Q348" s="187"/>
      <c r="R348" s="101"/>
      <c r="S348" s="100"/>
      <c r="T348" s="102"/>
      <c r="U348" s="102"/>
    </row>
    <row r="349" spans="2:24" ht="29.45" customHeight="1">
      <c r="B349" s="153" t="str">
        <f t="shared" si="7"/>
        <v>5-8</v>
      </c>
      <c r="C349" s="100" t="s">
        <v>83</v>
      </c>
      <c r="D349" s="100" t="s">
        <v>496</v>
      </c>
      <c r="E349" s="100" t="s">
        <v>117</v>
      </c>
      <c r="F349" s="240" t="s">
        <v>391</v>
      </c>
      <c r="G349" s="241"/>
      <c r="H349" s="187"/>
      <c r="I349" s="188"/>
      <c r="J349" s="187"/>
      <c r="K349" s="187"/>
      <c r="L349" s="188"/>
      <c r="M349" s="187"/>
      <c r="N349" s="187"/>
      <c r="O349" s="188"/>
      <c r="P349" s="187"/>
      <c r="Q349" s="187"/>
      <c r="R349" s="101"/>
      <c r="S349" s="100"/>
      <c r="T349" s="102"/>
      <c r="U349" s="102"/>
    </row>
    <row r="350" spans="2:24" ht="29.45" customHeight="1">
      <c r="B350" s="153" t="str">
        <f t="shared" si="7"/>
        <v>5-9</v>
      </c>
      <c r="C350" s="100" t="s">
        <v>373</v>
      </c>
      <c r="D350" s="100"/>
      <c r="E350" s="100" t="s">
        <v>200</v>
      </c>
      <c r="F350" s="240" t="s">
        <v>793</v>
      </c>
      <c r="G350" s="241"/>
      <c r="H350" s="187"/>
      <c r="I350" s="188"/>
      <c r="J350" s="187"/>
      <c r="K350" s="187"/>
      <c r="L350" s="188"/>
      <c r="M350" s="187"/>
      <c r="N350" s="187"/>
      <c r="O350" s="188"/>
      <c r="P350" s="187"/>
      <c r="Q350" s="194"/>
      <c r="R350" s="101"/>
      <c r="S350" s="100"/>
      <c r="T350" s="102"/>
      <c r="U350" s="102"/>
    </row>
    <row r="351" spans="2:24" ht="29.45" customHeight="1">
      <c r="B351" s="153" t="str">
        <f t="shared" si="7"/>
        <v>5-10</v>
      </c>
      <c r="C351" s="100" t="s">
        <v>83</v>
      </c>
      <c r="D351" s="100"/>
      <c r="E351" s="100" t="s">
        <v>200</v>
      </c>
      <c r="F351" s="240" t="s">
        <v>794</v>
      </c>
      <c r="G351" s="241"/>
      <c r="H351" s="187"/>
      <c r="I351" s="188"/>
      <c r="J351" s="187"/>
      <c r="K351" s="187"/>
      <c r="L351" s="188"/>
      <c r="M351" s="187"/>
      <c r="N351" s="187"/>
      <c r="O351" s="188"/>
      <c r="P351" s="187"/>
      <c r="Q351" s="194"/>
      <c r="R351" s="101"/>
      <c r="S351" s="100"/>
      <c r="T351" s="102"/>
      <c r="U351" s="102"/>
    </row>
    <row r="352" spans="2:24" ht="29.45" customHeight="1">
      <c r="B352" s="153" t="str">
        <f t="shared" si="7"/>
        <v>5-11</v>
      </c>
      <c r="C352" s="100" t="s">
        <v>83</v>
      </c>
      <c r="D352" s="100" t="s">
        <v>374</v>
      </c>
      <c r="E352" s="100" t="s">
        <v>375</v>
      </c>
      <c r="F352" s="240" t="s">
        <v>377</v>
      </c>
      <c r="G352" s="241"/>
      <c r="H352" s="187"/>
      <c r="I352" s="188"/>
      <c r="J352" s="187"/>
      <c r="K352" s="187"/>
      <c r="L352" s="188"/>
      <c r="M352" s="187"/>
      <c r="N352" s="187"/>
      <c r="O352" s="188"/>
      <c r="P352" s="187"/>
      <c r="Q352" s="194"/>
      <c r="R352" s="101"/>
      <c r="S352" s="100"/>
      <c r="T352" s="102"/>
      <c r="U352" s="102"/>
    </row>
    <row r="353" spans="1:22" ht="29.45" customHeight="1">
      <c r="B353" s="153" t="str">
        <f t="shared" si="7"/>
        <v>5-12</v>
      </c>
      <c r="C353" s="100" t="s">
        <v>83</v>
      </c>
      <c r="D353" s="100" t="s">
        <v>376</v>
      </c>
      <c r="E353" s="100" t="s">
        <v>375</v>
      </c>
      <c r="F353" s="242" t="s">
        <v>378</v>
      </c>
      <c r="G353" s="243"/>
      <c r="H353" s="101"/>
      <c r="I353" s="20"/>
      <c r="J353" s="101"/>
      <c r="K353" s="101"/>
      <c r="L353" s="20"/>
      <c r="M353" s="101"/>
      <c r="N353" s="101"/>
      <c r="O353" s="20"/>
      <c r="P353" s="101"/>
      <c r="Q353" s="166"/>
      <c r="R353" s="101"/>
      <c r="S353" s="100"/>
      <c r="T353" s="102"/>
      <c r="U353" s="102"/>
    </row>
    <row r="354" spans="1:22" ht="29.45" customHeight="1">
      <c r="B354" s="153" t="str">
        <f t="shared" si="7"/>
        <v>5-13</v>
      </c>
      <c r="C354" s="100" t="s">
        <v>83</v>
      </c>
      <c r="D354" s="100" t="s">
        <v>795</v>
      </c>
      <c r="E354" s="100" t="s">
        <v>796</v>
      </c>
      <c r="F354" s="242" t="s">
        <v>798</v>
      </c>
      <c r="G354" s="243"/>
      <c r="H354" s="101"/>
      <c r="I354" s="20"/>
      <c r="J354" s="101"/>
      <c r="K354" s="101"/>
      <c r="L354" s="20"/>
      <c r="M354" s="101"/>
      <c r="N354" s="101"/>
      <c r="O354" s="20"/>
      <c r="P354" s="101"/>
      <c r="Q354" s="166"/>
      <c r="R354" s="101"/>
      <c r="S354" s="100"/>
      <c r="T354" s="102"/>
      <c r="U354" s="102"/>
    </row>
    <row r="355" spans="1:22" ht="29.45" customHeight="1">
      <c r="B355" s="153" t="str">
        <f t="shared" si="7"/>
        <v>5-14</v>
      </c>
      <c r="C355" s="100" t="s">
        <v>83</v>
      </c>
      <c r="D355" s="100" t="s">
        <v>797</v>
      </c>
      <c r="E355" s="100" t="s">
        <v>796</v>
      </c>
      <c r="F355" s="242" t="s">
        <v>798</v>
      </c>
      <c r="G355" s="243"/>
      <c r="H355" s="101"/>
      <c r="I355" s="20"/>
      <c r="J355" s="101"/>
      <c r="K355" s="101"/>
      <c r="L355" s="20"/>
      <c r="M355" s="101"/>
      <c r="N355" s="101"/>
      <c r="O355" s="20"/>
      <c r="P355" s="101"/>
      <c r="Q355" s="166"/>
      <c r="R355" s="101"/>
      <c r="S355" s="100"/>
      <c r="T355" s="102"/>
      <c r="U355" s="102"/>
    </row>
    <row r="356" spans="1:22" ht="29.45" customHeight="1">
      <c r="B356" s="153" t="str">
        <f t="shared" si="7"/>
        <v>5-15</v>
      </c>
      <c r="C356" s="100" t="s">
        <v>83</v>
      </c>
      <c r="D356" s="100" t="s">
        <v>83</v>
      </c>
      <c r="E356" s="100" t="s">
        <v>83</v>
      </c>
      <c r="F356" s="242" t="s">
        <v>799</v>
      </c>
      <c r="G356" s="243"/>
      <c r="H356" s="101"/>
      <c r="I356" s="20"/>
      <c r="J356" s="101"/>
      <c r="K356" s="101"/>
      <c r="L356" s="20"/>
      <c r="M356" s="101"/>
      <c r="N356" s="101"/>
      <c r="O356" s="20"/>
      <c r="P356" s="101"/>
      <c r="Q356" s="166"/>
      <c r="R356" s="101"/>
      <c r="S356" s="100"/>
      <c r="T356" s="102"/>
      <c r="U356" s="102"/>
    </row>
    <row r="357" spans="1:22" ht="29.45" customHeight="1">
      <c r="B357" s="153" t="str">
        <f t="shared" si="7"/>
        <v>5-16</v>
      </c>
      <c r="C357" s="18" t="s">
        <v>135</v>
      </c>
      <c r="D357" s="18" t="s">
        <v>136</v>
      </c>
      <c r="E357" s="100" t="s">
        <v>134</v>
      </c>
      <c r="F357" s="244" t="s">
        <v>137</v>
      </c>
      <c r="G357" s="245"/>
      <c r="H357" s="101"/>
      <c r="I357" s="20"/>
      <c r="J357" s="101"/>
      <c r="K357" s="101"/>
      <c r="L357" s="20"/>
      <c r="M357" s="101"/>
      <c r="N357" s="101"/>
      <c r="O357" s="20"/>
      <c r="P357" s="101"/>
      <c r="Q357" s="101"/>
      <c r="R357" s="124"/>
      <c r="S357" s="114"/>
      <c r="T357" s="102"/>
      <c r="U357" s="102"/>
    </row>
    <row r="358" spans="1:22" ht="29.45" customHeight="1">
      <c r="B358" s="153" t="str">
        <f t="shared" si="7"/>
        <v>5-17</v>
      </c>
      <c r="C358" s="18" t="s">
        <v>144</v>
      </c>
      <c r="D358" s="18" t="s">
        <v>144</v>
      </c>
      <c r="E358" s="100" t="s">
        <v>134</v>
      </c>
      <c r="F358" s="244" t="s">
        <v>138</v>
      </c>
      <c r="G358" s="245"/>
      <c r="H358" s="101"/>
      <c r="I358" s="20"/>
      <c r="J358" s="101"/>
      <c r="K358" s="101"/>
      <c r="L358" s="20"/>
      <c r="M358" s="101"/>
      <c r="N358" s="101"/>
      <c r="O358" s="20"/>
      <c r="P358" s="101"/>
      <c r="Q358" s="101"/>
      <c r="R358" s="124"/>
      <c r="S358" s="114"/>
      <c r="T358" s="102"/>
      <c r="U358" s="102"/>
    </row>
    <row r="359" spans="1:22" ht="29.45" customHeight="1">
      <c r="B359" s="153" t="str">
        <f t="shared" si="7"/>
        <v>5-18</v>
      </c>
      <c r="C359" s="18" t="s">
        <v>144</v>
      </c>
      <c r="D359" s="18" t="s">
        <v>150</v>
      </c>
      <c r="E359" s="100" t="s">
        <v>134</v>
      </c>
      <c r="F359" s="244" t="s">
        <v>151</v>
      </c>
      <c r="G359" s="245"/>
      <c r="H359" s="101"/>
      <c r="I359" s="20"/>
      <c r="J359" s="101"/>
      <c r="K359" s="101"/>
      <c r="L359" s="20"/>
      <c r="M359" s="101"/>
      <c r="N359" s="101"/>
      <c r="O359" s="20"/>
      <c r="P359" s="101"/>
      <c r="Q359" s="101"/>
      <c r="R359" s="124"/>
      <c r="S359" s="114"/>
      <c r="T359" s="102"/>
      <c r="U359" s="102"/>
    </row>
    <row r="360" spans="1:22" ht="29.45" customHeight="1">
      <c r="B360" s="153" t="str">
        <f t="shared" si="7"/>
        <v>5-19</v>
      </c>
      <c r="C360" s="18" t="s">
        <v>144</v>
      </c>
      <c r="D360" s="18" t="s">
        <v>144</v>
      </c>
      <c r="E360" s="100" t="s">
        <v>134</v>
      </c>
      <c r="F360" s="244" t="s">
        <v>138</v>
      </c>
      <c r="G360" s="245"/>
      <c r="H360" s="101"/>
      <c r="I360" s="20"/>
      <c r="J360" s="101"/>
      <c r="K360" s="101"/>
      <c r="L360" s="20"/>
      <c r="M360" s="101"/>
      <c r="N360" s="101"/>
      <c r="O360" s="20"/>
      <c r="P360" s="101"/>
      <c r="Q360" s="101"/>
      <c r="R360" s="124"/>
      <c r="S360" s="114"/>
      <c r="T360" s="102"/>
      <c r="U360" s="102"/>
    </row>
    <row r="361" spans="1:22" ht="29.45" customHeight="1">
      <c r="B361" s="153" t="str">
        <f t="shared" si="7"/>
        <v>5-20</v>
      </c>
      <c r="C361" s="18" t="s">
        <v>144</v>
      </c>
      <c r="D361" s="18" t="s">
        <v>152</v>
      </c>
      <c r="E361" s="100" t="s">
        <v>134</v>
      </c>
      <c r="F361" s="244" t="s">
        <v>153</v>
      </c>
      <c r="G361" s="245"/>
      <c r="H361" s="101"/>
      <c r="I361" s="20"/>
      <c r="J361" s="101"/>
      <c r="K361" s="101"/>
      <c r="L361" s="20"/>
      <c r="M361" s="101"/>
      <c r="N361" s="101"/>
      <c r="O361" s="20"/>
      <c r="P361" s="101"/>
      <c r="Q361" s="101"/>
      <c r="R361" s="124"/>
      <c r="S361" s="114"/>
      <c r="T361" s="102"/>
      <c r="U361" s="102"/>
    </row>
    <row r="362" spans="1:22" ht="29.45" customHeight="1">
      <c r="B362" s="153" t="str">
        <f t="shared" si="7"/>
        <v>5-21</v>
      </c>
      <c r="C362" s="18" t="s">
        <v>144</v>
      </c>
      <c r="D362" s="18" t="s">
        <v>144</v>
      </c>
      <c r="E362" s="100" t="s">
        <v>134</v>
      </c>
      <c r="F362" s="244" t="s">
        <v>138</v>
      </c>
      <c r="G362" s="245"/>
      <c r="H362" s="101"/>
      <c r="I362" s="20"/>
      <c r="J362" s="101"/>
      <c r="K362" s="101"/>
      <c r="L362" s="20"/>
      <c r="M362" s="101"/>
      <c r="N362" s="101"/>
      <c r="O362" s="20"/>
      <c r="P362" s="101"/>
      <c r="Q362" s="101"/>
      <c r="R362" s="124"/>
      <c r="S362" s="114"/>
      <c r="T362" s="102"/>
      <c r="U362" s="102"/>
    </row>
    <row r="363" spans="1:22" ht="34.5" customHeight="1">
      <c r="A363" s="176"/>
      <c r="B363" s="153" t="str">
        <f t="shared" si="7"/>
        <v>5-22</v>
      </c>
      <c r="C363" s="18" t="s">
        <v>139</v>
      </c>
      <c r="D363" s="18" t="s">
        <v>809</v>
      </c>
      <c r="E363" s="100" t="s">
        <v>811</v>
      </c>
      <c r="F363" s="244" t="s">
        <v>808</v>
      </c>
      <c r="G363" s="245"/>
      <c r="H363" s="101"/>
      <c r="I363" s="20"/>
      <c r="J363" s="101"/>
      <c r="K363" s="101"/>
      <c r="L363" s="20"/>
      <c r="M363" s="101"/>
      <c r="N363" s="101"/>
      <c r="O363" s="20"/>
      <c r="P363" s="101"/>
      <c r="Q363" s="124"/>
      <c r="R363" s="124"/>
      <c r="S363" s="114"/>
      <c r="T363" s="102"/>
      <c r="U363" s="102"/>
      <c r="V363" s="152"/>
    </row>
    <row r="364" spans="1:22">
      <c r="A364" s="176"/>
      <c r="B364" s="177"/>
    </row>
    <row r="365" spans="1:22">
      <c r="A365" s="176"/>
      <c r="B365" s="177"/>
    </row>
    <row r="366" spans="1:22">
      <c r="A366" s="176"/>
      <c r="B366" s="177"/>
    </row>
  </sheetData>
  <autoFilter ref="B7:U363">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J213:J214">
    <sortCondition descending="1" ref="J213:J214"/>
  </sortState>
  <mergeCells count="387">
    <mergeCell ref="Q7:Q8"/>
    <mergeCell ref="Q241:Q242"/>
    <mergeCell ref="Q269:Q270"/>
    <mergeCell ref="Q305:Q306"/>
    <mergeCell ref="Q340:Q341"/>
    <mergeCell ref="F347:G347"/>
    <mergeCell ref="F27:G27"/>
    <mergeCell ref="F142:G142"/>
    <mergeCell ref="F143:G143"/>
    <mergeCell ref="F222:G222"/>
    <mergeCell ref="F223:G223"/>
    <mergeCell ref="F224:G224"/>
    <mergeCell ref="F225:G225"/>
    <mergeCell ref="F112:G112"/>
    <mergeCell ref="F113:G113"/>
    <mergeCell ref="F114:G114"/>
    <mergeCell ref="F87:G87"/>
    <mergeCell ref="F89:G89"/>
    <mergeCell ref="F91:G91"/>
    <mergeCell ref="F82:G82"/>
    <mergeCell ref="F205:G205"/>
    <mergeCell ref="F206:G206"/>
    <mergeCell ref="F207:G207"/>
    <mergeCell ref="F86:G86"/>
    <mergeCell ref="F84:G84"/>
    <mergeCell ref="S269:U269"/>
    <mergeCell ref="F271:G271"/>
    <mergeCell ref="F272:G272"/>
    <mergeCell ref="F273:G273"/>
    <mergeCell ref="N241:P241"/>
    <mergeCell ref="F230:G230"/>
    <mergeCell ref="F231:G231"/>
    <mergeCell ref="F229:G229"/>
    <mergeCell ref="F232:G232"/>
    <mergeCell ref="F233:G233"/>
    <mergeCell ref="F234:G234"/>
    <mergeCell ref="S241:U241"/>
    <mergeCell ref="F243:G243"/>
    <mergeCell ref="K241:M241"/>
    <mergeCell ref="F256:G256"/>
    <mergeCell ref="F259:G259"/>
    <mergeCell ref="F260:G260"/>
    <mergeCell ref="F235:G235"/>
    <mergeCell ref="F264:G264"/>
    <mergeCell ref="F265:G265"/>
    <mergeCell ref="F266:G266"/>
    <mergeCell ref="F257:G257"/>
    <mergeCell ref="F167:G167"/>
    <mergeCell ref="F166:G166"/>
    <mergeCell ref="F182:G182"/>
    <mergeCell ref="F183:G183"/>
    <mergeCell ref="F185:G185"/>
    <mergeCell ref="F180:G180"/>
    <mergeCell ref="F181:G181"/>
    <mergeCell ref="F171:G171"/>
    <mergeCell ref="F168:G168"/>
    <mergeCell ref="F173:G173"/>
    <mergeCell ref="F179:G179"/>
    <mergeCell ref="F202:G202"/>
    <mergeCell ref="F169:G169"/>
    <mergeCell ref="F195:G195"/>
    <mergeCell ref="F196:G196"/>
    <mergeCell ref="F197:G197"/>
    <mergeCell ref="F198:G198"/>
    <mergeCell ref="F192:G192"/>
    <mergeCell ref="F199:G199"/>
    <mergeCell ref="F172:G172"/>
    <mergeCell ref="F176:G176"/>
    <mergeCell ref="F177:G177"/>
    <mergeCell ref="F178:G178"/>
    <mergeCell ref="F170:G170"/>
    <mergeCell ref="S7:U7"/>
    <mergeCell ref="R7:R8"/>
    <mergeCell ref="K7:M7"/>
    <mergeCell ref="N7:P7"/>
    <mergeCell ref="H7:J7"/>
    <mergeCell ref="F120:G120"/>
    <mergeCell ref="F121:G121"/>
    <mergeCell ref="F122:G122"/>
    <mergeCell ref="F123:G123"/>
    <mergeCell ref="F85:G85"/>
    <mergeCell ref="F12:G12"/>
    <mergeCell ref="F76:G76"/>
    <mergeCell ref="F78:G78"/>
    <mergeCell ref="F18:G18"/>
    <mergeCell ref="F25:G25"/>
    <mergeCell ref="F19:G19"/>
    <mergeCell ref="F21:G21"/>
    <mergeCell ref="F23:G23"/>
    <mergeCell ref="F22:G22"/>
    <mergeCell ref="F24:G24"/>
    <mergeCell ref="F33:G33"/>
    <mergeCell ref="F35:G35"/>
    <mergeCell ref="F37:G37"/>
    <mergeCell ref="F34:G34"/>
    <mergeCell ref="B7:B8"/>
    <mergeCell ref="C7:C8"/>
    <mergeCell ref="E7:E8"/>
    <mergeCell ref="F7:G8"/>
    <mergeCell ref="D7:D8"/>
    <mergeCell ref="F10:G10"/>
    <mergeCell ref="F11:G11"/>
    <mergeCell ref="F9:G9"/>
    <mergeCell ref="F57:G57"/>
    <mergeCell ref="F15:G15"/>
    <mergeCell ref="F16:G16"/>
    <mergeCell ref="F17:G17"/>
    <mergeCell ref="F39:G39"/>
    <mergeCell ref="F41:G41"/>
    <mergeCell ref="F40:G40"/>
    <mergeCell ref="F47:G47"/>
    <mergeCell ref="F52:G52"/>
    <mergeCell ref="F32:G32"/>
    <mergeCell ref="F50:G50"/>
    <mergeCell ref="F53:G53"/>
    <mergeCell ref="F54:G54"/>
    <mergeCell ref="F55:G55"/>
    <mergeCell ref="F56:G56"/>
    <mergeCell ref="F13:G13"/>
    <mergeCell ref="F36:G36"/>
    <mergeCell ref="F38:G38"/>
    <mergeCell ref="F42:G42"/>
    <mergeCell ref="F43:G43"/>
    <mergeCell ref="F26:G26"/>
    <mergeCell ref="F28:G28"/>
    <mergeCell ref="F31:G31"/>
    <mergeCell ref="F14:G14"/>
    <mergeCell ref="F149:G149"/>
    <mergeCell ref="F29:G29"/>
    <mergeCell ref="F30:G30"/>
    <mergeCell ref="F20:G20"/>
    <mergeCell ref="F88:G88"/>
    <mergeCell ref="F68:G68"/>
    <mergeCell ref="F74:G74"/>
    <mergeCell ref="F75:G75"/>
    <mergeCell ref="F77:G77"/>
    <mergeCell ref="F79:G79"/>
    <mergeCell ref="F81:G81"/>
    <mergeCell ref="F83:G83"/>
    <mergeCell ref="F115:G115"/>
    <mergeCell ref="F116:G116"/>
    <mergeCell ref="F72:G72"/>
    <mergeCell ref="F80:G80"/>
    <mergeCell ref="F48:G48"/>
    <mergeCell ref="F49:G49"/>
    <mergeCell ref="F162:G162"/>
    <mergeCell ref="F62:G62"/>
    <mergeCell ref="F63:G63"/>
    <mergeCell ref="F66:G66"/>
    <mergeCell ref="F69:G69"/>
    <mergeCell ref="F67:G67"/>
    <mergeCell ref="F58:G58"/>
    <mergeCell ref="F60:G60"/>
    <mergeCell ref="F59:G59"/>
    <mergeCell ref="F102:G102"/>
    <mergeCell ref="F109:G109"/>
    <mergeCell ref="F70:G70"/>
    <mergeCell ref="F71:G71"/>
    <mergeCell ref="F51:G51"/>
    <mergeCell ref="F119:G119"/>
    <mergeCell ref="F128:G128"/>
    <mergeCell ref="F130:G130"/>
    <mergeCell ref="F132:G132"/>
    <mergeCell ref="F65:G65"/>
    <mergeCell ref="F73:G73"/>
    <mergeCell ref="F98:G98"/>
    <mergeCell ref="F93:G93"/>
    <mergeCell ref="B241:B242"/>
    <mergeCell ref="C241:C242"/>
    <mergeCell ref="D241:D242"/>
    <mergeCell ref="E241:E242"/>
    <mergeCell ref="F241:G242"/>
    <mergeCell ref="F44:G44"/>
    <mergeCell ref="F45:G45"/>
    <mergeCell ref="F46:G46"/>
    <mergeCell ref="F237:G237"/>
    <mergeCell ref="F238:G238"/>
    <mergeCell ref="F208:G208"/>
    <mergeCell ref="F209:G209"/>
    <mergeCell ref="F210:G210"/>
    <mergeCell ref="F211:G211"/>
    <mergeCell ref="F212:G212"/>
    <mergeCell ref="F186:G186"/>
    <mergeCell ref="F188:G188"/>
    <mergeCell ref="F189:G189"/>
    <mergeCell ref="F191:G191"/>
    <mergeCell ref="F187:G187"/>
    <mergeCell ref="F164:G164"/>
    <mergeCell ref="F200:G200"/>
    <mergeCell ref="F184:G184"/>
    <mergeCell ref="F190:G190"/>
    <mergeCell ref="F203:G203"/>
    <mergeCell ref="F204:G204"/>
    <mergeCell ref="F201:G201"/>
    <mergeCell ref="F193:G193"/>
    <mergeCell ref="F194:G194"/>
    <mergeCell ref="F144:G144"/>
    <mergeCell ref="F61:G61"/>
    <mergeCell ref="F146:G146"/>
    <mergeCell ref="F134:G134"/>
    <mergeCell ref="F136:G136"/>
    <mergeCell ref="F174:G174"/>
    <mergeCell ref="F175:G175"/>
    <mergeCell ref="F110:G110"/>
    <mergeCell ref="F111:G111"/>
    <mergeCell ref="F118:G118"/>
    <mergeCell ref="F127:G127"/>
    <mergeCell ref="F129:G129"/>
    <mergeCell ref="F131:G131"/>
    <mergeCell ref="F100:G100"/>
    <mergeCell ref="F106:G106"/>
    <mergeCell ref="F64:G64"/>
    <mergeCell ref="F154:G154"/>
    <mergeCell ref="F137:G137"/>
    <mergeCell ref="F96:G96"/>
    <mergeCell ref="F107:G107"/>
    <mergeCell ref="F90:G90"/>
    <mergeCell ref="F94:G94"/>
    <mergeCell ref="F124:G124"/>
    <mergeCell ref="F125:G125"/>
    <mergeCell ref="F133:G133"/>
    <mergeCell ref="F135:G135"/>
    <mergeCell ref="F126:G126"/>
    <mergeCell ref="F117:G117"/>
    <mergeCell ref="F108:G108"/>
    <mergeCell ref="F99:G99"/>
    <mergeCell ref="F101:G101"/>
    <mergeCell ref="F103:G103"/>
    <mergeCell ref="F92:G92"/>
    <mergeCell ref="F95:G95"/>
    <mergeCell ref="F97:G97"/>
    <mergeCell ref="F104:G104"/>
    <mergeCell ref="F105:G105"/>
    <mergeCell ref="F165:G165"/>
    <mergeCell ref="F155:G155"/>
    <mergeCell ref="F141:G141"/>
    <mergeCell ref="F147:G147"/>
    <mergeCell ref="F159:G159"/>
    <mergeCell ref="F158:G158"/>
    <mergeCell ref="F138:G138"/>
    <mergeCell ref="F140:G140"/>
    <mergeCell ref="F139:G139"/>
    <mergeCell ref="F145:G145"/>
    <mergeCell ref="F161:G161"/>
    <mergeCell ref="F157:G157"/>
    <mergeCell ref="F156:G156"/>
    <mergeCell ref="F148:G148"/>
    <mergeCell ref="F160:G160"/>
    <mergeCell ref="F153:G153"/>
    <mergeCell ref="F151:G151"/>
    <mergeCell ref="F150:G150"/>
    <mergeCell ref="F152:G152"/>
    <mergeCell ref="F163:G163"/>
    <mergeCell ref="B340:B341"/>
    <mergeCell ref="C340:C341"/>
    <mergeCell ref="D340:D341"/>
    <mergeCell ref="E340:E341"/>
    <mergeCell ref="F340:G341"/>
    <mergeCell ref="B269:B270"/>
    <mergeCell ref="C269:C270"/>
    <mergeCell ref="D269:D270"/>
    <mergeCell ref="E269:E270"/>
    <mergeCell ref="B305:B306"/>
    <mergeCell ref="C305:C306"/>
    <mergeCell ref="D305:D306"/>
    <mergeCell ref="E305:E306"/>
    <mergeCell ref="F305:G306"/>
    <mergeCell ref="F295:G295"/>
    <mergeCell ref="F296:G296"/>
    <mergeCell ref="F297:G297"/>
    <mergeCell ref="F298:G298"/>
    <mergeCell ref="F269:G270"/>
    <mergeCell ref="R241:R242"/>
    <mergeCell ref="R269:R270"/>
    <mergeCell ref="R305:R306"/>
    <mergeCell ref="F331:G331"/>
    <mergeCell ref="F332:G332"/>
    <mergeCell ref="F334:G334"/>
    <mergeCell ref="F335:G335"/>
    <mergeCell ref="F336:G336"/>
    <mergeCell ref="F317:G317"/>
    <mergeCell ref="F318:G318"/>
    <mergeCell ref="F321:G321"/>
    <mergeCell ref="F322:G322"/>
    <mergeCell ref="F325:G325"/>
    <mergeCell ref="F323:G323"/>
    <mergeCell ref="H269:J269"/>
    <mergeCell ref="K269:M269"/>
    <mergeCell ref="K305:M305"/>
    <mergeCell ref="N305:P305"/>
    <mergeCell ref="F308:G308"/>
    <mergeCell ref="F309:G309"/>
    <mergeCell ref="F310:G310"/>
    <mergeCell ref="F333:G333"/>
    <mergeCell ref="F261:G261"/>
    <mergeCell ref="F262:G262"/>
    <mergeCell ref="N269:P269"/>
    <mergeCell ref="H305:J305"/>
    <mergeCell ref="F287:G287"/>
    <mergeCell ref="F288:G288"/>
    <mergeCell ref="F290:G290"/>
    <mergeCell ref="F291:G291"/>
    <mergeCell ref="F324:G324"/>
    <mergeCell ref="F326:G326"/>
    <mergeCell ref="F302:G302"/>
    <mergeCell ref="F294:G294"/>
    <mergeCell ref="F282:G282"/>
    <mergeCell ref="F286:G286"/>
    <mergeCell ref="F292:G292"/>
    <mergeCell ref="F293:G293"/>
    <mergeCell ref="F289:G289"/>
    <mergeCell ref="F299:G299"/>
    <mergeCell ref="F300:G300"/>
    <mergeCell ref="F301:G301"/>
    <mergeCell ref="F307:G307"/>
    <mergeCell ref="F213:G213"/>
    <mergeCell ref="F248:G248"/>
    <mergeCell ref="F251:G251"/>
    <mergeCell ref="F252:G252"/>
    <mergeCell ref="F253:G253"/>
    <mergeCell ref="F249:G249"/>
    <mergeCell ref="F250:G250"/>
    <mergeCell ref="F255:G255"/>
    <mergeCell ref="H241:J241"/>
    <mergeCell ref="F254:G254"/>
    <mergeCell ref="F244:G244"/>
    <mergeCell ref="F245:G245"/>
    <mergeCell ref="F247:G247"/>
    <mergeCell ref="F215:G215"/>
    <mergeCell ref="F214:G214"/>
    <mergeCell ref="F217:G217"/>
    <mergeCell ref="F220:G220"/>
    <mergeCell ref="F221:G221"/>
    <mergeCell ref="F236:G236"/>
    <mergeCell ref="F228:G228"/>
    <mergeCell ref="F226:G226"/>
    <mergeCell ref="F227:G227"/>
    <mergeCell ref="F218:G218"/>
    <mergeCell ref="F219:G219"/>
    <mergeCell ref="S340:U340"/>
    <mergeCell ref="F343:G343"/>
    <mergeCell ref="F344:G344"/>
    <mergeCell ref="F345:G345"/>
    <mergeCell ref="F342:G342"/>
    <mergeCell ref="S305:U305"/>
    <mergeCell ref="F337:G337"/>
    <mergeCell ref="F363:G363"/>
    <mergeCell ref="F362:G362"/>
    <mergeCell ref="F359:G359"/>
    <mergeCell ref="F360:G360"/>
    <mergeCell ref="F361:G361"/>
    <mergeCell ref="F349:G349"/>
    <mergeCell ref="F351:G351"/>
    <mergeCell ref="F354:G354"/>
    <mergeCell ref="R340:R341"/>
    <mergeCell ref="H340:J340"/>
    <mergeCell ref="K340:M340"/>
    <mergeCell ref="F356:G356"/>
    <mergeCell ref="F346:G346"/>
    <mergeCell ref="F327:G327"/>
    <mergeCell ref="F328:G328"/>
    <mergeCell ref="N340:P340"/>
    <mergeCell ref="F350:G350"/>
    <mergeCell ref="F352:G352"/>
    <mergeCell ref="F353:G353"/>
    <mergeCell ref="F355:G355"/>
    <mergeCell ref="F216:G216"/>
    <mergeCell ref="F357:G357"/>
    <mergeCell ref="F358:G358"/>
    <mergeCell ref="F274:G274"/>
    <mergeCell ref="F285:G285"/>
    <mergeCell ref="F276:G276"/>
    <mergeCell ref="F277:G277"/>
    <mergeCell ref="F278:G278"/>
    <mergeCell ref="F275:G275"/>
    <mergeCell ref="F280:G280"/>
    <mergeCell ref="F281:G281"/>
    <mergeCell ref="F329:G329"/>
    <mergeCell ref="F330:G330"/>
    <mergeCell ref="F311:G311"/>
    <mergeCell ref="F312:G312"/>
    <mergeCell ref="F313:G313"/>
    <mergeCell ref="F314:G314"/>
    <mergeCell ref="F316:G316"/>
    <mergeCell ref="F348:G348"/>
    <mergeCell ref="F263:G263"/>
    <mergeCell ref="F258:G258"/>
  </mergeCells>
  <phoneticPr fontId="28"/>
  <dataValidations count="1">
    <dataValidation type="list" allowBlank="1" showInputMessage="1" showErrorMessage="1" sqref="N243:N266 K243:K266 H243:H266 H271:H302 K307:K337 K271:K302 N342:N363 N271:N302 H9:H30 H307:H337 N307:N337 K342:K363 H342:H363 K37:K46 K9:K30 N32:N34 H32:H34 K32:K34 H37:H46 N37:N46 N9:N30 N59:N61 K59:K61 H59:H61 H68:H70 N68:N70 N65 H65 K65 K68:K70 K76:K238 H76:H238 N76:N238">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U47"/>
  <sheetViews>
    <sheetView workbookViewId="0">
      <pane xSplit="1" ySplit="5" topLeftCell="B9" activePane="bottomRight" state="frozen"/>
      <selection pane="topRight" activeCell="B1" sqref="B1"/>
      <selection pane="bottomLeft" activeCell="A6" sqref="A6"/>
      <selection pane="bottomRight" activeCell="D28" sqref="D28"/>
    </sheetView>
  </sheetViews>
  <sheetFormatPr defaultRowHeight="13.5"/>
  <cols>
    <col min="1" max="1" width="2.25" customWidth="1"/>
    <col min="2" max="2" width="30.75" bestFit="1" customWidth="1"/>
    <col min="3" max="4" width="12.625" bestFit="1" customWidth="1"/>
    <col min="5" max="5" width="4" bestFit="1" customWidth="1"/>
    <col min="6" max="6" width="7.25" bestFit="1" customWidth="1"/>
    <col min="7" max="7" width="9.25" bestFit="1" customWidth="1"/>
    <col min="8" max="8" width="5.25" bestFit="1" customWidth="1"/>
    <col min="10" max="10" width="9.5" bestFit="1" customWidth="1"/>
  </cols>
  <sheetData>
    <row r="4" spans="2:21">
      <c r="B4" s="273" t="s">
        <v>305</v>
      </c>
      <c r="C4" s="274" t="s">
        <v>314</v>
      </c>
      <c r="D4" s="274"/>
      <c r="E4" s="274"/>
      <c r="F4" s="274"/>
      <c r="G4" s="274"/>
      <c r="H4" s="274"/>
      <c r="I4" s="257" t="s">
        <v>91</v>
      </c>
      <c r="J4" s="257"/>
      <c r="K4" s="257"/>
      <c r="L4" s="257" t="s">
        <v>84</v>
      </c>
      <c r="M4" s="257"/>
      <c r="N4" s="257"/>
      <c r="O4" s="257" t="s">
        <v>85</v>
      </c>
      <c r="P4" s="257"/>
      <c r="Q4" s="257"/>
      <c r="R4" s="275" t="s">
        <v>78</v>
      </c>
      <c r="S4" s="251" t="s">
        <v>14</v>
      </c>
      <c r="T4" s="251"/>
      <c r="U4" s="251"/>
    </row>
    <row r="5" spans="2:21">
      <c r="B5" s="273"/>
      <c r="C5" s="147" t="s">
        <v>315</v>
      </c>
      <c r="D5" s="144" t="s">
        <v>316</v>
      </c>
      <c r="E5" s="144" t="s">
        <v>317</v>
      </c>
      <c r="F5" s="144" t="s">
        <v>318</v>
      </c>
      <c r="G5" s="144" t="s">
        <v>319</v>
      </c>
      <c r="H5" s="144" t="s">
        <v>274</v>
      </c>
      <c r="I5" s="145" t="s">
        <v>8</v>
      </c>
      <c r="J5" s="145" t="s">
        <v>9</v>
      </c>
      <c r="K5" s="145" t="s">
        <v>10</v>
      </c>
      <c r="L5" s="145" t="s">
        <v>8</v>
      </c>
      <c r="M5" s="145" t="s">
        <v>9</v>
      </c>
      <c r="N5" s="145" t="s">
        <v>10</v>
      </c>
      <c r="O5" s="145" t="s">
        <v>8</v>
      </c>
      <c r="P5" s="145" t="s">
        <v>9</v>
      </c>
      <c r="Q5" s="145" t="s">
        <v>10</v>
      </c>
      <c r="R5" s="257"/>
      <c r="S5" s="146"/>
      <c r="T5" s="146"/>
      <c r="U5" s="146"/>
    </row>
    <row r="6" spans="2:21">
      <c r="B6" s="109" t="s">
        <v>306</v>
      </c>
      <c r="C6" s="109" t="s">
        <v>320</v>
      </c>
      <c r="D6" s="109" t="s">
        <v>320</v>
      </c>
      <c r="E6" s="109" t="s">
        <v>320</v>
      </c>
      <c r="F6" s="109" t="s">
        <v>320</v>
      </c>
      <c r="G6" s="109" t="s">
        <v>321</v>
      </c>
      <c r="H6" s="109" t="s">
        <v>321</v>
      </c>
      <c r="I6" s="102"/>
      <c r="J6" s="54"/>
      <c r="K6" s="102"/>
      <c r="L6" s="102"/>
      <c r="M6" s="54"/>
      <c r="N6" s="102"/>
      <c r="O6" s="102"/>
      <c r="P6" s="54"/>
      <c r="Q6" s="102"/>
      <c r="R6" s="102"/>
      <c r="S6" s="100"/>
      <c r="T6" s="102"/>
      <c r="U6" s="102"/>
    </row>
    <row r="7" spans="2:21">
      <c r="B7" s="109" t="s">
        <v>307</v>
      </c>
      <c r="C7" s="109" t="s">
        <v>320</v>
      </c>
      <c r="D7" s="109" t="s">
        <v>320</v>
      </c>
      <c r="E7" s="109" t="s">
        <v>320</v>
      </c>
      <c r="F7" s="109" t="s">
        <v>320</v>
      </c>
      <c r="G7" s="109" t="s">
        <v>321</v>
      </c>
      <c r="H7" s="109" t="s">
        <v>321</v>
      </c>
      <c r="I7" s="102"/>
      <c r="J7" s="54"/>
      <c r="K7" s="102"/>
      <c r="L7" s="102"/>
      <c r="M7" s="54"/>
      <c r="N7" s="102"/>
      <c r="O7" s="102"/>
      <c r="P7" s="54"/>
      <c r="Q7" s="102"/>
      <c r="R7" s="102"/>
      <c r="S7" s="100"/>
      <c r="T7" s="102"/>
      <c r="U7" s="102"/>
    </row>
    <row r="8" spans="2:21">
      <c r="B8" s="109" t="s">
        <v>308</v>
      </c>
      <c r="C8" s="109" t="s">
        <v>320</v>
      </c>
      <c r="D8" s="109" t="s">
        <v>320</v>
      </c>
      <c r="E8" s="109" t="s">
        <v>320</v>
      </c>
      <c r="F8" s="109" t="s">
        <v>320</v>
      </c>
      <c r="G8" s="109" t="s">
        <v>321</v>
      </c>
      <c r="H8" s="109" t="s">
        <v>321</v>
      </c>
      <c r="I8" s="102"/>
      <c r="J8" s="54"/>
      <c r="K8" s="102"/>
      <c r="L8" s="102"/>
      <c r="M8" s="54"/>
      <c r="N8" s="102"/>
      <c r="O8" s="102"/>
      <c r="P8" s="54"/>
      <c r="Q8" s="102"/>
      <c r="R8" s="102"/>
      <c r="S8" s="100"/>
      <c r="T8" s="102"/>
      <c r="U8" s="102"/>
    </row>
    <row r="9" spans="2:21">
      <c r="B9" s="109" t="s">
        <v>309</v>
      </c>
      <c r="C9" s="109" t="s">
        <v>320</v>
      </c>
      <c r="D9" s="109" t="s">
        <v>320</v>
      </c>
      <c r="E9" s="109" t="s">
        <v>320</v>
      </c>
      <c r="F9" s="109" t="s">
        <v>320</v>
      </c>
      <c r="G9" s="109" t="s">
        <v>321</v>
      </c>
      <c r="H9" s="109" t="s">
        <v>321</v>
      </c>
      <c r="I9" s="102"/>
      <c r="J9" s="54"/>
      <c r="K9" s="102"/>
      <c r="L9" s="102"/>
      <c r="M9" s="54"/>
      <c r="N9" s="102"/>
      <c r="O9" s="102"/>
      <c r="P9" s="54"/>
      <c r="Q9" s="102"/>
      <c r="R9" s="102"/>
      <c r="S9" s="100"/>
      <c r="T9" s="102"/>
      <c r="U9" s="102"/>
    </row>
    <row r="10" spans="2:21">
      <c r="B10" s="109" t="s">
        <v>310</v>
      </c>
      <c r="C10" s="109" t="s">
        <v>320</v>
      </c>
      <c r="D10" s="109" t="s">
        <v>320</v>
      </c>
      <c r="E10" s="109" t="s">
        <v>320</v>
      </c>
      <c r="F10" s="109" t="s">
        <v>320</v>
      </c>
      <c r="G10" s="109" t="s">
        <v>321</v>
      </c>
      <c r="H10" s="109" t="s">
        <v>321</v>
      </c>
      <c r="I10" s="102"/>
      <c r="J10" s="54"/>
      <c r="K10" s="102"/>
      <c r="L10" s="102"/>
      <c r="M10" s="54"/>
      <c r="N10" s="102"/>
      <c r="O10" s="102"/>
      <c r="P10" s="54"/>
      <c r="Q10" s="102"/>
      <c r="R10" s="102"/>
      <c r="S10" s="100"/>
      <c r="T10" s="102"/>
      <c r="U10" s="102"/>
    </row>
    <row r="11" spans="2:21">
      <c r="B11" s="109" t="s">
        <v>311</v>
      </c>
      <c r="C11" s="109" t="s">
        <v>320</v>
      </c>
      <c r="D11" s="109" t="s">
        <v>320</v>
      </c>
      <c r="E11" s="109" t="s">
        <v>320</v>
      </c>
      <c r="F11" s="109" t="s">
        <v>320</v>
      </c>
      <c r="G11" s="109" t="s">
        <v>321</v>
      </c>
      <c r="H11" s="109" t="s">
        <v>321</v>
      </c>
      <c r="I11" s="102"/>
      <c r="J11" s="54"/>
      <c r="K11" s="102"/>
      <c r="L11" s="102"/>
      <c r="M11" s="54"/>
      <c r="N11" s="102"/>
      <c r="O11" s="102"/>
      <c r="P11" s="54"/>
      <c r="Q11" s="102"/>
      <c r="R11" s="102"/>
      <c r="S11" s="100"/>
      <c r="T11" s="102"/>
      <c r="U11" s="102"/>
    </row>
    <row r="12" spans="2:21">
      <c r="B12" s="109" t="s">
        <v>312</v>
      </c>
      <c r="C12" s="109" t="s">
        <v>320</v>
      </c>
      <c r="D12" s="109" t="s">
        <v>320</v>
      </c>
      <c r="E12" s="109" t="s">
        <v>320</v>
      </c>
      <c r="F12" s="109" t="s">
        <v>320</v>
      </c>
      <c r="G12" s="109" t="s">
        <v>321</v>
      </c>
      <c r="H12" s="109" t="s">
        <v>321</v>
      </c>
      <c r="I12" s="102"/>
      <c r="J12" s="54"/>
      <c r="K12" s="102"/>
      <c r="L12" s="102"/>
      <c r="M12" s="54"/>
      <c r="N12" s="102"/>
      <c r="O12" s="102"/>
      <c r="P12" s="54"/>
      <c r="Q12" s="102"/>
      <c r="R12" s="102"/>
      <c r="S12" s="100"/>
      <c r="T12" s="102"/>
      <c r="U12" s="102"/>
    </row>
    <row r="13" spans="2:21">
      <c r="B13" s="109" t="s">
        <v>313</v>
      </c>
      <c r="C13" s="109" t="s">
        <v>320</v>
      </c>
      <c r="D13" s="109" t="s">
        <v>320</v>
      </c>
      <c r="E13" s="109" t="s">
        <v>320</v>
      </c>
      <c r="F13" s="109" t="s">
        <v>320</v>
      </c>
      <c r="G13" s="109" t="s">
        <v>321</v>
      </c>
      <c r="H13" s="109" t="s">
        <v>321</v>
      </c>
      <c r="I13" s="102"/>
      <c r="J13" s="54"/>
      <c r="K13" s="102"/>
      <c r="L13" s="102"/>
      <c r="M13" s="54"/>
      <c r="N13" s="102"/>
      <c r="O13" s="102"/>
      <c r="P13" s="54"/>
      <c r="Q13" s="102"/>
      <c r="R13" s="102"/>
      <c r="S13" s="100"/>
      <c r="T13" s="102"/>
      <c r="U13" s="102"/>
    </row>
    <row r="14" spans="2:21">
      <c r="B14" s="106" t="s">
        <v>155</v>
      </c>
      <c r="C14" s="109" t="s">
        <v>320</v>
      </c>
      <c r="D14" s="109" t="s">
        <v>320</v>
      </c>
      <c r="E14" s="109" t="s">
        <v>320</v>
      </c>
      <c r="F14" s="109" t="s">
        <v>321</v>
      </c>
      <c r="G14" s="109" t="s">
        <v>321</v>
      </c>
      <c r="H14" s="109" t="s">
        <v>321</v>
      </c>
      <c r="I14" s="102"/>
      <c r="J14" s="54"/>
      <c r="K14" s="102"/>
      <c r="L14" s="102"/>
      <c r="M14" s="54"/>
      <c r="N14" s="102"/>
      <c r="O14" s="102"/>
      <c r="P14" s="54"/>
      <c r="Q14" s="102"/>
      <c r="R14" s="102"/>
      <c r="S14" s="100"/>
      <c r="T14" s="102"/>
      <c r="U14" s="102"/>
    </row>
    <row r="15" spans="2:21">
      <c r="B15" s="106" t="s">
        <v>156</v>
      </c>
      <c r="C15" s="109" t="s">
        <v>320</v>
      </c>
      <c r="D15" s="109" t="s">
        <v>320</v>
      </c>
      <c r="E15" s="109" t="s">
        <v>320</v>
      </c>
      <c r="F15" s="109" t="s">
        <v>321</v>
      </c>
      <c r="G15" s="109" t="s">
        <v>321</v>
      </c>
      <c r="H15" s="109" t="s">
        <v>321</v>
      </c>
      <c r="I15" s="102"/>
      <c r="J15" s="54"/>
      <c r="K15" s="102"/>
      <c r="L15" s="102"/>
      <c r="M15" s="54"/>
      <c r="N15" s="102"/>
      <c r="O15" s="102"/>
      <c r="P15" s="54"/>
      <c r="Q15" s="102"/>
      <c r="R15" s="102"/>
      <c r="S15" s="100"/>
      <c r="T15" s="102"/>
      <c r="U15" s="102"/>
    </row>
    <row r="16" spans="2:21">
      <c r="B16" s="109" t="s">
        <v>157</v>
      </c>
      <c r="C16" s="109" t="s">
        <v>320</v>
      </c>
      <c r="D16" s="109" t="s">
        <v>320</v>
      </c>
      <c r="E16" s="109" t="s">
        <v>320</v>
      </c>
      <c r="F16" s="109" t="s">
        <v>320</v>
      </c>
      <c r="G16" s="109" t="s">
        <v>321</v>
      </c>
      <c r="H16" s="109" t="s">
        <v>321</v>
      </c>
      <c r="I16" s="102"/>
      <c r="J16" s="54"/>
      <c r="K16" s="102"/>
      <c r="L16" s="102"/>
      <c r="M16" s="54"/>
      <c r="N16" s="102"/>
      <c r="O16" s="102"/>
      <c r="P16" s="54"/>
      <c r="Q16" s="102"/>
      <c r="R16" s="102"/>
      <c r="S16" s="100"/>
      <c r="T16" s="102"/>
      <c r="U16" s="102"/>
    </row>
    <row r="17" spans="2:21">
      <c r="B17" s="109" t="s">
        <v>158</v>
      </c>
      <c r="C17" s="109" t="s">
        <v>320</v>
      </c>
      <c r="D17" s="109" t="s">
        <v>320</v>
      </c>
      <c r="E17" s="109" t="s">
        <v>320</v>
      </c>
      <c r="F17" s="109" t="s">
        <v>320</v>
      </c>
      <c r="G17" s="109" t="s">
        <v>321</v>
      </c>
      <c r="H17" s="109" t="s">
        <v>321</v>
      </c>
      <c r="I17" s="102"/>
      <c r="J17" s="54"/>
      <c r="K17" s="102"/>
      <c r="L17" s="102"/>
      <c r="M17" s="54"/>
      <c r="N17" s="102"/>
      <c r="O17" s="102"/>
      <c r="P17" s="54"/>
      <c r="Q17" s="102"/>
      <c r="R17" s="102"/>
      <c r="S17" s="100"/>
      <c r="T17" s="102"/>
      <c r="U17" s="102"/>
    </row>
    <row r="18" spans="2:21">
      <c r="B18" s="109" t="s">
        <v>159</v>
      </c>
      <c r="C18" s="109" t="s">
        <v>320</v>
      </c>
      <c r="D18" s="109" t="s">
        <v>320</v>
      </c>
      <c r="E18" s="109" t="s">
        <v>320</v>
      </c>
      <c r="F18" s="109" t="s">
        <v>320</v>
      </c>
      <c r="G18" s="109" t="s">
        <v>321</v>
      </c>
      <c r="H18" s="109" t="s">
        <v>321</v>
      </c>
      <c r="I18" s="102"/>
      <c r="J18" s="54"/>
      <c r="K18" s="102"/>
      <c r="L18" s="102"/>
      <c r="M18" s="54"/>
      <c r="N18" s="102"/>
      <c r="O18" s="102"/>
      <c r="P18" s="54"/>
      <c r="Q18" s="102"/>
      <c r="R18" s="102"/>
      <c r="S18" s="100"/>
      <c r="T18" s="102"/>
      <c r="U18" s="102"/>
    </row>
    <row r="19" spans="2:21">
      <c r="B19" s="109" t="s">
        <v>160</v>
      </c>
      <c r="C19" s="109" t="s">
        <v>320</v>
      </c>
      <c r="D19" s="109" t="s">
        <v>320</v>
      </c>
      <c r="E19" s="109" t="s">
        <v>320</v>
      </c>
      <c r="F19" s="109" t="s">
        <v>320</v>
      </c>
      <c r="G19" s="109" t="s">
        <v>321</v>
      </c>
      <c r="H19" s="109" t="s">
        <v>321</v>
      </c>
      <c r="I19" s="102"/>
      <c r="J19" s="54"/>
      <c r="K19" s="102"/>
      <c r="L19" s="102"/>
      <c r="M19" s="54"/>
      <c r="N19" s="102"/>
      <c r="O19" s="102"/>
      <c r="P19" s="54"/>
      <c r="Q19" s="102"/>
      <c r="R19" s="102"/>
      <c r="S19" s="100"/>
      <c r="T19" s="102"/>
      <c r="U19" s="102"/>
    </row>
    <row r="20" spans="2:21">
      <c r="B20" s="109" t="s">
        <v>161</v>
      </c>
      <c r="C20" s="109" t="s">
        <v>320</v>
      </c>
      <c r="D20" s="109" t="s">
        <v>320</v>
      </c>
      <c r="E20" s="109" t="s">
        <v>320</v>
      </c>
      <c r="F20" s="109" t="s">
        <v>320</v>
      </c>
      <c r="G20" s="109" t="s">
        <v>321</v>
      </c>
      <c r="H20" s="109" t="s">
        <v>321</v>
      </c>
      <c r="I20" s="102"/>
      <c r="J20" s="54"/>
      <c r="K20" s="102"/>
      <c r="L20" s="102"/>
      <c r="M20" s="54"/>
      <c r="N20" s="102"/>
      <c r="O20" s="102"/>
      <c r="P20" s="54"/>
      <c r="Q20" s="102"/>
      <c r="R20" s="102"/>
      <c r="S20" s="100"/>
      <c r="T20" s="102"/>
      <c r="U20" s="102"/>
    </row>
    <row r="21" spans="2:21">
      <c r="B21" s="109" t="s">
        <v>162</v>
      </c>
      <c r="C21" s="109" t="s">
        <v>320</v>
      </c>
      <c r="D21" s="109" t="s">
        <v>320</v>
      </c>
      <c r="E21" s="109" t="s">
        <v>320</v>
      </c>
      <c r="F21" s="109" t="s">
        <v>320</v>
      </c>
      <c r="G21" s="109" t="s">
        <v>321</v>
      </c>
      <c r="H21" s="109" t="s">
        <v>321</v>
      </c>
      <c r="I21" s="102"/>
      <c r="J21" s="54"/>
      <c r="K21" s="102"/>
      <c r="L21" s="102"/>
      <c r="M21" s="54"/>
      <c r="N21" s="102"/>
      <c r="O21" s="102"/>
      <c r="P21" s="54"/>
      <c r="Q21" s="102"/>
      <c r="R21" s="102"/>
      <c r="S21" s="100"/>
      <c r="T21" s="102"/>
      <c r="U21" s="102"/>
    </row>
    <row r="22" spans="2:21">
      <c r="B22" s="109" t="s">
        <v>163</v>
      </c>
      <c r="C22" s="109" t="s">
        <v>320</v>
      </c>
      <c r="D22" s="109" t="s">
        <v>320</v>
      </c>
      <c r="E22" s="109" t="s">
        <v>320</v>
      </c>
      <c r="F22" s="109" t="s">
        <v>320</v>
      </c>
      <c r="G22" s="109" t="s">
        <v>321</v>
      </c>
      <c r="H22" s="109" t="s">
        <v>321</v>
      </c>
      <c r="I22" s="102"/>
      <c r="J22" s="54"/>
      <c r="K22" s="102"/>
      <c r="L22" s="102"/>
      <c r="M22" s="54"/>
      <c r="N22" s="102"/>
      <c r="O22" s="102"/>
      <c r="P22" s="54"/>
      <c r="Q22" s="102"/>
      <c r="R22" s="102"/>
      <c r="S22" s="100"/>
      <c r="T22" s="102"/>
      <c r="U22" s="102"/>
    </row>
    <row r="23" spans="2:21">
      <c r="B23" s="109" t="s">
        <v>164</v>
      </c>
      <c r="C23" s="109" t="s">
        <v>320</v>
      </c>
      <c r="D23" s="109" t="s">
        <v>320</v>
      </c>
      <c r="E23" s="109" t="s">
        <v>320</v>
      </c>
      <c r="F23" s="109" t="s">
        <v>320</v>
      </c>
      <c r="G23" s="109" t="s">
        <v>321</v>
      </c>
      <c r="H23" s="109" t="s">
        <v>321</v>
      </c>
      <c r="I23" s="102"/>
      <c r="J23" s="54"/>
      <c r="K23" s="102"/>
      <c r="L23" s="102"/>
      <c r="M23" s="54"/>
      <c r="N23" s="102"/>
      <c r="O23" s="102"/>
      <c r="P23" s="54"/>
      <c r="Q23" s="102"/>
      <c r="R23" s="102"/>
      <c r="S23" s="100"/>
      <c r="T23" s="102"/>
      <c r="U23" s="102"/>
    </row>
    <row r="24" spans="2:21">
      <c r="B24" s="109" t="s">
        <v>165</v>
      </c>
      <c r="C24" s="109" t="s">
        <v>320</v>
      </c>
      <c r="D24" s="109" t="s">
        <v>320</v>
      </c>
      <c r="E24" s="109" t="s">
        <v>320</v>
      </c>
      <c r="F24" s="109" t="s">
        <v>320</v>
      </c>
      <c r="G24" s="109" t="s">
        <v>321</v>
      </c>
      <c r="H24" s="109" t="s">
        <v>321</v>
      </c>
      <c r="I24" s="102"/>
      <c r="J24" s="54"/>
      <c r="K24" s="102"/>
      <c r="L24" s="102"/>
      <c r="M24" s="54"/>
      <c r="N24" s="102"/>
      <c r="O24" s="102"/>
      <c r="P24" s="54"/>
      <c r="Q24" s="102"/>
      <c r="R24" s="102"/>
      <c r="S24" s="100"/>
      <c r="T24" s="102"/>
      <c r="U24" s="102"/>
    </row>
    <row r="25" spans="2:21">
      <c r="B25" s="109" t="s">
        <v>166</v>
      </c>
      <c r="C25" s="109" t="s">
        <v>320</v>
      </c>
      <c r="D25" s="109" t="s">
        <v>320</v>
      </c>
      <c r="E25" s="109" t="s">
        <v>320</v>
      </c>
      <c r="F25" s="109" t="s">
        <v>320</v>
      </c>
      <c r="G25" s="109" t="s">
        <v>321</v>
      </c>
      <c r="H25" s="109" t="s">
        <v>321</v>
      </c>
      <c r="I25" s="102"/>
      <c r="J25" s="54"/>
      <c r="K25" s="102"/>
      <c r="L25" s="102"/>
      <c r="M25" s="54"/>
      <c r="N25" s="102"/>
      <c r="O25" s="102"/>
      <c r="P25" s="54"/>
      <c r="Q25" s="102"/>
      <c r="R25" s="102"/>
      <c r="S25" s="100"/>
      <c r="T25" s="102"/>
      <c r="U25" s="102"/>
    </row>
    <row r="26" spans="2:21">
      <c r="B26" s="109" t="s">
        <v>167</v>
      </c>
      <c r="C26" s="109" t="s">
        <v>320</v>
      </c>
      <c r="D26" s="109" t="s">
        <v>320</v>
      </c>
      <c r="E26" s="109" t="s">
        <v>320</v>
      </c>
      <c r="F26" s="109" t="s">
        <v>320</v>
      </c>
      <c r="G26" s="109" t="s">
        <v>321</v>
      </c>
      <c r="H26" s="109" t="s">
        <v>321</v>
      </c>
      <c r="I26" s="102"/>
      <c r="J26" s="54"/>
      <c r="K26" s="102"/>
      <c r="L26" s="102"/>
      <c r="M26" s="54"/>
      <c r="N26" s="102"/>
      <c r="O26" s="102"/>
      <c r="P26" s="54"/>
      <c r="Q26" s="102"/>
      <c r="R26" s="102"/>
      <c r="S26" s="100"/>
      <c r="T26" s="102"/>
      <c r="U26" s="102"/>
    </row>
    <row r="27" spans="2:21">
      <c r="B27" s="109" t="s">
        <v>168</v>
      </c>
      <c r="C27" s="109" t="s">
        <v>320</v>
      </c>
      <c r="D27" s="109" t="s">
        <v>320</v>
      </c>
      <c r="E27" s="109" t="s">
        <v>320</v>
      </c>
      <c r="F27" s="109" t="s">
        <v>320</v>
      </c>
      <c r="G27" s="109" t="s">
        <v>321</v>
      </c>
      <c r="H27" s="109" t="s">
        <v>321</v>
      </c>
      <c r="I27" s="102"/>
      <c r="J27" s="54"/>
      <c r="K27" s="102"/>
      <c r="L27" s="102"/>
      <c r="M27" s="54"/>
      <c r="N27" s="102"/>
      <c r="O27" s="102"/>
      <c r="P27" s="54"/>
      <c r="Q27" s="102"/>
      <c r="R27" s="102"/>
      <c r="S27" s="100"/>
      <c r="T27" s="102"/>
      <c r="U27" s="102"/>
    </row>
    <row r="28" spans="2:21">
      <c r="B28" s="109" t="s">
        <v>169</v>
      </c>
      <c r="C28" s="109" t="s">
        <v>320</v>
      </c>
      <c r="D28" s="109" t="s">
        <v>320</v>
      </c>
      <c r="E28" s="109" t="s">
        <v>320</v>
      </c>
      <c r="F28" s="109" t="s">
        <v>320</v>
      </c>
      <c r="G28" s="109" t="s">
        <v>321</v>
      </c>
      <c r="H28" s="109" t="s">
        <v>321</v>
      </c>
      <c r="I28" s="102"/>
      <c r="J28" s="54"/>
      <c r="K28" s="102"/>
      <c r="L28" s="102"/>
      <c r="M28" s="54"/>
      <c r="N28" s="102"/>
      <c r="O28" s="102"/>
      <c r="P28" s="54"/>
      <c r="Q28" s="102"/>
      <c r="R28" s="102"/>
      <c r="S28" s="100"/>
      <c r="T28" s="102"/>
      <c r="U28" s="102"/>
    </row>
    <row r="29" spans="2:21">
      <c r="B29" s="109" t="s">
        <v>170</v>
      </c>
      <c r="C29" s="109" t="s">
        <v>320</v>
      </c>
      <c r="D29" s="109" t="s">
        <v>320</v>
      </c>
      <c r="E29" s="109" t="s">
        <v>320</v>
      </c>
      <c r="F29" s="109" t="s">
        <v>320</v>
      </c>
      <c r="G29" s="109" t="s">
        <v>321</v>
      </c>
      <c r="H29" s="109" t="s">
        <v>321</v>
      </c>
      <c r="I29" s="102"/>
      <c r="J29" s="54"/>
      <c r="K29" s="102"/>
      <c r="L29" s="102"/>
      <c r="M29" s="54"/>
      <c r="N29" s="102"/>
      <c r="O29" s="102"/>
      <c r="P29" s="54"/>
      <c r="Q29" s="102"/>
      <c r="R29" s="102"/>
      <c r="S29" s="100"/>
      <c r="T29" s="102"/>
      <c r="U29" s="102"/>
    </row>
    <row r="30" spans="2:21">
      <c r="B30" s="109" t="s">
        <v>171</v>
      </c>
      <c r="C30" s="109" t="s">
        <v>320</v>
      </c>
      <c r="D30" s="109" t="s">
        <v>320</v>
      </c>
      <c r="E30" s="109" t="s">
        <v>320</v>
      </c>
      <c r="F30" s="109" t="s">
        <v>320</v>
      </c>
      <c r="G30" s="109" t="s">
        <v>321</v>
      </c>
      <c r="H30" s="109" t="s">
        <v>321</v>
      </c>
      <c r="I30" s="102"/>
      <c r="J30" s="54"/>
      <c r="K30" s="102"/>
      <c r="L30" s="102"/>
      <c r="M30" s="54"/>
      <c r="N30" s="102"/>
      <c r="O30" s="102"/>
      <c r="P30" s="54"/>
      <c r="Q30" s="102"/>
      <c r="R30" s="102"/>
      <c r="S30" s="100"/>
      <c r="T30" s="102"/>
      <c r="U30" s="102"/>
    </row>
    <row r="31" spans="2:21">
      <c r="B31" s="109" t="s">
        <v>172</v>
      </c>
      <c r="C31" s="109" t="s">
        <v>320</v>
      </c>
      <c r="D31" s="109" t="s">
        <v>320</v>
      </c>
      <c r="E31" s="109" t="s">
        <v>320</v>
      </c>
      <c r="F31" s="109" t="s">
        <v>320</v>
      </c>
      <c r="G31" s="109" t="s">
        <v>321</v>
      </c>
      <c r="H31" s="109" t="s">
        <v>321</v>
      </c>
      <c r="I31" s="102"/>
      <c r="J31" s="54"/>
      <c r="K31" s="102"/>
      <c r="L31" s="102"/>
      <c r="M31" s="54"/>
      <c r="N31" s="102"/>
      <c r="O31" s="102"/>
      <c r="P31" s="54"/>
      <c r="Q31" s="102"/>
      <c r="R31" s="102"/>
      <c r="S31" s="100"/>
      <c r="T31" s="102"/>
      <c r="U31" s="102"/>
    </row>
    <row r="32" spans="2:21">
      <c r="B32" s="109" t="s">
        <v>173</v>
      </c>
      <c r="C32" s="109" t="s">
        <v>320</v>
      </c>
      <c r="D32" s="109" t="s">
        <v>320</v>
      </c>
      <c r="E32" s="109" t="s">
        <v>320</v>
      </c>
      <c r="F32" s="109" t="s">
        <v>320</v>
      </c>
      <c r="G32" s="109" t="s">
        <v>321</v>
      </c>
      <c r="H32" s="109" t="s">
        <v>321</v>
      </c>
      <c r="I32" s="102"/>
      <c r="J32" s="54"/>
      <c r="K32" s="102"/>
      <c r="L32" s="102"/>
      <c r="M32" s="54"/>
      <c r="N32" s="102"/>
      <c r="O32" s="102"/>
      <c r="P32" s="54"/>
      <c r="Q32" s="102"/>
      <c r="R32" s="102"/>
      <c r="S32" s="100"/>
      <c r="T32" s="102"/>
      <c r="U32" s="102"/>
    </row>
    <row r="33" spans="2:21">
      <c r="B33" s="109" t="s">
        <v>174</v>
      </c>
      <c r="C33" s="109" t="s">
        <v>320</v>
      </c>
      <c r="D33" s="109" t="s">
        <v>320</v>
      </c>
      <c r="E33" s="109" t="s">
        <v>320</v>
      </c>
      <c r="F33" s="109" t="s">
        <v>320</v>
      </c>
      <c r="G33" s="109" t="s">
        <v>321</v>
      </c>
      <c r="H33" s="109" t="s">
        <v>321</v>
      </c>
      <c r="I33" s="102"/>
      <c r="J33" s="54"/>
      <c r="K33" s="102"/>
      <c r="L33" s="102"/>
      <c r="M33" s="54"/>
      <c r="N33" s="102"/>
      <c r="O33" s="102"/>
      <c r="P33" s="54"/>
      <c r="Q33" s="102"/>
      <c r="R33" s="102"/>
      <c r="S33" s="100"/>
      <c r="T33" s="102"/>
      <c r="U33" s="102"/>
    </row>
    <row r="34" spans="2:21">
      <c r="B34" s="109" t="s">
        <v>175</v>
      </c>
      <c r="C34" s="109" t="s">
        <v>320</v>
      </c>
      <c r="D34" s="109" t="s">
        <v>320</v>
      </c>
      <c r="E34" s="109" t="s">
        <v>320</v>
      </c>
      <c r="F34" s="109" t="s">
        <v>320</v>
      </c>
      <c r="G34" s="109" t="s">
        <v>321</v>
      </c>
      <c r="H34" s="109" t="s">
        <v>321</v>
      </c>
      <c r="I34" s="102"/>
      <c r="J34" s="54"/>
      <c r="K34" s="102"/>
      <c r="L34" s="102"/>
      <c r="M34" s="54"/>
      <c r="N34" s="102"/>
      <c r="O34" s="102"/>
      <c r="P34" s="54"/>
      <c r="Q34" s="102"/>
      <c r="R34" s="102"/>
      <c r="S34" s="100"/>
      <c r="T34" s="102"/>
      <c r="U34" s="102"/>
    </row>
    <row r="35" spans="2:21">
      <c r="B35" s="109" t="s">
        <v>176</v>
      </c>
      <c r="C35" s="109" t="s">
        <v>320</v>
      </c>
      <c r="D35" s="109" t="s">
        <v>320</v>
      </c>
      <c r="E35" s="109" t="s">
        <v>320</v>
      </c>
      <c r="F35" s="109" t="s">
        <v>320</v>
      </c>
      <c r="G35" s="109" t="s">
        <v>321</v>
      </c>
      <c r="H35" s="109" t="s">
        <v>321</v>
      </c>
      <c r="I35" s="102"/>
      <c r="J35" s="54"/>
      <c r="K35" s="102"/>
      <c r="L35" s="102"/>
      <c r="M35" s="54"/>
      <c r="N35" s="102"/>
      <c r="O35" s="102"/>
      <c r="P35" s="54"/>
      <c r="Q35" s="102"/>
      <c r="R35" s="102"/>
      <c r="S35" s="100"/>
      <c r="T35" s="102"/>
      <c r="U35" s="102"/>
    </row>
    <row r="36" spans="2:21">
      <c r="B36" s="109" t="s">
        <v>177</v>
      </c>
      <c r="C36" s="109" t="s">
        <v>320</v>
      </c>
      <c r="D36" s="109" t="s">
        <v>320</v>
      </c>
      <c r="E36" s="109" t="s">
        <v>320</v>
      </c>
      <c r="F36" s="109" t="s">
        <v>320</v>
      </c>
      <c r="G36" s="109" t="s">
        <v>321</v>
      </c>
      <c r="H36" s="109" t="s">
        <v>321</v>
      </c>
      <c r="I36" s="102"/>
      <c r="J36" s="54"/>
      <c r="K36" s="102"/>
      <c r="L36" s="102"/>
      <c r="M36" s="54"/>
      <c r="N36" s="102"/>
      <c r="O36" s="102"/>
      <c r="P36" s="54"/>
      <c r="Q36" s="102"/>
      <c r="R36" s="102"/>
      <c r="S36" s="100"/>
      <c r="T36" s="102"/>
      <c r="U36" s="102"/>
    </row>
    <row r="37" spans="2:21">
      <c r="B37" s="109" t="s">
        <v>178</v>
      </c>
      <c r="C37" s="109" t="s">
        <v>320</v>
      </c>
      <c r="D37" s="109" t="s">
        <v>320</v>
      </c>
      <c r="E37" s="109" t="s">
        <v>320</v>
      </c>
      <c r="F37" s="109" t="s">
        <v>320</v>
      </c>
      <c r="G37" s="109" t="s">
        <v>321</v>
      </c>
      <c r="H37" s="109" t="s">
        <v>321</v>
      </c>
      <c r="I37" s="102"/>
      <c r="J37" s="54"/>
      <c r="K37" s="102"/>
      <c r="L37" s="102"/>
      <c r="M37" s="54"/>
      <c r="N37" s="102"/>
      <c r="O37" s="102"/>
      <c r="P37" s="54"/>
      <c r="Q37" s="102"/>
      <c r="R37" s="102"/>
      <c r="S37" s="100"/>
      <c r="T37" s="102"/>
      <c r="U37" s="102"/>
    </row>
    <row r="38" spans="2:21">
      <c r="B38" s="109" t="s">
        <v>180</v>
      </c>
      <c r="C38" s="109" t="s">
        <v>320</v>
      </c>
      <c r="D38" s="109" t="s">
        <v>320</v>
      </c>
      <c r="E38" s="109" t="s">
        <v>320</v>
      </c>
      <c r="F38" s="109" t="s">
        <v>320</v>
      </c>
      <c r="G38" s="109" t="s">
        <v>321</v>
      </c>
      <c r="H38" s="109" t="s">
        <v>321</v>
      </c>
      <c r="I38" s="102"/>
      <c r="J38" s="54"/>
      <c r="K38" s="102"/>
      <c r="L38" s="102"/>
      <c r="M38" s="54"/>
      <c r="N38" s="102"/>
      <c r="O38" s="102"/>
      <c r="P38" s="54"/>
      <c r="Q38" s="102"/>
      <c r="R38" s="102"/>
      <c r="S38" s="100"/>
      <c r="T38" s="102"/>
      <c r="U38" s="102"/>
    </row>
    <row r="39" spans="2:21">
      <c r="B39" s="109" t="s">
        <v>181</v>
      </c>
      <c r="C39" s="109" t="s">
        <v>320</v>
      </c>
      <c r="D39" s="109" t="s">
        <v>320</v>
      </c>
      <c r="E39" s="109" t="s">
        <v>320</v>
      </c>
      <c r="F39" s="109" t="s">
        <v>320</v>
      </c>
      <c r="G39" s="109" t="s">
        <v>321</v>
      </c>
      <c r="H39" s="109" t="s">
        <v>321</v>
      </c>
      <c r="I39" s="102"/>
      <c r="J39" s="54"/>
      <c r="K39" s="102"/>
      <c r="L39" s="102"/>
      <c r="M39" s="54"/>
      <c r="N39" s="102"/>
      <c r="O39" s="102"/>
      <c r="P39" s="54"/>
      <c r="Q39" s="102"/>
      <c r="R39" s="102"/>
      <c r="S39" s="100"/>
      <c r="T39" s="102"/>
      <c r="U39" s="102"/>
    </row>
    <row r="40" spans="2:21">
      <c r="B40" s="109" t="s">
        <v>182</v>
      </c>
      <c r="C40" s="109" t="s">
        <v>320</v>
      </c>
      <c r="D40" s="109" t="s">
        <v>320</v>
      </c>
      <c r="E40" s="109" t="s">
        <v>320</v>
      </c>
      <c r="F40" s="109" t="s">
        <v>320</v>
      </c>
      <c r="G40" s="109" t="s">
        <v>321</v>
      </c>
      <c r="H40" s="109" t="s">
        <v>321</v>
      </c>
      <c r="I40" s="102"/>
      <c r="J40" s="54"/>
      <c r="K40" s="102"/>
      <c r="L40" s="102"/>
      <c r="M40" s="54"/>
      <c r="N40" s="102"/>
      <c r="O40" s="102"/>
      <c r="P40" s="54"/>
      <c r="Q40" s="102"/>
      <c r="R40" s="102"/>
      <c r="S40" s="100"/>
      <c r="T40" s="102"/>
      <c r="U40" s="102"/>
    </row>
    <row r="41" spans="2:21">
      <c r="B41" s="109" t="s">
        <v>183</v>
      </c>
      <c r="C41" s="109" t="s">
        <v>320</v>
      </c>
      <c r="D41" s="109" t="s">
        <v>320</v>
      </c>
      <c r="E41" s="109" t="s">
        <v>320</v>
      </c>
      <c r="F41" s="109" t="s">
        <v>320</v>
      </c>
      <c r="G41" s="109" t="s">
        <v>321</v>
      </c>
      <c r="H41" s="109" t="s">
        <v>321</v>
      </c>
      <c r="I41" s="102"/>
      <c r="J41" s="54"/>
      <c r="K41" s="102"/>
      <c r="L41" s="102"/>
      <c r="M41" s="54"/>
      <c r="N41" s="102"/>
      <c r="O41" s="102"/>
      <c r="P41" s="54"/>
      <c r="Q41" s="102"/>
      <c r="R41" s="102"/>
      <c r="S41" s="100"/>
      <c r="T41" s="102"/>
      <c r="U41" s="102"/>
    </row>
    <row r="42" spans="2:21">
      <c r="B42" s="109" t="s">
        <v>184</v>
      </c>
      <c r="C42" s="109" t="s">
        <v>320</v>
      </c>
      <c r="D42" s="109" t="s">
        <v>320</v>
      </c>
      <c r="E42" s="109" t="s">
        <v>320</v>
      </c>
      <c r="F42" s="109" t="s">
        <v>320</v>
      </c>
      <c r="G42" s="109" t="s">
        <v>321</v>
      </c>
      <c r="H42" s="109" t="s">
        <v>321</v>
      </c>
      <c r="I42" s="102"/>
      <c r="J42" s="54"/>
      <c r="K42" s="102"/>
      <c r="L42" s="102"/>
      <c r="M42" s="54"/>
      <c r="N42" s="102"/>
      <c r="O42" s="102"/>
      <c r="P42" s="54"/>
      <c r="Q42" s="102"/>
      <c r="R42" s="102"/>
      <c r="S42" s="100"/>
      <c r="T42" s="102"/>
      <c r="U42" s="102"/>
    </row>
    <row r="43" spans="2:21">
      <c r="B43" s="109" t="s">
        <v>185</v>
      </c>
      <c r="C43" s="109" t="s">
        <v>320</v>
      </c>
      <c r="D43" s="109" t="s">
        <v>320</v>
      </c>
      <c r="E43" s="109" t="s">
        <v>320</v>
      </c>
      <c r="F43" s="109" t="s">
        <v>320</v>
      </c>
      <c r="G43" s="109" t="s">
        <v>321</v>
      </c>
      <c r="H43" s="109" t="s">
        <v>321</v>
      </c>
      <c r="I43" s="102"/>
      <c r="J43" s="54"/>
      <c r="K43" s="102"/>
      <c r="L43" s="102"/>
      <c r="M43" s="54"/>
      <c r="N43" s="102"/>
      <c r="O43" s="102"/>
      <c r="P43" s="54"/>
      <c r="Q43" s="102"/>
      <c r="R43" s="102"/>
      <c r="S43" s="100"/>
      <c r="T43" s="102"/>
      <c r="U43" s="102"/>
    </row>
    <row r="44" spans="2:21">
      <c r="B44" s="109" t="s">
        <v>186</v>
      </c>
      <c r="C44" s="109" t="s">
        <v>320</v>
      </c>
      <c r="D44" s="109" t="s">
        <v>320</v>
      </c>
      <c r="E44" s="109" t="s">
        <v>320</v>
      </c>
      <c r="F44" s="109" t="s">
        <v>320</v>
      </c>
      <c r="G44" s="109" t="s">
        <v>321</v>
      </c>
      <c r="H44" s="109" t="s">
        <v>321</v>
      </c>
      <c r="I44" s="102"/>
      <c r="J44" s="54"/>
      <c r="K44" s="102"/>
      <c r="L44" s="102"/>
      <c r="M44" s="54"/>
      <c r="N44" s="102"/>
      <c r="O44" s="102"/>
      <c r="P44" s="54"/>
      <c r="Q44" s="102"/>
      <c r="R44" s="102"/>
      <c r="S44" s="100"/>
      <c r="T44" s="102"/>
      <c r="U44" s="102"/>
    </row>
    <row r="45" spans="2:21">
      <c r="B45" s="109" t="s">
        <v>187</v>
      </c>
      <c r="C45" s="109" t="s">
        <v>320</v>
      </c>
      <c r="D45" s="109" t="s">
        <v>320</v>
      </c>
      <c r="E45" s="109" t="s">
        <v>320</v>
      </c>
      <c r="F45" s="109" t="s">
        <v>320</v>
      </c>
      <c r="G45" s="109" t="s">
        <v>321</v>
      </c>
      <c r="H45" s="109" t="s">
        <v>321</v>
      </c>
      <c r="I45" s="102"/>
      <c r="J45" s="54"/>
      <c r="K45" s="102"/>
      <c r="L45" s="102"/>
      <c r="M45" s="54"/>
      <c r="N45" s="102"/>
      <c r="O45" s="102"/>
      <c r="P45" s="54"/>
      <c r="Q45" s="102"/>
      <c r="R45" s="102"/>
      <c r="S45" s="100"/>
      <c r="T45" s="102"/>
      <c r="U45" s="102"/>
    </row>
    <row r="46" spans="2:21">
      <c r="B46" s="106" t="s">
        <v>191</v>
      </c>
      <c r="C46" s="109" t="s">
        <v>320</v>
      </c>
      <c r="D46" s="109" t="s">
        <v>320</v>
      </c>
      <c r="E46" s="109" t="s">
        <v>321</v>
      </c>
      <c r="F46" s="109" t="s">
        <v>321</v>
      </c>
      <c r="G46" s="109" t="s">
        <v>321</v>
      </c>
      <c r="H46" s="109" t="s">
        <v>321</v>
      </c>
      <c r="I46" s="102"/>
      <c r="J46" s="54"/>
      <c r="K46" s="102"/>
      <c r="L46" s="102"/>
      <c r="M46" s="54"/>
      <c r="N46" s="102"/>
      <c r="O46" s="102"/>
      <c r="P46" s="54"/>
      <c r="Q46" s="102"/>
      <c r="R46" s="102"/>
      <c r="S46" s="100"/>
      <c r="T46" s="102"/>
      <c r="U46" s="102"/>
    </row>
    <row r="47" spans="2:21">
      <c r="B47" s="106" t="s">
        <v>192</v>
      </c>
      <c r="C47" s="109" t="s">
        <v>320</v>
      </c>
      <c r="D47" s="109" t="s">
        <v>320</v>
      </c>
      <c r="E47" s="109" t="s">
        <v>321</v>
      </c>
      <c r="F47" s="109" t="s">
        <v>321</v>
      </c>
      <c r="G47" s="109" t="s">
        <v>321</v>
      </c>
      <c r="H47" s="109" t="s">
        <v>321</v>
      </c>
      <c r="I47" s="102"/>
      <c r="J47" s="54"/>
      <c r="K47" s="102"/>
      <c r="L47" s="102"/>
      <c r="M47" s="54"/>
      <c r="N47" s="102"/>
      <c r="O47" s="102"/>
      <c r="P47" s="54"/>
      <c r="Q47" s="102"/>
      <c r="R47" s="102"/>
      <c r="S47" s="100"/>
      <c r="T47" s="102"/>
      <c r="U47" s="102"/>
    </row>
  </sheetData>
  <autoFilter ref="C5:H47"/>
  <mergeCells count="7">
    <mergeCell ref="S4:U4"/>
    <mergeCell ref="B4:B5"/>
    <mergeCell ref="C4:H4"/>
    <mergeCell ref="I4:K4"/>
    <mergeCell ref="L4:N4"/>
    <mergeCell ref="O4:Q4"/>
    <mergeCell ref="R4:R5"/>
  </mergeCells>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R42"/>
  <sheetViews>
    <sheetView workbookViewId="0">
      <pane xSplit="1" ySplit="5" topLeftCell="B6" activePane="bottomRight" state="frozen"/>
      <selection pane="topRight" activeCell="B1" sqref="B1"/>
      <selection pane="bottomLeft" activeCell="A6" sqref="A6"/>
      <selection pane="bottomRight"/>
    </sheetView>
  </sheetViews>
  <sheetFormatPr defaultRowHeight="13.5"/>
  <cols>
    <col min="1" max="1" width="2.25" customWidth="1"/>
    <col min="2" max="2" width="30.75" bestFit="1" customWidth="1"/>
    <col min="3" max="3" width="16.875" bestFit="1" customWidth="1"/>
    <col min="4" max="4" width="17.125" customWidth="1"/>
    <col min="5" max="5" width="19.375" customWidth="1"/>
    <col min="7" max="7" width="9.5" bestFit="1" customWidth="1"/>
  </cols>
  <sheetData>
    <row r="4" spans="2:18">
      <c r="B4" s="273" t="s">
        <v>305</v>
      </c>
      <c r="C4" s="273" t="s">
        <v>345</v>
      </c>
      <c r="D4" s="273"/>
      <c r="E4" s="273"/>
      <c r="F4" s="257" t="s">
        <v>91</v>
      </c>
      <c r="G4" s="257"/>
      <c r="H4" s="257"/>
      <c r="I4" s="257" t="s">
        <v>84</v>
      </c>
      <c r="J4" s="257"/>
      <c r="K4" s="257"/>
      <c r="L4" s="257" t="s">
        <v>85</v>
      </c>
      <c r="M4" s="257"/>
      <c r="N4" s="257"/>
      <c r="O4" s="275" t="s">
        <v>78</v>
      </c>
      <c r="P4" s="251" t="s">
        <v>14</v>
      </c>
      <c r="Q4" s="251"/>
      <c r="R4" s="251"/>
    </row>
    <row r="5" spans="2:18">
      <c r="B5" s="273"/>
      <c r="C5" s="273"/>
      <c r="D5" s="273"/>
      <c r="E5" s="273"/>
      <c r="F5" s="148" t="s">
        <v>8</v>
      </c>
      <c r="G5" s="148" t="s">
        <v>9</v>
      </c>
      <c r="H5" s="148" t="s">
        <v>10</v>
      </c>
      <c r="I5" s="148" t="s">
        <v>8</v>
      </c>
      <c r="J5" s="148" t="s">
        <v>9</v>
      </c>
      <c r="K5" s="148" t="s">
        <v>10</v>
      </c>
      <c r="L5" s="148" t="s">
        <v>8</v>
      </c>
      <c r="M5" s="148" t="s">
        <v>9</v>
      </c>
      <c r="N5" s="148" t="s">
        <v>10</v>
      </c>
      <c r="O5" s="257"/>
      <c r="P5" s="149"/>
      <c r="Q5" s="149"/>
      <c r="R5" s="149"/>
    </row>
    <row r="6" spans="2:18" ht="27" customHeight="1">
      <c r="B6" s="109" t="s">
        <v>165</v>
      </c>
      <c r="C6" s="276" t="s">
        <v>342</v>
      </c>
      <c r="D6" s="276" t="s">
        <v>343</v>
      </c>
      <c r="E6" s="276" t="s">
        <v>344</v>
      </c>
      <c r="F6" s="102"/>
      <c r="G6" s="54"/>
      <c r="H6" s="102"/>
      <c r="I6" s="102"/>
      <c r="J6" s="54"/>
      <c r="K6" s="102"/>
      <c r="L6" s="102"/>
      <c r="M6" s="54"/>
      <c r="N6" s="102"/>
      <c r="O6" s="102"/>
      <c r="P6" s="100"/>
      <c r="Q6" s="102"/>
      <c r="R6" s="102"/>
    </row>
    <row r="7" spans="2:18">
      <c r="B7" s="109" t="s">
        <v>164</v>
      </c>
      <c r="C7" s="277"/>
      <c r="D7" s="277"/>
      <c r="E7" s="277"/>
      <c r="F7" s="102"/>
      <c r="G7" s="54"/>
      <c r="H7" s="102"/>
      <c r="I7" s="102"/>
      <c r="J7" s="54"/>
      <c r="K7" s="102"/>
      <c r="L7" s="102"/>
      <c r="M7" s="54"/>
      <c r="N7" s="102"/>
      <c r="O7" s="102"/>
      <c r="P7" s="100"/>
      <c r="Q7" s="102"/>
      <c r="R7" s="102"/>
    </row>
    <row r="8" spans="2:18">
      <c r="B8" s="109" t="s">
        <v>166</v>
      </c>
      <c r="C8" s="277"/>
      <c r="D8" s="277"/>
      <c r="E8" s="277"/>
      <c r="F8" s="102"/>
      <c r="G8" s="54"/>
      <c r="H8" s="102"/>
      <c r="I8" s="102"/>
      <c r="J8" s="54"/>
      <c r="K8" s="102"/>
      <c r="L8" s="102"/>
      <c r="M8" s="54"/>
      <c r="N8" s="102"/>
      <c r="O8" s="102"/>
      <c r="P8" s="100"/>
      <c r="Q8" s="102"/>
      <c r="R8" s="102"/>
    </row>
    <row r="9" spans="2:18">
      <c r="B9" s="109" t="s">
        <v>167</v>
      </c>
      <c r="C9" s="277"/>
      <c r="D9" s="277"/>
      <c r="E9" s="277"/>
      <c r="F9" s="102"/>
      <c r="G9" s="54"/>
      <c r="H9" s="102"/>
      <c r="I9" s="102"/>
      <c r="J9" s="54"/>
      <c r="K9" s="102"/>
      <c r="L9" s="102"/>
      <c r="M9" s="54"/>
      <c r="N9" s="102"/>
      <c r="O9" s="102"/>
      <c r="P9" s="100"/>
      <c r="Q9" s="102"/>
      <c r="R9" s="102"/>
    </row>
    <row r="10" spans="2:18">
      <c r="B10" s="109" t="s">
        <v>168</v>
      </c>
      <c r="C10" s="277"/>
      <c r="D10" s="277"/>
      <c r="E10" s="277"/>
      <c r="F10" s="102"/>
      <c r="G10" s="54"/>
      <c r="H10" s="102"/>
      <c r="I10" s="102"/>
      <c r="J10" s="54"/>
      <c r="K10" s="102"/>
      <c r="L10" s="102"/>
      <c r="M10" s="54"/>
      <c r="N10" s="102"/>
      <c r="O10" s="102"/>
      <c r="P10" s="100"/>
      <c r="Q10" s="102"/>
      <c r="R10" s="102"/>
    </row>
    <row r="11" spans="2:18">
      <c r="B11" s="109" t="s">
        <v>155</v>
      </c>
      <c r="C11" s="277"/>
      <c r="D11" s="277"/>
      <c r="E11" s="277"/>
      <c r="F11" s="102"/>
      <c r="G11" s="54"/>
      <c r="H11" s="102"/>
      <c r="I11" s="102"/>
      <c r="J11" s="54"/>
      <c r="K11" s="102"/>
      <c r="L11" s="102"/>
      <c r="M11" s="54"/>
      <c r="N11" s="102"/>
      <c r="O11" s="102"/>
      <c r="P11" s="100"/>
      <c r="Q11" s="102"/>
      <c r="R11" s="102"/>
    </row>
    <row r="12" spans="2:18">
      <c r="B12" s="109" t="s">
        <v>348</v>
      </c>
      <c r="C12" s="277"/>
      <c r="D12" s="277"/>
      <c r="E12" s="277"/>
      <c r="F12" s="102"/>
      <c r="G12" s="54"/>
      <c r="H12" s="102"/>
      <c r="I12" s="102"/>
      <c r="J12" s="54"/>
      <c r="K12" s="102"/>
      <c r="L12" s="102"/>
      <c r="M12" s="54"/>
      <c r="N12" s="102"/>
      <c r="O12" s="102"/>
      <c r="P12" s="100"/>
      <c r="Q12" s="102"/>
      <c r="R12" s="102"/>
    </row>
    <row r="13" spans="2:18">
      <c r="B13" s="109" t="s">
        <v>156</v>
      </c>
      <c r="C13" s="277"/>
      <c r="D13" s="277"/>
      <c r="E13" s="277"/>
      <c r="F13" s="102"/>
      <c r="G13" s="54"/>
      <c r="H13" s="102"/>
      <c r="I13" s="102"/>
      <c r="J13" s="54"/>
      <c r="K13" s="102"/>
      <c r="L13" s="102"/>
      <c r="M13" s="54"/>
      <c r="N13" s="102"/>
      <c r="O13" s="102"/>
      <c r="P13" s="100"/>
      <c r="Q13" s="102"/>
      <c r="R13" s="102"/>
    </row>
    <row r="14" spans="2:18">
      <c r="B14" s="109" t="s">
        <v>157</v>
      </c>
      <c r="C14" s="277"/>
      <c r="D14" s="277"/>
      <c r="E14" s="277"/>
      <c r="F14" s="102"/>
      <c r="G14" s="54"/>
      <c r="H14" s="102"/>
      <c r="I14" s="102"/>
      <c r="J14" s="54"/>
      <c r="K14" s="102"/>
      <c r="L14" s="102"/>
      <c r="M14" s="54"/>
      <c r="N14" s="102"/>
      <c r="O14" s="102"/>
      <c r="P14" s="100"/>
      <c r="Q14" s="102"/>
      <c r="R14" s="102"/>
    </row>
    <row r="15" spans="2:18">
      <c r="B15" s="109" t="s">
        <v>349</v>
      </c>
      <c r="C15" s="277"/>
      <c r="D15" s="277"/>
      <c r="E15" s="277"/>
      <c r="F15" s="102"/>
      <c r="G15" s="54"/>
      <c r="H15" s="102"/>
      <c r="I15" s="102"/>
      <c r="J15" s="54"/>
      <c r="K15" s="102"/>
      <c r="L15" s="102"/>
      <c r="M15" s="54"/>
      <c r="N15" s="102"/>
      <c r="O15" s="102"/>
      <c r="P15" s="100"/>
      <c r="Q15" s="102"/>
      <c r="R15" s="102"/>
    </row>
    <row r="16" spans="2:18">
      <c r="B16" s="109" t="s">
        <v>158</v>
      </c>
      <c r="C16" s="277"/>
      <c r="D16" s="277"/>
      <c r="E16" s="277"/>
      <c r="F16" s="102"/>
      <c r="G16" s="54"/>
      <c r="H16" s="102"/>
      <c r="I16" s="102"/>
      <c r="J16" s="54"/>
      <c r="K16" s="102"/>
      <c r="L16" s="102"/>
      <c r="M16" s="54"/>
      <c r="N16" s="102"/>
      <c r="O16" s="102"/>
      <c r="P16" s="100"/>
      <c r="Q16" s="102"/>
      <c r="R16" s="102"/>
    </row>
    <row r="17" spans="2:18">
      <c r="B17" s="109" t="s">
        <v>350</v>
      </c>
      <c r="C17" s="277"/>
      <c r="D17" s="277"/>
      <c r="E17" s="277"/>
      <c r="F17" s="102"/>
      <c r="G17" s="54"/>
      <c r="H17" s="102"/>
      <c r="I17" s="102"/>
      <c r="J17" s="54"/>
      <c r="K17" s="102"/>
      <c r="L17" s="102"/>
      <c r="M17" s="54"/>
      <c r="N17" s="102"/>
      <c r="O17" s="102"/>
      <c r="P17" s="100"/>
      <c r="Q17" s="102"/>
      <c r="R17" s="102"/>
    </row>
    <row r="18" spans="2:18">
      <c r="B18" s="109" t="s">
        <v>351</v>
      </c>
      <c r="C18" s="277"/>
      <c r="D18" s="277"/>
      <c r="E18" s="277"/>
      <c r="F18" s="102"/>
      <c r="G18" s="54"/>
      <c r="H18" s="102"/>
      <c r="I18" s="102"/>
      <c r="J18" s="54"/>
      <c r="K18" s="102"/>
      <c r="L18" s="102"/>
      <c r="M18" s="54"/>
      <c r="N18" s="102"/>
      <c r="O18" s="102"/>
      <c r="P18" s="100"/>
      <c r="Q18" s="102"/>
      <c r="R18" s="102"/>
    </row>
    <row r="19" spans="2:18">
      <c r="B19" s="109" t="s">
        <v>160</v>
      </c>
      <c r="C19" s="277"/>
      <c r="D19" s="277"/>
      <c r="E19" s="277"/>
      <c r="F19" s="102"/>
      <c r="G19" s="54"/>
      <c r="H19" s="102"/>
      <c r="I19" s="102"/>
      <c r="J19" s="54"/>
      <c r="K19" s="102"/>
      <c r="L19" s="102"/>
      <c r="M19" s="54"/>
      <c r="N19" s="102"/>
      <c r="O19" s="102"/>
      <c r="P19" s="100"/>
      <c r="Q19" s="102"/>
      <c r="R19" s="102"/>
    </row>
    <row r="20" spans="2:18">
      <c r="B20" s="109" t="s">
        <v>171</v>
      </c>
      <c r="C20" s="277"/>
      <c r="D20" s="277"/>
      <c r="E20" s="277"/>
      <c r="F20" s="102"/>
      <c r="G20" s="54"/>
      <c r="H20" s="102"/>
      <c r="I20" s="102"/>
      <c r="J20" s="54"/>
      <c r="K20" s="102"/>
      <c r="L20" s="102"/>
      <c r="M20" s="54"/>
      <c r="N20" s="102"/>
      <c r="O20" s="102"/>
      <c r="P20" s="100"/>
      <c r="Q20" s="102"/>
      <c r="R20" s="102"/>
    </row>
    <row r="21" spans="2:18">
      <c r="B21" s="109" t="s">
        <v>172</v>
      </c>
      <c r="C21" s="277"/>
      <c r="D21" s="277"/>
      <c r="E21" s="277"/>
      <c r="F21" s="102"/>
      <c r="G21" s="54"/>
      <c r="H21" s="102"/>
      <c r="I21" s="102"/>
      <c r="J21" s="54"/>
      <c r="K21" s="102"/>
      <c r="L21" s="102"/>
      <c r="M21" s="54"/>
      <c r="N21" s="102"/>
      <c r="O21" s="102"/>
      <c r="P21" s="100"/>
      <c r="Q21" s="102"/>
      <c r="R21" s="102"/>
    </row>
    <row r="22" spans="2:18">
      <c r="B22" s="109" t="s">
        <v>173</v>
      </c>
      <c r="C22" s="277"/>
      <c r="D22" s="277"/>
      <c r="E22" s="277"/>
      <c r="F22" s="102"/>
      <c r="G22" s="54"/>
      <c r="H22" s="102"/>
      <c r="I22" s="102"/>
      <c r="J22" s="54"/>
      <c r="K22" s="102"/>
      <c r="L22" s="102"/>
      <c r="M22" s="54"/>
      <c r="N22" s="102"/>
      <c r="O22" s="102"/>
      <c r="P22" s="100"/>
      <c r="Q22" s="102"/>
      <c r="R22" s="102"/>
    </row>
    <row r="23" spans="2:18">
      <c r="B23" s="109" t="s">
        <v>174</v>
      </c>
      <c r="C23" s="277"/>
      <c r="D23" s="277"/>
      <c r="E23" s="277"/>
      <c r="F23" s="102"/>
      <c r="G23" s="54"/>
      <c r="H23" s="102"/>
      <c r="I23" s="102"/>
      <c r="J23" s="54"/>
      <c r="K23" s="102"/>
      <c r="L23" s="102"/>
      <c r="M23" s="54"/>
      <c r="N23" s="102"/>
      <c r="O23" s="102"/>
      <c r="P23" s="100"/>
      <c r="Q23" s="102"/>
      <c r="R23" s="102"/>
    </row>
    <row r="24" spans="2:18">
      <c r="B24" s="109" t="s">
        <v>352</v>
      </c>
      <c r="C24" s="277"/>
      <c r="D24" s="277"/>
      <c r="E24" s="277"/>
      <c r="F24" s="102"/>
      <c r="G24" s="54"/>
      <c r="H24" s="102"/>
      <c r="I24" s="102"/>
      <c r="J24" s="54"/>
      <c r="K24" s="102"/>
      <c r="L24" s="102"/>
      <c r="M24" s="54"/>
      <c r="N24" s="102"/>
      <c r="O24" s="102"/>
      <c r="P24" s="100"/>
      <c r="Q24" s="102"/>
      <c r="R24" s="102"/>
    </row>
    <row r="25" spans="2:18">
      <c r="B25" s="109" t="s">
        <v>175</v>
      </c>
      <c r="C25" s="277"/>
      <c r="D25" s="277"/>
      <c r="E25" s="277"/>
      <c r="F25" s="102"/>
      <c r="G25" s="54"/>
      <c r="H25" s="102"/>
      <c r="I25" s="102"/>
      <c r="J25" s="54"/>
      <c r="K25" s="102"/>
      <c r="L25" s="102"/>
      <c r="M25" s="54"/>
      <c r="N25" s="102"/>
      <c r="O25" s="102"/>
      <c r="P25" s="100"/>
      <c r="Q25" s="102"/>
      <c r="R25" s="102"/>
    </row>
    <row r="26" spans="2:18">
      <c r="B26" s="109" t="s">
        <v>176</v>
      </c>
      <c r="C26" s="277"/>
      <c r="D26" s="277"/>
      <c r="E26" s="277"/>
      <c r="F26" s="102"/>
      <c r="G26" s="54"/>
      <c r="H26" s="102"/>
      <c r="I26" s="102"/>
      <c r="J26" s="54"/>
      <c r="K26" s="102"/>
      <c r="L26" s="102"/>
      <c r="M26" s="54"/>
      <c r="N26" s="102"/>
      <c r="O26" s="102"/>
      <c r="P26" s="100"/>
      <c r="Q26" s="102"/>
      <c r="R26" s="102"/>
    </row>
    <row r="27" spans="2:18">
      <c r="B27" s="109" t="s">
        <v>177</v>
      </c>
      <c r="C27" s="277"/>
      <c r="D27" s="277"/>
      <c r="E27" s="277"/>
      <c r="F27" s="102"/>
      <c r="G27" s="54"/>
      <c r="H27" s="102"/>
      <c r="I27" s="102"/>
      <c r="J27" s="54"/>
      <c r="K27" s="102"/>
      <c r="L27" s="102"/>
      <c r="M27" s="54"/>
      <c r="N27" s="102"/>
      <c r="O27" s="102"/>
      <c r="P27" s="100"/>
      <c r="Q27" s="102"/>
      <c r="R27" s="102"/>
    </row>
    <row r="28" spans="2:18">
      <c r="B28" s="109" t="s">
        <v>178</v>
      </c>
      <c r="C28" s="277"/>
      <c r="D28" s="277"/>
      <c r="E28" s="277"/>
      <c r="F28" s="102"/>
      <c r="G28" s="54"/>
      <c r="H28" s="102"/>
      <c r="I28" s="102"/>
      <c r="J28" s="54"/>
      <c r="K28" s="102"/>
      <c r="L28" s="102"/>
      <c r="M28" s="54"/>
      <c r="N28" s="102"/>
      <c r="O28" s="102"/>
      <c r="P28" s="100"/>
      <c r="Q28" s="102"/>
      <c r="R28" s="102"/>
    </row>
    <row r="29" spans="2:18">
      <c r="B29" s="109" t="s">
        <v>179</v>
      </c>
      <c r="C29" s="277"/>
      <c r="D29" s="277"/>
      <c r="E29" s="277"/>
      <c r="F29" s="102"/>
      <c r="G29" s="54"/>
      <c r="H29" s="102"/>
      <c r="I29" s="102"/>
      <c r="J29" s="54"/>
      <c r="K29" s="102"/>
      <c r="L29" s="102"/>
      <c r="M29" s="54"/>
      <c r="N29" s="102"/>
      <c r="O29" s="102"/>
      <c r="P29" s="100"/>
      <c r="Q29" s="102"/>
      <c r="R29" s="102"/>
    </row>
    <row r="30" spans="2:18">
      <c r="B30" s="109" t="s">
        <v>353</v>
      </c>
      <c r="C30" s="277"/>
      <c r="D30" s="277"/>
      <c r="E30" s="277"/>
      <c r="F30" s="102"/>
      <c r="G30" s="54"/>
      <c r="H30" s="102"/>
      <c r="I30" s="102"/>
      <c r="J30" s="54"/>
      <c r="K30" s="102"/>
      <c r="L30" s="102"/>
      <c r="M30" s="54"/>
      <c r="N30" s="102"/>
      <c r="O30" s="102"/>
      <c r="P30" s="100"/>
      <c r="Q30" s="102"/>
      <c r="R30" s="102"/>
    </row>
    <row r="31" spans="2:18">
      <c r="B31" s="109" t="s">
        <v>354</v>
      </c>
      <c r="C31" s="277"/>
      <c r="D31" s="277"/>
      <c r="E31" s="277"/>
      <c r="F31" s="102"/>
      <c r="G31" s="54"/>
      <c r="H31" s="102"/>
      <c r="I31" s="102"/>
      <c r="J31" s="54"/>
      <c r="K31" s="102"/>
      <c r="L31" s="102"/>
      <c r="M31" s="54"/>
      <c r="N31" s="102"/>
      <c r="O31" s="102"/>
      <c r="P31" s="100"/>
      <c r="Q31" s="102"/>
      <c r="R31" s="102"/>
    </row>
    <row r="32" spans="2:18">
      <c r="B32" s="109" t="s">
        <v>187</v>
      </c>
      <c r="C32" s="277"/>
      <c r="D32" s="277"/>
      <c r="E32" s="277"/>
      <c r="F32" s="102"/>
      <c r="G32" s="54"/>
      <c r="H32" s="102"/>
      <c r="I32" s="102"/>
      <c r="J32" s="54"/>
      <c r="K32" s="102"/>
      <c r="L32" s="102"/>
      <c r="M32" s="54"/>
      <c r="N32" s="102"/>
      <c r="O32" s="102"/>
      <c r="P32" s="100"/>
      <c r="Q32" s="102"/>
      <c r="R32" s="102"/>
    </row>
    <row r="33" spans="2:18">
      <c r="B33" s="109" t="s">
        <v>169</v>
      </c>
      <c r="C33" s="277"/>
      <c r="D33" s="277"/>
      <c r="E33" s="277"/>
      <c r="F33" s="102"/>
      <c r="G33" s="54"/>
      <c r="H33" s="102"/>
      <c r="I33" s="102"/>
      <c r="J33" s="54"/>
      <c r="K33" s="102"/>
      <c r="L33" s="102"/>
      <c r="M33" s="54"/>
      <c r="N33" s="102"/>
      <c r="O33" s="102"/>
      <c r="P33" s="100"/>
      <c r="Q33" s="102"/>
      <c r="R33" s="102"/>
    </row>
    <row r="34" spans="2:18">
      <c r="B34" s="109" t="s">
        <v>355</v>
      </c>
      <c r="C34" s="277"/>
      <c r="D34" s="277"/>
      <c r="E34" s="277"/>
      <c r="F34" s="102"/>
      <c r="G34" s="54"/>
      <c r="H34" s="102"/>
      <c r="I34" s="102"/>
      <c r="J34" s="54"/>
      <c r="K34" s="102"/>
      <c r="L34" s="102"/>
      <c r="M34" s="54"/>
      <c r="N34" s="102"/>
      <c r="O34" s="102"/>
      <c r="P34" s="100"/>
      <c r="Q34" s="102"/>
      <c r="R34" s="102"/>
    </row>
    <row r="35" spans="2:18">
      <c r="B35" s="109" t="s">
        <v>161</v>
      </c>
      <c r="C35" s="277"/>
      <c r="D35" s="277"/>
      <c r="E35" s="277"/>
      <c r="F35" s="102"/>
      <c r="G35" s="54"/>
      <c r="H35" s="102"/>
      <c r="I35" s="102"/>
      <c r="J35" s="54"/>
      <c r="K35" s="102"/>
      <c r="L35" s="102"/>
      <c r="M35" s="54"/>
      <c r="N35" s="102"/>
      <c r="O35" s="102"/>
      <c r="P35" s="100"/>
      <c r="Q35" s="102"/>
      <c r="R35" s="102"/>
    </row>
    <row r="36" spans="2:18">
      <c r="B36" s="109" t="s">
        <v>162</v>
      </c>
      <c r="C36" s="277"/>
      <c r="D36" s="277"/>
      <c r="E36" s="277"/>
      <c r="F36" s="102"/>
      <c r="G36" s="54"/>
      <c r="H36" s="102"/>
      <c r="I36" s="102"/>
      <c r="J36" s="54"/>
      <c r="K36" s="102"/>
      <c r="L36" s="102"/>
      <c r="M36" s="54"/>
      <c r="N36" s="102"/>
      <c r="O36" s="102"/>
      <c r="P36" s="100"/>
      <c r="Q36" s="102"/>
      <c r="R36" s="102"/>
    </row>
    <row r="37" spans="2:18">
      <c r="B37" s="109" t="s">
        <v>163</v>
      </c>
      <c r="C37" s="277"/>
      <c r="D37" s="277"/>
      <c r="E37" s="277"/>
      <c r="F37" s="102"/>
      <c r="G37" s="54"/>
      <c r="H37" s="102"/>
      <c r="I37" s="102"/>
      <c r="J37" s="54"/>
      <c r="K37" s="102"/>
      <c r="L37" s="102"/>
      <c r="M37" s="54"/>
      <c r="N37" s="102"/>
      <c r="O37" s="102"/>
      <c r="P37" s="100"/>
      <c r="Q37" s="102"/>
      <c r="R37" s="102"/>
    </row>
    <row r="38" spans="2:18">
      <c r="B38" s="109" t="s">
        <v>182</v>
      </c>
      <c r="C38" s="277"/>
      <c r="D38" s="277"/>
      <c r="E38" s="277"/>
      <c r="F38" s="102"/>
      <c r="G38" s="54"/>
      <c r="H38" s="102"/>
      <c r="I38" s="102"/>
      <c r="J38" s="54"/>
      <c r="K38" s="102"/>
      <c r="L38" s="102"/>
      <c r="M38" s="54"/>
      <c r="N38" s="102"/>
      <c r="O38" s="102"/>
      <c r="P38" s="100"/>
      <c r="Q38" s="102"/>
      <c r="R38" s="102"/>
    </row>
    <row r="39" spans="2:18">
      <c r="B39" s="109" t="s">
        <v>356</v>
      </c>
      <c r="C39" s="277"/>
      <c r="D39" s="277"/>
      <c r="E39" s="277"/>
      <c r="F39" s="102"/>
      <c r="G39" s="54"/>
      <c r="H39" s="102"/>
      <c r="I39" s="102"/>
      <c r="J39" s="54"/>
      <c r="K39" s="102"/>
      <c r="L39" s="102"/>
      <c r="M39" s="54"/>
      <c r="N39" s="102"/>
      <c r="O39" s="102"/>
      <c r="P39" s="100"/>
      <c r="Q39" s="102"/>
      <c r="R39" s="102"/>
    </row>
    <row r="40" spans="2:18">
      <c r="B40" s="109" t="s">
        <v>357</v>
      </c>
      <c r="C40" s="277"/>
      <c r="D40" s="277"/>
      <c r="E40" s="277"/>
      <c r="F40" s="102"/>
      <c r="G40" s="54"/>
      <c r="H40" s="102"/>
      <c r="I40" s="102"/>
      <c r="J40" s="54"/>
      <c r="K40" s="102"/>
      <c r="L40" s="102"/>
      <c r="M40" s="54"/>
      <c r="N40" s="102"/>
      <c r="O40" s="102"/>
      <c r="P40" s="100"/>
      <c r="Q40" s="102"/>
      <c r="R40" s="102"/>
    </row>
    <row r="41" spans="2:18">
      <c r="B41" s="109" t="s">
        <v>358</v>
      </c>
      <c r="C41" s="277"/>
      <c r="D41" s="277"/>
      <c r="E41" s="277"/>
      <c r="F41" s="102"/>
      <c r="G41" s="54"/>
      <c r="H41" s="102"/>
      <c r="I41" s="102"/>
      <c r="J41" s="54"/>
      <c r="K41" s="102"/>
      <c r="L41" s="102"/>
      <c r="M41" s="54"/>
      <c r="N41" s="102"/>
      <c r="O41" s="102"/>
      <c r="P41" s="100"/>
      <c r="Q41" s="102"/>
      <c r="R41" s="102"/>
    </row>
    <row r="42" spans="2:18">
      <c r="B42" s="109" t="s">
        <v>359</v>
      </c>
      <c r="C42" s="278"/>
      <c r="D42" s="278"/>
      <c r="E42" s="278"/>
      <c r="F42" s="102"/>
      <c r="G42" s="54"/>
      <c r="H42" s="102"/>
      <c r="I42" s="102"/>
      <c r="J42" s="54"/>
      <c r="K42" s="102"/>
      <c r="L42" s="102"/>
      <c r="M42" s="54"/>
      <c r="N42" s="102"/>
      <c r="O42" s="102"/>
      <c r="P42" s="100"/>
      <c r="Q42" s="102"/>
      <c r="R42" s="102"/>
    </row>
  </sheetData>
  <mergeCells count="10">
    <mergeCell ref="B4:B5"/>
    <mergeCell ref="F4:H4"/>
    <mergeCell ref="I4:K4"/>
    <mergeCell ref="L4:N4"/>
    <mergeCell ref="O4:O5"/>
    <mergeCell ref="P4:R4"/>
    <mergeCell ref="C4:E5"/>
    <mergeCell ref="E6:E42"/>
    <mergeCell ref="D6:D42"/>
    <mergeCell ref="C6:C42"/>
  </mergeCells>
  <phoneticPr fontId="2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U43"/>
  <sheetViews>
    <sheetView workbookViewId="0">
      <selection activeCell="F27" sqref="F27"/>
    </sheetView>
  </sheetViews>
  <sheetFormatPr defaultRowHeight="13.5"/>
  <cols>
    <col min="1" max="1" width="2.25" customWidth="1"/>
    <col min="2" max="2" width="30.75" bestFit="1" customWidth="1"/>
    <col min="3" max="4" width="12.625" bestFit="1" customWidth="1"/>
    <col min="5" max="5" width="7.125" customWidth="1"/>
    <col min="6" max="6" width="7.25" bestFit="1" customWidth="1"/>
    <col min="7" max="7" width="9.25" bestFit="1" customWidth="1"/>
    <col min="8" max="8" width="5.25" bestFit="1" customWidth="1"/>
  </cols>
  <sheetData>
    <row r="4" spans="2:21">
      <c r="B4" s="273" t="s">
        <v>305</v>
      </c>
      <c r="C4" s="274" t="s">
        <v>314</v>
      </c>
      <c r="D4" s="274"/>
      <c r="E4" s="274"/>
      <c r="F4" s="274"/>
      <c r="G4" s="274"/>
      <c r="H4" s="274"/>
      <c r="I4" s="257" t="s">
        <v>91</v>
      </c>
      <c r="J4" s="257"/>
      <c r="K4" s="257"/>
      <c r="L4" s="257" t="s">
        <v>84</v>
      </c>
      <c r="M4" s="257"/>
      <c r="N4" s="257"/>
      <c r="O4" s="257" t="s">
        <v>85</v>
      </c>
      <c r="P4" s="257"/>
      <c r="Q4" s="257"/>
      <c r="R4" s="275" t="s">
        <v>78</v>
      </c>
      <c r="S4" s="251" t="s">
        <v>14</v>
      </c>
      <c r="T4" s="251"/>
      <c r="U4" s="251"/>
    </row>
    <row r="5" spans="2:21">
      <c r="B5" s="273"/>
      <c r="C5" s="147" t="s">
        <v>315</v>
      </c>
      <c r="D5" s="144" t="s">
        <v>316</v>
      </c>
      <c r="E5" s="144" t="s">
        <v>317</v>
      </c>
      <c r="F5" s="144" t="s">
        <v>318</v>
      </c>
      <c r="G5" s="144" t="s">
        <v>319</v>
      </c>
      <c r="H5" s="144" t="s">
        <v>274</v>
      </c>
      <c r="I5" s="145" t="s">
        <v>8</v>
      </c>
      <c r="J5" s="145" t="s">
        <v>9</v>
      </c>
      <c r="K5" s="145" t="s">
        <v>10</v>
      </c>
      <c r="L5" s="145" t="s">
        <v>8</v>
      </c>
      <c r="M5" s="145" t="s">
        <v>9</v>
      </c>
      <c r="N5" s="145" t="s">
        <v>10</v>
      </c>
      <c r="O5" s="145" t="s">
        <v>8</v>
      </c>
      <c r="P5" s="145" t="s">
        <v>9</v>
      </c>
      <c r="Q5" s="145" t="s">
        <v>10</v>
      </c>
      <c r="R5" s="257"/>
      <c r="S5" s="146"/>
      <c r="T5" s="146"/>
      <c r="U5" s="146"/>
    </row>
    <row r="6" spans="2:21">
      <c r="B6" s="109" t="s">
        <v>347</v>
      </c>
      <c r="C6" s="109" t="s">
        <v>320</v>
      </c>
      <c r="D6" s="109" t="s">
        <v>320</v>
      </c>
      <c r="E6" s="109" t="s">
        <v>320</v>
      </c>
      <c r="F6" s="109" t="s">
        <v>320</v>
      </c>
      <c r="G6" s="109" t="s">
        <v>321</v>
      </c>
      <c r="H6" s="109" t="s">
        <v>321</v>
      </c>
      <c r="I6" s="102"/>
      <c r="J6" s="54"/>
      <c r="K6" s="102"/>
      <c r="L6" s="102"/>
      <c r="M6" s="54"/>
      <c r="N6" s="102"/>
      <c r="O6" s="102"/>
      <c r="P6" s="54"/>
      <c r="Q6" s="102"/>
      <c r="R6" s="102"/>
      <c r="S6" s="100"/>
      <c r="T6" s="102"/>
      <c r="U6" s="102"/>
    </row>
    <row r="7" spans="2:21">
      <c r="B7" s="109" t="s">
        <v>165</v>
      </c>
      <c r="C7" s="109" t="s">
        <v>320</v>
      </c>
      <c r="D7" s="109" t="s">
        <v>320</v>
      </c>
      <c r="E7" s="109" t="s">
        <v>320</v>
      </c>
      <c r="F7" s="109" t="s">
        <v>320</v>
      </c>
      <c r="G7" s="109" t="s">
        <v>321</v>
      </c>
      <c r="H7" s="109" t="s">
        <v>321</v>
      </c>
      <c r="I7" s="102"/>
      <c r="J7" s="54"/>
      <c r="K7" s="102"/>
      <c r="L7" s="102"/>
      <c r="M7" s="54"/>
      <c r="N7" s="102"/>
      <c r="O7" s="102"/>
      <c r="P7" s="54"/>
      <c r="Q7" s="102"/>
      <c r="R7" s="102"/>
      <c r="S7" s="100"/>
      <c r="T7" s="102"/>
      <c r="U7" s="102"/>
    </row>
    <row r="8" spans="2:21">
      <c r="B8" s="109" t="s">
        <v>164</v>
      </c>
      <c r="C8" s="109" t="s">
        <v>320</v>
      </c>
      <c r="D8" s="109" t="s">
        <v>320</v>
      </c>
      <c r="E8" s="109" t="s">
        <v>320</v>
      </c>
      <c r="F8" s="109" t="s">
        <v>320</v>
      </c>
      <c r="G8" s="109" t="s">
        <v>321</v>
      </c>
      <c r="H8" s="109" t="s">
        <v>321</v>
      </c>
      <c r="I8" s="102"/>
      <c r="J8" s="54"/>
      <c r="K8" s="102"/>
      <c r="L8" s="102"/>
      <c r="M8" s="54"/>
      <c r="N8" s="102"/>
      <c r="O8" s="102"/>
      <c r="P8" s="54"/>
      <c r="Q8" s="102"/>
      <c r="R8" s="102"/>
      <c r="S8" s="100"/>
      <c r="T8" s="102"/>
      <c r="U8" s="102"/>
    </row>
    <row r="9" spans="2:21">
      <c r="B9" s="109" t="s">
        <v>166</v>
      </c>
      <c r="C9" s="109" t="s">
        <v>320</v>
      </c>
      <c r="D9" s="109" t="s">
        <v>320</v>
      </c>
      <c r="E9" s="109" t="s">
        <v>320</v>
      </c>
      <c r="F9" s="109" t="s">
        <v>320</v>
      </c>
      <c r="G9" s="109" t="s">
        <v>321</v>
      </c>
      <c r="H9" s="109" t="s">
        <v>321</v>
      </c>
      <c r="I9" s="102"/>
      <c r="J9" s="54"/>
      <c r="K9" s="102"/>
      <c r="L9" s="102"/>
      <c r="M9" s="54"/>
      <c r="N9" s="102"/>
      <c r="O9" s="102"/>
      <c r="P9" s="54"/>
      <c r="Q9" s="102"/>
      <c r="R9" s="102"/>
      <c r="S9" s="100"/>
      <c r="T9" s="102"/>
      <c r="U9" s="102"/>
    </row>
    <row r="10" spans="2:21">
      <c r="B10" s="109" t="s">
        <v>167</v>
      </c>
      <c r="C10" s="109" t="s">
        <v>320</v>
      </c>
      <c r="D10" s="109" t="s">
        <v>320</v>
      </c>
      <c r="E10" s="109" t="s">
        <v>320</v>
      </c>
      <c r="F10" s="109" t="s">
        <v>320</v>
      </c>
      <c r="G10" s="109" t="s">
        <v>321</v>
      </c>
      <c r="H10" s="109" t="s">
        <v>321</v>
      </c>
      <c r="I10" s="102"/>
      <c r="J10" s="54"/>
      <c r="K10" s="102"/>
      <c r="L10" s="102"/>
      <c r="M10" s="54"/>
      <c r="N10" s="102"/>
      <c r="O10" s="102"/>
      <c r="P10" s="54"/>
      <c r="Q10" s="102"/>
      <c r="R10" s="102"/>
      <c r="S10" s="100"/>
      <c r="T10" s="102"/>
      <c r="U10" s="102"/>
    </row>
    <row r="11" spans="2:21">
      <c r="B11" s="109" t="s">
        <v>168</v>
      </c>
      <c r="C11" s="109" t="s">
        <v>320</v>
      </c>
      <c r="D11" s="109" t="s">
        <v>320</v>
      </c>
      <c r="E11" s="109" t="s">
        <v>320</v>
      </c>
      <c r="F11" s="109" t="s">
        <v>320</v>
      </c>
      <c r="G11" s="109" t="s">
        <v>321</v>
      </c>
      <c r="H11" s="109" t="s">
        <v>321</v>
      </c>
      <c r="I11" s="102"/>
      <c r="J11" s="54"/>
      <c r="K11" s="102"/>
      <c r="L11" s="102"/>
      <c r="M11" s="54"/>
      <c r="N11" s="102"/>
      <c r="O11" s="102"/>
      <c r="P11" s="54"/>
      <c r="Q11" s="102"/>
      <c r="R11" s="102"/>
      <c r="S11" s="100"/>
      <c r="T11" s="102"/>
      <c r="U11" s="102"/>
    </row>
    <row r="12" spans="2:21">
      <c r="B12" s="109" t="s">
        <v>155</v>
      </c>
      <c r="C12" s="109" t="s">
        <v>320</v>
      </c>
      <c r="D12" s="109" t="s">
        <v>320</v>
      </c>
      <c r="E12" s="109" t="s">
        <v>320</v>
      </c>
      <c r="F12" s="109" t="s">
        <v>320</v>
      </c>
      <c r="G12" s="109" t="s">
        <v>321</v>
      </c>
      <c r="H12" s="109" t="s">
        <v>321</v>
      </c>
      <c r="I12" s="102"/>
      <c r="J12" s="54"/>
      <c r="K12" s="102"/>
      <c r="L12" s="102"/>
      <c r="M12" s="54"/>
      <c r="N12" s="102"/>
      <c r="O12" s="102"/>
      <c r="P12" s="54"/>
      <c r="Q12" s="102"/>
      <c r="R12" s="102"/>
      <c r="S12" s="100"/>
      <c r="T12" s="102"/>
      <c r="U12" s="102"/>
    </row>
    <row r="13" spans="2:21">
      <c r="B13" s="109" t="s">
        <v>348</v>
      </c>
      <c r="C13" s="109" t="s">
        <v>320</v>
      </c>
      <c r="D13" s="109" t="s">
        <v>320</v>
      </c>
      <c r="E13" s="109" t="s">
        <v>320</v>
      </c>
      <c r="F13" s="109" t="s">
        <v>320</v>
      </c>
      <c r="G13" s="109" t="s">
        <v>321</v>
      </c>
      <c r="H13" s="109" t="s">
        <v>321</v>
      </c>
      <c r="I13" s="102"/>
      <c r="J13" s="54"/>
      <c r="K13" s="102"/>
      <c r="L13" s="102"/>
      <c r="M13" s="54"/>
      <c r="N13" s="102"/>
      <c r="O13" s="102"/>
      <c r="P13" s="54"/>
      <c r="Q13" s="102"/>
      <c r="R13" s="102"/>
      <c r="S13" s="100"/>
      <c r="T13" s="102"/>
      <c r="U13" s="102"/>
    </row>
    <row r="14" spans="2:21">
      <c r="B14" s="109" t="s">
        <v>156</v>
      </c>
      <c r="C14" s="109" t="s">
        <v>320</v>
      </c>
      <c r="D14" s="109" t="s">
        <v>320</v>
      </c>
      <c r="E14" s="109" t="s">
        <v>320</v>
      </c>
      <c r="F14" s="109" t="s">
        <v>320</v>
      </c>
      <c r="G14" s="109" t="s">
        <v>321</v>
      </c>
      <c r="H14" s="109" t="s">
        <v>321</v>
      </c>
      <c r="I14" s="102"/>
      <c r="J14" s="54"/>
      <c r="K14" s="102"/>
      <c r="L14" s="102"/>
      <c r="M14" s="54"/>
      <c r="N14" s="102"/>
      <c r="O14" s="102"/>
      <c r="P14" s="54"/>
      <c r="Q14" s="102"/>
      <c r="R14" s="102"/>
      <c r="S14" s="100"/>
      <c r="T14" s="102"/>
      <c r="U14" s="102"/>
    </row>
    <row r="15" spans="2:21">
      <c r="B15" s="109" t="s">
        <v>157</v>
      </c>
      <c r="C15" s="109" t="s">
        <v>320</v>
      </c>
      <c r="D15" s="109" t="s">
        <v>320</v>
      </c>
      <c r="E15" s="109" t="s">
        <v>320</v>
      </c>
      <c r="F15" s="109" t="s">
        <v>320</v>
      </c>
      <c r="G15" s="109" t="s">
        <v>321</v>
      </c>
      <c r="H15" s="109" t="s">
        <v>321</v>
      </c>
      <c r="I15" s="102"/>
      <c r="J15" s="54"/>
      <c r="K15" s="102"/>
      <c r="L15" s="102"/>
      <c r="M15" s="54"/>
      <c r="N15" s="102"/>
      <c r="O15" s="102"/>
      <c r="P15" s="54"/>
      <c r="Q15" s="102"/>
      <c r="R15" s="102"/>
      <c r="S15" s="100"/>
      <c r="T15" s="102"/>
      <c r="U15" s="102"/>
    </row>
    <row r="16" spans="2:21">
      <c r="B16" s="109" t="s">
        <v>349</v>
      </c>
      <c r="C16" s="109" t="s">
        <v>320</v>
      </c>
      <c r="D16" s="109" t="s">
        <v>320</v>
      </c>
      <c r="E16" s="109" t="s">
        <v>320</v>
      </c>
      <c r="F16" s="109" t="s">
        <v>320</v>
      </c>
      <c r="G16" s="109" t="s">
        <v>321</v>
      </c>
      <c r="H16" s="109" t="s">
        <v>321</v>
      </c>
      <c r="I16" s="102"/>
      <c r="J16" s="54"/>
      <c r="K16" s="102"/>
      <c r="L16" s="102"/>
      <c r="M16" s="54"/>
      <c r="N16" s="102"/>
      <c r="O16" s="102"/>
      <c r="P16" s="54"/>
      <c r="Q16" s="102"/>
      <c r="R16" s="102"/>
      <c r="S16" s="100"/>
      <c r="T16" s="102"/>
      <c r="U16" s="102"/>
    </row>
    <row r="17" spans="2:21">
      <c r="B17" s="109" t="s">
        <v>158</v>
      </c>
      <c r="C17" s="109" t="s">
        <v>320</v>
      </c>
      <c r="D17" s="109" t="s">
        <v>320</v>
      </c>
      <c r="E17" s="109" t="s">
        <v>320</v>
      </c>
      <c r="F17" s="109" t="s">
        <v>320</v>
      </c>
      <c r="G17" s="109" t="s">
        <v>321</v>
      </c>
      <c r="H17" s="109" t="s">
        <v>321</v>
      </c>
      <c r="I17" s="102"/>
      <c r="J17" s="54"/>
      <c r="K17" s="102"/>
      <c r="L17" s="102"/>
      <c r="M17" s="54"/>
      <c r="N17" s="102"/>
      <c r="O17" s="102"/>
      <c r="P17" s="54"/>
      <c r="Q17" s="102"/>
      <c r="R17" s="102"/>
      <c r="S17" s="100"/>
      <c r="T17" s="102"/>
      <c r="U17" s="102"/>
    </row>
    <row r="18" spans="2:21">
      <c r="B18" s="109" t="s">
        <v>350</v>
      </c>
      <c r="C18" s="109" t="s">
        <v>320</v>
      </c>
      <c r="D18" s="109" t="s">
        <v>320</v>
      </c>
      <c r="E18" s="109" t="s">
        <v>320</v>
      </c>
      <c r="F18" s="109" t="s">
        <v>320</v>
      </c>
      <c r="G18" s="109" t="s">
        <v>321</v>
      </c>
      <c r="H18" s="109" t="s">
        <v>321</v>
      </c>
      <c r="I18" s="102"/>
      <c r="J18" s="54"/>
      <c r="K18" s="102"/>
      <c r="L18" s="102"/>
      <c r="M18" s="54"/>
      <c r="N18" s="102"/>
      <c r="O18" s="102"/>
      <c r="P18" s="54"/>
      <c r="Q18" s="102"/>
      <c r="R18" s="102"/>
      <c r="S18" s="100"/>
      <c r="T18" s="102"/>
      <c r="U18" s="102"/>
    </row>
    <row r="19" spans="2:21">
      <c r="B19" s="109" t="s">
        <v>351</v>
      </c>
      <c r="C19" s="109" t="s">
        <v>320</v>
      </c>
      <c r="D19" s="109" t="s">
        <v>320</v>
      </c>
      <c r="E19" s="109" t="s">
        <v>320</v>
      </c>
      <c r="F19" s="109" t="s">
        <v>320</v>
      </c>
      <c r="G19" s="109" t="s">
        <v>321</v>
      </c>
      <c r="H19" s="109" t="s">
        <v>321</v>
      </c>
      <c r="I19" s="102"/>
      <c r="J19" s="54"/>
      <c r="K19" s="102"/>
      <c r="L19" s="102"/>
      <c r="M19" s="54"/>
      <c r="N19" s="102"/>
      <c r="O19" s="102"/>
      <c r="P19" s="54"/>
      <c r="Q19" s="102"/>
      <c r="R19" s="102"/>
      <c r="S19" s="100"/>
      <c r="T19" s="102"/>
      <c r="U19" s="102"/>
    </row>
    <row r="20" spans="2:21">
      <c r="B20" s="109" t="s">
        <v>160</v>
      </c>
      <c r="C20" s="109" t="s">
        <v>320</v>
      </c>
      <c r="D20" s="109" t="s">
        <v>320</v>
      </c>
      <c r="E20" s="109" t="s">
        <v>320</v>
      </c>
      <c r="F20" s="109" t="s">
        <v>320</v>
      </c>
      <c r="G20" s="109" t="s">
        <v>321</v>
      </c>
      <c r="H20" s="109" t="s">
        <v>321</v>
      </c>
      <c r="I20" s="102"/>
      <c r="J20" s="54"/>
      <c r="K20" s="102"/>
      <c r="L20" s="102"/>
      <c r="M20" s="54"/>
      <c r="N20" s="102"/>
      <c r="O20" s="102"/>
      <c r="P20" s="54"/>
      <c r="Q20" s="102"/>
      <c r="R20" s="102"/>
      <c r="S20" s="100"/>
      <c r="T20" s="102"/>
      <c r="U20" s="102"/>
    </row>
    <row r="21" spans="2:21">
      <c r="B21" s="109" t="s">
        <v>171</v>
      </c>
      <c r="C21" s="109" t="s">
        <v>320</v>
      </c>
      <c r="D21" s="109" t="s">
        <v>320</v>
      </c>
      <c r="E21" s="109" t="s">
        <v>320</v>
      </c>
      <c r="F21" s="109" t="s">
        <v>320</v>
      </c>
      <c r="G21" s="109" t="s">
        <v>321</v>
      </c>
      <c r="H21" s="109" t="s">
        <v>321</v>
      </c>
      <c r="I21" s="102"/>
      <c r="J21" s="54"/>
      <c r="K21" s="102"/>
      <c r="L21" s="102"/>
      <c r="M21" s="54"/>
      <c r="N21" s="102"/>
      <c r="O21" s="102"/>
      <c r="P21" s="54"/>
      <c r="Q21" s="102"/>
      <c r="R21" s="102"/>
      <c r="S21" s="100"/>
      <c r="T21" s="102"/>
      <c r="U21" s="102"/>
    </row>
    <row r="22" spans="2:21">
      <c r="B22" s="109" t="s">
        <v>172</v>
      </c>
      <c r="C22" s="109" t="s">
        <v>320</v>
      </c>
      <c r="D22" s="109" t="s">
        <v>320</v>
      </c>
      <c r="E22" s="109" t="s">
        <v>320</v>
      </c>
      <c r="F22" s="109" t="s">
        <v>320</v>
      </c>
      <c r="G22" s="109" t="s">
        <v>321</v>
      </c>
      <c r="H22" s="109" t="s">
        <v>321</v>
      </c>
      <c r="I22" s="102"/>
      <c r="J22" s="54"/>
      <c r="K22" s="102"/>
      <c r="L22" s="102"/>
      <c r="M22" s="54"/>
      <c r="N22" s="102"/>
      <c r="O22" s="102"/>
      <c r="P22" s="54"/>
      <c r="Q22" s="102"/>
      <c r="R22" s="102"/>
      <c r="S22" s="100"/>
      <c r="T22" s="102"/>
      <c r="U22" s="102"/>
    </row>
    <row r="23" spans="2:21">
      <c r="B23" s="109" t="s">
        <v>173</v>
      </c>
      <c r="C23" s="109" t="s">
        <v>320</v>
      </c>
      <c r="D23" s="109" t="s">
        <v>320</v>
      </c>
      <c r="E23" s="109" t="s">
        <v>320</v>
      </c>
      <c r="F23" s="109" t="s">
        <v>320</v>
      </c>
      <c r="G23" s="109" t="s">
        <v>321</v>
      </c>
      <c r="H23" s="109" t="s">
        <v>321</v>
      </c>
      <c r="I23" s="102"/>
      <c r="J23" s="54"/>
      <c r="K23" s="102"/>
      <c r="L23" s="102"/>
      <c r="M23" s="54"/>
      <c r="N23" s="102"/>
      <c r="O23" s="102"/>
      <c r="P23" s="54"/>
      <c r="Q23" s="102"/>
      <c r="R23" s="102"/>
      <c r="S23" s="100"/>
      <c r="T23" s="102"/>
      <c r="U23" s="102"/>
    </row>
    <row r="24" spans="2:21">
      <c r="B24" s="109" t="s">
        <v>174</v>
      </c>
      <c r="C24" s="109" t="s">
        <v>320</v>
      </c>
      <c r="D24" s="109" t="s">
        <v>320</v>
      </c>
      <c r="E24" s="109" t="s">
        <v>320</v>
      </c>
      <c r="F24" s="109" t="s">
        <v>320</v>
      </c>
      <c r="G24" s="109" t="s">
        <v>321</v>
      </c>
      <c r="H24" s="109" t="s">
        <v>321</v>
      </c>
      <c r="I24" s="102"/>
      <c r="J24" s="54"/>
      <c r="K24" s="102"/>
      <c r="L24" s="102"/>
      <c r="M24" s="54"/>
      <c r="N24" s="102"/>
      <c r="O24" s="102"/>
      <c r="P24" s="54"/>
      <c r="Q24" s="102"/>
      <c r="R24" s="102"/>
      <c r="S24" s="100"/>
      <c r="T24" s="102"/>
      <c r="U24" s="102"/>
    </row>
    <row r="25" spans="2:21">
      <c r="B25" s="109" t="s">
        <v>352</v>
      </c>
      <c r="C25" s="109" t="s">
        <v>320</v>
      </c>
      <c r="D25" s="109" t="s">
        <v>320</v>
      </c>
      <c r="E25" s="109" t="s">
        <v>320</v>
      </c>
      <c r="F25" s="109" t="s">
        <v>320</v>
      </c>
      <c r="G25" s="109" t="s">
        <v>321</v>
      </c>
      <c r="H25" s="109" t="s">
        <v>321</v>
      </c>
      <c r="I25" s="102"/>
      <c r="J25" s="54"/>
      <c r="K25" s="102"/>
      <c r="L25" s="102"/>
      <c r="M25" s="54"/>
      <c r="N25" s="102"/>
      <c r="O25" s="102"/>
      <c r="P25" s="54"/>
      <c r="Q25" s="102"/>
      <c r="R25" s="102"/>
      <c r="S25" s="100"/>
      <c r="T25" s="102"/>
      <c r="U25" s="102"/>
    </row>
    <row r="26" spans="2:21">
      <c r="B26" s="109" t="s">
        <v>175</v>
      </c>
      <c r="C26" s="109" t="s">
        <v>320</v>
      </c>
      <c r="D26" s="109" t="s">
        <v>320</v>
      </c>
      <c r="E26" s="109" t="s">
        <v>320</v>
      </c>
      <c r="F26" s="109" t="s">
        <v>320</v>
      </c>
      <c r="G26" s="109" t="s">
        <v>321</v>
      </c>
      <c r="H26" s="109" t="s">
        <v>321</v>
      </c>
      <c r="I26" s="102"/>
      <c r="J26" s="54"/>
      <c r="K26" s="102"/>
      <c r="L26" s="102"/>
      <c r="M26" s="54"/>
      <c r="N26" s="102"/>
      <c r="O26" s="102"/>
      <c r="P26" s="54"/>
      <c r="Q26" s="102"/>
      <c r="R26" s="102"/>
      <c r="S26" s="100"/>
      <c r="T26" s="102"/>
      <c r="U26" s="102"/>
    </row>
    <row r="27" spans="2:21">
      <c r="B27" s="109" t="s">
        <v>176</v>
      </c>
      <c r="C27" s="109" t="s">
        <v>320</v>
      </c>
      <c r="D27" s="109" t="s">
        <v>320</v>
      </c>
      <c r="E27" s="109" t="s">
        <v>320</v>
      </c>
      <c r="F27" s="109" t="s">
        <v>320</v>
      </c>
      <c r="G27" s="109" t="s">
        <v>321</v>
      </c>
      <c r="H27" s="109" t="s">
        <v>321</v>
      </c>
      <c r="I27" s="102"/>
      <c r="J27" s="54"/>
      <c r="K27" s="102"/>
      <c r="L27" s="102"/>
      <c r="M27" s="54"/>
      <c r="N27" s="102"/>
      <c r="O27" s="102"/>
      <c r="P27" s="54"/>
      <c r="Q27" s="102"/>
      <c r="R27" s="102"/>
      <c r="S27" s="100"/>
      <c r="T27" s="102"/>
      <c r="U27" s="102"/>
    </row>
    <row r="28" spans="2:21">
      <c r="B28" s="109" t="s">
        <v>177</v>
      </c>
      <c r="C28" s="109" t="s">
        <v>320</v>
      </c>
      <c r="D28" s="109" t="s">
        <v>320</v>
      </c>
      <c r="E28" s="109" t="s">
        <v>320</v>
      </c>
      <c r="F28" s="109" t="s">
        <v>320</v>
      </c>
      <c r="G28" s="109" t="s">
        <v>321</v>
      </c>
      <c r="H28" s="109" t="s">
        <v>321</v>
      </c>
      <c r="I28" s="102"/>
      <c r="J28" s="54"/>
      <c r="K28" s="102"/>
      <c r="L28" s="102"/>
      <c r="M28" s="54"/>
      <c r="N28" s="102"/>
      <c r="O28" s="102"/>
      <c r="P28" s="54"/>
      <c r="Q28" s="102"/>
      <c r="R28" s="102"/>
      <c r="S28" s="100"/>
      <c r="T28" s="102"/>
      <c r="U28" s="102"/>
    </row>
    <row r="29" spans="2:21">
      <c r="B29" s="109" t="s">
        <v>178</v>
      </c>
      <c r="C29" s="109" t="s">
        <v>320</v>
      </c>
      <c r="D29" s="109" t="s">
        <v>320</v>
      </c>
      <c r="E29" s="109" t="s">
        <v>320</v>
      </c>
      <c r="F29" s="109" t="s">
        <v>320</v>
      </c>
      <c r="G29" s="109" t="s">
        <v>321</v>
      </c>
      <c r="H29" s="109" t="s">
        <v>321</v>
      </c>
      <c r="I29" s="102"/>
      <c r="J29" s="54"/>
      <c r="K29" s="102"/>
      <c r="L29" s="102"/>
      <c r="M29" s="54"/>
      <c r="N29" s="102"/>
      <c r="O29" s="102"/>
      <c r="P29" s="54"/>
      <c r="Q29" s="102"/>
      <c r="R29" s="102"/>
      <c r="S29" s="100"/>
      <c r="T29" s="102"/>
      <c r="U29" s="102"/>
    </row>
    <row r="30" spans="2:21">
      <c r="B30" s="109" t="s">
        <v>179</v>
      </c>
      <c r="C30" s="109" t="s">
        <v>320</v>
      </c>
      <c r="D30" s="109" t="s">
        <v>320</v>
      </c>
      <c r="E30" s="109" t="s">
        <v>320</v>
      </c>
      <c r="F30" s="109" t="s">
        <v>320</v>
      </c>
      <c r="G30" s="109" t="s">
        <v>321</v>
      </c>
      <c r="H30" s="109" t="s">
        <v>321</v>
      </c>
      <c r="I30" s="102"/>
      <c r="J30" s="54"/>
      <c r="K30" s="102"/>
      <c r="L30" s="102"/>
      <c r="M30" s="54"/>
      <c r="N30" s="102"/>
      <c r="O30" s="102"/>
      <c r="P30" s="54"/>
      <c r="Q30" s="102"/>
      <c r="R30" s="102"/>
      <c r="S30" s="100"/>
      <c r="T30" s="102"/>
      <c r="U30" s="102"/>
    </row>
    <row r="31" spans="2:21">
      <c r="B31" s="109" t="s">
        <v>353</v>
      </c>
      <c r="C31" s="109" t="s">
        <v>320</v>
      </c>
      <c r="D31" s="109" t="s">
        <v>320</v>
      </c>
      <c r="E31" s="109" t="s">
        <v>320</v>
      </c>
      <c r="F31" s="109" t="s">
        <v>320</v>
      </c>
      <c r="G31" s="109" t="s">
        <v>321</v>
      </c>
      <c r="H31" s="109" t="s">
        <v>321</v>
      </c>
      <c r="I31" s="102"/>
      <c r="J31" s="54"/>
      <c r="K31" s="102"/>
      <c r="L31" s="102"/>
      <c r="M31" s="54"/>
      <c r="N31" s="102"/>
      <c r="O31" s="102"/>
      <c r="P31" s="54"/>
      <c r="Q31" s="102"/>
      <c r="R31" s="102"/>
      <c r="S31" s="100"/>
      <c r="T31" s="102"/>
      <c r="U31" s="102"/>
    </row>
    <row r="32" spans="2:21">
      <c r="B32" s="109" t="s">
        <v>354</v>
      </c>
      <c r="C32" s="109" t="s">
        <v>320</v>
      </c>
      <c r="D32" s="109" t="s">
        <v>320</v>
      </c>
      <c r="E32" s="109" t="s">
        <v>320</v>
      </c>
      <c r="F32" s="109" t="s">
        <v>320</v>
      </c>
      <c r="G32" s="109" t="s">
        <v>321</v>
      </c>
      <c r="H32" s="109" t="s">
        <v>321</v>
      </c>
      <c r="I32" s="102"/>
      <c r="J32" s="54"/>
      <c r="K32" s="102"/>
      <c r="L32" s="102"/>
      <c r="M32" s="54"/>
      <c r="N32" s="102"/>
      <c r="O32" s="102"/>
      <c r="P32" s="54"/>
      <c r="Q32" s="102"/>
      <c r="R32" s="102"/>
      <c r="S32" s="100"/>
      <c r="T32" s="102"/>
      <c r="U32" s="102"/>
    </row>
    <row r="33" spans="2:21">
      <c r="B33" s="109" t="s">
        <v>187</v>
      </c>
      <c r="C33" s="109" t="s">
        <v>320</v>
      </c>
      <c r="D33" s="109" t="s">
        <v>320</v>
      </c>
      <c r="E33" s="109" t="s">
        <v>320</v>
      </c>
      <c r="F33" s="109" t="s">
        <v>320</v>
      </c>
      <c r="G33" s="109" t="s">
        <v>321</v>
      </c>
      <c r="H33" s="109" t="s">
        <v>321</v>
      </c>
      <c r="I33" s="102"/>
      <c r="J33" s="54"/>
      <c r="K33" s="102"/>
      <c r="L33" s="102"/>
      <c r="M33" s="54"/>
      <c r="N33" s="102"/>
      <c r="O33" s="102"/>
      <c r="P33" s="54"/>
      <c r="Q33" s="102"/>
      <c r="R33" s="102"/>
      <c r="S33" s="100"/>
      <c r="T33" s="102"/>
      <c r="U33" s="102"/>
    </row>
    <row r="34" spans="2:21">
      <c r="B34" s="109" t="s">
        <v>169</v>
      </c>
      <c r="C34" s="109" t="s">
        <v>320</v>
      </c>
      <c r="D34" s="109" t="s">
        <v>320</v>
      </c>
      <c r="E34" s="109" t="s">
        <v>320</v>
      </c>
      <c r="F34" s="109" t="s">
        <v>320</v>
      </c>
      <c r="G34" s="109" t="s">
        <v>321</v>
      </c>
      <c r="H34" s="109" t="s">
        <v>321</v>
      </c>
      <c r="I34" s="102"/>
      <c r="J34" s="54"/>
      <c r="K34" s="102"/>
      <c r="L34" s="102"/>
      <c r="M34" s="54"/>
      <c r="N34" s="102"/>
      <c r="O34" s="102"/>
      <c r="P34" s="54"/>
      <c r="Q34" s="102"/>
      <c r="R34" s="102"/>
      <c r="S34" s="100"/>
      <c r="T34" s="102"/>
      <c r="U34" s="102"/>
    </row>
    <row r="35" spans="2:21">
      <c r="B35" s="109" t="s">
        <v>355</v>
      </c>
      <c r="C35" s="109" t="s">
        <v>320</v>
      </c>
      <c r="D35" s="109" t="s">
        <v>320</v>
      </c>
      <c r="E35" s="109" t="s">
        <v>320</v>
      </c>
      <c r="F35" s="109" t="s">
        <v>320</v>
      </c>
      <c r="G35" s="109" t="s">
        <v>321</v>
      </c>
      <c r="H35" s="109" t="s">
        <v>321</v>
      </c>
      <c r="I35" s="102"/>
      <c r="J35" s="54"/>
      <c r="K35" s="102"/>
      <c r="L35" s="102"/>
      <c r="M35" s="54"/>
      <c r="N35" s="102"/>
      <c r="O35" s="102"/>
      <c r="P35" s="54"/>
      <c r="Q35" s="102"/>
      <c r="R35" s="102"/>
      <c r="S35" s="100"/>
      <c r="T35" s="102"/>
      <c r="U35" s="102"/>
    </row>
    <row r="36" spans="2:21">
      <c r="B36" s="109" t="s">
        <v>161</v>
      </c>
      <c r="C36" s="109" t="s">
        <v>320</v>
      </c>
      <c r="D36" s="109" t="s">
        <v>320</v>
      </c>
      <c r="E36" s="109" t="s">
        <v>320</v>
      </c>
      <c r="F36" s="109" t="s">
        <v>320</v>
      </c>
      <c r="G36" s="109" t="s">
        <v>321</v>
      </c>
      <c r="H36" s="109" t="s">
        <v>321</v>
      </c>
      <c r="I36" s="102"/>
      <c r="J36" s="54"/>
      <c r="K36" s="102"/>
      <c r="L36" s="102"/>
      <c r="M36" s="54"/>
      <c r="N36" s="102"/>
      <c r="O36" s="102"/>
      <c r="P36" s="54"/>
      <c r="Q36" s="102"/>
      <c r="R36" s="102"/>
      <c r="S36" s="100"/>
      <c r="T36" s="102"/>
      <c r="U36" s="102"/>
    </row>
    <row r="37" spans="2:21">
      <c r="B37" s="109" t="s">
        <v>162</v>
      </c>
      <c r="C37" s="109" t="s">
        <v>320</v>
      </c>
      <c r="D37" s="109" t="s">
        <v>320</v>
      </c>
      <c r="E37" s="109" t="s">
        <v>320</v>
      </c>
      <c r="F37" s="109" t="s">
        <v>320</v>
      </c>
      <c r="G37" s="109" t="s">
        <v>321</v>
      </c>
      <c r="H37" s="109" t="s">
        <v>321</v>
      </c>
      <c r="I37" s="102"/>
      <c r="J37" s="54"/>
      <c r="K37" s="102"/>
      <c r="L37" s="102"/>
      <c r="M37" s="54"/>
      <c r="N37" s="102"/>
      <c r="O37" s="102"/>
      <c r="P37" s="54"/>
      <c r="Q37" s="102"/>
      <c r="R37" s="102"/>
      <c r="S37" s="100"/>
      <c r="T37" s="102"/>
      <c r="U37" s="102"/>
    </row>
    <row r="38" spans="2:21">
      <c r="B38" s="109" t="s">
        <v>163</v>
      </c>
      <c r="C38" s="109" t="s">
        <v>320</v>
      </c>
      <c r="D38" s="109" t="s">
        <v>320</v>
      </c>
      <c r="E38" s="109" t="s">
        <v>320</v>
      </c>
      <c r="F38" s="109" t="s">
        <v>320</v>
      </c>
      <c r="G38" s="109" t="s">
        <v>321</v>
      </c>
      <c r="H38" s="109" t="s">
        <v>321</v>
      </c>
      <c r="I38" s="102"/>
      <c r="J38" s="54"/>
      <c r="K38" s="102"/>
      <c r="L38" s="102"/>
      <c r="M38" s="54"/>
      <c r="N38" s="102"/>
      <c r="O38" s="102"/>
      <c r="P38" s="54"/>
      <c r="Q38" s="102"/>
      <c r="R38" s="102"/>
      <c r="S38" s="100"/>
      <c r="T38" s="102"/>
      <c r="U38" s="102"/>
    </row>
    <row r="39" spans="2:21">
      <c r="B39" s="109" t="s">
        <v>182</v>
      </c>
      <c r="C39" s="109" t="s">
        <v>320</v>
      </c>
      <c r="D39" s="109" t="s">
        <v>320</v>
      </c>
      <c r="E39" s="109" t="s">
        <v>320</v>
      </c>
      <c r="F39" s="109" t="s">
        <v>320</v>
      </c>
      <c r="G39" s="109" t="s">
        <v>321</v>
      </c>
      <c r="H39" s="109" t="s">
        <v>321</v>
      </c>
      <c r="I39" s="102"/>
      <c r="J39" s="54"/>
      <c r="K39" s="102"/>
      <c r="L39" s="102"/>
      <c r="M39" s="54"/>
      <c r="N39" s="102"/>
      <c r="O39" s="102"/>
      <c r="P39" s="54"/>
      <c r="Q39" s="102"/>
      <c r="R39" s="102"/>
      <c r="S39" s="100"/>
      <c r="T39" s="102"/>
      <c r="U39" s="102"/>
    </row>
    <row r="40" spans="2:21">
      <c r="B40" s="109" t="s">
        <v>356</v>
      </c>
      <c r="C40" s="109" t="s">
        <v>320</v>
      </c>
      <c r="D40" s="109" t="s">
        <v>320</v>
      </c>
      <c r="E40" s="109" t="s">
        <v>320</v>
      </c>
      <c r="F40" s="109" t="s">
        <v>320</v>
      </c>
      <c r="G40" s="109" t="s">
        <v>321</v>
      </c>
      <c r="H40" s="109" t="s">
        <v>321</v>
      </c>
      <c r="I40" s="102"/>
      <c r="J40" s="54"/>
      <c r="K40" s="102"/>
      <c r="L40" s="102"/>
      <c r="M40" s="54"/>
      <c r="N40" s="102"/>
      <c r="O40" s="102"/>
      <c r="P40" s="54"/>
      <c r="Q40" s="102"/>
      <c r="R40" s="102"/>
      <c r="S40" s="100"/>
      <c r="T40" s="102"/>
      <c r="U40" s="102"/>
    </row>
    <row r="41" spans="2:21">
      <c r="B41" s="109" t="s">
        <v>357</v>
      </c>
      <c r="C41" s="109" t="s">
        <v>320</v>
      </c>
      <c r="D41" s="109" t="s">
        <v>320</v>
      </c>
      <c r="E41" s="109" t="s">
        <v>320</v>
      </c>
      <c r="F41" s="109" t="s">
        <v>320</v>
      </c>
      <c r="G41" s="109" t="s">
        <v>321</v>
      </c>
      <c r="H41" s="109" t="s">
        <v>321</v>
      </c>
      <c r="I41" s="102"/>
      <c r="J41" s="54"/>
      <c r="K41" s="102"/>
      <c r="L41" s="102"/>
      <c r="M41" s="54"/>
      <c r="N41" s="102"/>
      <c r="O41" s="102"/>
      <c r="P41" s="54"/>
      <c r="Q41" s="102"/>
      <c r="R41" s="102"/>
      <c r="S41" s="100"/>
      <c r="T41" s="102"/>
      <c r="U41" s="102"/>
    </row>
    <row r="42" spans="2:21">
      <c r="B42" s="109" t="s">
        <v>358</v>
      </c>
      <c r="C42" s="109" t="s">
        <v>320</v>
      </c>
      <c r="D42" s="109" t="s">
        <v>320</v>
      </c>
      <c r="E42" s="109" t="s">
        <v>360</v>
      </c>
      <c r="F42" s="109" t="s">
        <v>360</v>
      </c>
      <c r="G42" s="109" t="s">
        <v>321</v>
      </c>
      <c r="H42" s="109" t="s">
        <v>321</v>
      </c>
      <c r="I42" s="102"/>
      <c r="J42" s="54"/>
      <c r="K42" s="102"/>
      <c r="L42" s="102"/>
      <c r="M42" s="54"/>
      <c r="N42" s="102"/>
      <c r="O42" s="102"/>
      <c r="P42" s="54"/>
      <c r="Q42" s="102"/>
      <c r="R42" s="102"/>
      <c r="S42" s="100"/>
      <c r="T42" s="102"/>
      <c r="U42" s="102"/>
    </row>
    <row r="43" spans="2:21">
      <c r="B43" s="109" t="s">
        <v>359</v>
      </c>
      <c r="C43" s="109" t="s">
        <v>320</v>
      </c>
      <c r="D43" s="109" t="s">
        <v>320</v>
      </c>
      <c r="E43" s="109" t="s">
        <v>320</v>
      </c>
      <c r="F43" s="109" t="s">
        <v>320</v>
      </c>
      <c r="G43" s="109" t="s">
        <v>321</v>
      </c>
      <c r="H43" s="109" t="s">
        <v>321</v>
      </c>
      <c r="I43" s="102"/>
      <c r="J43" s="54"/>
      <c r="K43" s="102"/>
      <c r="L43" s="102"/>
      <c r="M43" s="54"/>
      <c r="N43" s="102"/>
      <c r="O43" s="102"/>
      <c r="P43" s="54"/>
      <c r="Q43" s="102"/>
      <c r="R43" s="102"/>
      <c r="S43" s="100"/>
      <c r="T43" s="102"/>
      <c r="U43" s="102"/>
    </row>
  </sheetData>
  <mergeCells count="7">
    <mergeCell ref="S4:U4"/>
    <mergeCell ref="B4:B5"/>
    <mergeCell ref="C4:H4"/>
    <mergeCell ref="I4:K4"/>
    <mergeCell ref="L4:N4"/>
    <mergeCell ref="O4:Q4"/>
    <mergeCell ref="R4:R5"/>
  </mergeCells>
  <phoneticPr fontId="2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6"/>
  <sheetViews>
    <sheetView zoomScale="85" zoomScaleNormal="85" workbookViewId="0"/>
  </sheetViews>
  <sheetFormatPr defaultRowHeight="13.5"/>
  <cols>
    <col min="1" max="1" width="3.625" customWidth="1"/>
    <col min="2" max="2" width="56.5" bestFit="1" customWidth="1"/>
    <col min="3" max="3" width="30.5" customWidth="1"/>
    <col min="4" max="4" width="86" customWidth="1"/>
    <col min="5" max="13" width="10.625" customWidth="1"/>
  </cols>
  <sheetData>
    <row r="1" spans="1:11">
      <c r="A1" t="s">
        <v>95</v>
      </c>
    </row>
    <row r="4" spans="1:11">
      <c r="A4" s="105" t="s">
        <v>115</v>
      </c>
      <c r="E4" s="160" t="s">
        <v>406</v>
      </c>
    </row>
    <row r="5" spans="1:11">
      <c r="A5" s="107"/>
      <c r="B5" s="105" t="s">
        <v>405</v>
      </c>
      <c r="C5" s="110"/>
      <c r="E5" s="110"/>
    </row>
    <row r="6" spans="1:11">
      <c r="B6" s="106" t="s">
        <v>96</v>
      </c>
      <c r="C6" s="106" t="s">
        <v>97</v>
      </c>
      <c r="D6" s="106" t="s">
        <v>98</v>
      </c>
      <c r="E6" s="154" t="s">
        <v>455</v>
      </c>
      <c r="F6" s="154" t="s">
        <v>454</v>
      </c>
      <c r="G6" s="154" t="s">
        <v>453</v>
      </c>
      <c r="H6" s="154" t="s">
        <v>456</v>
      </c>
      <c r="I6" s="154" t="s">
        <v>457</v>
      </c>
      <c r="J6" s="154" t="s">
        <v>458</v>
      </c>
      <c r="K6" s="154" t="s">
        <v>459</v>
      </c>
    </row>
    <row r="7" spans="1:11">
      <c r="A7" s="107"/>
      <c r="B7" s="108" t="s">
        <v>407</v>
      </c>
      <c r="C7" s="136" t="s">
        <v>408</v>
      </c>
      <c r="D7" s="109"/>
      <c r="E7" s="157"/>
      <c r="F7" s="157"/>
      <c r="G7" s="157"/>
      <c r="H7" s="158"/>
      <c r="I7" s="158"/>
      <c r="J7" s="157"/>
      <c r="K7" s="157"/>
    </row>
    <row r="8" spans="1:11">
      <c r="A8" s="107"/>
      <c r="B8" s="108" t="s">
        <v>409</v>
      </c>
      <c r="C8" s="136" t="s">
        <v>410</v>
      </c>
      <c r="D8" s="109"/>
      <c r="E8" s="157"/>
      <c r="F8" s="157"/>
      <c r="G8" s="157"/>
      <c r="H8" s="158"/>
      <c r="I8" s="158"/>
      <c r="J8" s="157"/>
      <c r="K8" s="157"/>
    </row>
    <row r="9" spans="1:11">
      <c r="A9" s="107"/>
      <c r="B9" s="108" t="s">
        <v>411</v>
      </c>
      <c r="C9" s="136" t="s">
        <v>412</v>
      </c>
      <c r="D9" s="109"/>
      <c r="E9" s="157"/>
      <c r="F9" s="157"/>
      <c r="G9" s="157"/>
      <c r="H9" s="158"/>
      <c r="I9" s="158"/>
      <c r="J9" s="157"/>
      <c r="K9" s="157"/>
    </row>
    <row r="10" spans="1:11">
      <c r="A10" s="107"/>
      <c r="B10" s="108" t="s">
        <v>813</v>
      </c>
      <c r="C10" s="136" t="s">
        <v>413</v>
      </c>
      <c r="D10" s="109"/>
      <c r="E10" s="157"/>
      <c r="F10" s="157"/>
      <c r="G10" s="157"/>
      <c r="H10" s="158"/>
      <c r="I10" s="158"/>
      <c r="J10" s="157"/>
      <c r="K10" s="157"/>
    </row>
    <row r="11" spans="1:11">
      <c r="A11" s="107"/>
      <c r="B11" s="108" t="s">
        <v>414</v>
      </c>
      <c r="C11" s="136" t="s">
        <v>415</v>
      </c>
      <c r="D11" s="109"/>
      <c r="E11" s="157"/>
      <c r="F11" s="157"/>
      <c r="G11" s="157"/>
      <c r="H11" s="158"/>
      <c r="I11" s="158"/>
      <c r="J11" s="157"/>
      <c r="K11" s="157"/>
    </row>
    <row r="12" spans="1:11">
      <c r="A12" s="107"/>
      <c r="B12" s="108" t="s">
        <v>578</v>
      </c>
      <c r="C12" s="136" t="s">
        <v>416</v>
      </c>
      <c r="D12" s="109"/>
      <c r="E12" s="157"/>
      <c r="F12" s="157"/>
      <c r="G12" s="157"/>
      <c r="H12" s="158"/>
      <c r="I12" s="158"/>
      <c r="J12" s="157"/>
      <c r="K12" s="157"/>
    </row>
    <row r="13" spans="1:11">
      <c r="A13" s="107"/>
      <c r="B13" s="108" t="s">
        <v>417</v>
      </c>
      <c r="C13" s="136" t="s">
        <v>418</v>
      </c>
      <c r="D13" s="109"/>
      <c r="E13" s="157"/>
      <c r="F13" s="157"/>
      <c r="G13" s="157"/>
      <c r="H13" s="158"/>
      <c r="I13" s="158"/>
      <c r="J13" s="157"/>
      <c r="K13" s="157"/>
    </row>
    <row r="14" spans="1:11">
      <c r="A14" s="107"/>
      <c r="B14" s="108" t="s">
        <v>419</v>
      </c>
      <c r="C14" s="136" t="s">
        <v>420</v>
      </c>
      <c r="D14" s="109"/>
      <c r="E14" s="157"/>
      <c r="F14" s="157"/>
      <c r="G14" s="157"/>
      <c r="H14" s="158"/>
      <c r="I14" s="158"/>
      <c r="J14" s="157"/>
      <c r="K14" s="157"/>
    </row>
    <row r="15" spans="1:11">
      <c r="A15" s="107"/>
      <c r="B15" s="108" t="s">
        <v>421</v>
      </c>
      <c r="C15" s="136" t="s">
        <v>422</v>
      </c>
      <c r="D15" s="109"/>
      <c r="E15" s="157"/>
      <c r="F15" s="157"/>
      <c r="G15" s="157"/>
      <c r="H15" s="158"/>
      <c r="I15" s="158"/>
      <c r="J15" s="157"/>
      <c r="K15" s="157"/>
    </row>
    <row r="16" spans="1:11">
      <c r="A16" s="107"/>
      <c r="B16" s="136" t="s">
        <v>579</v>
      </c>
      <c r="C16" s="136" t="s">
        <v>424</v>
      </c>
      <c r="D16" s="109"/>
      <c r="E16" s="157"/>
      <c r="F16" s="157"/>
      <c r="G16" s="157"/>
      <c r="H16" s="158"/>
      <c r="I16" s="158"/>
      <c r="J16" s="157"/>
      <c r="K16" s="157"/>
    </row>
    <row r="17" spans="1:11">
      <c r="A17" s="107"/>
      <c r="B17" s="105" t="s">
        <v>267</v>
      </c>
      <c r="C17" s="110"/>
      <c r="E17" s="110"/>
    </row>
    <row r="18" spans="1:11">
      <c r="B18" s="106" t="s">
        <v>96</v>
      </c>
      <c r="C18" s="106" t="s">
        <v>97</v>
      </c>
      <c r="D18" s="106" t="s">
        <v>98</v>
      </c>
      <c r="E18" s="154" t="s">
        <v>455</v>
      </c>
      <c r="F18" s="154" t="s">
        <v>454</v>
      </c>
      <c r="G18" s="154" t="s">
        <v>453</v>
      </c>
      <c r="H18" s="154" t="s">
        <v>456</v>
      </c>
      <c r="I18" s="154" t="s">
        <v>456</v>
      </c>
      <c r="J18" s="154" t="s">
        <v>458</v>
      </c>
      <c r="K18" s="154" t="s">
        <v>459</v>
      </c>
    </row>
    <row r="19" spans="1:11">
      <c r="B19" s="108" t="s">
        <v>431</v>
      </c>
      <c r="C19" s="155" t="s">
        <v>432</v>
      </c>
      <c r="D19" s="156" t="s">
        <v>433</v>
      </c>
      <c r="E19" s="158"/>
      <c r="F19" s="158"/>
      <c r="G19" s="158"/>
      <c r="H19" s="158"/>
      <c r="I19" s="158"/>
      <c r="J19" s="158"/>
      <c r="K19" s="158"/>
    </row>
    <row r="20" spans="1:11">
      <c r="B20" s="108" t="s">
        <v>434</v>
      </c>
      <c r="C20" s="155"/>
      <c r="D20" s="156"/>
      <c r="E20" s="158"/>
      <c r="F20" s="158"/>
      <c r="G20" s="158"/>
      <c r="H20" s="158"/>
      <c r="I20" s="158"/>
      <c r="J20" s="158"/>
      <c r="K20" s="158"/>
    </row>
    <row r="21" spans="1:11">
      <c r="B21" s="108" t="s">
        <v>113</v>
      </c>
      <c r="C21" s="155" t="s">
        <v>435</v>
      </c>
      <c r="D21" s="156" t="s">
        <v>433</v>
      </c>
      <c r="E21" s="158"/>
      <c r="F21" s="158"/>
      <c r="G21" s="158"/>
      <c r="H21" s="158"/>
      <c r="I21" s="158"/>
      <c r="J21" s="158"/>
      <c r="K21" s="158"/>
    </row>
    <row r="22" spans="1:11">
      <c r="B22" s="108" t="s">
        <v>436</v>
      </c>
      <c r="C22" s="155" t="s">
        <v>437</v>
      </c>
      <c r="D22" s="156" t="s">
        <v>438</v>
      </c>
      <c r="E22" s="167"/>
      <c r="F22" s="167"/>
      <c r="G22" s="167"/>
      <c r="H22" s="167"/>
      <c r="I22" s="167"/>
      <c r="J22" s="167"/>
      <c r="K22" s="167"/>
    </row>
    <row r="23" spans="1:11">
      <c r="B23" s="108" t="s">
        <v>439</v>
      </c>
      <c r="C23" s="155" t="s">
        <v>440</v>
      </c>
      <c r="D23" s="156" t="s">
        <v>438</v>
      </c>
      <c r="E23" s="158"/>
      <c r="F23" s="158"/>
      <c r="G23" s="158"/>
      <c r="H23" s="158"/>
      <c r="I23" s="158"/>
      <c r="J23" s="158"/>
      <c r="K23" s="158"/>
    </row>
    <row r="24" spans="1:11">
      <c r="B24" s="108" t="s">
        <v>114</v>
      </c>
      <c r="C24" s="108"/>
      <c r="D24" s="109"/>
      <c r="E24" s="158"/>
      <c r="F24" s="158"/>
      <c r="G24" s="158"/>
      <c r="H24" s="158"/>
      <c r="I24" s="158"/>
      <c r="J24" s="158"/>
      <c r="K24" s="158"/>
    </row>
    <row r="25" spans="1:11">
      <c r="B25" s="108" t="s">
        <v>441</v>
      </c>
      <c r="C25" s="108"/>
      <c r="D25" s="109"/>
      <c r="E25" s="158"/>
      <c r="F25" s="158"/>
      <c r="G25" s="158"/>
      <c r="H25" s="158"/>
      <c r="I25" s="158"/>
      <c r="J25" s="158"/>
      <c r="K25" s="158"/>
    </row>
    <row r="26" spans="1:11">
      <c r="B26" s="119"/>
      <c r="C26" s="119"/>
      <c r="D26" s="120"/>
    </row>
    <row r="27" spans="1:11">
      <c r="A27" s="105" t="s">
        <v>580</v>
      </c>
      <c r="E27" s="160" t="s">
        <v>406</v>
      </c>
    </row>
    <row r="28" spans="1:11">
      <c r="A28" s="107"/>
      <c r="B28" s="105" t="s">
        <v>112</v>
      </c>
      <c r="C28" s="110"/>
      <c r="E28" s="110"/>
    </row>
    <row r="29" spans="1:11">
      <c r="B29" s="106" t="s">
        <v>96</v>
      </c>
      <c r="C29" s="106" t="s">
        <v>97</v>
      </c>
      <c r="D29" s="106" t="s">
        <v>98</v>
      </c>
      <c r="E29" s="154" t="s">
        <v>452</v>
      </c>
      <c r="F29" s="154" t="s">
        <v>454</v>
      </c>
    </row>
    <row r="30" spans="1:11">
      <c r="A30" s="107"/>
      <c r="B30" s="108" t="s">
        <v>407</v>
      </c>
      <c r="C30" s="136" t="s">
        <v>408</v>
      </c>
      <c r="D30" s="109"/>
      <c r="E30" s="158"/>
      <c r="F30" s="158"/>
    </row>
    <row r="31" spans="1:11">
      <c r="A31" s="107"/>
      <c r="B31" s="108" t="s">
        <v>409</v>
      </c>
      <c r="C31" s="136" t="s">
        <v>410</v>
      </c>
      <c r="D31" s="109"/>
      <c r="E31" s="158"/>
      <c r="F31" s="158"/>
    </row>
    <row r="32" spans="1:11">
      <c r="A32" s="107"/>
      <c r="B32" s="108" t="s">
        <v>411</v>
      </c>
      <c r="C32" s="136" t="s">
        <v>412</v>
      </c>
      <c r="D32" s="109"/>
      <c r="E32" s="158"/>
      <c r="F32" s="158"/>
    </row>
    <row r="33" spans="1:11">
      <c r="A33" s="107"/>
      <c r="B33" s="108" t="s">
        <v>813</v>
      </c>
      <c r="C33" s="136" t="s">
        <v>413</v>
      </c>
      <c r="D33" s="109"/>
      <c r="E33" s="158"/>
      <c r="F33" s="158"/>
    </row>
    <row r="34" spans="1:11">
      <c r="A34" s="107"/>
      <c r="B34" s="108" t="s">
        <v>414</v>
      </c>
      <c r="C34" s="136" t="s">
        <v>415</v>
      </c>
      <c r="D34" s="109"/>
      <c r="E34" s="158"/>
      <c r="F34" s="158"/>
    </row>
    <row r="35" spans="1:11">
      <c r="A35" s="107"/>
      <c r="B35" s="108" t="s">
        <v>578</v>
      </c>
      <c r="C35" s="136" t="s">
        <v>272</v>
      </c>
      <c r="D35" s="109"/>
      <c r="E35" s="158"/>
      <c r="F35" s="158"/>
    </row>
    <row r="36" spans="1:11">
      <c r="A36" s="107"/>
      <c r="B36" s="108" t="s">
        <v>417</v>
      </c>
      <c r="C36" s="136" t="s">
        <v>418</v>
      </c>
      <c r="D36" s="109"/>
      <c r="E36" s="158"/>
      <c r="F36" s="158"/>
    </row>
    <row r="37" spans="1:11">
      <c r="A37" s="107"/>
      <c r="B37" s="108" t="s">
        <v>419</v>
      </c>
      <c r="C37" s="136" t="s">
        <v>420</v>
      </c>
      <c r="D37" s="109"/>
      <c r="E37" s="158"/>
      <c r="F37" s="158"/>
    </row>
    <row r="38" spans="1:11">
      <c r="A38" s="107"/>
      <c r="B38" s="108" t="s">
        <v>421</v>
      </c>
      <c r="C38" s="136" t="s">
        <v>422</v>
      </c>
      <c r="D38" s="109"/>
      <c r="E38" s="158"/>
      <c r="F38" s="158"/>
    </row>
    <row r="39" spans="1:11">
      <c r="A39" s="107"/>
      <c r="B39" s="136" t="s">
        <v>579</v>
      </c>
      <c r="C39" s="136" t="s">
        <v>424</v>
      </c>
      <c r="D39" s="109"/>
      <c r="E39" s="158"/>
      <c r="F39" s="158"/>
    </row>
    <row r="40" spans="1:11">
      <c r="A40" s="107"/>
      <c r="B40" s="136" t="s">
        <v>429</v>
      </c>
      <c r="C40" s="136" t="s">
        <v>430</v>
      </c>
      <c r="D40" s="109"/>
      <c r="E40" s="158"/>
      <c r="F40" s="158"/>
    </row>
    <row r="41" spans="1:11">
      <c r="A41" s="107"/>
      <c r="B41" s="105" t="s">
        <v>267</v>
      </c>
      <c r="C41" s="110"/>
      <c r="E41" s="110"/>
    </row>
    <row r="42" spans="1:11">
      <c r="B42" s="106" t="s">
        <v>96</v>
      </c>
      <c r="C42" s="106" t="s">
        <v>97</v>
      </c>
      <c r="D42" s="106" t="s">
        <v>98</v>
      </c>
      <c r="E42" s="154" t="s">
        <v>452</v>
      </c>
      <c r="F42" s="154" t="s">
        <v>454</v>
      </c>
    </row>
    <row r="43" spans="1:11" ht="40.5">
      <c r="B43" s="108" t="s">
        <v>581</v>
      </c>
      <c r="C43" s="155" t="s">
        <v>583</v>
      </c>
      <c r="D43" s="169" t="s">
        <v>585</v>
      </c>
      <c r="E43" s="158"/>
      <c r="F43" s="158"/>
    </row>
    <row r="44" spans="1:11" ht="27">
      <c r="B44" s="108" t="s">
        <v>582</v>
      </c>
      <c r="C44" s="155" t="s">
        <v>584</v>
      </c>
      <c r="D44" s="169" t="s">
        <v>586</v>
      </c>
      <c r="E44" s="158"/>
      <c r="F44" s="167"/>
    </row>
    <row r="45" spans="1:11">
      <c r="B45" s="119"/>
      <c r="C45" s="119"/>
      <c r="D45" s="120"/>
      <c r="E45" s="168"/>
      <c r="F45" s="168"/>
      <c r="G45" s="168"/>
      <c r="H45" s="168"/>
      <c r="I45" s="168"/>
      <c r="J45" s="168"/>
      <c r="K45" s="168"/>
    </row>
    <row r="46" spans="1:11">
      <c r="A46" s="279" t="s">
        <v>450</v>
      </c>
      <c r="B46" s="279"/>
      <c r="C46" s="110"/>
    </row>
    <row r="47" spans="1:11">
      <c r="B47" t="s">
        <v>112</v>
      </c>
    </row>
    <row r="48" spans="1:11">
      <c r="B48" s="106" t="s">
        <v>96</v>
      </c>
      <c r="C48" s="106" t="s">
        <v>97</v>
      </c>
      <c r="D48" s="106" t="s">
        <v>98</v>
      </c>
      <c r="E48" s="154" t="s">
        <v>455</v>
      </c>
      <c r="F48" s="154" t="s">
        <v>454</v>
      </c>
      <c r="G48" s="154" t="s">
        <v>453</v>
      </c>
      <c r="H48" s="154" t="s">
        <v>456</v>
      </c>
      <c r="I48" s="154" t="s">
        <v>457</v>
      </c>
      <c r="J48" s="154" t="s">
        <v>458</v>
      </c>
      <c r="K48" s="154" t="s">
        <v>459</v>
      </c>
    </row>
    <row r="49" spans="1:11">
      <c r="A49" s="107"/>
      <c r="B49" s="108" t="s">
        <v>407</v>
      </c>
      <c r="C49" s="136" t="s">
        <v>408</v>
      </c>
      <c r="D49" s="109"/>
      <c r="E49" s="157"/>
      <c r="F49" s="157"/>
      <c r="G49" s="157"/>
      <c r="H49" s="157"/>
      <c r="I49" s="157"/>
      <c r="J49" s="157"/>
      <c r="K49" s="157"/>
    </row>
    <row r="50" spans="1:11">
      <c r="A50" s="107"/>
      <c r="B50" s="108" t="s">
        <v>409</v>
      </c>
      <c r="C50" s="136" t="s">
        <v>410</v>
      </c>
      <c r="D50" s="109"/>
      <c r="E50" s="157"/>
      <c r="F50" s="157"/>
      <c r="G50" s="157"/>
      <c r="H50" s="157"/>
      <c r="I50" s="157"/>
      <c r="J50" s="157"/>
      <c r="K50" s="157"/>
    </row>
    <row r="51" spans="1:11">
      <c r="A51" s="107"/>
      <c r="B51" s="108" t="s">
        <v>411</v>
      </c>
      <c r="C51" s="136" t="s">
        <v>412</v>
      </c>
      <c r="D51" s="109"/>
      <c r="E51" s="157"/>
      <c r="F51" s="157"/>
      <c r="G51" s="157"/>
      <c r="H51" s="157"/>
      <c r="I51" s="157"/>
      <c r="J51" s="157"/>
      <c r="K51" s="157"/>
    </row>
    <row r="52" spans="1:11">
      <c r="A52" s="107"/>
      <c r="B52" s="108" t="s">
        <v>813</v>
      </c>
      <c r="C52" s="136" t="s">
        <v>413</v>
      </c>
      <c r="D52" s="109"/>
      <c r="E52" s="157"/>
      <c r="F52" s="157"/>
      <c r="G52" s="157"/>
      <c r="H52" s="157"/>
      <c r="I52" s="157"/>
      <c r="J52" s="157"/>
      <c r="K52" s="157"/>
    </row>
    <row r="53" spans="1:11">
      <c r="A53" s="107"/>
      <c r="B53" s="108" t="s">
        <v>414</v>
      </c>
      <c r="C53" s="136" t="s">
        <v>415</v>
      </c>
      <c r="D53" s="109"/>
      <c r="E53" s="157"/>
      <c r="F53" s="157"/>
      <c r="G53" s="157"/>
      <c r="H53" s="157"/>
      <c r="I53" s="157"/>
      <c r="J53" s="157"/>
      <c r="K53" s="157"/>
    </row>
    <row r="54" spans="1:11">
      <c r="A54" s="107"/>
      <c r="B54" s="108" t="s">
        <v>578</v>
      </c>
      <c r="C54" s="136" t="s">
        <v>416</v>
      </c>
      <c r="D54" s="109"/>
      <c r="E54" s="157"/>
      <c r="F54" s="157"/>
      <c r="G54" s="157"/>
      <c r="H54" s="157"/>
      <c r="I54" s="157"/>
      <c r="J54" s="157"/>
      <c r="K54" s="157"/>
    </row>
    <row r="55" spans="1:11">
      <c r="A55" s="107"/>
      <c r="B55" s="108" t="s">
        <v>417</v>
      </c>
      <c r="C55" s="136" t="s">
        <v>418</v>
      </c>
      <c r="D55" s="109"/>
      <c r="E55" s="157"/>
      <c r="F55" s="157"/>
      <c r="G55" s="157"/>
      <c r="H55" s="157"/>
      <c r="I55" s="157"/>
      <c r="J55" s="157"/>
      <c r="K55" s="157"/>
    </row>
    <row r="56" spans="1:11">
      <c r="A56" s="107"/>
      <c r="B56" s="108" t="s">
        <v>419</v>
      </c>
      <c r="C56" s="136" t="s">
        <v>420</v>
      </c>
      <c r="D56" s="109"/>
      <c r="E56" s="157"/>
      <c r="F56" s="157"/>
      <c r="G56" s="157"/>
      <c r="H56" s="157"/>
      <c r="I56" s="157"/>
      <c r="J56" s="157"/>
      <c r="K56" s="157"/>
    </row>
    <row r="57" spans="1:11">
      <c r="A57" s="107"/>
      <c r="B57" s="108" t="s">
        <v>421</v>
      </c>
      <c r="C57" s="136" t="s">
        <v>422</v>
      </c>
      <c r="D57" s="109"/>
      <c r="E57" s="157"/>
      <c r="F57" s="157"/>
      <c r="G57" s="157"/>
      <c r="H57" s="157"/>
      <c r="I57" s="157"/>
      <c r="J57" s="157"/>
      <c r="K57" s="157"/>
    </row>
    <row r="58" spans="1:11">
      <c r="A58" s="107"/>
      <c r="B58" s="108" t="s">
        <v>423</v>
      </c>
      <c r="C58" s="136" t="s">
        <v>390</v>
      </c>
      <c r="D58" s="109"/>
      <c r="E58" s="157"/>
      <c r="F58" s="157"/>
      <c r="G58" s="157"/>
      <c r="H58" s="157"/>
      <c r="I58" s="157"/>
      <c r="J58" s="157"/>
      <c r="K58" s="157"/>
    </row>
    <row r="59" spans="1:11">
      <c r="A59" s="107"/>
      <c r="B59" s="136" t="s">
        <v>579</v>
      </c>
      <c r="C59" s="136" t="s">
        <v>424</v>
      </c>
      <c r="D59" s="109"/>
      <c r="E59" s="157"/>
      <c r="F59" s="157"/>
      <c r="G59" s="157"/>
      <c r="H59" s="157"/>
      <c r="I59" s="157"/>
      <c r="J59" s="157"/>
      <c r="K59" s="157"/>
    </row>
    <row r="60" spans="1:11">
      <c r="A60" s="107"/>
      <c r="B60" s="136" t="s">
        <v>425</v>
      </c>
      <c r="C60" s="136" t="s">
        <v>426</v>
      </c>
      <c r="D60" s="109"/>
      <c r="E60" s="157"/>
      <c r="F60" s="157"/>
      <c r="G60" s="157"/>
      <c r="H60" s="157"/>
      <c r="I60" s="157"/>
      <c r="J60" s="157"/>
      <c r="K60" s="157"/>
    </row>
    <row r="61" spans="1:11">
      <c r="A61" s="107"/>
      <c r="B61" s="136" t="s">
        <v>427</v>
      </c>
      <c r="C61" s="136" t="s">
        <v>428</v>
      </c>
      <c r="D61" s="109"/>
      <c r="E61" s="157"/>
      <c r="F61" s="157"/>
      <c r="G61" s="157"/>
      <c r="H61" s="157"/>
      <c r="I61" s="157"/>
      <c r="J61" s="157"/>
      <c r="K61" s="157"/>
    </row>
    <row r="62" spans="1:11">
      <c r="A62" s="107"/>
      <c r="B62" s="136" t="s">
        <v>429</v>
      </c>
      <c r="C62" s="136" t="s">
        <v>430</v>
      </c>
      <c r="D62" s="109"/>
      <c r="E62" s="157"/>
      <c r="F62" s="157"/>
      <c r="G62" s="157"/>
      <c r="H62" s="157"/>
      <c r="I62" s="157"/>
      <c r="J62" s="157"/>
      <c r="K62" s="157"/>
    </row>
    <row r="63" spans="1:11">
      <c r="A63" s="107"/>
      <c r="B63" s="138"/>
      <c r="C63" s="139"/>
      <c r="D63" s="120"/>
    </row>
    <row r="64" spans="1:11">
      <c r="A64" s="107"/>
      <c r="B64" s="119" t="s">
        <v>267</v>
      </c>
      <c r="C64" s="141"/>
      <c r="D64" s="120"/>
    </row>
    <row r="65" spans="1:13">
      <c r="B65" s="106" t="s">
        <v>96</v>
      </c>
      <c r="C65" s="106" t="s">
        <v>97</v>
      </c>
      <c r="D65" s="164" t="s">
        <v>98</v>
      </c>
      <c r="E65" s="164" t="s">
        <v>587</v>
      </c>
      <c r="F65" s="170" t="s">
        <v>588</v>
      </c>
      <c r="G65" s="154" t="s">
        <v>452</v>
      </c>
      <c r="H65" s="154" t="s">
        <v>460</v>
      </c>
      <c r="I65" s="154" t="s">
        <v>461</v>
      </c>
      <c r="J65" s="154" t="s">
        <v>462</v>
      </c>
      <c r="K65" s="154" t="s">
        <v>463</v>
      </c>
      <c r="L65" s="154" t="s">
        <v>458</v>
      </c>
      <c r="M65" s="154" t="s">
        <v>464</v>
      </c>
    </row>
    <row r="66" spans="1:13">
      <c r="B66" s="142" t="s">
        <v>614</v>
      </c>
      <c r="C66" s="142"/>
      <c r="D66" s="165"/>
      <c r="E66" s="165"/>
      <c r="F66" s="157"/>
      <c r="G66" s="157"/>
      <c r="H66" s="157"/>
      <c r="I66" s="157"/>
      <c r="J66" s="157"/>
      <c r="K66" s="157"/>
      <c r="L66" s="157"/>
      <c r="M66" s="157"/>
    </row>
    <row r="67" spans="1:13">
      <c r="B67" s="108" t="s">
        <v>791</v>
      </c>
      <c r="C67" s="108" t="s">
        <v>615</v>
      </c>
      <c r="D67" s="118"/>
      <c r="E67" s="118"/>
      <c r="F67" s="157"/>
      <c r="G67" s="157"/>
      <c r="H67" s="157"/>
      <c r="I67" s="157"/>
      <c r="J67" s="157"/>
      <c r="K67" s="157"/>
      <c r="L67" s="157"/>
      <c r="M67" s="157"/>
    </row>
    <row r="68" spans="1:13">
      <c r="B68" s="108" t="s">
        <v>616</v>
      </c>
      <c r="C68" s="108" t="s">
        <v>617</v>
      </c>
      <c r="D68" s="118"/>
      <c r="E68" s="118"/>
      <c r="F68" s="171"/>
      <c r="G68" s="157"/>
      <c r="H68" s="157"/>
      <c r="I68" s="157"/>
      <c r="J68" s="157"/>
      <c r="K68" s="157"/>
      <c r="L68" s="157"/>
      <c r="M68" s="157"/>
    </row>
    <row r="69" spans="1:13">
      <c r="A69" s="107"/>
      <c r="B69" s="108" t="s">
        <v>618</v>
      </c>
      <c r="C69" s="108" t="s">
        <v>500</v>
      </c>
      <c r="D69" s="118"/>
      <c r="E69" s="118" t="s">
        <v>589</v>
      </c>
      <c r="F69" s="142"/>
      <c r="G69" s="157"/>
      <c r="H69" s="157"/>
      <c r="I69" s="157"/>
      <c r="J69" s="157"/>
      <c r="K69" s="157"/>
      <c r="L69" s="157"/>
      <c r="M69" s="157"/>
    </row>
    <row r="70" spans="1:13">
      <c r="A70" s="107"/>
      <c r="B70" s="108" t="s">
        <v>619</v>
      </c>
      <c r="C70" s="108" t="s">
        <v>620</v>
      </c>
      <c r="D70" s="118" t="s">
        <v>621</v>
      </c>
      <c r="E70" s="118" t="s">
        <v>590</v>
      </c>
      <c r="F70" s="142"/>
      <c r="G70" s="157"/>
      <c r="H70" s="157"/>
      <c r="I70" s="157"/>
      <c r="J70" s="157"/>
      <c r="K70" s="157"/>
      <c r="L70" s="157"/>
      <c r="M70" s="157"/>
    </row>
    <row r="71" spans="1:13">
      <c r="A71" s="107"/>
      <c r="B71" s="108" t="s">
        <v>622</v>
      </c>
      <c r="C71" s="108" t="s">
        <v>268</v>
      </c>
      <c r="D71" s="118" t="s">
        <v>623</v>
      </c>
      <c r="E71" s="118" t="s">
        <v>591</v>
      </c>
      <c r="F71" s="142"/>
      <c r="G71" s="157"/>
      <c r="H71" s="157"/>
      <c r="I71" s="157"/>
      <c r="J71" s="157"/>
      <c r="K71" s="157"/>
      <c r="L71" s="157"/>
      <c r="M71" s="157"/>
    </row>
    <row r="72" spans="1:13">
      <c r="A72" s="107"/>
      <c r="B72" s="108" t="s">
        <v>624</v>
      </c>
      <c r="C72" s="108" t="s">
        <v>270</v>
      </c>
      <c r="D72" s="118" t="s">
        <v>625</v>
      </c>
      <c r="E72" s="118"/>
      <c r="F72" s="171"/>
      <c r="G72" s="157"/>
      <c r="H72" s="157"/>
      <c r="I72" s="157"/>
      <c r="J72" s="157"/>
      <c r="K72" s="157"/>
      <c r="L72" s="157"/>
      <c r="M72" s="157"/>
    </row>
    <row r="73" spans="1:13">
      <c r="A73" s="107"/>
      <c r="B73" s="108" t="s">
        <v>626</v>
      </c>
      <c r="C73" s="108" t="s">
        <v>627</v>
      </c>
      <c r="D73" s="118" t="s">
        <v>625</v>
      </c>
      <c r="E73" s="118"/>
      <c r="F73" s="171"/>
      <c r="G73" s="157"/>
      <c r="H73" s="157"/>
      <c r="I73" s="157"/>
      <c r="J73" s="157"/>
      <c r="K73" s="157"/>
      <c r="L73" s="157"/>
      <c r="M73" s="157"/>
    </row>
    <row r="74" spans="1:13">
      <c r="A74" s="107"/>
      <c r="B74" s="108" t="s">
        <v>628</v>
      </c>
      <c r="C74" s="108" t="s">
        <v>502</v>
      </c>
      <c r="D74" s="118" t="s">
        <v>623</v>
      </c>
      <c r="E74" s="118" t="s">
        <v>270</v>
      </c>
      <c r="F74" s="142"/>
      <c r="G74" s="157"/>
      <c r="H74" s="157"/>
      <c r="I74" s="157"/>
      <c r="J74" s="157"/>
      <c r="K74" s="157"/>
      <c r="L74" s="157"/>
      <c r="M74" s="157"/>
    </row>
    <row r="75" spans="1:13">
      <c r="A75" s="107"/>
      <c r="B75" s="108" t="s">
        <v>629</v>
      </c>
      <c r="C75" s="108" t="s">
        <v>630</v>
      </c>
      <c r="D75" s="118" t="s">
        <v>631</v>
      </c>
      <c r="E75" s="118" t="s">
        <v>592</v>
      </c>
      <c r="F75" s="142"/>
      <c r="G75" s="157"/>
      <c r="H75" s="157"/>
      <c r="I75" s="157"/>
      <c r="J75" s="157"/>
      <c r="K75" s="157"/>
      <c r="L75" s="157"/>
      <c r="M75" s="157"/>
    </row>
    <row r="76" spans="1:13">
      <c r="A76" s="107"/>
      <c r="B76" s="108" t="s">
        <v>632</v>
      </c>
      <c r="C76" s="108" t="s">
        <v>271</v>
      </c>
      <c r="D76" s="118" t="s">
        <v>623</v>
      </c>
      <c r="E76" s="118"/>
      <c r="F76" s="171"/>
      <c r="G76" s="157"/>
      <c r="H76" s="157"/>
      <c r="I76" s="157"/>
      <c r="J76" s="157"/>
      <c r="K76" s="157"/>
      <c r="L76" s="157"/>
      <c r="M76" s="157"/>
    </row>
    <row r="77" spans="1:13">
      <c r="A77" s="107"/>
      <c r="B77" s="108" t="s">
        <v>633</v>
      </c>
      <c r="C77" s="108" t="s">
        <v>634</v>
      </c>
      <c r="D77" s="118" t="s">
        <v>635</v>
      </c>
      <c r="E77" s="118" t="s">
        <v>593</v>
      </c>
      <c r="F77" s="142"/>
      <c r="G77" s="157"/>
      <c r="H77" s="157"/>
      <c r="I77" s="157"/>
      <c r="J77" s="157"/>
      <c r="K77" s="157"/>
      <c r="L77" s="157"/>
      <c r="M77" s="157"/>
    </row>
    <row r="78" spans="1:13">
      <c r="A78" s="107"/>
      <c r="B78" s="108" t="s">
        <v>636</v>
      </c>
      <c r="C78" s="109" t="s">
        <v>637</v>
      </c>
      <c r="D78" s="118"/>
      <c r="E78" s="118"/>
      <c r="F78" s="171"/>
      <c r="G78" s="157"/>
      <c r="H78" s="157"/>
      <c r="I78" s="157"/>
      <c r="J78" s="157"/>
      <c r="K78" s="157"/>
      <c r="L78" s="157"/>
      <c r="M78" s="157"/>
    </row>
    <row r="79" spans="1:13">
      <c r="A79" s="107"/>
      <c r="B79" s="108" t="s">
        <v>638</v>
      </c>
      <c r="C79" s="108" t="s">
        <v>639</v>
      </c>
      <c r="D79" s="118" t="s">
        <v>640</v>
      </c>
      <c r="E79" s="118"/>
      <c r="F79" s="171"/>
      <c r="G79" s="157"/>
      <c r="H79" s="157"/>
      <c r="I79" s="157"/>
      <c r="J79" s="157"/>
      <c r="K79" s="157"/>
      <c r="L79" s="157"/>
      <c r="M79" s="157"/>
    </row>
    <row r="80" spans="1:13">
      <c r="A80" s="107"/>
      <c r="B80" s="108" t="s">
        <v>641</v>
      </c>
      <c r="C80" s="108" t="s">
        <v>642</v>
      </c>
      <c r="D80" s="118" t="s">
        <v>643</v>
      </c>
      <c r="E80" s="118"/>
      <c r="F80" s="157"/>
      <c r="G80" s="157"/>
      <c r="H80" s="157"/>
      <c r="I80" s="157"/>
      <c r="J80" s="157"/>
      <c r="K80" s="157"/>
      <c r="L80" s="157"/>
      <c r="M80" s="157"/>
    </row>
    <row r="81" spans="1:13" ht="27">
      <c r="A81" s="107"/>
      <c r="B81" s="108" t="s">
        <v>644</v>
      </c>
      <c r="C81" s="108"/>
      <c r="D81" s="118"/>
      <c r="E81" s="118" t="s">
        <v>253</v>
      </c>
      <c r="F81" s="142"/>
      <c r="G81" s="157"/>
      <c r="H81" s="157"/>
      <c r="I81" s="157"/>
      <c r="J81" s="157"/>
      <c r="K81" s="157"/>
      <c r="L81" s="157"/>
      <c r="M81" s="157"/>
    </row>
    <row r="82" spans="1:13">
      <c r="A82" s="107"/>
      <c r="B82" s="108" t="s">
        <v>645</v>
      </c>
      <c r="C82" s="118" t="s">
        <v>646</v>
      </c>
      <c r="D82" s="118"/>
      <c r="E82" s="118"/>
      <c r="F82" s="157"/>
      <c r="G82" s="157"/>
      <c r="H82" s="157"/>
      <c r="I82" s="157"/>
      <c r="J82" s="157"/>
      <c r="K82" s="157"/>
      <c r="L82" s="157"/>
      <c r="M82" s="157"/>
    </row>
    <row r="83" spans="1:13">
      <c r="A83" s="107"/>
      <c r="B83" s="108" t="s">
        <v>647</v>
      </c>
      <c r="C83" s="108" t="s">
        <v>648</v>
      </c>
      <c r="D83" s="143" t="s">
        <v>403</v>
      </c>
      <c r="E83" s="143" t="s">
        <v>215</v>
      </c>
      <c r="F83" s="142"/>
      <c r="G83" s="157"/>
      <c r="H83" s="157"/>
      <c r="I83" s="157"/>
      <c r="J83" s="157"/>
      <c r="K83" s="157"/>
      <c r="L83" s="157"/>
      <c r="M83" s="157"/>
    </row>
    <row r="84" spans="1:13" ht="27">
      <c r="A84" s="107"/>
      <c r="B84" s="108" t="s">
        <v>649</v>
      </c>
      <c r="C84" s="108" t="s">
        <v>650</v>
      </c>
      <c r="D84" s="143" t="s">
        <v>403</v>
      </c>
      <c r="E84" s="143" t="s">
        <v>594</v>
      </c>
      <c r="F84" s="142"/>
      <c r="G84" s="157"/>
      <c r="H84" s="157"/>
      <c r="I84" s="157"/>
      <c r="J84" s="157"/>
      <c r="K84" s="157"/>
      <c r="L84" s="157"/>
      <c r="M84" s="157"/>
    </row>
    <row r="85" spans="1:13">
      <c r="A85" s="107"/>
      <c r="B85" s="108" t="s">
        <v>651</v>
      </c>
      <c r="C85" s="109" t="s">
        <v>273</v>
      </c>
      <c r="D85" s="143"/>
      <c r="E85" s="143"/>
      <c r="F85" s="157"/>
      <c r="G85" s="157"/>
      <c r="H85" s="157"/>
      <c r="I85" s="157"/>
      <c r="J85" s="157"/>
      <c r="K85" s="157"/>
      <c r="L85" s="157"/>
      <c r="M85" s="157"/>
    </row>
    <row r="86" spans="1:13">
      <c r="A86" s="107"/>
      <c r="B86" s="108" t="s">
        <v>647</v>
      </c>
      <c r="C86" s="108" t="s">
        <v>652</v>
      </c>
      <c r="D86" s="143" t="s">
        <v>503</v>
      </c>
      <c r="E86" s="143" t="s">
        <v>595</v>
      </c>
      <c r="F86" s="142"/>
      <c r="G86" s="157"/>
      <c r="H86" s="157"/>
      <c r="I86" s="157"/>
      <c r="J86" s="157"/>
      <c r="K86" s="157"/>
      <c r="L86" s="157"/>
      <c r="M86" s="157"/>
    </row>
    <row r="87" spans="1:13" ht="27">
      <c r="A87" s="107"/>
      <c r="B87" s="108" t="s">
        <v>649</v>
      </c>
      <c r="C87" s="108" t="s">
        <v>501</v>
      </c>
      <c r="D87" s="143" t="s">
        <v>653</v>
      </c>
      <c r="E87" s="143" t="s">
        <v>338</v>
      </c>
      <c r="F87" s="142"/>
      <c r="G87" s="157"/>
      <c r="H87" s="157"/>
      <c r="I87" s="157"/>
      <c r="J87" s="157"/>
      <c r="K87" s="157"/>
      <c r="L87" s="157"/>
      <c r="M87" s="157"/>
    </row>
    <row r="88" spans="1:13">
      <c r="A88" s="107"/>
      <c r="B88" s="108" t="s">
        <v>654</v>
      </c>
      <c r="C88" s="108" t="s">
        <v>655</v>
      </c>
      <c r="D88" s="118" t="s">
        <v>656</v>
      </c>
      <c r="E88" s="118" t="s">
        <v>596</v>
      </c>
      <c r="F88" s="142"/>
      <c r="G88" s="157"/>
      <c r="H88" s="157"/>
      <c r="I88" s="157"/>
      <c r="J88" s="157"/>
      <c r="K88" s="157"/>
      <c r="L88" s="157"/>
      <c r="M88" s="157"/>
    </row>
    <row r="89" spans="1:13">
      <c r="A89" s="107"/>
      <c r="B89" s="108" t="s">
        <v>657</v>
      </c>
      <c r="C89" s="108" t="s">
        <v>658</v>
      </c>
      <c r="D89" s="108"/>
      <c r="E89" s="108"/>
      <c r="F89" s="171"/>
      <c r="G89" s="157"/>
      <c r="H89" s="157"/>
      <c r="I89" s="157"/>
      <c r="J89" s="157"/>
      <c r="K89" s="157"/>
      <c r="L89" s="157"/>
      <c r="M89" s="157"/>
    </row>
    <row r="90" spans="1:13">
      <c r="A90" s="107"/>
      <c r="B90" s="108" t="s">
        <v>659</v>
      </c>
      <c r="C90" s="109" t="s">
        <v>660</v>
      </c>
      <c r="D90" s="143" t="s">
        <v>656</v>
      </c>
      <c r="E90" s="143"/>
      <c r="F90" s="171"/>
      <c r="G90" s="157"/>
      <c r="H90" s="157"/>
      <c r="I90" s="157"/>
      <c r="J90" s="157"/>
      <c r="K90" s="157"/>
      <c r="L90" s="157"/>
      <c r="M90" s="157"/>
    </row>
    <row r="91" spans="1:13">
      <c r="A91" s="107"/>
      <c r="B91" s="108" t="s">
        <v>661</v>
      </c>
      <c r="C91" s="109" t="s">
        <v>274</v>
      </c>
      <c r="D91" s="118"/>
      <c r="E91" s="118"/>
      <c r="F91" s="157"/>
      <c r="G91" s="157"/>
      <c r="H91" s="157"/>
      <c r="I91" s="157"/>
      <c r="J91" s="157"/>
      <c r="K91" s="157"/>
      <c r="L91" s="157"/>
      <c r="M91" s="157"/>
    </row>
    <row r="92" spans="1:13">
      <c r="A92" s="107"/>
      <c r="B92" s="108" t="s">
        <v>647</v>
      </c>
      <c r="C92" s="108" t="s">
        <v>662</v>
      </c>
      <c r="D92" s="143" t="s">
        <v>663</v>
      </c>
      <c r="E92" s="118" t="s">
        <v>274</v>
      </c>
      <c r="F92" s="142"/>
      <c r="G92" s="157"/>
      <c r="H92" s="157"/>
      <c r="I92" s="157"/>
      <c r="J92" s="157"/>
      <c r="K92" s="157"/>
      <c r="L92" s="157"/>
      <c r="M92" s="157"/>
    </row>
    <row r="93" spans="1:13" ht="27">
      <c r="A93" s="107"/>
      <c r="B93" s="108" t="s">
        <v>649</v>
      </c>
      <c r="C93" s="108" t="s">
        <v>664</v>
      </c>
      <c r="D93" s="143" t="s">
        <v>665</v>
      </c>
      <c r="E93" s="118" t="s">
        <v>597</v>
      </c>
      <c r="F93" s="142"/>
      <c r="G93" s="157"/>
      <c r="H93" s="157"/>
      <c r="I93" s="157"/>
      <c r="J93" s="157"/>
      <c r="K93" s="157"/>
      <c r="L93" s="157"/>
      <c r="M93" s="157"/>
    </row>
    <row r="94" spans="1:13">
      <c r="A94" s="107"/>
      <c r="B94" s="108" t="s">
        <v>666</v>
      </c>
      <c r="C94" s="108" t="s">
        <v>667</v>
      </c>
      <c r="D94" s="143" t="s">
        <v>403</v>
      </c>
      <c r="E94" s="143" t="s">
        <v>598</v>
      </c>
      <c r="F94" s="142"/>
      <c r="G94" s="157"/>
      <c r="H94" s="157"/>
      <c r="I94" s="157"/>
      <c r="J94" s="157"/>
      <c r="K94" s="157"/>
      <c r="L94" s="157"/>
      <c r="M94" s="157"/>
    </row>
    <row r="95" spans="1:13">
      <c r="A95" s="107"/>
      <c r="B95" s="108" t="s">
        <v>668</v>
      </c>
      <c r="C95" s="118" t="s">
        <v>669</v>
      </c>
      <c r="D95" s="118"/>
      <c r="E95" s="118"/>
      <c r="F95" s="157"/>
      <c r="G95" s="157"/>
      <c r="H95" s="157"/>
      <c r="I95" s="157"/>
      <c r="J95" s="157"/>
      <c r="K95" s="157"/>
      <c r="L95" s="157"/>
      <c r="M95" s="157"/>
    </row>
    <row r="96" spans="1:13" ht="27">
      <c r="A96" s="107"/>
      <c r="B96" s="108" t="s">
        <v>670</v>
      </c>
      <c r="C96" s="108" t="s">
        <v>671</v>
      </c>
      <c r="D96" s="143" t="s">
        <v>672</v>
      </c>
      <c r="E96" s="143" t="s">
        <v>599</v>
      </c>
      <c r="F96" s="142"/>
      <c r="G96" s="157"/>
      <c r="H96" s="157"/>
      <c r="I96" s="157"/>
      <c r="J96" s="157"/>
      <c r="K96" s="157"/>
      <c r="L96" s="157"/>
      <c r="M96" s="157"/>
    </row>
    <row r="97" spans="1:13">
      <c r="A97" s="107"/>
      <c r="B97" s="108" t="s">
        <v>673</v>
      </c>
      <c r="C97" s="118" t="s">
        <v>504</v>
      </c>
      <c r="D97" s="118"/>
      <c r="E97" s="118"/>
      <c r="F97" s="157"/>
      <c r="G97" s="157"/>
      <c r="H97" s="157"/>
      <c r="I97" s="157"/>
      <c r="J97" s="157"/>
      <c r="K97" s="157"/>
      <c r="L97" s="157"/>
      <c r="M97" s="157"/>
    </row>
    <row r="98" spans="1:13">
      <c r="A98" s="107"/>
      <c r="B98" s="108" t="s">
        <v>674</v>
      </c>
      <c r="C98" s="108" t="s">
        <v>675</v>
      </c>
      <c r="D98" s="143" t="s">
        <v>665</v>
      </c>
      <c r="E98" s="108" t="s">
        <v>600</v>
      </c>
      <c r="F98" s="142"/>
      <c r="G98" s="157"/>
      <c r="H98" s="157"/>
      <c r="I98" s="157"/>
      <c r="J98" s="157"/>
      <c r="K98" s="157"/>
      <c r="L98" s="157"/>
      <c r="M98" s="157"/>
    </row>
    <row r="99" spans="1:13">
      <c r="A99" s="107"/>
      <c r="B99" s="108" t="s">
        <v>676</v>
      </c>
      <c r="C99" s="108" t="s">
        <v>677</v>
      </c>
      <c r="D99" s="143" t="s">
        <v>678</v>
      </c>
      <c r="E99" s="108" t="s">
        <v>601</v>
      </c>
      <c r="F99" s="142"/>
      <c r="G99" s="157"/>
      <c r="H99" s="157"/>
      <c r="I99" s="157"/>
      <c r="J99" s="157"/>
      <c r="K99" s="157"/>
      <c r="L99" s="157"/>
      <c r="M99" s="157"/>
    </row>
    <row r="100" spans="1:13" ht="27">
      <c r="A100" s="107"/>
      <c r="B100" s="108" t="s">
        <v>679</v>
      </c>
      <c r="C100" s="108" t="s">
        <v>505</v>
      </c>
      <c r="D100" s="143" t="s">
        <v>680</v>
      </c>
      <c r="E100" s="108" t="s">
        <v>505</v>
      </c>
      <c r="F100" s="157"/>
      <c r="G100" s="157"/>
      <c r="H100" s="157"/>
      <c r="I100" s="157"/>
      <c r="J100" s="157"/>
      <c r="K100" s="157"/>
      <c r="L100" s="157"/>
      <c r="M100" s="157"/>
    </row>
    <row r="101" spans="1:13" ht="27">
      <c r="A101" s="107"/>
      <c r="B101" s="108" t="s">
        <v>681</v>
      </c>
      <c r="C101" s="108" t="s">
        <v>682</v>
      </c>
      <c r="D101" s="143" t="s">
        <v>680</v>
      </c>
      <c r="E101" s="108" t="s">
        <v>602</v>
      </c>
      <c r="F101" s="157"/>
      <c r="G101" s="157"/>
      <c r="H101" s="157"/>
      <c r="I101" s="157"/>
      <c r="J101" s="157"/>
      <c r="K101" s="157"/>
      <c r="L101" s="157"/>
      <c r="M101" s="157"/>
    </row>
    <row r="102" spans="1:13">
      <c r="A102" s="107"/>
      <c r="B102" s="108" t="s">
        <v>683</v>
      </c>
      <c r="C102" s="109" t="s">
        <v>684</v>
      </c>
      <c r="D102" s="118"/>
      <c r="E102" s="118"/>
      <c r="F102" s="157"/>
      <c r="G102" s="157"/>
      <c r="H102" s="157"/>
      <c r="I102" s="157"/>
      <c r="J102" s="157"/>
      <c r="K102" s="157"/>
      <c r="L102" s="157"/>
      <c r="M102" s="157"/>
    </row>
    <row r="103" spans="1:13">
      <c r="A103" s="107"/>
      <c r="B103" s="108" t="s">
        <v>685</v>
      </c>
      <c r="C103" s="108" t="s">
        <v>275</v>
      </c>
      <c r="D103" s="118" t="s">
        <v>506</v>
      </c>
      <c r="E103" s="118" t="s">
        <v>603</v>
      </c>
      <c r="F103" s="142"/>
      <c r="G103" s="157"/>
      <c r="H103" s="157"/>
      <c r="I103" s="157"/>
      <c r="J103" s="157"/>
      <c r="K103" s="157"/>
      <c r="L103" s="157"/>
      <c r="M103" s="157"/>
    </row>
    <row r="104" spans="1:13">
      <c r="A104" s="107"/>
      <c r="B104" s="108" t="s">
        <v>686</v>
      </c>
      <c r="C104" s="108" t="s">
        <v>687</v>
      </c>
      <c r="D104" s="118"/>
      <c r="E104" s="118"/>
      <c r="F104" s="171"/>
      <c r="G104" s="157"/>
      <c r="H104" s="157"/>
      <c r="I104" s="157"/>
      <c r="J104" s="157"/>
      <c r="K104" s="157"/>
      <c r="L104" s="157"/>
      <c r="M104" s="157"/>
    </row>
    <row r="105" spans="1:13">
      <c r="A105" s="107"/>
      <c r="B105" s="108" t="s">
        <v>688</v>
      </c>
      <c r="C105" s="108" t="s">
        <v>689</v>
      </c>
      <c r="D105" s="118"/>
      <c r="E105" s="118"/>
      <c r="F105" s="171"/>
      <c r="G105" s="157"/>
      <c r="H105" s="157"/>
      <c r="I105" s="157"/>
      <c r="J105" s="157"/>
      <c r="K105" s="157"/>
      <c r="L105" s="157"/>
      <c r="M105" s="157"/>
    </row>
    <row r="106" spans="1:13">
      <c r="A106" s="107"/>
      <c r="B106" s="108" t="s">
        <v>690</v>
      </c>
      <c r="C106" s="108" t="s">
        <v>691</v>
      </c>
      <c r="D106" s="118" t="s">
        <v>692</v>
      </c>
      <c r="E106" s="118"/>
      <c r="F106" s="171"/>
      <c r="G106" s="157"/>
      <c r="H106" s="157"/>
      <c r="I106" s="157"/>
      <c r="J106" s="157"/>
      <c r="K106" s="157"/>
      <c r="L106" s="157"/>
      <c r="M106" s="157"/>
    </row>
    <row r="107" spans="1:13">
      <c r="A107" s="107"/>
      <c r="B107" s="108" t="s">
        <v>693</v>
      </c>
      <c r="C107" s="108" t="s">
        <v>694</v>
      </c>
      <c r="D107" s="118"/>
      <c r="E107" s="118"/>
      <c r="F107" s="171"/>
      <c r="G107" s="157"/>
      <c r="H107" s="157"/>
      <c r="I107" s="157"/>
      <c r="J107" s="157"/>
      <c r="K107" s="157"/>
      <c r="L107" s="157"/>
      <c r="M107" s="157"/>
    </row>
    <row r="108" spans="1:13">
      <c r="A108" s="107"/>
      <c r="B108" s="108" t="s">
        <v>695</v>
      </c>
      <c r="C108" s="108" t="s">
        <v>696</v>
      </c>
      <c r="D108" s="118"/>
      <c r="E108" s="118"/>
      <c r="F108" s="171"/>
      <c r="G108" s="157"/>
      <c r="H108" s="157"/>
      <c r="I108" s="157"/>
      <c r="J108" s="157"/>
      <c r="K108" s="157"/>
      <c r="L108" s="157"/>
      <c r="M108" s="157"/>
    </row>
    <row r="109" spans="1:13">
      <c r="A109" s="107"/>
      <c r="B109" s="108" t="s">
        <v>697</v>
      </c>
      <c r="C109" s="108" t="s">
        <v>698</v>
      </c>
      <c r="D109" s="118"/>
      <c r="E109" s="118"/>
      <c r="F109" s="171"/>
      <c r="G109" s="157"/>
      <c r="H109" s="157"/>
      <c r="I109" s="157"/>
      <c r="J109" s="157"/>
      <c r="K109" s="157"/>
      <c r="L109" s="157"/>
      <c r="M109" s="157"/>
    </row>
    <row r="110" spans="1:13">
      <c r="A110" s="107"/>
      <c r="B110" s="108" t="s">
        <v>699</v>
      </c>
      <c r="C110" s="108" t="s">
        <v>700</v>
      </c>
      <c r="D110" s="118"/>
      <c r="E110" s="118"/>
      <c r="F110" s="171"/>
      <c r="G110" s="157"/>
      <c r="H110" s="157"/>
      <c r="I110" s="157"/>
      <c r="J110" s="157"/>
      <c r="K110" s="157"/>
      <c r="L110" s="157"/>
      <c r="M110" s="157"/>
    </row>
    <row r="111" spans="1:13">
      <c r="A111" s="107"/>
      <c r="B111" s="108" t="s">
        <v>701</v>
      </c>
      <c r="C111" s="108" t="s">
        <v>702</v>
      </c>
      <c r="D111" s="118"/>
      <c r="E111" s="118"/>
      <c r="F111" s="171"/>
      <c r="G111" s="157"/>
      <c r="H111" s="157"/>
      <c r="I111" s="157"/>
      <c r="J111" s="157"/>
      <c r="K111" s="157"/>
      <c r="L111" s="157"/>
      <c r="M111" s="157"/>
    </row>
    <row r="112" spans="1:13">
      <c r="A112" s="107"/>
      <c r="B112" s="108" t="s">
        <v>703</v>
      </c>
      <c r="C112" s="108" t="s">
        <v>704</v>
      </c>
      <c r="D112" s="118"/>
      <c r="E112" s="118"/>
      <c r="F112" s="171"/>
      <c r="G112" s="157"/>
      <c r="H112" s="157"/>
      <c r="I112" s="157"/>
      <c r="J112" s="157"/>
      <c r="K112" s="157"/>
      <c r="L112" s="157"/>
      <c r="M112" s="157"/>
    </row>
    <row r="113" spans="1:13">
      <c r="A113" s="107"/>
      <c r="B113" s="108" t="s">
        <v>705</v>
      </c>
      <c r="C113" s="108" t="s">
        <v>706</v>
      </c>
      <c r="D113" s="118"/>
      <c r="E113" s="118"/>
      <c r="F113" s="171"/>
      <c r="G113" s="157"/>
      <c r="H113" s="157"/>
      <c r="I113" s="157"/>
      <c r="J113" s="157"/>
      <c r="K113" s="157"/>
      <c r="L113" s="157"/>
      <c r="M113" s="157"/>
    </row>
    <row r="114" spans="1:13">
      <c r="A114" s="107"/>
      <c r="B114" s="108" t="s">
        <v>707</v>
      </c>
      <c r="C114" s="108" t="s">
        <v>708</v>
      </c>
      <c r="D114" s="118"/>
      <c r="E114" s="118"/>
      <c r="F114" s="171"/>
      <c r="G114" s="157"/>
      <c r="H114" s="157"/>
      <c r="I114" s="157"/>
      <c r="J114" s="157"/>
      <c r="K114" s="157"/>
      <c r="L114" s="157"/>
      <c r="M114" s="157"/>
    </row>
    <row r="115" spans="1:13">
      <c r="A115" s="107"/>
      <c r="B115" s="108" t="s">
        <v>709</v>
      </c>
      <c r="C115" s="108" t="s">
        <v>710</v>
      </c>
      <c r="D115" s="118"/>
      <c r="E115" s="118"/>
      <c r="F115" s="171"/>
      <c r="G115" s="157"/>
      <c r="H115" s="157"/>
      <c r="I115" s="157"/>
      <c r="J115" s="157"/>
      <c r="K115" s="157"/>
      <c r="L115" s="157"/>
      <c r="M115" s="157"/>
    </row>
    <row r="116" spans="1:13">
      <c r="A116" s="107"/>
      <c r="B116" s="108" t="s">
        <v>711</v>
      </c>
      <c r="C116" s="108" t="s">
        <v>712</v>
      </c>
      <c r="D116" s="118"/>
      <c r="E116" s="118"/>
      <c r="F116" s="171"/>
      <c r="G116" s="157"/>
      <c r="H116" s="157"/>
      <c r="I116" s="157"/>
      <c r="J116" s="157"/>
      <c r="K116" s="157"/>
      <c r="L116" s="157"/>
      <c r="M116" s="157"/>
    </row>
    <row r="117" spans="1:13" ht="27">
      <c r="A117" s="107"/>
      <c r="B117" s="108" t="s">
        <v>713</v>
      </c>
      <c r="C117" s="108" t="s">
        <v>714</v>
      </c>
      <c r="D117" s="143" t="s">
        <v>678</v>
      </c>
      <c r="E117" s="143" t="s">
        <v>604</v>
      </c>
      <c r="F117" s="142"/>
      <c r="G117" s="157"/>
      <c r="H117" s="157"/>
      <c r="I117" s="157"/>
      <c r="J117" s="157"/>
      <c r="K117" s="157"/>
      <c r="L117" s="157"/>
      <c r="M117" s="157"/>
    </row>
    <row r="118" spans="1:13" ht="27">
      <c r="A118" s="107"/>
      <c r="B118" s="108" t="s">
        <v>715</v>
      </c>
      <c r="C118" s="108" t="s">
        <v>716</v>
      </c>
      <c r="D118" s="143" t="s">
        <v>672</v>
      </c>
      <c r="E118" s="143" t="s">
        <v>605</v>
      </c>
      <c r="F118" s="142"/>
      <c r="G118" s="157"/>
      <c r="H118" s="157"/>
      <c r="I118" s="157"/>
      <c r="J118" s="157"/>
      <c r="K118" s="157"/>
      <c r="L118" s="157"/>
      <c r="M118" s="157"/>
    </row>
    <row r="119" spans="1:13">
      <c r="A119" s="107"/>
      <c r="B119" s="108" t="s">
        <v>717</v>
      </c>
      <c r="C119" s="108" t="s">
        <v>718</v>
      </c>
      <c r="D119" s="118" t="s">
        <v>625</v>
      </c>
      <c r="E119" s="108" t="s">
        <v>507</v>
      </c>
      <c r="F119" s="157"/>
      <c r="G119" s="157"/>
      <c r="H119" s="157"/>
      <c r="I119" s="157"/>
      <c r="J119" s="157"/>
      <c r="K119" s="157"/>
      <c r="L119" s="157"/>
      <c r="M119" s="157"/>
    </row>
    <row r="120" spans="1:13">
      <c r="A120" s="107"/>
      <c r="B120" s="108" t="s">
        <v>719</v>
      </c>
      <c r="C120" s="108" t="s">
        <v>276</v>
      </c>
      <c r="D120" s="118" t="s">
        <v>625</v>
      </c>
      <c r="E120" s="108" t="s">
        <v>276</v>
      </c>
      <c r="F120" s="157"/>
      <c r="G120" s="157"/>
      <c r="H120" s="157"/>
      <c r="I120" s="157"/>
      <c r="J120" s="157"/>
      <c r="K120" s="157"/>
      <c r="L120" s="157"/>
      <c r="M120" s="157"/>
    </row>
    <row r="121" spans="1:13">
      <c r="A121" s="107"/>
      <c r="B121" s="108" t="s">
        <v>720</v>
      </c>
      <c r="C121" s="108" t="s">
        <v>277</v>
      </c>
      <c r="D121" s="118" t="s">
        <v>625</v>
      </c>
      <c r="E121" s="108" t="s">
        <v>277</v>
      </c>
      <c r="F121" s="157"/>
      <c r="G121" s="157"/>
      <c r="H121" s="157"/>
      <c r="I121" s="157"/>
      <c r="J121" s="157"/>
      <c r="K121" s="157"/>
      <c r="L121" s="157"/>
      <c r="M121" s="157"/>
    </row>
    <row r="122" spans="1:13">
      <c r="A122" s="107"/>
      <c r="B122" s="108" t="s">
        <v>721</v>
      </c>
      <c r="C122" s="108" t="s">
        <v>278</v>
      </c>
      <c r="D122" s="118" t="s">
        <v>269</v>
      </c>
      <c r="E122" s="108" t="s">
        <v>278</v>
      </c>
      <c r="F122" s="157"/>
      <c r="G122" s="157"/>
      <c r="H122" s="157"/>
      <c r="I122" s="157"/>
      <c r="J122" s="157"/>
      <c r="K122" s="157"/>
      <c r="L122" s="157"/>
      <c r="M122" s="157"/>
    </row>
    <row r="123" spans="1:13">
      <c r="A123" s="107"/>
      <c r="B123" s="108" t="s">
        <v>722</v>
      </c>
      <c r="C123" s="108" t="s">
        <v>279</v>
      </c>
      <c r="D123" s="118" t="s">
        <v>625</v>
      </c>
      <c r="E123" s="108" t="s">
        <v>279</v>
      </c>
      <c r="F123" s="157"/>
      <c r="G123" s="157"/>
      <c r="H123" s="157"/>
      <c r="I123" s="157"/>
      <c r="J123" s="157"/>
      <c r="K123" s="157"/>
      <c r="L123" s="157"/>
      <c r="M123" s="157"/>
    </row>
    <row r="124" spans="1:13">
      <c r="A124" s="107"/>
      <c r="B124" s="108" t="s">
        <v>723</v>
      </c>
      <c r="C124" s="108" t="s">
        <v>724</v>
      </c>
      <c r="D124" s="143" t="s">
        <v>663</v>
      </c>
      <c r="E124" s="172" t="s">
        <v>606</v>
      </c>
      <c r="F124" s="157"/>
      <c r="G124" s="157"/>
      <c r="H124" s="157"/>
      <c r="I124" s="157"/>
      <c r="J124" s="157"/>
      <c r="K124" s="157"/>
      <c r="L124" s="157"/>
      <c r="M124" s="157"/>
    </row>
    <row r="125" spans="1:13">
      <c r="A125" s="107"/>
      <c r="B125" s="108" t="s">
        <v>725</v>
      </c>
      <c r="C125" s="108" t="s">
        <v>280</v>
      </c>
      <c r="D125" s="143" t="s">
        <v>663</v>
      </c>
      <c r="E125" s="172" t="s">
        <v>607</v>
      </c>
      <c r="F125" s="157"/>
      <c r="G125" s="157"/>
      <c r="H125" s="157"/>
      <c r="I125" s="157"/>
      <c r="J125" s="157"/>
      <c r="K125" s="157"/>
      <c r="L125" s="157"/>
      <c r="M125" s="157"/>
    </row>
    <row r="126" spans="1:13">
      <c r="A126" s="107"/>
      <c r="B126" s="108" t="s">
        <v>726</v>
      </c>
      <c r="C126" s="108" t="s">
        <v>281</v>
      </c>
      <c r="D126" s="143" t="s">
        <v>663</v>
      </c>
      <c r="E126" s="172" t="s">
        <v>608</v>
      </c>
      <c r="F126" s="157"/>
      <c r="G126" s="157"/>
      <c r="H126" s="157"/>
      <c r="I126" s="157"/>
      <c r="J126" s="157"/>
      <c r="K126" s="157"/>
      <c r="L126" s="157"/>
      <c r="M126" s="157"/>
    </row>
    <row r="127" spans="1:13">
      <c r="A127" s="107"/>
      <c r="B127" s="108" t="s">
        <v>727</v>
      </c>
      <c r="C127" s="108" t="s">
        <v>282</v>
      </c>
      <c r="D127" s="143" t="s">
        <v>663</v>
      </c>
      <c r="E127" s="172" t="s">
        <v>609</v>
      </c>
      <c r="F127" s="157"/>
      <c r="G127" s="157"/>
      <c r="H127" s="157"/>
      <c r="I127" s="157"/>
      <c r="J127" s="157"/>
      <c r="K127" s="157"/>
      <c r="L127" s="157"/>
      <c r="M127" s="157"/>
    </row>
    <row r="128" spans="1:13">
      <c r="A128" s="107"/>
      <c r="B128" s="108" t="s">
        <v>728</v>
      </c>
      <c r="C128" s="108" t="s">
        <v>283</v>
      </c>
      <c r="D128" s="143" t="s">
        <v>404</v>
      </c>
      <c r="E128" s="172" t="s">
        <v>610</v>
      </c>
      <c r="F128" s="157"/>
      <c r="G128" s="157"/>
      <c r="H128" s="157"/>
      <c r="I128" s="157"/>
      <c r="J128" s="157"/>
      <c r="K128" s="157"/>
      <c r="L128" s="157"/>
      <c r="M128" s="157"/>
    </row>
    <row r="129" spans="1:13">
      <c r="A129" s="107"/>
      <c r="B129" s="108" t="s">
        <v>729</v>
      </c>
      <c r="C129" s="108" t="s">
        <v>730</v>
      </c>
      <c r="D129" s="143" t="s">
        <v>663</v>
      </c>
      <c r="E129" s="172"/>
      <c r="F129" s="157"/>
      <c r="G129" s="157"/>
      <c r="H129" s="157"/>
      <c r="I129" s="157"/>
      <c r="J129" s="157"/>
      <c r="K129" s="157"/>
      <c r="L129" s="157"/>
      <c r="M129" s="157"/>
    </row>
    <row r="130" spans="1:13">
      <c r="A130" s="107"/>
      <c r="B130" s="108" t="s">
        <v>731</v>
      </c>
      <c r="C130" s="108" t="s">
        <v>284</v>
      </c>
      <c r="D130" s="143" t="s">
        <v>663</v>
      </c>
      <c r="E130" s="172"/>
      <c r="F130" s="157"/>
      <c r="G130" s="157"/>
      <c r="H130" s="157"/>
      <c r="I130" s="157"/>
      <c r="J130" s="157"/>
      <c r="K130" s="157"/>
      <c r="L130" s="157"/>
      <c r="M130" s="157"/>
    </row>
    <row r="131" spans="1:13">
      <c r="A131" s="107"/>
      <c r="B131" s="108" t="s">
        <v>732</v>
      </c>
      <c r="C131" s="108" t="s">
        <v>285</v>
      </c>
      <c r="D131" s="143" t="s">
        <v>404</v>
      </c>
      <c r="E131" s="172"/>
      <c r="F131" s="157"/>
      <c r="G131" s="157"/>
      <c r="H131" s="157"/>
      <c r="I131" s="157"/>
      <c r="J131" s="157"/>
      <c r="K131" s="157"/>
      <c r="L131" s="157"/>
      <c r="M131" s="157"/>
    </row>
    <row r="132" spans="1:13">
      <c r="A132" s="107"/>
      <c r="B132" s="108" t="s">
        <v>733</v>
      </c>
      <c r="C132" s="108" t="s">
        <v>286</v>
      </c>
      <c r="D132" s="143" t="s">
        <v>734</v>
      </c>
      <c r="E132" s="172"/>
      <c r="F132" s="157"/>
      <c r="G132" s="157"/>
      <c r="H132" s="157"/>
      <c r="I132" s="157"/>
      <c r="J132" s="157"/>
      <c r="K132" s="157"/>
      <c r="L132" s="157"/>
      <c r="M132" s="157"/>
    </row>
    <row r="133" spans="1:13">
      <c r="A133" s="107"/>
      <c r="B133" s="108" t="s">
        <v>735</v>
      </c>
      <c r="C133" s="108" t="s">
        <v>287</v>
      </c>
      <c r="D133" s="143" t="s">
        <v>663</v>
      </c>
      <c r="E133" s="172"/>
      <c r="F133" s="157"/>
      <c r="G133" s="157"/>
      <c r="H133" s="157"/>
      <c r="I133" s="157"/>
      <c r="J133" s="157"/>
      <c r="K133" s="157"/>
      <c r="L133" s="157"/>
      <c r="M133" s="157"/>
    </row>
    <row r="134" spans="1:13">
      <c r="A134" s="107"/>
      <c r="B134" s="108" t="s">
        <v>736</v>
      </c>
      <c r="C134" s="108" t="s">
        <v>288</v>
      </c>
      <c r="D134" s="143" t="s">
        <v>663</v>
      </c>
      <c r="E134" s="173"/>
      <c r="F134" s="171"/>
      <c r="G134" s="157"/>
      <c r="H134" s="157"/>
      <c r="I134" s="157"/>
      <c r="J134" s="157"/>
      <c r="K134" s="157"/>
      <c r="L134" s="157"/>
      <c r="M134" s="157"/>
    </row>
    <row r="135" spans="1:13">
      <c r="A135" s="107"/>
      <c r="B135" s="108" t="s">
        <v>737</v>
      </c>
      <c r="C135" s="108" t="s">
        <v>289</v>
      </c>
      <c r="D135" s="143" t="s">
        <v>663</v>
      </c>
      <c r="E135" s="173"/>
      <c r="F135" s="171"/>
      <c r="G135" s="157"/>
      <c r="H135" s="157"/>
      <c r="I135" s="157"/>
      <c r="J135" s="157"/>
      <c r="K135" s="157"/>
      <c r="L135" s="157"/>
      <c r="M135" s="157"/>
    </row>
    <row r="136" spans="1:13">
      <c r="A136" s="107"/>
      <c r="B136" s="108" t="s">
        <v>738</v>
      </c>
      <c r="C136" s="108" t="s">
        <v>290</v>
      </c>
      <c r="D136" s="143" t="s">
        <v>663</v>
      </c>
      <c r="E136" s="173"/>
      <c r="F136" s="171"/>
      <c r="G136" s="157"/>
      <c r="H136" s="157"/>
      <c r="I136" s="157"/>
      <c r="J136" s="157"/>
      <c r="K136" s="157"/>
      <c r="L136" s="157"/>
      <c r="M136" s="157"/>
    </row>
    <row r="137" spans="1:13">
      <c r="A137" s="107"/>
      <c r="B137" s="108" t="s">
        <v>739</v>
      </c>
      <c r="C137" s="108" t="s">
        <v>291</v>
      </c>
      <c r="D137" s="143" t="s">
        <v>663</v>
      </c>
      <c r="E137" s="173"/>
      <c r="F137" s="171"/>
      <c r="G137" s="157"/>
      <c r="H137" s="157"/>
      <c r="I137" s="157"/>
      <c r="J137" s="157"/>
      <c r="K137" s="157"/>
      <c r="L137" s="157"/>
      <c r="M137" s="157"/>
    </row>
    <row r="138" spans="1:13">
      <c r="A138" s="107"/>
      <c r="B138" s="108" t="s">
        <v>740</v>
      </c>
      <c r="C138" s="108" t="s">
        <v>292</v>
      </c>
      <c r="D138" s="143" t="s">
        <v>663</v>
      </c>
      <c r="E138" s="173"/>
      <c r="F138" s="171"/>
      <c r="G138" s="157"/>
      <c r="H138" s="157"/>
      <c r="I138" s="157"/>
      <c r="J138" s="157"/>
      <c r="K138" s="157"/>
      <c r="L138" s="157"/>
      <c r="M138" s="157"/>
    </row>
    <row r="139" spans="1:13">
      <c r="A139" s="107"/>
      <c r="B139" s="108" t="s">
        <v>741</v>
      </c>
      <c r="C139" s="108" t="s">
        <v>742</v>
      </c>
      <c r="D139" s="118"/>
      <c r="E139" s="118"/>
      <c r="F139" s="171"/>
      <c r="G139" s="157"/>
      <c r="H139" s="157"/>
      <c r="I139" s="157"/>
      <c r="J139" s="157"/>
      <c r="K139" s="157"/>
      <c r="L139" s="157"/>
      <c r="M139" s="157"/>
    </row>
    <row r="140" spans="1:13">
      <c r="A140" s="107"/>
      <c r="B140" s="108" t="s">
        <v>743</v>
      </c>
      <c r="C140" s="108" t="s">
        <v>744</v>
      </c>
      <c r="D140" s="118" t="s">
        <v>745</v>
      </c>
      <c r="E140" s="118"/>
      <c r="F140" s="171"/>
      <c r="G140" s="157"/>
      <c r="H140" s="157"/>
      <c r="I140" s="157"/>
      <c r="J140" s="157"/>
      <c r="K140" s="157"/>
      <c r="L140" s="157"/>
      <c r="M140" s="157"/>
    </row>
    <row r="141" spans="1:13">
      <c r="A141" s="107"/>
      <c r="B141" s="108" t="s">
        <v>746</v>
      </c>
      <c r="C141" s="108" t="s">
        <v>747</v>
      </c>
      <c r="D141" s="118" t="s">
        <v>745</v>
      </c>
      <c r="E141" s="118"/>
      <c r="F141" s="171"/>
      <c r="G141" s="157"/>
      <c r="H141" s="157"/>
      <c r="I141" s="157"/>
      <c r="J141" s="157"/>
      <c r="K141" s="157"/>
      <c r="L141" s="157"/>
      <c r="M141" s="157"/>
    </row>
    <row r="142" spans="1:13">
      <c r="A142" s="107"/>
      <c r="B142" s="108" t="s">
        <v>748</v>
      </c>
      <c r="C142" s="108" t="s">
        <v>749</v>
      </c>
      <c r="D142" s="118" t="s">
        <v>745</v>
      </c>
      <c r="E142" s="118"/>
      <c r="F142" s="171"/>
      <c r="G142" s="157"/>
      <c r="H142" s="157"/>
      <c r="I142" s="157"/>
      <c r="J142" s="157"/>
      <c r="K142" s="157"/>
      <c r="L142" s="157"/>
      <c r="M142" s="157"/>
    </row>
    <row r="143" spans="1:13">
      <c r="A143" s="107"/>
      <c r="B143" s="108" t="s">
        <v>750</v>
      </c>
      <c r="C143" s="108" t="s">
        <v>751</v>
      </c>
      <c r="D143" s="118"/>
      <c r="E143" s="118"/>
      <c r="F143" s="157"/>
      <c r="G143" s="157"/>
      <c r="H143" s="157"/>
      <c r="I143" s="157"/>
      <c r="J143" s="157"/>
      <c r="K143" s="157"/>
      <c r="L143" s="157"/>
      <c r="M143" s="157"/>
    </row>
    <row r="144" spans="1:13">
      <c r="A144" s="107"/>
      <c r="B144" s="108" t="s">
        <v>752</v>
      </c>
      <c r="C144" s="108" t="s">
        <v>753</v>
      </c>
      <c r="D144" s="118"/>
      <c r="E144" s="118"/>
      <c r="F144" s="171"/>
      <c r="G144" s="157"/>
      <c r="H144" s="157"/>
      <c r="I144" s="157"/>
      <c r="J144" s="157"/>
      <c r="K144" s="157"/>
      <c r="L144" s="157"/>
      <c r="M144" s="157"/>
    </row>
    <row r="145" spans="1:13">
      <c r="A145" s="107"/>
      <c r="B145" s="108" t="s">
        <v>754</v>
      </c>
      <c r="C145" s="108" t="s">
        <v>755</v>
      </c>
      <c r="D145" s="118"/>
      <c r="E145" s="118"/>
      <c r="F145" s="171"/>
      <c r="G145" s="157"/>
      <c r="H145" s="157"/>
      <c r="I145" s="157"/>
      <c r="J145" s="157"/>
      <c r="K145" s="157"/>
      <c r="L145" s="157"/>
      <c r="M145" s="157"/>
    </row>
    <row r="146" spans="1:13">
      <c r="A146" s="107"/>
      <c r="B146" s="108" t="s">
        <v>756</v>
      </c>
      <c r="C146" s="108" t="s">
        <v>757</v>
      </c>
      <c r="D146" s="118" t="s">
        <v>758</v>
      </c>
      <c r="E146" s="118"/>
      <c r="F146" s="171"/>
      <c r="G146" s="157"/>
      <c r="H146" s="157"/>
      <c r="I146" s="157"/>
      <c r="J146" s="157"/>
      <c r="K146" s="157"/>
      <c r="L146" s="157"/>
      <c r="M146" s="157"/>
    </row>
    <row r="147" spans="1:13">
      <c r="A147" s="107"/>
      <c r="B147" s="108" t="s">
        <v>759</v>
      </c>
      <c r="C147" s="108" t="s">
        <v>760</v>
      </c>
      <c r="D147" s="118" t="s">
        <v>758</v>
      </c>
      <c r="E147" s="118"/>
      <c r="F147" s="171"/>
      <c r="G147" s="157"/>
      <c r="H147" s="157"/>
      <c r="I147" s="157"/>
      <c r="J147" s="157"/>
      <c r="K147" s="157"/>
      <c r="L147" s="157"/>
      <c r="M147" s="157"/>
    </row>
    <row r="148" spans="1:13">
      <c r="A148" s="107"/>
      <c r="B148" s="108" t="s">
        <v>761</v>
      </c>
      <c r="C148" s="108" t="s">
        <v>762</v>
      </c>
      <c r="D148" s="118"/>
      <c r="E148" s="108" t="s">
        <v>611</v>
      </c>
      <c r="F148" s="142"/>
      <c r="G148" s="157"/>
      <c r="H148" s="157"/>
      <c r="I148" s="157"/>
      <c r="J148" s="157"/>
      <c r="K148" s="157"/>
      <c r="L148" s="157"/>
      <c r="M148" s="157"/>
    </row>
    <row r="149" spans="1:13">
      <c r="A149" s="107"/>
      <c r="B149" s="108" t="s">
        <v>763</v>
      </c>
      <c r="C149" s="108" t="s">
        <v>764</v>
      </c>
      <c r="D149" s="118" t="s">
        <v>765</v>
      </c>
      <c r="E149" s="118" t="s">
        <v>612</v>
      </c>
      <c r="F149" s="142"/>
      <c r="G149" s="157"/>
      <c r="H149" s="157"/>
      <c r="I149" s="157"/>
      <c r="J149" s="157"/>
      <c r="K149" s="157"/>
      <c r="L149" s="157"/>
      <c r="M149" s="157"/>
    </row>
    <row r="150" spans="1:13">
      <c r="A150" s="107"/>
      <c r="B150" s="108" t="s">
        <v>766</v>
      </c>
      <c r="C150" s="108" t="s">
        <v>767</v>
      </c>
      <c r="D150" s="118"/>
      <c r="E150" s="118"/>
      <c r="F150" s="171"/>
      <c r="G150" s="157"/>
      <c r="H150" s="157"/>
      <c r="I150" s="157"/>
      <c r="J150" s="157"/>
      <c r="K150" s="157"/>
      <c r="L150" s="157"/>
      <c r="M150" s="157"/>
    </row>
    <row r="151" spans="1:13">
      <c r="A151" s="107"/>
      <c r="B151" s="108" t="s">
        <v>768</v>
      </c>
      <c r="C151" s="108" t="s">
        <v>769</v>
      </c>
      <c r="D151" s="118"/>
      <c r="E151" s="118"/>
      <c r="F151" s="171"/>
      <c r="G151" s="157"/>
      <c r="H151" s="157"/>
      <c r="I151" s="157"/>
      <c r="J151" s="157"/>
      <c r="K151" s="157"/>
      <c r="L151" s="157"/>
      <c r="M151" s="157"/>
    </row>
    <row r="152" spans="1:13">
      <c r="A152" s="107"/>
      <c r="B152" s="108" t="s">
        <v>770</v>
      </c>
      <c r="C152" s="108"/>
      <c r="D152" s="118"/>
      <c r="E152" s="118"/>
      <c r="F152" s="171"/>
      <c r="G152" s="157"/>
      <c r="H152" s="157"/>
      <c r="I152" s="157"/>
      <c r="J152" s="157"/>
      <c r="K152" s="157"/>
      <c r="L152" s="157"/>
      <c r="M152" s="157"/>
    </row>
    <row r="153" spans="1:13">
      <c r="A153" s="107"/>
      <c r="B153" s="108" t="s">
        <v>771</v>
      </c>
      <c r="C153" s="108"/>
      <c r="D153" s="118"/>
      <c r="E153" s="118"/>
      <c r="F153" s="171"/>
      <c r="G153" s="157"/>
      <c r="H153" s="157"/>
      <c r="I153" s="157"/>
      <c r="J153" s="157"/>
      <c r="K153" s="157"/>
      <c r="L153" s="157"/>
      <c r="M153" s="157"/>
    </row>
    <row r="154" spans="1:13">
      <c r="A154" s="107"/>
      <c r="B154" s="108" t="s">
        <v>772</v>
      </c>
      <c r="C154" s="108" t="s">
        <v>773</v>
      </c>
      <c r="D154" s="118"/>
      <c r="E154" s="118"/>
      <c r="F154" s="171"/>
      <c r="G154" s="157"/>
      <c r="H154" s="157"/>
      <c r="I154" s="157"/>
      <c r="J154" s="157"/>
      <c r="K154" s="157"/>
      <c r="L154" s="157"/>
      <c r="M154" s="157"/>
    </row>
    <row r="155" spans="1:13">
      <c r="A155" s="107"/>
      <c r="B155" s="108" t="s">
        <v>770</v>
      </c>
      <c r="C155" s="108"/>
      <c r="D155" s="118"/>
      <c r="E155" s="118"/>
      <c r="F155" s="171"/>
      <c r="G155" s="157"/>
      <c r="H155" s="157"/>
      <c r="I155" s="157"/>
      <c r="J155" s="157"/>
      <c r="K155" s="157"/>
      <c r="L155" s="157"/>
      <c r="M155" s="157"/>
    </row>
    <row r="156" spans="1:13">
      <c r="A156" s="107"/>
      <c r="B156" s="108" t="s">
        <v>771</v>
      </c>
      <c r="C156" s="108"/>
      <c r="D156" s="118"/>
      <c r="E156" s="118"/>
      <c r="F156" s="171"/>
      <c r="G156" s="157"/>
      <c r="H156" s="157"/>
      <c r="I156" s="157"/>
      <c r="J156" s="157"/>
      <c r="K156" s="157"/>
      <c r="L156" s="157"/>
      <c r="M156" s="157"/>
    </row>
    <row r="157" spans="1:13">
      <c r="A157" s="107"/>
      <c r="B157" s="108" t="s">
        <v>774</v>
      </c>
      <c r="C157" s="108" t="s">
        <v>775</v>
      </c>
      <c r="D157" s="118"/>
      <c r="E157" s="118"/>
      <c r="F157" s="171"/>
      <c r="G157" s="157"/>
      <c r="H157" s="157"/>
      <c r="I157" s="157"/>
      <c r="J157" s="157"/>
      <c r="K157" s="157"/>
      <c r="L157" s="157"/>
      <c r="M157" s="157"/>
    </row>
    <row r="158" spans="1:13">
      <c r="A158" s="107"/>
      <c r="B158" s="108" t="s">
        <v>776</v>
      </c>
      <c r="C158" s="108" t="s">
        <v>508</v>
      </c>
      <c r="D158" s="118"/>
      <c r="E158" s="118"/>
      <c r="F158" s="171"/>
      <c r="G158" s="157"/>
      <c r="H158" s="157"/>
      <c r="I158" s="157"/>
      <c r="J158" s="157"/>
      <c r="K158" s="157"/>
      <c r="L158" s="157"/>
      <c r="M158" s="157"/>
    </row>
    <row r="159" spans="1:13">
      <c r="A159" s="107"/>
      <c r="B159" s="108" t="s">
        <v>777</v>
      </c>
      <c r="C159" s="108" t="s">
        <v>778</v>
      </c>
      <c r="D159" s="143" t="s">
        <v>779</v>
      </c>
      <c r="E159" s="143"/>
      <c r="F159" s="171"/>
      <c r="G159" s="157"/>
      <c r="H159" s="157"/>
      <c r="I159" s="157"/>
      <c r="J159" s="157"/>
      <c r="K159" s="157"/>
      <c r="L159" s="157"/>
      <c r="M159" s="157"/>
    </row>
    <row r="160" spans="1:13">
      <c r="A160" s="107"/>
      <c r="B160" s="108" t="s">
        <v>780</v>
      </c>
      <c r="C160" s="108" t="s">
        <v>781</v>
      </c>
      <c r="D160" s="118"/>
      <c r="E160" s="118"/>
      <c r="F160" s="171"/>
      <c r="G160" s="157"/>
      <c r="H160" s="157"/>
      <c r="I160" s="157"/>
      <c r="J160" s="157"/>
      <c r="K160" s="157"/>
      <c r="L160" s="157"/>
      <c r="M160" s="157"/>
    </row>
    <row r="161" spans="1:13">
      <c r="A161" s="107"/>
      <c r="B161" s="108" t="s">
        <v>814</v>
      </c>
      <c r="C161" s="108" t="s">
        <v>782</v>
      </c>
      <c r="D161" s="118" t="s">
        <v>783</v>
      </c>
      <c r="E161" s="118"/>
      <c r="F161" s="171"/>
      <c r="G161" s="157"/>
      <c r="H161" s="157"/>
      <c r="I161" s="157"/>
      <c r="J161" s="157"/>
      <c r="K161" s="157"/>
      <c r="L161" s="157"/>
      <c r="M161" s="157"/>
    </row>
    <row r="162" spans="1:13">
      <c r="A162" s="107"/>
      <c r="B162" s="108" t="s">
        <v>784</v>
      </c>
      <c r="C162" s="108" t="s">
        <v>785</v>
      </c>
      <c r="D162" s="118" t="s">
        <v>783</v>
      </c>
      <c r="E162" s="118"/>
      <c r="F162" s="171"/>
      <c r="G162" s="157"/>
      <c r="H162" s="157"/>
      <c r="I162" s="157"/>
      <c r="J162" s="157"/>
      <c r="K162" s="157"/>
      <c r="L162" s="157"/>
      <c r="M162" s="157"/>
    </row>
    <row r="163" spans="1:13" ht="40.5">
      <c r="A163" s="107"/>
      <c r="B163" s="108" t="s">
        <v>786</v>
      </c>
      <c r="C163" s="108" t="s">
        <v>787</v>
      </c>
      <c r="D163" s="143" t="s">
        <v>788</v>
      </c>
      <c r="E163" s="143" t="s">
        <v>613</v>
      </c>
      <c r="F163" s="142"/>
      <c r="G163" s="157"/>
      <c r="H163" s="157"/>
      <c r="I163" s="157"/>
      <c r="J163" s="157"/>
      <c r="K163" s="157"/>
      <c r="L163" s="157"/>
      <c r="M163" s="157"/>
    </row>
    <row r="164" spans="1:13">
      <c r="A164" s="107"/>
      <c r="B164" s="108" t="s">
        <v>789</v>
      </c>
      <c r="C164" s="108" t="s">
        <v>790</v>
      </c>
      <c r="D164" s="143"/>
      <c r="E164" s="143"/>
      <c r="F164" s="157"/>
      <c r="G164" s="157"/>
      <c r="H164" s="157"/>
      <c r="I164" s="157"/>
      <c r="J164" s="157"/>
      <c r="K164" s="157"/>
      <c r="L164" s="157"/>
      <c r="M164" s="157"/>
    </row>
    <row r="166" spans="1:13">
      <c r="A166" s="135" t="s">
        <v>366</v>
      </c>
      <c r="B166" s="135"/>
      <c r="C166" s="135"/>
    </row>
    <row r="167" spans="1:13">
      <c r="B167" t="s">
        <v>112</v>
      </c>
    </row>
    <row r="168" spans="1:13">
      <c r="B168" s="106" t="s">
        <v>96</v>
      </c>
      <c r="C168" s="106" t="s">
        <v>97</v>
      </c>
      <c r="D168" s="106" t="s">
        <v>98</v>
      </c>
      <c r="E168" s="154"/>
    </row>
    <row r="169" spans="1:13">
      <c r="A169" s="107"/>
      <c r="B169" s="108" t="s">
        <v>407</v>
      </c>
      <c r="C169" s="136" t="s">
        <v>408</v>
      </c>
      <c r="D169" s="109"/>
      <c r="E169" s="157"/>
    </row>
    <row r="170" spans="1:13">
      <c r="A170" s="107"/>
      <c r="B170" s="108" t="s">
        <v>409</v>
      </c>
      <c r="C170" s="136" t="s">
        <v>410</v>
      </c>
      <c r="D170" s="109"/>
      <c r="E170" s="157"/>
    </row>
    <row r="171" spans="1:13">
      <c r="A171" s="107"/>
      <c r="B171" s="108" t="s">
        <v>411</v>
      </c>
      <c r="C171" s="136" t="s">
        <v>412</v>
      </c>
      <c r="D171" s="109"/>
      <c r="E171" s="157"/>
    </row>
    <row r="172" spans="1:13">
      <c r="A172" s="107"/>
      <c r="B172" s="108" t="s">
        <v>813</v>
      </c>
      <c r="C172" s="136" t="s">
        <v>413</v>
      </c>
      <c r="D172" s="109"/>
      <c r="E172" s="157"/>
    </row>
    <row r="173" spans="1:13">
      <c r="A173" s="107"/>
      <c r="B173" s="108" t="s">
        <v>414</v>
      </c>
      <c r="C173" s="136" t="s">
        <v>415</v>
      </c>
      <c r="D173" s="109"/>
      <c r="E173" s="157"/>
    </row>
    <row r="174" spans="1:13">
      <c r="A174" s="107"/>
      <c r="B174" s="108" t="s">
        <v>578</v>
      </c>
      <c r="C174" s="136" t="s">
        <v>416</v>
      </c>
      <c r="D174" s="109"/>
      <c r="E174" s="157"/>
    </row>
    <row r="175" spans="1:13">
      <c r="A175" s="107"/>
      <c r="B175" s="108" t="s">
        <v>417</v>
      </c>
      <c r="C175" s="136" t="s">
        <v>418</v>
      </c>
      <c r="D175" s="109"/>
      <c r="E175" s="157"/>
    </row>
    <row r="176" spans="1:13">
      <c r="A176" s="107"/>
      <c r="B176" s="108" t="s">
        <v>419</v>
      </c>
      <c r="C176" s="136" t="s">
        <v>420</v>
      </c>
      <c r="D176" s="109"/>
      <c r="E176" s="157"/>
    </row>
    <row r="177" spans="1:5">
      <c r="A177" s="107"/>
      <c r="B177" s="108" t="s">
        <v>421</v>
      </c>
      <c r="C177" s="136" t="s">
        <v>422</v>
      </c>
      <c r="D177" s="109"/>
      <c r="E177" s="157"/>
    </row>
    <row r="178" spans="1:5">
      <c r="A178" s="107"/>
      <c r="B178" s="136" t="s">
        <v>579</v>
      </c>
      <c r="C178" s="136" t="s">
        <v>424</v>
      </c>
      <c r="D178" s="109"/>
      <c r="E178" s="157"/>
    </row>
    <row r="179" spans="1:5">
      <c r="A179" s="137"/>
      <c r="B179" s="138"/>
      <c r="C179" s="139"/>
      <c r="D179" s="140"/>
    </row>
    <row r="180" spans="1:5">
      <c r="B180" t="s">
        <v>300</v>
      </c>
    </row>
    <row r="181" spans="1:5">
      <c r="B181" s="106" t="s">
        <v>96</v>
      </c>
      <c r="C181" s="106" t="s">
        <v>97</v>
      </c>
      <c r="D181" s="106" t="s">
        <v>98</v>
      </c>
      <c r="E181" s="154"/>
    </row>
    <row r="182" spans="1:5">
      <c r="A182" s="107"/>
      <c r="B182" s="108" t="s">
        <v>367</v>
      </c>
      <c r="C182" s="136" t="s">
        <v>369</v>
      </c>
      <c r="D182" s="109" t="s">
        <v>371</v>
      </c>
      <c r="E182" s="157"/>
    </row>
    <row r="183" spans="1:5">
      <c r="B183" s="108" t="s">
        <v>368</v>
      </c>
      <c r="C183" s="136" t="s">
        <v>370</v>
      </c>
      <c r="D183" s="109" t="s">
        <v>372</v>
      </c>
      <c r="E183" s="171"/>
    </row>
    <row r="184" spans="1:5" ht="40.5">
      <c r="B184" s="108" t="s">
        <v>802</v>
      </c>
      <c r="C184" s="136" t="s">
        <v>803</v>
      </c>
      <c r="D184" s="118" t="s">
        <v>804</v>
      </c>
      <c r="E184" s="171"/>
    </row>
    <row r="186" spans="1:5">
      <c r="A186" s="135" t="s">
        <v>801</v>
      </c>
      <c r="B186" s="135"/>
      <c r="C186" s="135"/>
    </row>
    <row r="187" spans="1:5">
      <c r="B187" t="s">
        <v>112</v>
      </c>
    </row>
    <row r="188" spans="1:5">
      <c r="B188" s="106" t="s">
        <v>96</v>
      </c>
      <c r="C188" s="106" t="s">
        <v>97</v>
      </c>
      <c r="D188" s="106" t="s">
        <v>98</v>
      </c>
      <c r="E188" s="154"/>
    </row>
    <row r="189" spans="1:5">
      <c r="A189" s="107"/>
      <c r="B189" s="108" t="s">
        <v>407</v>
      </c>
      <c r="C189" s="136" t="s">
        <v>408</v>
      </c>
      <c r="D189" s="109"/>
      <c r="E189" s="157"/>
    </row>
    <row r="190" spans="1:5">
      <c r="A190" s="107"/>
      <c r="B190" s="108" t="s">
        <v>409</v>
      </c>
      <c r="C190" s="136" t="s">
        <v>410</v>
      </c>
      <c r="D190" s="109"/>
      <c r="E190" s="157"/>
    </row>
    <row r="191" spans="1:5">
      <c r="A191" s="107"/>
      <c r="B191" s="108" t="s">
        <v>411</v>
      </c>
      <c r="C191" s="136" t="s">
        <v>412</v>
      </c>
      <c r="D191" s="109"/>
      <c r="E191" s="157"/>
    </row>
    <row r="192" spans="1:5">
      <c r="A192" s="107"/>
      <c r="B192" s="108" t="s">
        <v>813</v>
      </c>
      <c r="C192" s="136" t="s">
        <v>413</v>
      </c>
      <c r="D192" s="109"/>
      <c r="E192" s="157"/>
    </row>
    <row r="193" spans="1:5">
      <c r="A193" s="107"/>
      <c r="B193" s="108" t="s">
        <v>414</v>
      </c>
      <c r="C193" s="136" t="s">
        <v>415</v>
      </c>
      <c r="D193" s="109"/>
      <c r="E193" s="157"/>
    </row>
    <row r="194" spans="1:5">
      <c r="A194" s="107"/>
      <c r="B194" s="108" t="s">
        <v>578</v>
      </c>
      <c r="C194" s="136" t="s">
        <v>416</v>
      </c>
      <c r="D194" s="109"/>
      <c r="E194" s="157"/>
    </row>
    <row r="195" spans="1:5">
      <c r="A195" s="107"/>
      <c r="B195" s="108" t="s">
        <v>417</v>
      </c>
      <c r="C195" s="136" t="s">
        <v>418</v>
      </c>
      <c r="D195" s="109"/>
      <c r="E195" s="157"/>
    </row>
    <row r="196" spans="1:5">
      <c r="A196" s="107"/>
      <c r="B196" s="108" t="s">
        <v>419</v>
      </c>
      <c r="C196" s="136" t="s">
        <v>420</v>
      </c>
      <c r="D196" s="109"/>
      <c r="E196" s="157"/>
    </row>
    <row r="197" spans="1:5">
      <c r="A197" s="107"/>
      <c r="B197" s="108" t="s">
        <v>421</v>
      </c>
      <c r="C197" s="136" t="s">
        <v>422</v>
      </c>
      <c r="D197" s="109"/>
      <c r="E197" s="157"/>
    </row>
    <row r="198" spans="1:5">
      <c r="A198" s="107"/>
      <c r="B198" s="136" t="s">
        <v>579</v>
      </c>
      <c r="C198" s="136" t="s">
        <v>424</v>
      </c>
      <c r="D198" s="109"/>
      <c r="E198" s="157"/>
    </row>
    <row r="199" spans="1:5">
      <c r="A199" s="137"/>
      <c r="B199" s="138"/>
      <c r="C199" s="139"/>
      <c r="D199" s="140"/>
    </row>
    <row r="200" spans="1:5">
      <c r="B200" t="s">
        <v>300</v>
      </c>
    </row>
    <row r="201" spans="1:5">
      <c r="B201" s="106" t="s">
        <v>96</v>
      </c>
      <c r="C201" s="106" t="s">
        <v>97</v>
      </c>
      <c r="D201" s="106" t="s">
        <v>98</v>
      </c>
      <c r="E201" s="154"/>
    </row>
    <row r="202" spans="1:5">
      <c r="A202" s="107"/>
      <c r="B202" s="108" t="s">
        <v>367</v>
      </c>
      <c r="C202" s="136" t="s">
        <v>369</v>
      </c>
      <c r="D202" s="109" t="s">
        <v>371</v>
      </c>
      <c r="E202" s="157"/>
    </row>
    <row r="203" spans="1:5" ht="40.5">
      <c r="B203" s="108" t="s">
        <v>802</v>
      </c>
      <c r="C203" s="136" t="s">
        <v>803</v>
      </c>
      <c r="D203" s="118" t="s">
        <v>804</v>
      </c>
      <c r="E203" s="171"/>
    </row>
    <row r="204" spans="1:5" ht="14.25">
      <c r="B204" s="174"/>
      <c r="C204" s="141"/>
      <c r="D204" s="120"/>
      <c r="E204" s="175"/>
    </row>
    <row r="205" spans="1:5">
      <c r="A205" s="135" t="s">
        <v>380</v>
      </c>
      <c r="B205" s="135"/>
      <c r="C205" s="135"/>
    </row>
    <row r="206" spans="1:5">
      <c r="B206" t="s">
        <v>112</v>
      </c>
    </row>
    <row r="207" spans="1:5">
      <c r="B207" s="106" t="s">
        <v>96</v>
      </c>
      <c r="C207" s="106" t="s">
        <v>97</v>
      </c>
      <c r="D207" s="106" t="s">
        <v>98</v>
      </c>
      <c r="E207" s="154"/>
    </row>
    <row r="208" spans="1:5">
      <c r="A208" s="107"/>
      <c r="B208" s="108" t="s">
        <v>407</v>
      </c>
      <c r="C208" s="136" t="s">
        <v>408</v>
      </c>
      <c r="D208" s="109"/>
      <c r="E208" s="157"/>
    </row>
    <row r="209" spans="1:5">
      <c r="A209" s="107"/>
      <c r="B209" s="108" t="s">
        <v>409</v>
      </c>
      <c r="C209" s="136" t="s">
        <v>410</v>
      </c>
      <c r="D209" s="109"/>
      <c r="E209" s="157"/>
    </row>
    <row r="210" spans="1:5">
      <c r="A210" s="107"/>
      <c r="B210" s="108" t="s">
        <v>411</v>
      </c>
      <c r="C210" s="136" t="s">
        <v>412</v>
      </c>
      <c r="D210" s="109"/>
      <c r="E210" s="157"/>
    </row>
    <row r="211" spans="1:5">
      <c r="A211" s="107"/>
      <c r="B211" s="108" t="s">
        <v>813</v>
      </c>
      <c r="C211" s="136" t="s">
        <v>413</v>
      </c>
      <c r="D211" s="109"/>
      <c r="E211" s="157"/>
    </row>
    <row r="212" spans="1:5">
      <c r="A212" s="107"/>
      <c r="B212" s="108" t="s">
        <v>414</v>
      </c>
      <c r="C212" s="136" t="s">
        <v>415</v>
      </c>
      <c r="D212" s="109"/>
      <c r="E212" s="157"/>
    </row>
    <row r="213" spans="1:5">
      <c r="A213" s="107"/>
      <c r="B213" s="108" t="s">
        <v>578</v>
      </c>
      <c r="C213" s="136" t="s">
        <v>416</v>
      </c>
      <c r="D213" s="109"/>
      <c r="E213" s="157"/>
    </row>
    <row r="214" spans="1:5">
      <c r="A214" s="107"/>
      <c r="B214" s="108" t="s">
        <v>417</v>
      </c>
      <c r="C214" s="136" t="s">
        <v>418</v>
      </c>
      <c r="D214" s="109"/>
      <c r="E214" s="157"/>
    </row>
    <row r="215" spans="1:5">
      <c r="A215" s="107"/>
      <c r="B215" s="108" t="s">
        <v>419</v>
      </c>
      <c r="C215" s="136" t="s">
        <v>420</v>
      </c>
      <c r="D215" s="109"/>
      <c r="E215" s="157"/>
    </row>
    <row r="216" spans="1:5">
      <c r="A216" s="107"/>
      <c r="B216" s="108" t="s">
        <v>421</v>
      </c>
      <c r="C216" s="136" t="s">
        <v>422</v>
      </c>
      <c r="D216" s="109"/>
      <c r="E216" s="157"/>
    </row>
    <row r="217" spans="1:5">
      <c r="A217" s="107"/>
      <c r="B217" s="136" t="s">
        <v>579</v>
      </c>
      <c r="C217" s="136" t="s">
        <v>424</v>
      </c>
      <c r="D217" s="109"/>
      <c r="E217" s="157"/>
    </row>
    <row r="218" spans="1:5">
      <c r="A218" s="137"/>
      <c r="B218" s="138"/>
      <c r="C218" s="139"/>
      <c r="D218" s="140"/>
    </row>
    <row r="219" spans="1:5">
      <c r="B219" t="s">
        <v>381</v>
      </c>
    </row>
    <row r="220" spans="1:5">
      <c r="B220" s="106" t="s">
        <v>96</v>
      </c>
      <c r="C220" s="106" t="s">
        <v>97</v>
      </c>
      <c r="D220" s="106" t="s">
        <v>98</v>
      </c>
      <c r="E220" s="154"/>
    </row>
    <row r="221" spans="1:5">
      <c r="A221" s="107"/>
      <c r="B221" s="108" t="s">
        <v>367</v>
      </c>
      <c r="C221" s="136" t="s">
        <v>369</v>
      </c>
      <c r="D221" s="109" t="s">
        <v>371</v>
      </c>
      <c r="E221" s="157"/>
    </row>
    <row r="222" spans="1:5">
      <c r="B222" s="108" t="s">
        <v>382</v>
      </c>
      <c r="C222" s="136" t="s">
        <v>383</v>
      </c>
      <c r="D222" s="109"/>
      <c r="E222" s="157"/>
    </row>
    <row r="223" spans="1:5">
      <c r="B223" s="108" t="s">
        <v>519</v>
      </c>
      <c r="C223" s="136" t="s">
        <v>384</v>
      </c>
      <c r="D223" s="109" t="s">
        <v>372</v>
      </c>
      <c r="E223" s="157"/>
    </row>
    <row r="224" spans="1:5">
      <c r="B224" s="108" t="s">
        <v>385</v>
      </c>
      <c r="C224" s="136" t="s">
        <v>390</v>
      </c>
      <c r="D224" s="109"/>
      <c r="E224" s="157"/>
    </row>
    <row r="225" spans="2:5">
      <c r="B225" s="108" t="s">
        <v>386</v>
      </c>
      <c r="C225" s="136" t="s">
        <v>389</v>
      </c>
      <c r="D225" s="109"/>
      <c r="E225" s="157"/>
    </row>
    <row r="226" spans="2:5">
      <c r="B226" s="108" t="s">
        <v>387</v>
      </c>
      <c r="C226" s="136" t="s">
        <v>388</v>
      </c>
      <c r="D226" s="109"/>
      <c r="E226" s="157"/>
    </row>
  </sheetData>
  <mergeCells count="1">
    <mergeCell ref="A46:B46"/>
  </mergeCells>
  <phoneticPr fontId="2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80" t="s">
        <v>4</v>
      </c>
      <c r="C6" s="281" t="s">
        <v>30</v>
      </c>
      <c r="D6" s="281" t="s">
        <v>56</v>
      </c>
      <c r="E6" s="57"/>
      <c r="F6" s="282" t="s">
        <v>7</v>
      </c>
      <c r="G6" s="283"/>
      <c r="H6" s="257" t="s">
        <v>12</v>
      </c>
      <c r="I6" s="257"/>
      <c r="J6" s="257"/>
      <c r="K6" s="251" t="s">
        <v>14</v>
      </c>
      <c r="L6" s="251"/>
      <c r="M6" s="251"/>
      <c r="N6" s="284"/>
      <c r="O6" s="284"/>
      <c r="P6" s="284"/>
    </row>
    <row r="7" spans="1:17">
      <c r="B7" s="261"/>
      <c r="C7" s="253"/>
      <c r="D7" s="253"/>
      <c r="E7" s="58"/>
      <c r="F7" s="265"/>
      <c r="G7" s="266"/>
      <c r="H7" s="45" t="s">
        <v>8</v>
      </c>
      <c r="I7" s="45" t="s">
        <v>9</v>
      </c>
      <c r="J7" s="45" t="s">
        <v>10</v>
      </c>
      <c r="K7" s="30"/>
      <c r="L7" s="32"/>
      <c r="M7" s="33"/>
      <c r="N7" s="44"/>
      <c r="O7" s="44"/>
      <c r="P7" s="44"/>
      <c r="Q7" s="3" t="s">
        <v>23</v>
      </c>
    </row>
    <row r="8" spans="1:17">
      <c r="B8" s="38" t="s">
        <v>15</v>
      </c>
      <c r="C8" s="29" t="s">
        <v>31</v>
      </c>
      <c r="D8" s="28" t="s">
        <v>33</v>
      </c>
      <c r="E8" s="39"/>
      <c r="F8" s="242" t="s">
        <v>28</v>
      </c>
      <c r="G8" s="243"/>
      <c r="H8" s="53"/>
      <c r="I8" s="54"/>
      <c r="J8" s="53"/>
      <c r="K8" s="39"/>
      <c r="L8" s="34"/>
      <c r="M8" s="35"/>
      <c r="N8" s="44"/>
      <c r="O8" s="44"/>
      <c r="P8" s="44"/>
      <c r="Q8" s="3" t="s">
        <v>24</v>
      </c>
    </row>
    <row r="9" spans="1:17">
      <c r="B9" s="16"/>
      <c r="C9" s="40"/>
      <c r="D9" s="29" t="s">
        <v>33</v>
      </c>
      <c r="E9" s="49"/>
      <c r="F9" s="285" t="s">
        <v>29</v>
      </c>
      <c r="G9" s="286"/>
      <c r="H9" s="47"/>
      <c r="I9" s="48"/>
      <c r="J9" s="47"/>
      <c r="K9" s="49"/>
      <c r="L9" s="55"/>
      <c r="M9" s="56"/>
      <c r="N9" s="44"/>
      <c r="O9" s="44"/>
      <c r="P9" s="44"/>
      <c r="Q9" s="3" t="s">
        <v>25</v>
      </c>
    </row>
    <row r="10" spans="1:17" s="15" customFormat="1">
      <c r="B10" s="38" t="s">
        <v>16</v>
      </c>
      <c r="C10" s="46" t="s">
        <v>32</v>
      </c>
      <c r="D10" s="18" t="s">
        <v>35</v>
      </c>
      <c r="E10" s="59"/>
      <c r="F10" s="242" t="s">
        <v>36</v>
      </c>
      <c r="G10" s="287"/>
      <c r="H10" s="53"/>
      <c r="I10" s="54"/>
      <c r="J10" s="53"/>
      <c r="K10" s="31"/>
      <c r="L10" s="36"/>
      <c r="M10" s="37"/>
      <c r="N10" s="1"/>
      <c r="O10" s="1"/>
      <c r="P10" s="1"/>
      <c r="Q10" s="3" t="s">
        <v>26</v>
      </c>
    </row>
    <row r="11" spans="1:17" s="15" customFormat="1">
      <c r="B11" s="16"/>
      <c r="C11" s="17"/>
      <c r="D11" s="18" t="s">
        <v>37</v>
      </c>
      <c r="E11" s="59"/>
      <c r="F11" s="242" t="s">
        <v>38</v>
      </c>
      <c r="G11" s="287"/>
      <c r="H11" s="19"/>
      <c r="I11" s="20"/>
      <c r="J11" s="19"/>
      <c r="K11" s="31"/>
      <c r="L11" s="36"/>
      <c r="M11" s="37"/>
      <c r="N11" s="1"/>
      <c r="O11" s="1"/>
      <c r="P11" s="1"/>
      <c r="Q11" s="3" t="s">
        <v>27</v>
      </c>
    </row>
    <row r="12" spans="1:17" s="15" customFormat="1" ht="27" customHeight="1">
      <c r="B12" s="16"/>
      <c r="C12" s="17"/>
      <c r="D12" s="18" t="s">
        <v>39</v>
      </c>
      <c r="E12" s="59"/>
      <c r="F12" s="242" t="s">
        <v>40</v>
      </c>
      <c r="G12" s="243"/>
      <c r="H12" s="19"/>
      <c r="I12" s="20"/>
      <c r="J12" s="19"/>
      <c r="K12" s="31"/>
      <c r="L12" s="36"/>
      <c r="M12" s="37"/>
      <c r="N12" s="1"/>
      <c r="O12" s="1"/>
      <c r="P12" s="1"/>
      <c r="Q12" s="15" t="s">
        <v>61</v>
      </c>
    </row>
    <row r="13" spans="1:17" s="15" customFormat="1" ht="27" customHeight="1">
      <c r="B13" s="16"/>
      <c r="C13" s="17"/>
      <c r="D13" s="18" t="s">
        <v>41</v>
      </c>
      <c r="E13" s="59"/>
      <c r="F13" s="242" t="s">
        <v>44</v>
      </c>
      <c r="G13" s="243"/>
      <c r="H13" s="19"/>
      <c r="I13" s="20"/>
      <c r="J13" s="19"/>
      <c r="K13" s="39"/>
      <c r="L13" s="36"/>
      <c r="M13" s="37"/>
      <c r="N13" s="1"/>
      <c r="O13" s="1"/>
      <c r="P13" s="1"/>
    </row>
    <row r="14" spans="1:17" s="15" customFormat="1" ht="27" customHeight="1">
      <c r="B14" s="21"/>
      <c r="C14" s="22"/>
      <c r="D14" s="18" t="s">
        <v>42</v>
      </c>
      <c r="E14" s="59"/>
      <c r="F14" s="242" t="s">
        <v>43</v>
      </c>
      <c r="G14" s="243"/>
      <c r="H14" s="19"/>
      <c r="I14" s="20"/>
      <c r="J14" s="19"/>
      <c r="K14" s="31"/>
      <c r="L14" s="36"/>
      <c r="M14" s="37"/>
      <c r="N14" s="1"/>
      <c r="O14" s="1"/>
      <c r="P14" s="1"/>
    </row>
    <row r="15" spans="1:17" s="15" customFormat="1" ht="27" customHeight="1">
      <c r="B15" s="41" t="s">
        <v>18</v>
      </c>
      <c r="C15" s="18" t="s">
        <v>45</v>
      </c>
      <c r="D15" s="18" t="s">
        <v>46</v>
      </c>
      <c r="E15" s="59"/>
      <c r="F15" s="242" t="s">
        <v>47</v>
      </c>
      <c r="G15" s="287"/>
      <c r="H15" s="53"/>
      <c r="I15" s="54"/>
      <c r="J15" s="53"/>
      <c r="K15" s="31"/>
      <c r="L15" s="36"/>
      <c r="M15" s="37"/>
      <c r="N15" s="1"/>
      <c r="O15" s="1"/>
      <c r="P15" s="1"/>
    </row>
    <row r="16" spans="1:17" s="15" customFormat="1" ht="27" customHeight="1">
      <c r="B16" s="41" t="s">
        <v>19</v>
      </c>
      <c r="C16" s="18" t="s">
        <v>48</v>
      </c>
      <c r="D16" s="18" t="s">
        <v>49</v>
      </c>
      <c r="E16" s="59"/>
      <c r="F16" s="242" t="s">
        <v>50</v>
      </c>
      <c r="G16" s="287"/>
      <c r="H16" s="54"/>
      <c r="I16" s="54"/>
      <c r="J16" s="53"/>
      <c r="K16" s="31"/>
      <c r="L16" s="36"/>
      <c r="M16" s="37"/>
      <c r="N16" s="1"/>
      <c r="O16" s="1"/>
      <c r="P16" s="1"/>
    </row>
    <row r="17" spans="2:16" s="15" customFormat="1" ht="27" customHeight="1">
      <c r="B17" s="21" t="s">
        <v>20</v>
      </c>
      <c r="C17" s="18" t="s">
        <v>51</v>
      </c>
      <c r="D17" s="18" t="s">
        <v>52</v>
      </c>
      <c r="E17" s="60"/>
      <c r="F17" s="288" t="s">
        <v>53</v>
      </c>
      <c r="G17" s="289"/>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80" t="s">
        <v>4</v>
      </c>
      <c r="C22" s="281" t="s">
        <v>30</v>
      </c>
      <c r="D22" s="281" t="s">
        <v>34</v>
      </c>
      <c r="E22" s="281" t="s">
        <v>58</v>
      </c>
      <c r="F22" s="282" t="s">
        <v>7</v>
      </c>
      <c r="G22" s="283"/>
      <c r="H22" s="257" t="s">
        <v>12</v>
      </c>
      <c r="I22" s="257"/>
      <c r="J22" s="257"/>
      <c r="K22" s="251" t="s">
        <v>14</v>
      </c>
      <c r="L22" s="251"/>
      <c r="M22" s="251"/>
    </row>
    <row r="23" spans="2:16">
      <c r="B23" s="261"/>
      <c r="C23" s="253"/>
      <c r="D23" s="253"/>
      <c r="E23" s="253"/>
      <c r="F23" s="265"/>
      <c r="G23" s="266"/>
      <c r="H23" s="45" t="s">
        <v>8</v>
      </c>
      <c r="I23" s="45" t="s">
        <v>9</v>
      </c>
      <c r="J23" s="45" t="s">
        <v>10</v>
      </c>
      <c r="K23" s="30"/>
      <c r="L23" s="32"/>
      <c r="M23" s="33"/>
    </row>
    <row r="24" spans="2:16" ht="40.5">
      <c r="B24" s="38" t="s">
        <v>15</v>
      </c>
      <c r="C24" s="29" t="s">
        <v>55</v>
      </c>
      <c r="D24" s="42" t="s">
        <v>57</v>
      </c>
      <c r="E24" s="43" t="s">
        <v>59</v>
      </c>
      <c r="F24" s="242" t="s">
        <v>60</v>
      </c>
      <c r="G24" s="243"/>
      <c r="H24" s="53"/>
      <c r="I24" s="54"/>
      <c r="J24" s="53"/>
      <c r="K24" s="39"/>
      <c r="L24" s="34"/>
      <c r="M24" s="35"/>
    </row>
    <row r="25" spans="2:16">
      <c r="B25" s="41" t="s">
        <v>16</v>
      </c>
      <c r="C25" s="18"/>
      <c r="D25" s="18"/>
      <c r="E25" s="59"/>
      <c r="F25" s="242"/>
      <c r="G25" s="287"/>
      <c r="H25" s="53"/>
      <c r="I25" s="54"/>
      <c r="J25" s="53"/>
      <c r="K25" s="31"/>
      <c r="L25" s="36"/>
      <c r="M25" s="37"/>
    </row>
    <row r="26" spans="2:16">
      <c r="B26" s="41"/>
      <c r="C26" s="18"/>
      <c r="D26" s="18"/>
      <c r="E26" s="59"/>
      <c r="F26" s="242"/>
      <c r="G26" s="287"/>
      <c r="H26" s="19"/>
      <c r="I26" s="20"/>
      <c r="J26" s="19"/>
      <c r="K26" s="31"/>
      <c r="L26" s="36"/>
      <c r="M26" s="37"/>
    </row>
    <row r="27" spans="2:16">
      <c r="B27" s="41"/>
      <c r="C27" s="18"/>
      <c r="D27" s="18"/>
      <c r="E27" s="59"/>
      <c r="F27" s="242"/>
      <c r="G27" s="243"/>
      <c r="H27" s="19"/>
      <c r="I27" s="20"/>
      <c r="J27" s="19"/>
      <c r="K27" s="31"/>
      <c r="L27" s="36"/>
      <c r="M27" s="37"/>
    </row>
    <row r="28" spans="2:16">
      <c r="B28" s="41"/>
      <c r="C28" s="18"/>
      <c r="D28" s="18"/>
      <c r="E28" s="59"/>
      <c r="F28" s="242"/>
      <c r="G28" s="243"/>
      <c r="H28" s="19"/>
      <c r="I28" s="20"/>
      <c r="J28" s="19"/>
      <c r="K28" s="39"/>
      <c r="L28" s="36"/>
      <c r="M28" s="37"/>
    </row>
    <row r="29" spans="2:16">
      <c r="B29" s="41"/>
      <c r="C29" s="18"/>
      <c r="D29" s="18"/>
      <c r="E29" s="59"/>
      <c r="F29" s="242"/>
      <c r="G29" s="243"/>
      <c r="H29" s="19"/>
      <c r="I29" s="20"/>
      <c r="J29" s="19"/>
      <c r="K29" s="31"/>
      <c r="L29" s="36"/>
      <c r="M29" s="37"/>
    </row>
    <row r="30" spans="2:16">
      <c r="B30" s="41" t="s">
        <v>18</v>
      </c>
      <c r="C30" s="18"/>
      <c r="D30" s="18"/>
      <c r="E30" s="59"/>
      <c r="F30" s="242"/>
      <c r="G30" s="287"/>
      <c r="H30" s="53"/>
      <c r="I30" s="54"/>
      <c r="J30" s="53"/>
      <c r="K30" s="31"/>
      <c r="L30" s="36"/>
      <c r="M30" s="37"/>
    </row>
    <row r="31" spans="2:16">
      <c r="B31" s="41" t="s">
        <v>19</v>
      </c>
      <c r="C31" s="18"/>
      <c r="D31" s="18"/>
      <c r="E31" s="59"/>
      <c r="F31" s="242"/>
      <c r="G31" s="287"/>
      <c r="H31" s="54"/>
      <c r="I31" s="54"/>
      <c r="J31" s="53"/>
      <c r="K31" s="31"/>
      <c r="L31" s="36"/>
      <c r="M31" s="37"/>
    </row>
    <row r="32" spans="2:16">
      <c r="B32" s="21" t="s">
        <v>20</v>
      </c>
      <c r="C32" s="18"/>
      <c r="D32" s="18"/>
      <c r="E32" s="60"/>
      <c r="F32" s="288"/>
      <c r="G32" s="289"/>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vt:i4>
      </vt:variant>
    </vt:vector>
  </HeadingPairs>
  <TitlesOfParts>
    <vt:vector size="10" baseType="lpstr">
      <vt:lpstr>表紙</vt:lpstr>
      <vt:lpstr>変更履歴</vt:lpstr>
      <vt:lpstr>テスト項目</vt:lpstr>
      <vt:lpstr>画面項目マトリクス</vt:lpstr>
      <vt:lpstr>ヘッダ項目クリック_マトリクス</vt:lpstr>
      <vt:lpstr>ヘッダ項目マトリクス</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2019-01-09T07:12:49Z</dcterms:modified>
</cp:coreProperties>
</file>