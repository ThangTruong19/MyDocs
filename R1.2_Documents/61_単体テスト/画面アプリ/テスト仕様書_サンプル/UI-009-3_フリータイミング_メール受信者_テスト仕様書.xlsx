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C:\work\60_SVN(FJ)\system-exe\10_成果物\02_EMN\案-1704-25839 次世代KOMTRAX第２次実装開発\02_テスト仕様書\"/>
    </mc:Choice>
  </mc:AlternateContent>
  <bookViews>
    <workbookView xWindow="0" yWindow="0" windowWidth="19845" windowHeight="7845" tabRatio="920"/>
  </bookViews>
  <sheets>
    <sheet name="表紙" sheetId="15" r:id="rId1"/>
    <sheet name="変更履歴" sheetId="16" r:id="rId2"/>
    <sheet name="テスト項目" sheetId="19" r:id="rId3"/>
    <sheet name="リクエストパラメータチェックシート" sheetId="21" r:id="rId4"/>
    <sheet name="IT、ST（案）テスト項目" sheetId="14" state="hidden" r:id="rId5"/>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__123Graph_A" hidden="1">[1]ﾏｼﾅﾘ強度比較!$W$42:$BN$42</definedName>
    <definedName name="__123Graph_A接線力ーｻｰｸﾙ重" hidden="1">[1]ﾏｼﾅﾘ強度比較!$W$42:$BN$42</definedName>
    <definedName name="__B0415" localSheetId="2" hidden="1">{#N/A,#N/A,TRUE,"カスタマイズ仕様書";#N/A,#N/A,TRUE,"Ｉ・Ｏ関連表(1)";#N/A,#N/A,TRUE,"Ｉ・Ｏ関連表(2)";#N/A,#N/A,TRUE,"Ｉ・Ｏ関連表(3)";#N/A,#N/A,TRUE,"レポート記述書";#N/A,#N/A,TRUE,"画面記述書"}</definedName>
    <definedName name="__B0415" hidden="1">{#N/A,#N/A,TRUE,"カスタマイズ仕様書";#N/A,#N/A,TRUE,"Ｉ・Ｏ関連表(1)";#N/A,#N/A,TRUE,"Ｉ・Ｏ関連表(2)";#N/A,#N/A,TRUE,"Ｉ・Ｏ関連表(3)";#N/A,#N/A,TRUE,"レポート記述書";#N/A,#N/A,TRUE,"画面記述書"}</definedName>
    <definedName name="__B0416" localSheetId="2" hidden="1">{#N/A,#N/A,TRUE,"カスタマイズ仕様書";#N/A,#N/A,TRUE,"Ｉ・Ｏ関連表(1)";#N/A,#N/A,TRUE,"Ｉ・Ｏ関連表(2)";#N/A,#N/A,TRUE,"Ｉ・Ｏ関連表(3)";#N/A,#N/A,TRUE,"レポート記述書";#N/A,#N/A,TRUE,"画面記述書"}</definedName>
    <definedName name="__B0416" hidden="1">{#N/A,#N/A,TRUE,"カスタマイズ仕様書";#N/A,#N/A,TRUE,"Ｉ・Ｏ関連表(1)";#N/A,#N/A,TRUE,"Ｉ・Ｏ関連表(2)";#N/A,#N/A,TRUE,"Ｉ・Ｏ関連表(3)";#N/A,#N/A,TRUE,"レポート記述書";#N/A,#N/A,TRUE,"画面記述書"}</definedName>
    <definedName name="__B0417" localSheetId="2" hidden="1">{#N/A,#N/A,TRUE,"カスタマイズ仕様書";#N/A,#N/A,TRUE,"Ｉ・Ｏ関連表(1)";#N/A,#N/A,TRUE,"Ｉ・Ｏ関連表(2)";#N/A,#N/A,TRUE,"Ｉ・Ｏ関連表(3)";#N/A,#N/A,TRUE,"レポート記述書";#N/A,#N/A,TRUE,"画面記述書"}</definedName>
    <definedName name="__B0417" hidden="1">{#N/A,#N/A,TRUE,"カスタマイズ仕様書";#N/A,#N/A,TRUE,"Ｉ・Ｏ関連表(1)";#N/A,#N/A,TRUE,"Ｉ・Ｏ関連表(2)";#N/A,#N/A,TRUE,"Ｉ・Ｏ関連表(3)";#N/A,#N/A,TRUE,"レポート記述書";#N/A,#N/A,TRUE,"画面記述書"}</definedName>
    <definedName name="__B1" localSheetId="2" hidden="1">{"'オンボード'!$A$1:$BZ$70"}</definedName>
    <definedName name="__B1" hidden="1">{"'オンボード'!$A$1:$BZ$70"}</definedName>
    <definedName name="__IO1" localSheetId="2" hidden="1">{#N/A,#N/A,TRUE,"カスタマイズ仕様書";#N/A,#N/A,TRUE,"Ｉ・Ｏ関連表(1)";#N/A,#N/A,TRUE,"Ｉ・Ｏ関連表(2)";#N/A,#N/A,TRUE,"Ｉ・Ｏ関連表(3)";#N/A,#N/A,TRUE,"レポート記述書";#N/A,#N/A,TRUE,"画面記述書"}</definedName>
    <definedName name="__IO1" hidden="1">{#N/A,#N/A,TRUE,"カスタマイズ仕様書";#N/A,#N/A,TRUE,"Ｉ・Ｏ関連表(1)";#N/A,#N/A,TRUE,"Ｉ・Ｏ関連表(2)";#N/A,#N/A,TRUE,"Ｉ・Ｏ関連表(3)";#N/A,#N/A,TRUE,"レポート記述書";#N/A,#N/A,TRUE,"画面記述書"}</definedName>
    <definedName name="__ＩＯ２" localSheetId="2" hidden="1">{#N/A,#N/A,TRUE,"カスタマイズ仕様書";#N/A,#N/A,TRUE,"Ｉ・Ｏ関連表(1)";#N/A,#N/A,TRUE,"Ｉ・Ｏ関連表(2)";#N/A,#N/A,TRUE,"Ｉ・Ｏ関連表(3)";#N/A,#N/A,TRUE,"レポート記述書";#N/A,#N/A,TRUE,"画面記述書"}</definedName>
    <definedName name="__ＩＯ２" localSheetId="1" hidden="1">{#N/A,#N/A,TRUE,"カスタマイズ仕様書";#N/A,#N/A,TRUE,"Ｉ・Ｏ関連表(1)";#N/A,#N/A,TRUE,"Ｉ・Ｏ関連表(2)";#N/A,#N/A,TRUE,"Ｉ・Ｏ関連表(3)";#N/A,#N/A,TRUE,"レポート記述書";#N/A,#N/A,TRUE,"画面記述書"}</definedName>
    <definedName name="__ＩＯ２" hidden="1">{#N/A,#N/A,TRUE,"カスタマイズ仕様書";#N/A,#N/A,TRUE,"Ｉ・Ｏ関連表(1)";#N/A,#N/A,TRUE,"Ｉ・Ｏ関連表(2)";#N/A,#N/A,TRUE,"Ｉ・Ｏ関連表(3)";#N/A,#N/A,TRUE,"レポート記述書";#N/A,#N/A,TRUE,"画面記述書"}</definedName>
    <definedName name="__ＩＯ３" localSheetId="2" hidden="1">{#N/A,#N/A,TRUE,"カスタマイズ仕様書";#N/A,#N/A,TRUE,"Ｉ・Ｏ関連表(1)";#N/A,#N/A,TRUE,"Ｉ・Ｏ関連表(2)";#N/A,#N/A,TRUE,"Ｉ・Ｏ関連表(3)";#N/A,#N/A,TRUE,"レポート記述書";#N/A,#N/A,TRUE,"画面記述書"}</definedName>
    <definedName name="__ＩＯ３" hidden="1">{#N/A,#N/A,TRUE,"カスタマイズ仕様書";#N/A,#N/A,TRUE,"Ｉ・Ｏ関連表(1)";#N/A,#N/A,TRUE,"Ｉ・Ｏ関連表(2)";#N/A,#N/A,TRUE,"Ｉ・Ｏ関連表(3)";#N/A,#N/A,TRUE,"レポート記述書";#N/A,#N/A,TRUE,"画面記述書"}</definedName>
    <definedName name="__io4" localSheetId="2" hidden="1">{#N/A,#N/A,TRUE,"カスタマイズ仕様書";#N/A,#N/A,TRUE,"Ｉ・Ｏ関連表(1)";#N/A,#N/A,TRUE,"Ｉ・Ｏ関連表(2)";#N/A,#N/A,TRUE,"Ｉ・Ｏ関連表(3)";#N/A,#N/A,TRUE,"レポート記述書";#N/A,#N/A,TRUE,"画面記述書"}</definedName>
    <definedName name="__io4" hidden="1">{#N/A,#N/A,TRUE,"カスタマイズ仕様書";#N/A,#N/A,TRUE,"Ｉ・Ｏ関連表(1)";#N/A,#N/A,TRUE,"Ｉ・Ｏ関連表(2)";#N/A,#N/A,TRUE,"Ｉ・Ｏ関連表(3)";#N/A,#N/A,TRUE,"レポート記述書";#N/A,#N/A,TRUE,"画面記述書"}</definedName>
    <definedName name="__IO5" localSheetId="2" hidden="1">{#N/A,#N/A,TRUE,"カスタマイズ仕様書";#N/A,#N/A,TRUE,"Ｉ・Ｏ関連表(1)";#N/A,#N/A,TRUE,"Ｉ・Ｏ関連表(2)";#N/A,#N/A,TRUE,"Ｉ・Ｏ関連表(3)";#N/A,#N/A,TRUE,"レポート記述書";#N/A,#N/A,TRUE,"画面記述書"}</definedName>
    <definedName name="__IO5" hidden="1">{#N/A,#N/A,TRUE,"カスタマイズ仕様書";#N/A,#N/A,TRUE,"Ｉ・Ｏ関連表(1)";#N/A,#N/A,TRUE,"Ｉ・Ｏ関連表(2)";#N/A,#N/A,TRUE,"Ｉ・Ｏ関連表(3)";#N/A,#N/A,TRUE,"レポート記述書";#N/A,#N/A,TRUE,"画面記述書"}</definedName>
    <definedName name="_4ＩＯ２_" localSheetId="4" hidden="1">{#N/A,#N/A,TRUE,"カスタマイズ仕様書";#N/A,#N/A,TRUE,"Ｉ・Ｏ関連表(1)";#N/A,#N/A,TRUE,"Ｉ・Ｏ関連表(2)";#N/A,#N/A,TRUE,"Ｉ・Ｏ関連表(3)";#N/A,#N/A,TRUE,"レポート記述書";#N/A,#N/A,TRUE,"画面記述書"}</definedName>
    <definedName name="_4ＩＯ２_" localSheetId="2" hidden="1">{#N/A,#N/A,TRUE,"カスタマイズ仕様書";#N/A,#N/A,TRUE,"Ｉ・Ｏ関連表(1)";#N/A,#N/A,TRUE,"Ｉ・Ｏ関連表(2)";#N/A,#N/A,TRUE,"Ｉ・Ｏ関連表(3)";#N/A,#N/A,TRUE,"レポート記述書";#N/A,#N/A,TRUE,"画面記述書"}</definedName>
    <definedName name="_5ＩＯ２_" localSheetId="1" hidden="1">{#N/A,#N/A,TRUE,"カスタマイズ仕様書";#N/A,#N/A,TRUE,"Ｉ・Ｏ関連表(1)";#N/A,#N/A,TRUE,"Ｉ・Ｏ関連表(2)";#N/A,#N/A,TRUE,"Ｉ・Ｏ関連表(3)";#N/A,#N/A,TRUE,"レポート記述書";#N/A,#N/A,TRUE,"画面記述書"}</definedName>
    <definedName name="_6ＩＯ２_" localSheetId="2" hidden="1">{#N/A,#N/A,TRUE,"カスタマイズ仕様書";#N/A,#N/A,TRUE,"Ｉ・Ｏ関連表(1)";#N/A,#N/A,TRUE,"Ｉ・Ｏ関連表(2)";#N/A,#N/A,TRUE,"Ｉ・Ｏ関連表(3)";#N/A,#N/A,TRUE,"レポート記述書";#N/A,#N/A,TRUE,"画面記述書"}</definedName>
    <definedName name="_6ＩＯ２_" localSheetId="1" hidden="1">{#N/A,#N/A,TRUE,"カスタマイズ仕様書";#N/A,#N/A,TRUE,"Ｉ・Ｏ関連表(1)";#N/A,#N/A,TRUE,"Ｉ・Ｏ関連表(2)";#N/A,#N/A,TRUE,"Ｉ・Ｏ関連表(3)";#N/A,#N/A,TRUE,"レポート記述書";#N/A,#N/A,TRUE,"画面記述書"}</definedName>
    <definedName name="_6ＩＯ２_" hidden="1">{#N/A,#N/A,TRUE,"カスタマイズ仕様書";#N/A,#N/A,TRUE,"Ｉ・Ｏ関連表(1)";#N/A,#N/A,TRUE,"Ｉ・Ｏ関連表(2)";#N/A,#N/A,TRUE,"Ｉ・Ｏ関連表(3)";#N/A,#N/A,TRUE,"レポート記述書";#N/A,#N/A,TRUE,"画面記述書"}</definedName>
    <definedName name="_7ＩＯ２_" localSheetId="2" hidden="1">{#N/A,#N/A,TRUE,"カスタマイズ仕様書";#N/A,#N/A,TRUE,"Ｉ・Ｏ関連表(1)";#N/A,#N/A,TRUE,"Ｉ・Ｏ関連表(2)";#N/A,#N/A,TRUE,"Ｉ・Ｏ関連表(3)";#N/A,#N/A,TRUE,"レポート記述書";#N/A,#N/A,TRUE,"画面記述書"}</definedName>
    <definedName name="_7ＩＯ２_" hidden="1">{#N/A,#N/A,TRUE,"カスタマイズ仕様書";#N/A,#N/A,TRUE,"Ｉ・Ｏ関連表(1)";#N/A,#N/A,TRUE,"Ｉ・Ｏ関連表(2)";#N/A,#N/A,TRUE,"Ｉ・Ｏ関連表(3)";#N/A,#N/A,TRUE,"レポート記述書";#N/A,#N/A,TRUE,"画面記述書"}</definedName>
    <definedName name="_B0415_2" localSheetId="2" hidden="1">{#N/A,#N/A,TRUE,"カスタマイズ仕様書";#N/A,#N/A,TRUE,"Ｉ・Ｏ関連表(1)";#N/A,#N/A,TRUE,"Ｉ・Ｏ関連表(2)";#N/A,#N/A,TRUE,"Ｉ・Ｏ関連表(3)";#N/A,#N/A,TRUE,"レポート記述書";#N/A,#N/A,TRUE,"画面記述書"}</definedName>
    <definedName name="_B0415_2" hidden="1">{#N/A,#N/A,TRUE,"カスタマイズ仕様書";#N/A,#N/A,TRUE,"Ｉ・Ｏ関連表(1)";#N/A,#N/A,TRUE,"Ｉ・Ｏ関連表(2)";#N/A,#N/A,TRUE,"Ｉ・Ｏ関連表(3)";#N/A,#N/A,TRUE,"レポート記述書";#N/A,#N/A,TRUE,"画面記述書"}</definedName>
    <definedName name="_Fill" localSheetId="4" hidden="1">[2]FEM92SIM!#REF!</definedName>
    <definedName name="_Fill" hidden="1">[2]FEM92SIM!#REF!</definedName>
    <definedName name="_xlnm._FilterDatabase" localSheetId="4" hidden="1">'IT、ST（案）テスト項目'!#REF!</definedName>
    <definedName name="_xlnm._FilterDatabase" localSheetId="2" hidden="1">テスト項目!$B$7:$U$80</definedName>
    <definedName name="_Key1" localSheetId="4" hidden="1">#REF!</definedName>
    <definedName name="_Key1" localSheetId="2" hidden="1">#REF!</definedName>
    <definedName name="_Key1" hidden="1">#REF!</definedName>
    <definedName name="_Order1" hidden="1">0</definedName>
    <definedName name="_Order2" hidden="1">0</definedName>
    <definedName name="_Sort" localSheetId="4" hidden="1">#REF!</definedName>
    <definedName name="_Sort" localSheetId="2" hidden="1">#REF!</definedName>
    <definedName name="_Sort" hidden="1">#REF!</definedName>
    <definedName name="_Table1_In1" localSheetId="4" hidden="1">#REF!</definedName>
    <definedName name="_Table1_In1" localSheetId="2" hidden="1">#REF!</definedName>
    <definedName name="_Table1_In1" hidden="1">#REF!</definedName>
    <definedName name="_Table1_Out" localSheetId="4" hidden="1">#REF!</definedName>
    <definedName name="_Table1_Out" localSheetId="2" hidden="1">#REF!</definedName>
    <definedName name="_Table1_Out" hidden="1">#REF!</definedName>
    <definedName name="_ZA1" localSheetId="4">#REF!</definedName>
    <definedName name="_ZA1">#REF!</definedName>
    <definedName name="a" localSheetId="2" hidden="1">{#N/A,#N/A,TRUE,"カスタマイズ仕様書";#N/A,#N/A,TRUE,"Ｉ・Ｏ関連表(1)";#N/A,#N/A,TRUE,"Ｉ・Ｏ関連表(2)";#N/A,#N/A,TRUE,"Ｉ・Ｏ関連表(3)";#N/A,#N/A,TRUE,"レポート記述書";#N/A,#N/A,TRUE,"画面記述書"}</definedName>
    <definedName name="a" hidden="1">{#N/A,#N/A,TRUE,"カスタマイズ仕様書";#N/A,#N/A,TRUE,"Ｉ・Ｏ関連表(1)";#N/A,#N/A,TRUE,"Ｉ・Ｏ関連表(2)";#N/A,#N/A,TRUE,"Ｉ・Ｏ関連表(3)";#N/A,#N/A,TRUE,"レポート記述書";#N/A,#N/A,TRUE,"画面記述書"}</definedName>
    <definedName name="A_ACT_DATA" localSheetId="4">[3]ﾃﾞｰﾀﾍﾞｰｽ変更点!#REF!</definedName>
    <definedName name="A_ACT_DATA">[3]ﾃﾞｰﾀﾍﾞｰｽ変更点!#REF!</definedName>
    <definedName name="A_ACTUAL_OPERATION" localSheetId="4">[4]TableDesign!#REF!</definedName>
    <definedName name="A_ACTUAL_OPERATION">[4]TableDesign!#REF!</definedName>
    <definedName name="A_AREA" localSheetId="4">[3]ﾃﾞｰﾀﾍﾞｰｽ変更点!#REF!</definedName>
    <definedName name="A_AREA">[3]ﾃﾞｰﾀﾍﾞｰｽ変更点!#REF!</definedName>
    <definedName name="A_AREA_DEFINE" localSheetId="4">[3]ﾃﾞｰﾀﾍﾞｰｽ変更点!#REF!</definedName>
    <definedName name="A_AREA_DEFINE">[3]ﾃﾞｰﾀﾍﾞｰｽ変更点!#REF!</definedName>
    <definedName name="A_AREA_INIT" localSheetId="4">[3]ﾃﾞｰﾀﾍﾞｰｽ変更点!#REF!</definedName>
    <definedName name="A_AREA_INIT">[3]ﾃﾞｰﾀﾍﾞｰｽ変更点!#REF!</definedName>
    <definedName name="A_AREA_MASTER" localSheetId="4">[3]ﾃﾞｰﾀﾍﾞｰｽ変更点!#REF!</definedName>
    <definedName name="A_AREA_MASTER">[3]ﾃﾞｰﾀﾍﾞｰｽ変更点!#REF!</definedName>
    <definedName name="A_ASK" localSheetId="4">[3]ﾃﾞｰﾀﾍﾞｰｽ変更点!#REF!</definedName>
    <definedName name="A_ASK">[3]ﾃﾞｰﾀﾍﾞｰｽ変更点!#REF!</definedName>
    <definedName name="A_ASK_LOG" localSheetId="4">[5]テーブル設計!#REF!</definedName>
    <definedName name="A_ASK_LOG">[5]テーブル設計!#REF!</definedName>
    <definedName name="A_ASK_SYSTEM" localSheetId="4">[3]ﾃﾞｰﾀﾍﾞｰｽ変更点!#REF!</definedName>
    <definedName name="A_ASK_SYSTEM">[3]ﾃﾞｰﾀﾍﾞｰｽ変更点!#REF!</definedName>
    <definedName name="A_ATC_ERROR" localSheetId="4">[5]テーブル設計!#REF!</definedName>
    <definedName name="A_ATC_ERROR">[5]テーブル設計!#REF!</definedName>
    <definedName name="A_AUTHORITY_GROUP" localSheetId="4">[3]ﾃﾞｰﾀﾍﾞｰｽ変更点!#REF!</definedName>
    <definedName name="A_AUTHORITY_GROUP">[3]ﾃﾞｰﾀﾍﾞｰｽ変更点!#REF!</definedName>
    <definedName name="A_AUTHORITY_GROUP_DATA" localSheetId="4">[3]ﾃﾞｰﾀﾍﾞｰｽ変更点!#REF!</definedName>
    <definedName name="A_AUTHORITY_GROUP_DATA">[3]ﾃﾞｰﾀﾍﾞｰｽ変更点!#REF!</definedName>
    <definedName name="A_AUTHORITY_MASTER" localSheetId="4">[5]テーブル設計!#REF!</definedName>
    <definedName name="A_AUTHORITY_MASTER">[5]テーブル設計!#REF!</definedName>
    <definedName name="A_BONDED_STORE" localSheetId="4">[5]テーブル設計!#REF!</definedName>
    <definedName name="A_BONDED_STORE">[5]テーブル設計!#REF!</definedName>
    <definedName name="A_CAR_DATA" localSheetId="4">[3]ﾃﾞｰﾀﾍﾞｰｽ変更点!#REF!</definedName>
    <definedName name="A_CAR_DATA">[3]ﾃﾞｰﾀﾍﾞｰｽ変更点!#REF!</definedName>
    <definedName name="A_CAR_MASTER" localSheetId="4">[3]ﾃﾞｰﾀﾍﾞｰｽ変更点!#REF!</definedName>
    <definedName name="A_CAR_MASTER">[3]ﾃﾞｰﾀﾍﾞｰｽ変更点!#REF!</definedName>
    <definedName name="A_CAR_MONTHLY_DATA" localSheetId="4">[3]ﾃﾞｰﾀﾍﾞｰｽ変更点!#REF!</definedName>
    <definedName name="A_CAR_MONTHLY_DATA">[3]ﾃﾞｰﾀﾍﾞｰｽ変更点!#REF!</definedName>
    <definedName name="A_CAR_OWNER_HISTORY" localSheetId="4">[3]ﾃﾞｰﾀﾍﾞｰｽ変更点!#REF!</definedName>
    <definedName name="A_CAR_OWNER_HISTORY">[3]ﾃﾞｰﾀﾍﾞｰｽ変更点!#REF!</definedName>
    <definedName name="A_CAUTION" localSheetId="4">[4]TableDesign!#REF!</definedName>
    <definedName name="A_CAUTION">[4]TableDesign!#REF!</definedName>
    <definedName name="A_CAUTION_DATA" localSheetId="4">[3]ﾃﾞｰﾀﾍﾞｰｽ変更点!#REF!</definedName>
    <definedName name="A_CAUTION_DATA">[3]ﾃﾞｰﾀﾍﾞｰｽ変更点!#REF!</definedName>
    <definedName name="A_CAUTION_ENABLED" localSheetId="4">[3]ﾃﾞｰﾀﾍﾞｰｽ変更点!#REF!</definedName>
    <definedName name="A_CAUTION_ENABLED">[3]ﾃﾞｰﾀﾍﾞｰｽ変更点!#REF!</definedName>
    <definedName name="A_CAUTION_ICON" localSheetId="4">[3]ﾃﾞｰﾀﾍﾞｰｽ変更点!#REF!</definedName>
    <definedName name="A_CAUTION_ICON">[3]ﾃﾞｰﾀﾍﾞｰｽ変更点!#REF!</definedName>
    <definedName name="A_CAUTION_INIT" localSheetId="4">[3]ﾃﾞｰﾀﾍﾞｰｽ変更点!#REF!</definedName>
    <definedName name="A_CAUTION_INIT">[3]ﾃﾞｰﾀﾍﾞｰｽ変更点!#REF!</definedName>
    <definedName name="A_CAUTION_MASTER" localSheetId="4">[3]ﾃﾞｰﾀﾍﾞｰｽ変更点!#REF!</definedName>
    <definedName name="A_CAUTION_MASTER">[3]ﾃﾞｰﾀﾍﾞｰｽ変更点!#REF!</definedName>
    <definedName name="A_CLASS1_MASTER" localSheetId="4">[3]ﾃﾞｰﾀﾍﾞｰｽ変更点!#REF!</definedName>
    <definedName name="A_CLASS1_MASTER">[3]ﾃﾞｰﾀﾍﾞｰｽ変更点!#REF!</definedName>
    <definedName name="A_CLASS2_MASTER" localSheetId="4">[3]ﾃﾞｰﾀﾍﾞｰｽ変更点!#REF!</definedName>
    <definedName name="A_CLASS2_MASTER">[3]ﾃﾞｰﾀﾍﾞｰｽ変更点!#REF!</definedName>
    <definedName name="A_COMM_DATA" localSheetId="4">[3]ﾃﾞｰﾀﾍﾞｰｽ変更点!#REF!</definedName>
    <definedName name="A_COMM_DATA">[3]ﾃﾞｰﾀﾍﾞｰｽ変更点!#REF!</definedName>
    <definedName name="A_COMM_STATUS_MASTER" localSheetId="4">[3]ﾃﾞｰﾀﾍﾞｰｽ変更点!#REF!</definedName>
    <definedName name="A_COMM_STATUS_MASTER">[3]ﾃﾞｰﾀﾍﾞｰｽ変更点!#REF!</definedName>
    <definedName name="A_CONFIG_DEFINE" localSheetId="4">[3]ﾃﾞｰﾀﾍﾞｰｽ変更点!#REF!</definedName>
    <definedName name="A_CONFIG_DEFINE">[3]ﾃﾞｰﾀﾍﾞｰｽ変更点!#REF!</definedName>
    <definedName name="A_CONFIG_FLAG" localSheetId="4">[5]テーブル設計!#REF!</definedName>
    <definedName name="A_CONFIG_FLAG">[5]テーブル設計!#REF!</definedName>
    <definedName name="A_CONFIG_INIT" localSheetId="4">[3]ﾃﾞｰﾀﾍﾞｰｽ変更点!#REF!</definedName>
    <definedName name="A_CONFIG_INIT">[3]ﾃﾞｰﾀﾍﾞｰｽ変更点!#REF!</definedName>
    <definedName name="A_CONFIG_PATTERN" localSheetId="4">[3]ﾃﾞｰﾀﾍﾞｰｽ変更点!#REF!</definedName>
    <definedName name="A_CONFIG_PATTERN">[3]ﾃﾞｰﾀﾍﾞｰｽ変更点!#REF!</definedName>
    <definedName name="A_CONFIG_PATTERN_DATA" localSheetId="4">[3]ﾃﾞｰﾀﾍﾞｰｽ変更点!#REF!</definedName>
    <definedName name="A_CONFIG_PATTERN_DATA">[3]ﾃﾞｰﾀﾍﾞｰｽ変更点!#REF!</definedName>
    <definedName name="A_CONFIG_USER_FLAG" localSheetId="4">[5]テーブル設計!#REF!</definedName>
    <definedName name="A_CONFIG_USER_FLAG">[5]テーブル設計!#REF!</definedName>
    <definedName name="A_CONTRACT" localSheetId="4">[5]テーブル設計!#REF!</definedName>
    <definedName name="A_CONTRACT">[5]テーブル設計!#REF!</definedName>
    <definedName name="A_CUSTOMER" localSheetId="4">[3]ﾃﾞｰﾀﾍﾞｰｽ変更点!#REF!</definedName>
    <definedName name="A_CUSTOMER">[3]ﾃﾞｰﾀﾍﾞｰｽ変更点!#REF!</definedName>
    <definedName name="A_CUSTOMER_CAR" localSheetId="4">[3]ﾃﾞｰﾀﾍﾞｰｽ変更点!#REF!</definedName>
    <definedName name="A_CUSTOMER_CAR">[3]ﾃﾞｰﾀﾍﾞｰｽ変更点!#REF!</definedName>
    <definedName name="A_CUSTOMER_MASTER" localSheetId="4">[4]TableDesign!#REF!</definedName>
    <definedName name="A_CUSTOMER_MASTER">[4]TableDesign!#REF!</definedName>
    <definedName name="A_DIVISION_MASTER" localSheetId="4">[3]ﾃﾞｰﾀﾍﾞｰｽ変更点!#REF!</definedName>
    <definedName name="A_DIVISION_MASTER">[3]ﾃﾞｰﾀﾍﾞｰｽ変更点!#REF!</definedName>
    <definedName name="A_DOPA" localSheetId="4">[3]ﾃﾞｰﾀﾍﾞｰｽ変更点!#REF!</definedName>
    <definedName name="A_DOPA">[3]ﾃﾞｰﾀﾍﾞｰｽ変更点!#REF!</definedName>
    <definedName name="A_DOPA_OWNER_HISTORY" localSheetId="4">[3]ﾃﾞｰﾀﾍﾞｰｽ変更点!#REF!</definedName>
    <definedName name="A_DOPA_OWNER_HISTORY">[3]ﾃﾞｰﾀﾍﾞｰｽ変更点!#REF!</definedName>
    <definedName name="A_DOPA_SERVER" localSheetId="4">[3]ﾃﾞｰﾀﾍﾞｰｽ変更点!#REF!</definedName>
    <definedName name="A_DOPA_SERVER">[3]ﾃﾞｰﾀﾍﾞｰｽ変更点!#REF!</definedName>
    <definedName name="A_EQUIPMENT_HISTORY" localSheetId="4">[3]ﾃﾞｰﾀﾍﾞｰｽ変更点!#REF!</definedName>
    <definedName name="A_EQUIPMENT_HISTORY">[3]ﾃﾞｰﾀﾍﾞｰｽ変更点!#REF!</definedName>
    <definedName name="A_ERROR" localSheetId="4">[3]ﾃﾞｰﾀﾍﾞｰｽ変更点!#REF!</definedName>
    <definedName name="A_ERROR">[3]ﾃﾞｰﾀﾍﾞｰｽ変更点!#REF!</definedName>
    <definedName name="A_ERROR_ENABLED" localSheetId="4">[3]ﾃﾞｰﾀﾍﾞｰｽ変更点!#REF!</definedName>
    <definedName name="A_ERROR_ENABLED">[3]ﾃﾞｰﾀﾍﾞｰｽ変更点!#REF!</definedName>
    <definedName name="A_ERROR_MASTER" localSheetId="4">[3]ﾃﾞｰﾀﾍﾞｰｽ変更点!#REF!</definedName>
    <definedName name="A_ERROR_MASTER">[3]ﾃﾞｰﾀﾍﾞｰｽ変更点!#REF!</definedName>
    <definedName name="A_EVENT_CATEGORY" localSheetId="4">[4]TableDesign!#REF!</definedName>
    <definedName name="A_EVENT_CATEGORY">[4]TableDesign!#REF!</definedName>
    <definedName name="A_EVENT_DIVISION" localSheetId="4">[3]ﾃﾞｰﾀﾍﾞｰｽ変更点!#REF!</definedName>
    <definedName name="A_EVENT_DIVISION">[3]ﾃﾞｰﾀﾍﾞｰｽ変更点!#REF!</definedName>
    <definedName name="A_EVENT_MASTER" localSheetId="4">[3]ﾃﾞｰﾀﾍﾞｰｽ変更点!#REF!</definedName>
    <definedName name="A_EVENT_MASTER">[3]ﾃﾞｰﾀﾍﾞｰｽ変更点!#REF!</definedName>
    <definedName name="A_EVENT_NOTICE" localSheetId="4">[3]ﾃﾞｰﾀﾍﾞｰｽ変更点!#REF!</definedName>
    <definedName name="A_EVENT_NOTICE">[3]ﾃﾞｰﾀﾍﾞｰｽ変更点!#REF!</definedName>
    <definedName name="A_FUEL_GAUGE" localSheetId="4">[4]TableDesign!#REF!</definedName>
    <definedName name="A_FUEL_GAUGE">[4]TableDesign!#REF!</definedName>
    <definedName name="A_GAUGE_FUEL_WTTEMP" localSheetId="4">[3]ﾃﾞｰﾀﾍﾞｰｽ変更点!#REF!</definedName>
    <definedName name="A_GAUGE_FUEL_WTTEMP">[3]ﾃﾞｰﾀﾍﾞｰｽ変更点!#REF!</definedName>
    <definedName name="A_GIS_DEFINE" localSheetId="4">[4]TableDesign!#REF!</definedName>
    <definedName name="A_GIS_DEFINE">[4]TableDesign!#REF!</definedName>
    <definedName name="A_GPS" localSheetId="4">[3]ﾃﾞｰﾀﾍﾞｰｽ変更点!#REF!</definedName>
    <definedName name="A_GPS">[3]ﾃﾞｰﾀﾍﾞｰｽ変更点!#REF!</definedName>
    <definedName name="A_GRANT_AUTHORITY" localSheetId="4">[3]ﾃﾞｰﾀﾍﾞｰｽ変更点!#REF!</definedName>
    <definedName name="A_GRANT_AUTHORITY">[3]ﾃﾞｰﾀﾍﾞｰｽ変更点!#REF!</definedName>
    <definedName name="A_GROUP_MASTER" localSheetId="4">[3]ﾃﾞｰﾀﾍﾞｰｽ変更点!#REF!</definedName>
    <definedName name="A_GROUP_MASTER">[3]ﾃﾞｰﾀﾍﾞｰｽ変更点!#REF!</definedName>
    <definedName name="A_IGNORE_CAUTION" localSheetId="4">[5]テーブル設計!#REF!</definedName>
    <definedName name="A_IGNORE_CAUTION">[5]テーブル設計!#REF!</definedName>
    <definedName name="A_IGNORE_ERROR" localSheetId="4">[5]テーブル設計!#REF!</definedName>
    <definedName name="A_IGNORE_ERROR">[5]テーブル設計!#REF!</definedName>
    <definedName name="A_INFORM_MASTER" localSheetId="4">[3]ﾃﾞｰﾀﾍﾞｰｽ変更点!#REF!</definedName>
    <definedName name="A_INFORM_MASTER">[3]ﾃﾞｰﾀﾍﾞｰｽ変更点!#REF!</definedName>
    <definedName name="A_INFORMATION" localSheetId="4">[3]ﾃﾞｰﾀﾍﾞｰｽ変更点!#REF!</definedName>
    <definedName name="A_INFORMATION">[3]ﾃﾞｰﾀﾍﾞｰｽ変更点!#REF!</definedName>
    <definedName name="A_INFORMATION_READED" localSheetId="4">[3]ﾃﾞｰﾀﾍﾞｰｽ変更点!#REF!</definedName>
    <definedName name="A_INFORMATION_READED">[3]ﾃﾞｰﾀﾍﾞｰｽ変更点!#REF!</definedName>
    <definedName name="A_INVALID_PART_TERMINAL" localSheetId="4">[5]テーブル設計!#REF!</definedName>
    <definedName name="A_INVALID_PART_TERMINAL">[5]テーブル設計!#REF!</definedName>
    <definedName name="A_KIND_MASTER" localSheetId="4">[3]ﾃﾞｰﾀﾍﾞｰｽ変更点!#REF!</definedName>
    <definedName name="A_KIND_MASTER">[3]ﾃﾞｰﾀﾍﾞｰｽ変更点!#REF!</definedName>
    <definedName name="A_KRO_APPLICATION" localSheetId="4">[3]ﾃﾞｰﾀﾍﾞｰｽ変更点!#REF!</definedName>
    <definedName name="A_KRO_APPLICATION">[3]ﾃﾞｰﾀﾍﾞｰｽ変更点!#REF!</definedName>
    <definedName name="A_KRO_APPLICATION_DATA" localSheetId="4">[3]ﾃﾞｰﾀﾍﾞｰｽ変更点!#REF!</definedName>
    <definedName name="A_KRO_APPLICATION_DATA">[3]ﾃﾞｰﾀﾍﾞｰｽ変更点!#REF!</definedName>
    <definedName name="A_KRO_COMPLETION" localSheetId="4">[3]ﾃﾞｰﾀﾍﾞｰｽ変更点!#REF!</definedName>
    <definedName name="A_KRO_COMPLETION">[3]ﾃﾞｰﾀﾍﾞｰｽ変更点!#REF!</definedName>
    <definedName name="A_KRO_COMPLETION_DATA" localSheetId="4">[3]ﾃﾞｰﾀﾍﾞｰｽ変更点!#REF!</definedName>
    <definedName name="A_KRO_COMPLETION_DATA">[3]ﾃﾞｰﾀﾍﾞｰｽ変更点!#REF!</definedName>
    <definedName name="A_KRO_EMERGENCY" localSheetId="4">[5]テーブル設計!#REF!</definedName>
    <definedName name="A_KRO_EMERGENCY">[5]テーブル設計!#REF!</definedName>
    <definedName name="A_KRO_REPORT" localSheetId="4">[3]ﾃﾞｰﾀﾍﾞｰｽ変更点!#REF!</definedName>
    <definedName name="A_KRO_REPORT">[3]ﾃﾞｰﾀﾍﾞｰｽ変更点!#REF!</definedName>
    <definedName name="A_LANDMARK" localSheetId="4">[3]ﾃﾞｰﾀﾍﾞｰｽ変更点!#REF!</definedName>
    <definedName name="A_LANDMARK">[3]ﾃﾞｰﾀﾍﾞｰｽ変更点!#REF!</definedName>
    <definedName name="A_LANDMARK_CLASS" localSheetId="4">[3]ﾃﾞｰﾀﾍﾞｰｽ変更点!#REF!</definedName>
    <definedName name="A_LANDMARK_CLASS">[3]ﾃﾞｰﾀﾍﾞｰｽ変更点!#REF!</definedName>
    <definedName name="A_LOGON_HISTORY" localSheetId="4">[3]ﾃﾞｰﾀﾍﾞｰｽ変更点!#REF!</definedName>
    <definedName name="A_LOGON_HISTORY">[3]ﾃﾞｰﾀﾍﾞｰｽ変更点!#REF!</definedName>
    <definedName name="A_MACHINE_ERROR" localSheetId="4">[4]TableDesign!#REF!</definedName>
    <definedName name="A_MACHINE_ERROR">[4]TableDesign!#REF!</definedName>
    <definedName name="A_MACHINE_STATUS_MASTER" localSheetId="4">[3]ﾃﾞｰﾀﾍﾞｰｽ変更点!#REF!</definedName>
    <definedName name="A_MACHINE_STATUS_MASTER">[3]ﾃﾞｰﾀﾍﾞｰｽ変更点!#REF!</definedName>
    <definedName name="A_MAINTENANCE_DATA" localSheetId="4">[3]ﾃﾞｰﾀﾍﾞｰｽ変更点!#REF!</definedName>
    <definedName name="A_MAINTENANCE_DATA">[3]ﾃﾞｰﾀﾍﾞｰｽ変更点!#REF!</definedName>
    <definedName name="A_MAINTENANCE_INFORM" localSheetId="4">[3]ﾃﾞｰﾀﾍﾞｰｽ変更点!#REF!</definedName>
    <definedName name="A_MAINTENANCE_INFORM">[3]ﾃﾞｰﾀﾍﾞｰｽ変更点!#REF!</definedName>
    <definedName name="A_MAINTENANCE_MASTER" localSheetId="4">[3]ﾃﾞｰﾀﾍﾞｰｽ変更点!#REF!</definedName>
    <definedName name="A_MAINTENANCE_MASTER">[3]ﾃﾞｰﾀﾍﾞｰｽ変更点!#REF!</definedName>
    <definedName name="A_MAINTENANCE_TIME" localSheetId="4">[4]TableDesign!#REF!</definedName>
    <definedName name="A_MAINTENANCE_TIME">[4]TableDesign!#REF!</definedName>
    <definedName name="A_MAKER_MASTER" localSheetId="4">[3]ﾃﾞｰﾀﾍﾞｰｽ変更点!#REF!</definedName>
    <definedName name="A_MAKER_MASTER">[3]ﾃﾞｰﾀﾍﾞｰｽ変更点!#REF!</definedName>
    <definedName name="A_MARK_MACHINE" localSheetId="4">[4]TableDesign!#REF!</definedName>
    <definedName name="A_MARK_MACHINE">[4]TableDesign!#REF!</definedName>
    <definedName name="A_MARK_NOTIFICATION" localSheetId="4">[4]TableDesign!#REF!</definedName>
    <definedName name="A_MARK_NOTIFICATION">[4]TableDesign!#REF!</definedName>
    <definedName name="A_MARK_NOTIFICATION_DETAIL" localSheetId="4">[4]TableDesign!#REF!</definedName>
    <definedName name="A_MARK_NOTIFICATION_DETAIL">[4]TableDesign!#REF!</definedName>
    <definedName name="A_MEMO" localSheetId="4">[3]ﾃﾞｰﾀﾍﾞｰｽ変更点!#REF!</definedName>
    <definedName name="A_MEMO">[3]ﾃﾞｰﾀﾍﾞｰｽ変更点!#REF!</definedName>
    <definedName name="A_MEMORY_MODIFY" localSheetId="4">[3]ﾃﾞｰﾀﾍﾞｰｽ変更点!#REF!</definedName>
    <definedName name="A_MEMORY_MODIFY">[3]ﾃﾞｰﾀﾍﾞｰｽ変更点!#REF!</definedName>
    <definedName name="A_MEMORY_MODIFY_DATA" localSheetId="4">[3]ﾃﾞｰﾀﾍﾞｰｽ変更点!#REF!</definedName>
    <definedName name="A_MEMORY_MODIFY_DATA">[3]ﾃﾞｰﾀﾍﾞｰｽ変更点!#REF!</definedName>
    <definedName name="A_MESSAGE" localSheetId="4">[3]ﾃﾞｰﾀﾍﾞｰｽ変更点!#REF!</definedName>
    <definedName name="A_MESSAGE">[3]ﾃﾞｰﾀﾍﾞｰｽ変更点!#REF!</definedName>
    <definedName name="A_MESSAGE_MASTER" localSheetId="4">[3]ﾃﾞｰﾀﾍﾞｰｽ変更点!#REF!</definedName>
    <definedName name="A_MESSAGE_MASTER">[3]ﾃﾞｰﾀﾍﾞｰｽ変更点!#REF!</definedName>
    <definedName name="A_MONTHLY_ATT_SMR" localSheetId="4">[4]TableDesign!#REF!</definedName>
    <definedName name="A_MONTHLY_ATT_SMR">[4]TableDesign!#REF!</definedName>
    <definedName name="A_MONTHLY_ERROR" localSheetId="4">[4]TableDesign!#REF!</definedName>
    <definedName name="A_MONTHLY_ERROR">[4]TableDesign!#REF!</definedName>
    <definedName name="A_MONTHLY_LOAD" localSheetId="4">[4]TableDesign!#REF!</definedName>
    <definedName name="A_MONTHLY_LOAD">[4]TableDesign!#REF!</definedName>
    <definedName name="A_MONTHLY_MOVEMENT" localSheetId="4">[4]TableDesign!#REF!</definedName>
    <definedName name="A_MONTHLY_MOVEMENT">[4]TableDesign!#REF!</definedName>
    <definedName name="A_MONTHLY_OPERATION" localSheetId="4">[4]TableDesign!#REF!</definedName>
    <definedName name="A_MONTHLY_OPERATION">[4]TableDesign!#REF!</definedName>
    <definedName name="A_MONTHLY_SMR" localSheetId="4">[4]TableDesign!#REF!</definedName>
    <definedName name="A_MONTHLY_SMR">[4]TableDesign!#REF!</definedName>
    <definedName name="A_MONTHLY_WORKING_SMR" localSheetId="4">[4]TableDesign!#REF!</definedName>
    <definedName name="A_MONTHLY_WORKING_SMR">[4]TableDesign!#REF!</definedName>
    <definedName name="A_MONTLY_LOAD" localSheetId="4">[4]TableDesign!#REF!</definedName>
    <definedName name="A_MONTLY_LOAD">[4]TableDesign!#REF!</definedName>
    <definedName name="A_MULTI_OPE" localSheetId="4">[3]ﾃﾞｰﾀﾍﾞｰｽ変更点!#REF!</definedName>
    <definedName name="A_MULTI_OPE">[3]ﾃﾞｰﾀﾍﾞｰｽ変更点!#REF!</definedName>
    <definedName name="A_MULTI_OPE_DATA" localSheetId="4">[5]テーブル設計!#REF!</definedName>
    <definedName name="A_MULTI_OPE_DATA">[5]テーブル設計!#REF!</definedName>
    <definedName name="A_NLS_DB_RESOURCE" localSheetId="4">[4]TableDesign!#REF!</definedName>
    <definedName name="A_NLS_DB_RESOURCE">[4]TableDesign!#REF!</definedName>
    <definedName name="A_NLS_LANG" localSheetId="4">[4]TableDesign!#REF!</definedName>
    <definedName name="A_NLS_LANG">[4]TableDesign!#REF!</definedName>
    <definedName name="A_NLS_RESOURCE" localSheetId="4">[4]TableDesign!#REF!</definedName>
    <definedName name="A_NLS_RESOURCE">[4]TableDesign!#REF!</definedName>
    <definedName name="A_NOT_ACTIVE" localSheetId="4">[3]ﾃﾞｰﾀﾍﾞｰｽ変更点!#REF!</definedName>
    <definedName name="A_NOT_ACTIVE">[3]ﾃﾞｰﾀﾍﾞｰｽ変更点!#REF!</definedName>
    <definedName name="A_OPERATION_CATEGORY" localSheetId="4">[4]TableDesign!#REF!</definedName>
    <definedName name="A_OPERATION_CATEGORY">[4]TableDesign!#REF!</definedName>
    <definedName name="A_OPERATION_CLASS" localSheetId="4">[5]テーブル設計!#REF!</definedName>
    <definedName name="A_OPERATION_CLASS">[5]テーブル設計!#REF!</definedName>
    <definedName name="A_OPERATION_LOG" localSheetId="4">[3]ﾃﾞｰﾀﾍﾞｰｽ変更点!#REF!</definedName>
    <definedName name="A_OPERATION_LOG">[3]ﾃﾞｰﾀﾍﾞｰｽ変更点!#REF!</definedName>
    <definedName name="A_OPERATION_LOG2" localSheetId="4">[5]テーブル設計!#REF!</definedName>
    <definedName name="A_OPERATION_LOG2">[5]テーブル設計!#REF!</definedName>
    <definedName name="A_OPERATION_MAP" localSheetId="4">[4]TableDesign!#REF!</definedName>
    <definedName name="A_OPERATION_MAP">[4]TableDesign!#REF!</definedName>
    <definedName name="A_OPERATION_MASTER" localSheetId="4">[5]テーブル設計!#REF!</definedName>
    <definedName name="A_OPERATION_MASTER">[5]テーブル設計!#REF!</definedName>
    <definedName name="A_ORBCOMM" localSheetId="4">[3]ﾃﾞｰﾀﾍﾞｰｽ変更点!#REF!</definedName>
    <definedName name="A_ORBCOMM">[3]ﾃﾞｰﾀﾍﾞｰｽ変更点!#REF!</definedName>
    <definedName name="A_ORBCOMM_OWNER_HISTORY" localSheetId="4">[3]ﾃﾞｰﾀﾍﾞｰｽ変更点!#REF!</definedName>
    <definedName name="A_ORBCOMM_OWNER_HISTORY">[3]ﾃﾞｰﾀﾍﾞｰｽ変更点!#REF!</definedName>
    <definedName name="A_PLANT_CAR" localSheetId="4">[5]テーブル設計!#REF!</definedName>
    <definedName name="A_PLANT_CAR">[5]テーブル設計!#REF!</definedName>
    <definedName name="A_PLANT_ERROR" localSheetId="4">[5]テーブル設計!#REF!</definedName>
    <definedName name="A_PLANT_ERROR">[5]テーブル設計!#REF!</definedName>
    <definedName name="A_PLANT_GPS" localSheetId="4">[5]テーブル設計!#REF!</definedName>
    <definedName name="A_PLANT_GPS">[5]テーブル設計!#REF!</definedName>
    <definedName name="A_PREVENT_THEFT_KEY" localSheetId="4">[3]ﾃﾞｰﾀﾍﾞｰｽ変更点!#REF!</definedName>
    <definedName name="A_PREVENT_THEFT_KEY">[3]ﾃﾞｰﾀﾍﾞｰｽ変更点!#REF!</definedName>
    <definedName name="A_PRIVATE_TARGET_CAR" localSheetId="4">[3]ﾃﾞｰﾀﾍﾞｰｽ変更点!#REF!</definedName>
    <definedName name="A_PRIVATE_TARGET_CAR">[3]ﾃﾞｰﾀﾍﾞｰｽ変更点!#REF!</definedName>
    <definedName name="A_RECEIVE_LIST" localSheetId="4">[5]テーブル設計!#REF!</definedName>
    <definedName name="A_RECEIVE_LIST">[5]テーブル設計!#REF!</definedName>
    <definedName name="A_RECEIVE_LOG" localSheetId="4">[3]ﾃﾞｰﾀﾍﾞｰｽ変更点!#REF!</definedName>
    <definedName name="A_RECEIVE_LOG">[3]ﾃﾞｰﾀﾍﾞｰｽ変更点!#REF!</definedName>
    <definedName name="A_REGION_DATA" localSheetId="4">[4]TableDesign!#REF!</definedName>
    <definedName name="A_REGION_DATA">[4]TableDesign!#REF!</definedName>
    <definedName name="A_REGION_MASTER" localSheetId="4">[4]TableDesign!#REF!</definedName>
    <definedName name="A_REGION_MASTER">[4]TableDesign!#REF!</definedName>
    <definedName name="A_RENTAL_TERMINAL" localSheetId="4">[5]テーブル設計!#REF!</definedName>
    <definedName name="A_RENTAL_TERMINAL">[5]テーブル設計!#REF!</definedName>
    <definedName name="A_REQUEST" localSheetId="4">[3]ﾃﾞｰﾀﾍﾞｰｽ変更点!#REF!</definedName>
    <definedName name="A_REQUEST">[3]ﾃﾞｰﾀﾍﾞｰｽ変更点!#REF!</definedName>
    <definedName name="A_REQUEST_COUNT" localSheetId="4">[3]ﾃﾞｰﾀﾍﾞｰｽ変更点!#REF!</definedName>
    <definedName name="A_REQUEST_COUNT">[3]ﾃﾞｰﾀﾍﾞｰｽ変更点!#REF!</definedName>
    <definedName name="A_REQUEST_LOG" localSheetId="4">[3]ﾃﾞｰﾀﾍﾞｰｽ変更点!#REF!</definedName>
    <definedName name="A_REQUEST_LOG">[3]ﾃﾞｰﾀﾍﾞｰｽ変更点!#REF!</definedName>
    <definedName name="A_RIVATE_TARGET_CAR" localSheetId="4">[4]TableDesign!#REF!</definedName>
    <definedName name="A_RIVATE_TARGET_CAR">[4]TableDesign!#REF!</definedName>
    <definedName name="A_RUNNING_LOG" localSheetId="4">[3]ﾃﾞｰﾀﾍﾞｰｽ変更点!#REF!</definedName>
    <definedName name="A_RUNNING_LOG">[3]ﾃﾞｰﾀﾍﾞｰｽ変更点!#REF!</definedName>
    <definedName name="A_SAVE_INFORMATION" localSheetId="4">[5]テーブル設計!#REF!</definedName>
    <definedName name="A_SAVE_INFORMATION">[5]テーブル設計!#REF!</definedName>
    <definedName name="A_SELFCARINSPECTION" localSheetId="4">[3]ﾃﾞｰﾀﾍﾞｰｽ変更点!#REF!</definedName>
    <definedName name="A_SELFCARINSPECTION">[3]ﾃﾞｰﾀﾍﾞｰｽ変更点!#REF!</definedName>
    <definedName name="A_SEND_LIST" localSheetId="4">[5]テーブル設計!#REF!</definedName>
    <definedName name="A_SEND_LIST">[5]テーブル設計!#REF!</definedName>
    <definedName name="A_SEND_LOG" localSheetId="4">[5]テーブル設計!#REF!</definedName>
    <definedName name="A_SEND_LOG">[5]テーブル設計!#REF!</definedName>
    <definedName name="A_SERVER_COMMUNICATION" localSheetId="4">[4]TableDesign!#REF!</definedName>
    <definedName name="A_SERVER_COMMUNICATION">[4]TableDesign!#REF!</definedName>
    <definedName name="A_SERVER_INFORMATION" localSheetId="4">[3]ﾃﾞｰﾀﾍﾞｰｽ変更点!#REF!</definedName>
    <definedName name="A_SERVER_INFORMATION">[3]ﾃﾞｰﾀﾍﾞｰｽ変更点!#REF!</definedName>
    <definedName name="A_SERVICE_METER" localSheetId="4">[3]ﾃﾞｰﾀﾍﾞｰｽ変更点!#REF!</definedName>
    <definedName name="A_SERVICE_METER">[3]ﾃﾞｰﾀﾍﾞｰｽ変更点!#REF!</definedName>
    <definedName name="A_SERVICE_METER2" localSheetId="4">[5]テーブル設計!#REF!</definedName>
    <definedName name="A_SERVICE_METER2">[5]テーブル設計!#REF!</definedName>
    <definedName name="A_SERVICEMAN" localSheetId="4">[5]テーブル設計!#REF!</definedName>
    <definedName name="A_SERVICEMAN">[5]テーブル設計!#REF!</definedName>
    <definedName name="A_SERVICEMAN_CHARGE" localSheetId="4">[5]テーブル設計!#REF!</definedName>
    <definedName name="A_SERVICEMAN_CHARGE">[5]テーブル設計!#REF!</definedName>
    <definedName name="A_SHIPMENT" localSheetId="4">[3]ﾃﾞｰﾀﾍﾞｰｽ変更点!#REF!</definedName>
    <definedName name="A_SHIPMENT">[3]ﾃﾞｰﾀﾍﾞｰｽ変更点!#REF!</definedName>
    <definedName name="A_SHOW" localSheetId="4">[3]ﾃﾞｰﾀﾍﾞｰｽ変更点!#REF!</definedName>
    <definedName name="A_SHOW">[3]ﾃﾞｰﾀﾍﾞｰｽ変更点!#REF!</definedName>
    <definedName name="A_SHOW_GROUP" localSheetId="4">[3]ﾃﾞｰﾀﾍﾞｰｽ変更点!#REF!</definedName>
    <definedName name="A_SHOW_GROUP">[3]ﾃﾞｰﾀﾍﾞｰｽ変更点!#REF!</definedName>
    <definedName name="A_SPECIAL_AREA" localSheetId="4">[3]ﾃﾞｰﾀﾍﾞｰｽ変更点!#REF!</definedName>
    <definedName name="A_SPECIAL_AREA">[3]ﾃﾞｰﾀﾍﾞｰｽ変更点!#REF!</definedName>
    <definedName name="A_SUB_GROUP" localSheetId="4">[4]TableDesign!#REF!</definedName>
    <definedName name="A_SUB_GROUP">[4]TableDesign!#REF!</definedName>
    <definedName name="A_SUB_GROUP_CAR" localSheetId="4">[4]TableDesign!#REF!</definedName>
    <definedName name="A_SUB_GROUP_CAR">[4]TableDesign!#REF!</definedName>
    <definedName name="A_SYSTEM_COMMTERM_INFO" localSheetId="4">[3]ﾃﾞｰﾀﾍﾞｰｽ変更点!#REF!</definedName>
    <definedName name="A_SYSTEM_COMMTERM_INFO">[3]ﾃﾞｰﾀﾍﾞｰｽ変更点!#REF!</definedName>
    <definedName name="A_SYSTEM_LOG" localSheetId="4">[3]ﾃﾞｰﾀﾍﾞｰｽ変更点!#REF!</definedName>
    <definedName name="A_SYSTEM_LOG">[3]ﾃﾞｰﾀﾍﾞｰｽ変更点!#REF!</definedName>
    <definedName name="A_SYSTEM_NOTICE" localSheetId="4">[3]ﾃﾞｰﾀﾍﾞｰｽ変更点!#REF!</definedName>
    <definedName name="A_SYSTEM_NOTICE">[3]ﾃﾞｰﾀﾍﾞｰｽ変更点!#REF!</definedName>
    <definedName name="A_TARGET" localSheetId="4">[3]ﾃﾞｰﾀﾍﾞｰｽ変更点!#REF!</definedName>
    <definedName name="A_TARGET">[3]ﾃﾞｰﾀﾍﾞｰｽ変更点!#REF!</definedName>
    <definedName name="A_TARGET_CAR" localSheetId="4">[3]ﾃﾞｰﾀﾍﾞｰｽ変更点!#REF!</definedName>
    <definedName name="A_TARGET_CAR">[3]ﾃﾞｰﾀﾍﾞｰｽ変更点!#REF!</definedName>
    <definedName name="A_TERMINAL_AREA" localSheetId="4">[3]ﾃﾞｰﾀﾍﾞｰｽ変更点!#REF!</definedName>
    <definedName name="A_TERMINAL_AREA">[3]ﾃﾞｰﾀﾍﾞｰｽ変更点!#REF!</definedName>
    <definedName name="A_TERMINAL_CAUTION" localSheetId="4">[3]ﾃﾞｰﾀﾍﾞｰｽ変更点!#REF!</definedName>
    <definedName name="A_TERMINAL_CAUTION">[3]ﾃﾞｰﾀﾍﾞｰｽ変更点!#REF!</definedName>
    <definedName name="A_TERMINAL_ERROR" localSheetId="4">[3]ﾃﾞｰﾀﾍﾞｰｽ変更点!#REF!</definedName>
    <definedName name="A_TERMINAL_ERROR">[3]ﾃﾞｰﾀﾍﾞｰｽ変更点!#REF!</definedName>
    <definedName name="A_TERMINAL_KIND" localSheetId="4">[3]ﾃﾞｰﾀﾍﾞｰｽ変更点!#REF!</definedName>
    <definedName name="A_TERMINAL_KIND">[3]ﾃﾞｰﾀﾍﾞｰｽ変更点!#REF!</definedName>
    <definedName name="A_TERMINAL_MASTER" localSheetId="4">[3]ﾃﾞｰﾀﾍﾞｰｽ変更点!#REF!</definedName>
    <definedName name="A_TERMINAL_MASTER">[3]ﾃﾞｰﾀﾍﾞｰｽ変更点!#REF!</definedName>
    <definedName name="A_TERMINAL_PART_MASTER" localSheetId="4">[3]ﾃﾞｰﾀﾍﾞｰｽ変更点!#REF!</definedName>
    <definedName name="A_TERMINAL_PART_MASTER">[3]ﾃﾞｰﾀﾍﾞｰｽ変更点!#REF!</definedName>
    <definedName name="A_TYPE_MASTER" localSheetId="4">[3]ﾃﾞｰﾀﾍﾞｰｽ変更点!#REF!</definedName>
    <definedName name="A_TYPE_MASTER">[3]ﾃﾞｰﾀﾍﾞｰｽ変更点!#REF!</definedName>
    <definedName name="A_UFO" localSheetId="4">[3]ﾃﾞｰﾀﾍﾞｰｽ変更点!#REF!</definedName>
    <definedName name="A_UFO">[3]ﾃﾞｰﾀﾍﾞｰｽ変更点!#REF!</definedName>
    <definedName name="A_UNRELIABLE_RECEIVE" localSheetId="4">[3]ﾃﾞｰﾀﾍﾞｰｽ変更点!#REF!</definedName>
    <definedName name="A_UNRELIABLE_RECEIVE">[3]ﾃﾞｰﾀﾍﾞｰｽ変更点!#REF!</definedName>
    <definedName name="A_USER_MASTER" localSheetId="4">[3]ﾃﾞｰﾀﾍﾞｰｽ変更点!#REF!</definedName>
    <definedName name="A_USER_MASTER">[3]ﾃﾞｰﾀﾍﾞｰｽ変更点!#REF!</definedName>
    <definedName name="A_USER_TEMP" localSheetId="4">[3]ﾃﾞｰﾀﾍﾞｰｽ変更点!#REF!</definedName>
    <definedName name="A_USER_TEMP">[3]ﾃﾞｰﾀﾍﾞｰｽ変更点!#REF!</definedName>
    <definedName name="A_WATER_TEMP_GAUGE" localSheetId="4">[4]TableDesign!#REF!</definedName>
    <definedName name="A_WATER_TEMP_GAUGE">[4]TableDesign!#REF!</definedName>
    <definedName name="AA" localSheetId="4">'[6]DATA-COMMUNICATION-FORMAT'!#REF!</definedName>
    <definedName name="AA">'[6]DATA-COMMUNICATION-FORMAT'!#REF!</definedName>
    <definedName name="AAA" localSheetId="4">#REF!</definedName>
    <definedName name="AAA">#REF!</definedName>
    <definedName name="aaaa" localSheetId="2" hidden="1">{#N/A,#N/A,TRUE,"カスタマイズ仕様書";#N/A,#N/A,TRUE,"Ｉ・Ｏ関連表(1)";#N/A,#N/A,TRUE,"Ｉ・Ｏ関連表(2)";#N/A,#N/A,TRUE,"Ｉ・Ｏ関連表(3)";#N/A,#N/A,TRUE,"レポート記述書";#N/A,#N/A,TRUE,"画面記述書"}</definedName>
    <definedName name="aaaa" hidden="1">{#N/A,#N/A,TRUE,"カスタマイズ仕様書";#N/A,#N/A,TRUE,"Ｉ・Ｏ関連表(1)";#N/A,#N/A,TRUE,"Ｉ・Ｏ関連表(2)";#N/A,#N/A,TRUE,"Ｉ・Ｏ関連表(3)";#N/A,#N/A,TRUE,"レポート記述書";#N/A,#N/A,TRUE,"画面記述書"}</definedName>
    <definedName name="aaaaa" localSheetId="2" hidden="1">{#N/A,#N/A,TRUE,"カスタマイズ仕様書";#N/A,#N/A,TRUE,"Ｉ・Ｏ関連表(1)";#N/A,#N/A,TRUE,"Ｉ・Ｏ関連表(2)";#N/A,#N/A,TRUE,"Ｉ・Ｏ関連表(3)";#N/A,#N/A,TRUE,"レポート記述書";#N/A,#N/A,TRUE,"画面記述書"}</definedName>
    <definedName name="aaaaa" hidden="1">{#N/A,#N/A,TRUE,"カスタマイズ仕様書";#N/A,#N/A,TRUE,"Ｉ・Ｏ関連表(1)";#N/A,#N/A,TRUE,"Ｉ・Ｏ関連表(2)";#N/A,#N/A,TRUE,"Ｉ・Ｏ関連表(3)";#N/A,#N/A,TRUE,"レポート記述書";#N/A,#N/A,TRUE,"画面記述書"}</definedName>
    <definedName name="AAAAAA" localSheetId="2" hidden="1">{#N/A,#N/A,TRUE,"カスタマイズ仕様書";#N/A,#N/A,TRUE,"Ｉ・Ｏ関連表(1)";#N/A,#N/A,TRUE,"Ｉ・Ｏ関連表(2)";#N/A,#N/A,TRUE,"Ｉ・Ｏ関連表(3)";#N/A,#N/A,TRUE,"レポート記述書";#N/A,#N/A,TRUE,"画面記述書"}</definedName>
    <definedName name="AAAAAA" hidden="1">{#N/A,#N/A,TRUE,"カスタマイズ仕様書";#N/A,#N/A,TRUE,"Ｉ・Ｏ関連表(1)";#N/A,#N/A,TRUE,"Ｉ・Ｏ関連表(2)";#N/A,#N/A,TRUE,"Ｉ・Ｏ関連表(3)";#N/A,#N/A,TRUE,"レポート記述書";#N/A,#N/A,TRUE,"画面記述書"}</definedName>
    <definedName name="AADS" localSheetId="2" hidden="1">{#N/A,#N/A,TRUE,"カスタマイズ仕様書";#N/A,#N/A,TRUE,"Ｉ・Ｏ関連表(1)";#N/A,#N/A,TRUE,"Ｉ・Ｏ関連表(2)";#N/A,#N/A,TRUE,"Ｉ・Ｏ関連表(3)";#N/A,#N/A,TRUE,"レポート記述書";#N/A,#N/A,TRUE,"画面記述書"}</definedName>
    <definedName name="AADS" hidden="1">{#N/A,#N/A,TRUE,"カスタマイズ仕様書";#N/A,#N/A,TRUE,"Ｉ・Ｏ関連表(1)";#N/A,#N/A,TRUE,"Ｉ・Ｏ関連表(2)";#N/A,#N/A,TRUE,"Ｉ・Ｏ関連表(3)";#N/A,#N/A,TRUE,"レポート記述書";#N/A,#N/A,TRUE,"画面記述書"}</definedName>
    <definedName name="abc" localSheetId="4" hidden="1">[7]基本仕様１!#REF!</definedName>
    <definedName name="abc" hidden="1">[7]基本仕様１!#REF!</definedName>
    <definedName name="AQ" localSheetId="2" hidden="1">{"'オンボード'!$A$1:$BZ$70"}</definedName>
    <definedName name="AQ" hidden="1">{"'オンボード'!$A$1:$BZ$70"}</definedName>
    <definedName name="b" localSheetId="2" hidden="1">{#N/A,#N/A,TRUE,"カスタマイズ仕様書";#N/A,#N/A,TRUE,"Ｉ・Ｏ関連表(1)";#N/A,#N/A,TRUE,"Ｉ・Ｏ関連表(2)";#N/A,#N/A,TRUE,"Ｉ・Ｏ関連表(3)";#N/A,#N/A,TRUE,"レポート記述書";#N/A,#N/A,TRUE,"画面記述書"}</definedName>
    <definedName name="b" hidden="1">{#N/A,#N/A,TRUE,"カスタマイズ仕様書";#N/A,#N/A,TRUE,"Ｉ・Ｏ関連表(1)";#N/A,#N/A,TRUE,"Ｉ・Ｏ関連表(2)";#N/A,#N/A,TRUE,"Ｉ・Ｏ関連表(3)";#N/A,#N/A,TRUE,"レポート記述書";#N/A,#N/A,TRUE,"画面記述書"}</definedName>
    <definedName name="B__PREVENT_THEFT_KEY" localSheetId="4">[3]ﾃﾞｰﾀﾍﾞｰｽ変更点!#REF!</definedName>
    <definedName name="B__PREVENT_THEFT_KEY">[3]ﾃﾞｰﾀﾍﾞｰｽ変更点!#REF!</definedName>
    <definedName name="B_ACT_DATA" localSheetId="4">[3]ﾃﾞｰﾀﾍﾞｰｽ変更点!#REF!</definedName>
    <definedName name="B_ACT_DATA">[3]ﾃﾞｰﾀﾍﾞｰｽ変更点!#REF!</definedName>
    <definedName name="B_ACTUAL_OPERATION" localSheetId="4">[4]TableDesign!#REF!</definedName>
    <definedName name="B_ACTUAL_OPERATION">[4]TableDesign!#REF!</definedName>
    <definedName name="B_AREA" localSheetId="4">[3]ﾃﾞｰﾀﾍﾞｰｽ変更点!#REF!</definedName>
    <definedName name="B_AREA">[3]ﾃﾞｰﾀﾍﾞｰｽ変更点!#REF!</definedName>
    <definedName name="B_AREA_DEFINE" localSheetId="4">[3]ﾃﾞｰﾀﾍﾞｰｽ変更点!#REF!</definedName>
    <definedName name="B_AREA_DEFINE">[3]ﾃﾞｰﾀﾍﾞｰｽ変更点!#REF!</definedName>
    <definedName name="B_AREA_INIT" localSheetId="4">[3]ﾃﾞｰﾀﾍﾞｰｽ変更点!#REF!</definedName>
    <definedName name="B_AREA_INIT">[3]ﾃﾞｰﾀﾍﾞｰｽ変更点!#REF!</definedName>
    <definedName name="B_AREA_MASTER" localSheetId="4">[3]ﾃﾞｰﾀﾍﾞｰｽ変更点!#REF!</definedName>
    <definedName name="B_AREA_MASTER">[3]ﾃﾞｰﾀﾍﾞｰｽ変更点!#REF!</definedName>
    <definedName name="B_ASK" localSheetId="4">[3]ﾃﾞｰﾀﾍﾞｰｽ変更点!#REF!</definedName>
    <definedName name="B_ASK">[3]ﾃﾞｰﾀﾍﾞｰｽ変更点!#REF!</definedName>
    <definedName name="B_ASK_LOG" localSheetId="4">[5]テーブル設計!#REF!</definedName>
    <definedName name="B_ASK_LOG">[5]テーブル設計!#REF!</definedName>
    <definedName name="B_ASK_SYSTEM" localSheetId="4">[3]ﾃﾞｰﾀﾍﾞｰｽ変更点!#REF!</definedName>
    <definedName name="B_ASK_SYSTEM">[3]ﾃﾞｰﾀﾍﾞｰｽ変更点!#REF!</definedName>
    <definedName name="B_ATC_ERROR" localSheetId="4">[5]テーブル設計!#REF!</definedName>
    <definedName name="B_ATC_ERROR">[5]テーブル設計!#REF!</definedName>
    <definedName name="B_AUTHORITY_GROUP" localSheetId="4">[3]ﾃﾞｰﾀﾍﾞｰｽ変更点!#REF!</definedName>
    <definedName name="B_AUTHORITY_GROUP">[3]ﾃﾞｰﾀﾍﾞｰｽ変更点!#REF!</definedName>
    <definedName name="B_AUTHORITY_GROUP_DATA" localSheetId="4">[3]ﾃﾞｰﾀﾍﾞｰｽ変更点!#REF!</definedName>
    <definedName name="B_AUTHORITY_GROUP_DATA">[3]ﾃﾞｰﾀﾍﾞｰｽ変更点!#REF!</definedName>
    <definedName name="B_AUTHORITY_MASTER" localSheetId="4">[5]テーブル設計!#REF!</definedName>
    <definedName name="B_AUTHORITY_MASTER">[5]テーブル設計!#REF!</definedName>
    <definedName name="B_BONDED_STORE" localSheetId="4">[5]テーブル設計!#REF!</definedName>
    <definedName name="B_BONDED_STORE">[5]テーブル設計!#REF!</definedName>
    <definedName name="B_CAR_DATA" localSheetId="4">[3]ﾃﾞｰﾀﾍﾞｰｽ変更点!#REF!</definedName>
    <definedName name="B_CAR_DATA">[3]ﾃﾞｰﾀﾍﾞｰｽ変更点!#REF!</definedName>
    <definedName name="B_CAR_MASTER" localSheetId="4">[3]ﾃﾞｰﾀﾍﾞｰｽ変更点!#REF!</definedName>
    <definedName name="B_CAR_MASTER">[3]ﾃﾞｰﾀﾍﾞｰｽ変更点!#REF!</definedName>
    <definedName name="B_CAR_MONTHLY_DATA" localSheetId="4">[3]ﾃﾞｰﾀﾍﾞｰｽ変更点!#REF!</definedName>
    <definedName name="B_CAR_MONTHLY_DATA">[3]ﾃﾞｰﾀﾍﾞｰｽ変更点!#REF!</definedName>
    <definedName name="B_CAR_OWNER_HISTORY" localSheetId="4">[3]ﾃﾞｰﾀﾍﾞｰｽ変更点!#REF!</definedName>
    <definedName name="B_CAR_OWNER_HISTORY">[3]ﾃﾞｰﾀﾍﾞｰｽ変更点!#REF!</definedName>
    <definedName name="B_CAUTION" localSheetId="4">[4]TableDesign!#REF!</definedName>
    <definedName name="B_CAUTION">[4]TableDesign!#REF!</definedName>
    <definedName name="B_CAUTION_DATA" localSheetId="4">[3]ﾃﾞｰﾀﾍﾞｰｽ変更点!#REF!</definedName>
    <definedName name="B_CAUTION_DATA">[3]ﾃﾞｰﾀﾍﾞｰｽ変更点!#REF!</definedName>
    <definedName name="B_CAUTION_ENABLED" localSheetId="4">[3]ﾃﾞｰﾀﾍﾞｰｽ変更点!#REF!</definedName>
    <definedName name="B_CAUTION_ENABLED">[3]ﾃﾞｰﾀﾍﾞｰｽ変更点!#REF!</definedName>
    <definedName name="B_CAUTION_ICON" localSheetId="4">[3]ﾃﾞｰﾀﾍﾞｰｽ変更点!#REF!</definedName>
    <definedName name="B_CAUTION_ICON">[3]ﾃﾞｰﾀﾍﾞｰｽ変更点!#REF!</definedName>
    <definedName name="B_CAUTION_INIT" localSheetId="4">[3]ﾃﾞｰﾀﾍﾞｰｽ変更点!#REF!</definedName>
    <definedName name="B_CAUTION_INIT">[3]ﾃﾞｰﾀﾍﾞｰｽ変更点!#REF!</definedName>
    <definedName name="B_CAUTION_MASTER" localSheetId="4">[3]ﾃﾞｰﾀﾍﾞｰｽ変更点!#REF!</definedName>
    <definedName name="B_CAUTION_MASTER">[3]ﾃﾞｰﾀﾍﾞｰｽ変更点!#REF!</definedName>
    <definedName name="B_CLASS1_MASTER" localSheetId="4">[3]ﾃﾞｰﾀﾍﾞｰｽ変更点!#REF!</definedName>
    <definedName name="B_CLASS1_MASTER">[3]ﾃﾞｰﾀﾍﾞｰｽ変更点!#REF!</definedName>
    <definedName name="B_CLASS2_MASTER" localSheetId="4">[3]ﾃﾞｰﾀﾍﾞｰｽ変更点!#REF!</definedName>
    <definedName name="B_CLASS2_MASTER">[3]ﾃﾞｰﾀﾍﾞｰｽ変更点!#REF!</definedName>
    <definedName name="B_COMM_DATA" localSheetId="4">[3]ﾃﾞｰﾀﾍﾞｰｽ変更点!#REF!</definedName>
    <definedName name="B_COMM_DATA">[3]ﾃﾞｰﾀﾍﾞｰｽ変更点!#REF!</definedName>
    <definedName name="B_COMM_STATUS_MASTER" localSheetId="4">[3]ﾃﾞｰﾀﾍﾞｰｽ変更点!#REF!</definedName>
    <definedName name="B_COMM_STATUS_MASTER">[3]ﾃﾞｰﾀﾍﾞｰｽ変更点!#REF!</definedName>
    <definedName name="B_CONFIG_DEFINE" localSheetId="4">[3]ﾃﾞｰﾀﾍﾞｰｽ変更点!#REF!</definedName>
    <definedName name="B_CONFIG_DEFINE">[3]ﾃﾞｰﾀﾍﾞｰｽ変更点!#REF!</definedName>
    <definedName name="B_CONFIG_FLAG" localSheetId="4">[5]テーブル設計!#REF!</definedName>
    <definedName name="B_CONFIG_FLAG">[5]テーブル設計!#REF!</definedName>
    <definedName name="B_CONFIG_INIT" localSheetId="4">[3]ﾃﾞｰﾀﾍﾞｰｽ変更点!#REF!</definedName>
    <definedName name="B_CONFIG_INIT">[3]ﾃﾞｰﾀﾍﾞｰｽ変更点!#REF!</definedName>
    <definedName name="B_CONFIG_PATTERN" localSheetId="4">[3]ﾃﾞｰﾀﾍﾞｰｽ変更点!#REF!</definedName>
    <definedName name="B_CONFIG_PATTERN">[3]ﾃﾞｰﾀﾍﾞｰｽ変更点!#REF!</definedName>
    <definedName name="B_CONFIG_PATTERN_DATA" localSheetId="4">[3]ﾃﾞｰﾀﾍﾞｰｽ変更点!#REF!</definedName>
    <definedName name="B_CONFIG_PATTERN_DATA">[3]ﾃﾞｰﾀﾍﾞｰｽ変更点!#REF!</definedName>
    <definedName name="B_CONFIG_USER_FLAG" localSheetId="4">[5]テーブル設計!#REF!</definedName>
    <definedName name="B_CONFIG_USER_FLAG">[5]テーブル設計!#REF!</definedName>
    <definedName name="B_CONTRACT" localSheetId="4">[5]テーブル設計!#REF!</definedName>
    <definedName name="B_CONTRACT">[5]テーブル設計!#REF!</definedName>
    <definedName name="B_CUSTOMER" localSheetId="4">[3]ﾃﾞｰﾀﾍﾞｰｽ変更点!#REF!</definedName>
    <definedName name="B_CUSTOMER">[3]ﾃﾞｰﾀﾍﾞｰｽ変更点!#REF!</definedName>
    <definedName name="B_CUSTOMER_CAR" localSheetId="4">[3]ﾃﾞｰﾀﾍﾞｰｽ変更点!#REF!</definedName>
    <definedName name="B_CUSTOMER_CAR">[3]ﾃﾞｰﾀﾍﾞｰｽ変更点!#REF!</definedName>
    <definedName name="B_CUSTOMER_MASTER" localSheetId="4">[4]TableDesign!#REF!</definedName>
    <definedName name="B_CUSTOMER_MASTER">[4]TableDesign!#REF!</definedName>
    <definedName name="B_DIVISION_MASTER" localSheetId="4">[3]ﾃﾞｰﾀﾍﾞｰｽ変更点!#REF!</definedName>
    <definedName name="B_DIVISION_MASTER">[3]ﾃﾞｰﾀﾍﾞｰｽ変更点!#REF!</definedName>
    <definedName name="B_DOPA" localSheetId="4">[3]ﾃﾞｰﾀﾍﾞｰｽ変更点!#REF!</definedName>
    <definedName name="B_DOPA">[3]ﾃﾞｰﾀﾍﾞｰｽ変更点!#REF!</definedName>
    <definedName name="B_DOPA_OWNER_HISTORY" localSheetId="4">[3]ﾃﾞｰﾀﾍﾞｰｽ変更点!#REF!</definedName>
    <definedName name="B_DOPA_OWNER_HISTORY">[3]ﾃﾞｰﾀﾍﾞｰｽ変更点!#REF!</definedName>
    <definedName name="B_DOPA_SERVER" localSheetId="4">[3]ﾃﾞｰﾀﾍﾞｰｽ変更点!#REF!</definedName>
    <definedName name="B_DOPA_SERVER">[3]ﾃﾞｰﾀﾍﾞｰｽ変更点!#REF!</definedName>
    <definedName name="B_EQUIPMENT_HISTORY" localSheetId="4">[3]ﾃﾞｰﾀﾍﾞｰｽ変更点!#REF!</definedName>
    <definedName name="B_EQUIPMENT_HISTORY">[3]ﾃﾞｰﾀﾍﾞｰｽ変更点!#REF!</definedName>
    <definedName name="B_ERROR" localSheetId="4">[3]ﾃﾞｰﾀﾍﾞｰｽ変更点!#REF!</definedName>
    <definedName name="B_ERROR">[3]ﾃﾞｰﾀﾍﾞｰｽ変更点!#REF!</definedName>
    <definedName name="B_ERROR_ENABLED" localSheetId="4">[3]ﾃﾞｰﾀﾍﾞｰｽ変更点!#REF!</definedName>
    <definedName name="B_ERROR_ENABLED">[3]ﾃﾞｰﾀﾍﾞｰｽ変更点!#REF!</definedName>
    <definedName name="B_ERROR_MASTER" localSheetId="4">[3]ﾃﾞｰﾀﾍﾞｰｽ変更点!#REF!</definedName>
    <definedName name="B_ERROR_MASTER">[3]ﾃﾞｰﾀﾍﾞｰｽ変更点!#REF!</definedName>
    <definedName name="B_EVENT_CATEGORY" localSheetId="4">[4]TableDesign!#REF!</definedName>
    <definedName name="B_EVENT_CATEGORY">[4]TableDesign!#REF!</definedName>
    <definedName name="B_EVENT_DIVISION" localSheetId="4">[3]ﾃﾞｰﾀﾍﾞｰｽ変更点!#REF!</definedName>
    <definedName name="B_EVENT_DIVISION">[3]ﾃﾞｰﾀﾍﾞｰｽ変更点!#REF!</definedName>
    <definedName name="B_EVENT_MASTER" localSheetId="4">[3]ﾃﾞｰﾀﾍﾞｰｽ変更点!#REF!</definedName>
    <definedName name="B_EVENT_MASTER">[3]ﾃﾞｰﾀﾍﾞｰｽ変更点!#REF!</definedName>
    <definedName name="B_EVENT_NOTICE" localSheetId="4">[3]ﾃﾞｰﾀﾍﾞｰｽ変更点!#REF!</definedName>
    <definedName name="B_EVENT_NOTICE">[3]ﾃﾞｰﾀﾍﾞｰｽ変更点!#REF!</definedName>
    <definedName name="B_FUEL_GAUGE" localSheetId="4">[4]TableDesign!#REF!</definedName>
    <definedName name="B_FUEL_GAUGE">[4]TableDesign!#REF!</definedName>
    <definedName name="B_GAUGE_FUEL_WTTEMP" localSheetId="4">[3]ﾃﾞｰﾀﾍﾞｰｽ変更点!#REF!</definedName>
    <definedName name="B_GAUGE_FUEL_WTTEMP">[3]ﾃﾞｰﾀﾍﾞｰｽ変更点!#REF!</definedName>
    <definedName name="B_GIS_DEFINE" localSheetId="4">[4]TableDesign!#REF!</definedName>
    <definedName name="B_GIS_DEFINE">[4]TableDesign!#REF!</definedName>
    <definedName name="B_GPS" localSheetId="4">[3]ﾃﾞｰﾀﾍﾞｰｽ変更点!#REF!</definedName>
    <definedName name="B_GPS">[3]ﾃﾞｰﾀﾍﾞｰｽ変更点!#REF!</definedName>
    <definedName name="B_GRANT_AUTHORITY" localSheetId="4">[3]ﾃﾞｰﾀﾍﾞｰｽ変更点!#REF!</definedName>
    <definedName name="B_GRANT_AUTHORITY">[3]ﾃﾞｰﾀﾍﾞｰｽ変更点!#REF!</definedName>
    <definedName name="B_GROUP_MASTER" localSheetId="4">[3]ﾃﾞｰﾀﾍﾞｰｽ変更点!#REF!</definedName>
    <definedName name="B_GROUP_MASTER">[3]ﾃﾞｰﾀﾍﾞｰｽ変更点!#REF!</definedName>
    <definedName name="B_IGNORE_CAUTION" localSheetId="4">[5]テーブル設計!#REF!</definedName>
    <definedName name="B_IGNORE_CAUTION">[5]テーブル設計!#REF!</definedName>
    <definedName name="B_IGNORE_ERROR" localSheetId="4">[5]テーブル設計!#REF!</definedName>
    <definedName name="B_IGNORE_ERROR">[5]テーブル設計!#REF!</definedName>
    <definedName name="B_INFORM_MASTER" localSheetId="4">[3]ﾃﾞｰﾀﾍﾞｰｽ変更点!#REF!</definedName>
    <definedName name="B_INFORM_MASTER">[3]ﾃﾞｰﾀﾍﾞｰｽ変更点!#REF!</definedName>
    <definedName name="B_INFORMATION" localSheetId="4">[3]ﾃﾞｰﾀﾍﾞｰｽ変更点!#REF!</definedName>
    <definedName name="B_INFORMATION">[3]ﾃﾞｰﾀﾍﾞｰｽ変更点!#REF!</definedName>
    <definedName name="B_INFORMATION_READED" localSheetId="4">[3]ﾃﾞｰﾀﾍﾞｰｽ変更点!#REF!</definedName>
    <definedName name="B_INFORMATION_READED">[3]ﾃﾞｰﾀﾍﾞｰｽ変更点!#REF!</definedName>
    <definedName name="B_INVALID_PART_TERMINAL" localSheetId="4">[5]テーブル設計!#REF!</definedName>
    <definedName name="B_INVALID_PART_TERMINAL">[5]テーブル設計!#REF!</definedName>
    <definedName name="B_KIND_MASTER" localSheetId="4">[3]ﾃﾞｰﾀﾍﾞｰｽ変更点!#REF!</definedName>
    <definedName name="B_KIND_MASTER">[3]ﾃﾞｰﾀﾍﾞｰｽ変更点!#REF!</definedName>
    <definedName name="B_KRO_APPLICATION" localSheetId="4">[3]ﾃﾞｰﾀﾍﾞｰｽ変更点!#REF!</definedName>
    <definedName name="B_KRO_APPLICATION">[3]ﾃﾞｰﾀﾍﾞｰｽ変更点!#REF!</definedName>
    <definedName name="B_KRO_APPLICATION_DATA" localSheetId="4">[3]ﾃﾞｰﾀﾍﾞｰｽ変更点!#REF!</definedName>
    <definedName name="B_KRO_APPLICATION_DATA">[3]ﾃﾞｰﾀﾍﾞｰｽ変更点!#REF!</definedName>
    <definedName name="B_KRO_COMPLETION" localSheetId="4">[3]ﾃﾞｰﾀﾍﾞｰｽ変更点!#REF!</definedName>
    <definedName name="B_KRO_COMPLETION">[3]ﾃﾞｰﾀﾍﾞｰｽ変更点!#REF!</definedName>
    <definedName name="B_KRO_COMPLETION_DATA" localSheetId="4">[3]ﾃﾞｰﾀﾍﾞｰｽ変更点!#REF!</definedName>
    <definedName name="B_KRO_COMPLETION_DATA">[3]ﾃﾞｰﾀﾍﾞｰｽ変更点!#REF!</definedName>
    <definedName name="B_KRO_EMERGENCY" localSheetId="4">[5]テーブル設計!#REF!</definedName>
    <definedName name="B_KRO_EMERGENCY">[5]テーブル設計!#REF!</definedName>
    <definedName name="B_KRO_REPORT" localSheetId="4">[3]ﾃﾞｰﾀﾍﾞｰｽ変更点!#REF!</definedName>
    <definedName name="B_KRO_REPORT">[3]ﾃﾞｰﾀﾍﾞｰｽ変更点!#REF!</definedName>
    <definedName name="B_LANDMARK" localSheetId="4">[3]ﾃﾞｰﾀﾍﾞｰｽ変更点!#REF!</definedName>
    <definedName name="B_LANDMARK">[3]ﾃﾞｰﾀﾍﾞｰｽ変更点!#REF!</definedName>
    <definedName name="B_LANDMARK_CLASS" localSheetId="4">[3]ﾃﾞｰﾀﾍﾞｰｽ変更点!#REF!</definedName>
    <definedName name="B_LANDMARK_CLASS">[3]ﾃﾞｰﾀﾍﾞｰｽ変更点!#REF!</definedName>
    <definedName name="B_LOGON_HISTORY" localSheetId="4">[3]ﾃﾞｰﾀﾍﾞｰｽ変更点!#REF!</definedName>
    <definedName name="B_LOGON_HISTORY">[3]ﾃﾞｰﾀﾍﾞｰｽ変更点!#REF!</definedName>
    <definedName name="B_MACHINE_ERROR" localSheetId="4">[4]TableDesign!#REF!</definedName>
    <definedName name="B_MACHINE_ERROR">[4]TableDesign!#REF!</definedName>
    <definedName name="B_MACHINE_STATUS_MASTER" localSheetId="4">[3]ﾃﾞｰﾀﾍﾞｰｽ変更点!#REF!</definedName>
    <definedName name="B_MACHINE_STATUS_MASTER">[3]ﾃﾞｰﾀﾍﾞｰｽ変更点!#REF!</definedName>
    <definedName name="B_MAINTENANCE_DATA" localSheetId="4">[3]ﾃﾞｰﾀﾍﾞｰｽ変更点!#REF!</definedName>
    <definedName name="B_MAINTENANCE_DATA">[3]ﾃﾞｰﾀﾍﾞｰｽ変更点!#REF!</definedName>
    <definedName name="B_MAINTENANCE_INFORM" localSheetId="4">[3]ﾃﾞｰﾀﾍﾞｰｽ変更点!#REF!</definedName>
    <definedName name="B_MAINTENANCE_INFORM">[3]ﾃﾞｰﾀﾍﾞｰｽ変更点!#REF!</definedName>
    <definedName name="B_MAINTENANCE_MASTER" localSheetId="4">[3]ﾃﾞｰﾀﾍﾞｰｽ変更点!#REF!</definedName>
    <definedName name="B_MAINTENANCE_MASTER">[3]ﾃﾞｰﾀﾍﾞｰｽ変更点!#REF!</definedName>
    <definedName name="B_MAINTENANCE_TIME" localSheetId="4">[4]TableDesign!#REF!</definedName>
    <definedName name="B_MAINTENANCE_TIME">[4]TableDesign!#REF!</definedName>
    <definedName name="B_MAKER_MASTER" localSheetId="4">[3]ﾃﾞｰﾀﾍﾞｰｽ変更点!#REF!</definedName>
    <definedName name="B_MAKER_MASTER">[3]ﾃﾞｰﾀﾍﾞｰｽ変更点!#REF!</definedName>
    <definedName name="B_MARK_MACHINE" localSheetId="4">[4]TableDesign!#REF!</definedName>
    <definedName name="B_MARK_MACHINE">[4]TableDesign!#REF!</definedName>
    <definedName name="B_MARK_NOTIFICATION" localSheetId="4">[4]TableDesign!#REF!</definedName>
    <definedName name="B_MARK_NOTIFICATION">[4]TableDesign!#REF!</definedName>
    <definedName name="B_MARK_NOTIFICATION_DETAIL" localSheetId="4">[4]TableDesign!#REF!</definedName>
    <definedName name="B_MARK_NOTIFICATION_DETAIL">[4]TableDesign!#REF!</definedName>
    <definedName name="B_MEMO" localSheetId="4">[3]ﾃﾞｰﾀﾍﾞｰｽ変更点!#REF!</definedName>
    <definedName name="B_MEMO">[3]ﾃﾞｰﾀﾍﾞｰｽ変更点!#REF!</definedName>
    <definedName name="B_MEMORY_MODIFY" localSheetId="4">[3]ﾃﾞｰﾀﾍﾞｰｽ変更点!#REF!</definedName>
    <definedName name="B_MEMORY_MODIFY">[3]ﾃﾞｰﾀﾍﾞｰｽ変更点!#REF!</definedName>
    <definedName name="B_MEMORY_MODIFY_DATA" localSheetId="4">[3]ﾃﾞｰﾀﾍﾞｰｽ変更点!#REF!</definedName>
    <definedName name="B_MEMORY_MODIFY_DATA">[3]ﾃﾞｰﾀﾍﾞｰｽ変更点!#REF!</definedName>
    <definedName name="B_MESSAGE" localSheetId="4">[3]ﾃﾞｰﾀﾍﾞｰｽ変更点!#REF!</definedName>
    <definedName name="B_MESSAGE">[3]ﾃﾞｰﾀﾍﾞｰｽ変更点!#REF!</definedName>
    <definedName name="B_MESSAGE_MASTER" localSheetId="4">[3]ﾃﾞｰﾀﾍﾞｰｽ変更点!#REF!</definedName>
    <definedName name="B_MESSAGE_MASTER">[3]ﾃﾞｰﾀﾍﾞｰｽ変更点!#REF!</definedName>
    <definedName name="B_MONTHLY_ATT_SMR" localSheetId="4">[4]TableDesign!#REF!</definedName>
    <definedName name="B_MONTHLY_ATT_SMR">[4]TableDesign!#REF!</definedName>
    <definedName name="B_MONTHLY_ERROR" localSheetId="4">[4]TableDesign!#REF!</definedName>
    <definedName name="B_MONTHLY_ERROR">[4]TableDesign!#REF!</definedName>
    <definedName name="B_MONTHLY_LOAD" localSheetId="4">[4]TableDesign!#REF!</definedName>
    <definedName name="B_MONTHLY_LOAD">[4]TableDesign!#REF!</definedName>
    <definedName name="B_MONTHLY_MOVEMENT" localSheetId="4">[4]TableDesign!#REF!</definedName>
    <definedName name="B_MONTHLY_MOVEMENT">[4]TableDesign!#REF!</definedName>
    <definedName name="B_MONTHLY_OPERATION" localSheetId="4">[4]TableDesign!#REF!</definedName>
    <definedName name="B_MONTHLY_OPERATION">[4]TableDesign!#REF!</definedName>
    <definedName name="B_MONTHLY_SMR" localSheetId="4">[4]TableDesign!#REF!</definedName>
    <definedName name="B_MONTHLY_SMR">[4]TableDesign!#REF!</definedName>
    <definedName name="B_MONTHLY_WORKING_SMR" localSheetId="4">[4]TableDesign!#REF!</definedName>
    <definedName name="B_MONTHLY_WORKING_SMR">[4]TableDesign!#REF!</definedName>
    <definedName name="B_MONTLY_LOAD" localSheetId="4">[4]TableDesign!#REF!</definedName>
    <definedName name="B_MONTLY_LOAD">[4]TableDesign!#REF!</definedName>
    <definedName name="B_MULTI_OPE" localSheetId="4">[3]ﾃﾞｰﾀﾍﾞｰｽ変更点!#REF!</definedName>
    <definedName name="B_MULTI_OPE">[3]ﾃﾞｰﾀﾍﾞｰｽ変更点!#REF!</definedName>
    <definedName name="B_MULTI_OPE_DATA" localSheetId="4">[5]テーブル設計!#REF!</definedName>
    <definedName name="B_MULTI_OPE_DATA">[5]テーブル設計!#REF!</definedName>
    <definedName name="B_NLS_DB_RESOURCE" localSheetId="4">[4]TableDesign!#REF!</definedName>
    <definedName name="B_NLS_DB_RESOURCE">[4]TableDesign!#REF!</definedName>
    <definedName name="B_NLS_LANG" localSheetId="4">[4]TableDesign!#REF!</definedName>
    <definedName name="B_NLS_LANG">[4]TableDesign!#REF!</definedName>
    <definedName name="B_NLS_RESOURCE" localSheetId="4">[4]TableDesign!#REF!</definedName>
    <definedName name="B_NLS_RESOURCE">[4]TableDesign!#REF!</definedName>
    <definedName name="B_NOT_ACTIVE" localSheetId="4">[3]ﾃﾞｰﾀﾍﾞｰｽ変更点!#REF!</definedName>
    <definedName name="B_NOT_ACTIVE">[3]ﾃﾞｰﾀﾍﾞｰｽ変更点!#REF!</definedName>
    <definedName name="B_OPERATION_CATEGORY" localSheetId="4">[4]TableDesign!#REF!</definedName>
    <definedName name="B_OPERATION_CATEGORY">[4]TableDesign!#REF!</definedName>
    <definedName name="B_OPERATION_CLASS" localSheetId="4">[5]テーブル設計!#REF!</definedName>
    <definedName name="B_OPERATION_CLASS">[5]テーブル設計!#REF!</definedName>
    <definedName name="B_OPERATION_LOG" localSheetId="4">[3]ﾃﾞｰﾀﾍﾞｰｽ変更点!#REF!</definedName>
    <definedName name="B_OPERATION_LOG">[3]ﾃﾞｰﾀﾍﾞｰｽ変更点!#REF!</definedName>
    <definedName name="B_OPERATION_LOG2" localSheetId="4">[5]テーブル設計!#REF!</definedName>
    <definedName name="B_OPERATION_LOG2">[5]テーブル設計!#REF!</definedName>
    <definedName name="B_OPERATION_MAP" localSheetId="4">[4]TableDesign!#REF!</definedName>
    <definedName name="B_OPERATION_MAP">[4]TableDesign!#REF!</definedName>
    <definedName name="B_OPERATION_MASTER" localSheetId="4">[5]テーブル設計!#REF!</definedName>
    <definedName name="B_OPERATION_MASTER">[5]テーブル設計!#REF!</definedName>
    <definedName name="B_ORBCOMM" localSheetId="4">[3]ﾃﾞｰﾀﾍﾞｰｽ変更点!#REF!</definedName>
    <definedName name="B_ORBCOMM">[3]ﾃﾞｰﾀﾍﾞｰｽ変更点!#REF!</definedName>
    <definedName name="B_ORBCOMM_OWNER_HISTORY" localSheetId="4">[3]ﾃﾞｰﾀﾍﾞｰｽ変更点!#REF!</definedName>
    <definedName name="B_ORBCOMM_OWNER_HISTORY">[3]ﾃﾞｰﾀﾍﾞｰｽ変更点!#REF!</definedName>
    <definedName name="B_PLANT_CAR" localSheetId="4">[5]テーブル設計!#REF!</definedName>
    <definedName name="B_PLANT_CAR">[5]テーブル設計!#REF!</definedName>
    <definedName name="B_PLANT_ERROR" localSheetId="4">[5]テーブル設計!#REF!</definedName>
    <definedName name="B_PLANT_ERROR">[5]テーブル設計!#REF!</definedName>
    <definedName name="B_PLANT_GPS" localSheetId="4">[5]テーブル設計!#REF!</definedName>
    <definedName name="B_PLANT_GPS">[5]テーブル設計!#REF!</definedName>
    <definedName name="B_PREVENT_THEFT_KEY" localSheetId="4">[3]ﾃﾞｰﾀﾍﾞｰｽ変更点!#REF!</definedName>
    <definedName name="B_PREVENT_THEFT_KEY">[3]ﾃﾞｰﾀﾍﾞｰｽ変更点!#REF!</definedName>
    <definedName name="B_PRIVATE_TARGET_CAR" localSheetId="4">[3]ﾃﾞｰﾀﾍﾞｰｽ変更点!#REF!</definedName>
    <definedName name="B_PRIVATE_TARGET_CAR">[3]ﾃﾞｰﾀﾍﾞｰｽ変更点!#REF!</definedName>
    <definedName name="B_RECEIVE_LIST" localSheetId="4">[5]テーブル設計!#REF!</definedName>
    <definedName name="B_RECEIVE_LIST">[5]テーブル設計!#REF!</definedName>
    <definedName name="B_RECEIVE_LOG" localSheetId="4">[3]ﾃﾞｰﾀﾍﾞｰｽ変更点!#REF!</definedName>
    <definedName name="B_RECEIVE_LOG">[3]ﾃﾞｰﾀﾍﾞｰｽ変更点!#REF!</definedName>
    <definedName name="B_REGION_DATA" localSheetId="4">[4]TableDesign!#REF!</definedName>
    <definedName name="B_REGION_DATA">[4]TableDesign!#REF!</definedName>
    <definedName name="B_REGION_MASTER" localSheetId="4">[4]TableDesign!#REF!</definedName>
    <definedName name="B_REGION_MASTER">[4]TableDesign!#REF!</definedName>
    <definedName name="B_RENTAL_TERMINAL" localSheetId="4">[5]テーブル設計!#REF!</definedName>
    <definedName name="B_RENTAL_TERMINAL">[5]テーブル設計!#REF!</definedName>
    <definedName name="B_REQUEST" localSheetId="4">[3]ﾃﾞｰﾀﾍﾞｰｽ変更点!#REF!</definedName>
    <definedName name="B_REQUEST">[3]ﾃﾞｰﾀﾍﾞｰｽ変更点!#REF!</definedName>
    <definedName name="B_REQUEST_COUNT" localSheetId="4">[3]ﾃﾞｰﾀﾍﾞｰｽ変更点!#REF!</definedName>
    <definedName name="B_REQUEST_COUNT">[3]ﾃﾞｰﾀﾍﾞｰｽ変更点!#REF!</definedName>
    <definedName name="B_REQUEST_LOG" localSheetId="4">[3]ﾃﾞｰﾀﾍﾞｰｽ変更点!#REF!</definedName>
    <definedName name="B_REQUEST_LOG">[3]ﾃﾞｰﾀﾍﾞｰｽ変更点!#REF!</definedName>
    <definedName name="B_RIVATE_TARGET_CAR" localSheetId="4">[4]TableDesign!#REF!</definedName>
    <definedName name="B_RIVATE_TARGET_CAR">[4]TableDesign!#REF!</definedName>
    <definedName name="B_RUNNING_LOG" localSheetId="4">[3]ﾃﾞｰﾀﾍﾞｰｽ変更点!#REF!</definedName>
    <definedName name="B_RUNNING_LOG">[3]ﾃﾞｰﾀﾍﾞｰｽ変更点!#REF!</definedName>
    <definedName name="B_SAVE_INFORMATION" localSheetId="4">[5]テーブル設計!#REF!</definedName>
    <definedName name="B_SAVE_INFORMATION">[5]テーブル設計!#REF!</definedName>
    <definedName name="B_SELFCARINSPECTION" localSheetId="4">[3]ﾃﾞｰﾀﾍﾞｰｽ変更点!#REF!</definedName>
    <definedName name="B_SELFCARINSPECTION">[3]ﾃﾞｰﾀﾍﾞｰｽ変更点!#REF!</definedName>
    <definedName name="B_SEND_LIST" localSheetId="4">[5]テーブル設計!#REF!</definedName>
    <definedName name="B_SEND_LIST">[5]テーブル設計!#REF!</definedName>
    <definedName name="B_SEND_LOG" localSheetId="4">[5]テーブル設計!#REF!</definedName>
    <definedName name="B_SEND_LOG">[5]テーブル設計!#REF!</definedName>
    <definedName name="B_SERVER_COMMUNICATION" localSheetId="4">[4]TableDesign!#REF!</definedName>
    <definedName name="B_SERVER_COMMUNICATION">[4]TableDesign!#REF!</definedName>
    <definedName name="B_SERVER_INFORMATION" localSheetId="4">[3]ﾃﾞｰﾀﾍﾞｰｽ変更点!#REF!</definedName>
    <definedName name="B_SERVER_INFORMATION">[3]ﾃﾞｰﾀﾍﾞｰｽ変更点!#REF!</definedName>
    <definedName name="B_SERVICE_METER" localSheetId="4">[3]ﾃﾞｰﾀﾍﾞｰｽ変更点!#REF!</definedName>
    <definedName name="B_SERVICE_METER">[3]ﾃﾞｰﾀﾍﾞｰｽ変更点!#REF!</definedName>
    <definedName name="B_SERVICE_METER2" localSheetId="4">[5]テーブル設計!#REF!</definedName>
    <definedName name="B_SERVICE_METER2">[5]テーブル設計!#REF!</definedName>
    <definedName name="B_SERVICEMAN" localSheetId="4">[5]テーブル設計!#REF!</definedName>
    <definedName name="B_SERVICEMAN">[5]テーブル設計!#REF!</definedName>
    <definedName name="B_SERVICEMAN_CHARGE" localSheetId="4">[5]テーブル設計!#REF!</definedName>
    <definedName name="B_SERVICEMAN_CHARGE">[5]テーブル設計!#REF!</definedName>
    <definedName name="B_SHIPMENT" localSheetId="4">[3]ﾃﾞｰﾀﾍﾞｰｽ変更点!#REF!</definedName>
    <definedName name="B_SHIPMENT">[3]ﾃﾞｰﾀﾍﾞｰｽ変更点!#REF!</definedName>
    <definedName name="B_SHOW" localSheetId="4">[3]ﾃﾞｰﾀﾍﾞｰｽ変更点!#REF!</definedName>
    <definedName name="B_SHOW">[3]ﾃﾞｰﾀﾍﾞｰｽ変更点!#REF!</definedName>
    <definedName name="B_SHOW_GROUP" localSheetId="4">[3]ﾃﾞｰﾀﾍﾞｰｽ変更点!#REF!</definedName>
    <definedName name="B_SHOW_GROUP">[3]ﾃﾞｰﾀﾍﾞｰｽ変更点!#REF!</definedName>
    <definedName name="B_SPECIAL_AREA" localSheetId="4">[3]ﾃﾞｰﾀﾍﾞｰｽ変更点!#REF!</definedName>
    <definedName name="B_SPECIAL_AREA">[3]ﾃﾞｰﾀﾍﾞｰｽ変更点!#REF!</definedName>
    <definedName name="B_SUB_GROUP" localSheetId="4">[4]TableDesign!#REF!</definedName>
    <definedName name="B_SUB_GROUP">[4]TableDesign!#REF!</definedName>
    <definedName name="B_SUB_GROUP_CAR" localSheetId="4">[4]TableDesign!#REF!</definedName>
    <definedName name="B_SUB_GROUP_CAR">[4]TableDesign!#REF!</definedName>
    <definedName name="B_SYSTEM_COMMTERM_INFO" localSheetId="4">[3]ﾃﾞｰﾀﾍﾞｰｽ変更点!#REF!</definedName>
    <definedName name="B_SYSTEM_COMMTERM_INFO">[3]ﾃﾞｰﾀﾍﾞｰｽ変更点!#REF!</definedName>
    <definedName name="B_SYSTEM_LOG" localSheetId="4">[3]ﾃﾞｰﾀﾍﾞｰｽ変更点!#REF!</definedName>
    <definedName name="B_SYSTEM_LOG">[3]ﾃﾞｰﾀﾍﾞｰｽ変更点!#REF!</definedName>
    <definedName name="B_SYSTEM_NOTICE" localSheetId="4">[3]ﾃﾞｰﾀﾍﾞｰｽ変更点!#REF!</definedName>
    <definedName name="B_SYSTEM_NOTICE">[3]ﾃﾞｰﾀﾍﾞｰｽ変更点!#REF!</definedName>
    <definedName name="B_TARGET" localSheetId="4">[3]ﾃﾞｰﾀﾍﾞｰｽ変更点!#REF!</definedName>
    <definedName name="B_TARGET">[3]ﾃﾞｰﾀﾍﾞｰｽ変更点!#REF!</definedName>
    <definedName name="B_TARGET_CAR" localSheetId="4">[3]ﾃﾞｰﾀﾍﾞｰｽ変更点!#REF!</definedName>
    <definedName name="B_TARGET_CAR">[3]ﾃﾞｰﾀﾍﾞｰｽ変更点!#REF!</definedName>
    <definedName name="B_TERMINAL_AREA" localSheetId="4">[3]ﾃﾞｰﾀﾍﾞｰｽ変更点!#REF!</definedName>
    <definedName name="B_TERMINAL_AREA">[3]ﾃﾞｰﾀﾍﾞｰｽ変更点!#REF!</definedName>
    <definedName name="B_TERMINAL_CAUTION" localSheetId="4">[3]ﾃﾞｰﾀﾍﾞｰｽ変更点!#REF!</definedName>
    <definedName name="B_TERMINAL_CAUTION">[3]ﾃﾞｰﾀﾍﾞｰｽ変更点!#REF!</definedName>
    <definedName name="B_TERMINAL_ERROR" localSheetId="4">[3]ﾃﾞｰﾀﾍﾞｰｽ変更点!#REF!</definedName>
    <definedName name="B_TERMINAL_ERROR">[3]ﾃﾞｰﾀﾍﾞｰｽ変更点!#REF!</definedName>
    <definedName name="B_TERMINAL_KIND" localSheetId="4">[3]ﾃﾞｰﾀﾍﾞｰｽ変更点!#REF!</definedName>
    <definedName name="B_TERMINAL_KIND">[3]ﾃﾞｰﾀﾍﾞｰｽ変更点!#REF!</definedName>
    <definedName name="B_TERMINAL_MASTER" localSheetId="4">[3]ﾃﾞｰﾀﾍﾞｰｽ変更点!#REF!</definedName>
    <definedName name="B_TERMINAL_MASTER">[3]ﾃﾞｰﾀﾍﾞｰｽ変更点!#REF!</definedName>
    <definedName name="B_TERMINAL_PART_MASTER" localSheetId="4">[3]ﾃﾞｰﾀﾍﾞｰｽ変更点!#REF!</definedName>
    <definedName name="B_TERMINAL_PART_MASTER">[3]ﾃﾞｰﾀﾍﾞｰｽ変更点!#REF!</definedName>
    <definedName name="B_TYPE_MASTER" localSheetId="4">[3]ﾃﾞｰﾀﾍﾞｰｽ変更点!#REF!</definedName>
    <definedName name="B_TYPE_MASTER">[3]ﾃﾞｰﾀﾍﾞｰｽ変更点!#REF!</definedName>
    <definedName name="B_UFO" localSheetId="4">[3]ﾃﾞｰﾀﾍﾞｰｽ変更点!#REF!</definedName>
    <definedName name="B_UFO">[3]ﾃﾞｰﾀﾍﾞｰｽ変更点!#REF!</definedName>
    <definedName name="B_UNRELIABLE_RECEIVE" localSheetId="4">[3]ﾃﾞｰﾀﾍﾞｰｽ変更点!#REF!</definedName>
    <definedName name="B_UNRELIABLE_RECEIVE">[3]ﾃﾞｰﾀﾍﾞｰｽ変更点!#REF!</definedName>
    <definedName name="B_USER_MASTER" localSheetId="4">[3]ﾃﾞｰﾀﾍﾞｰｽ変更点!#REF!</definedName>
    <definedName name="B_USER_MASTER">[3]ﾃﾞｰﾀﾍﾞｰｽ変更点!#REF!</definedName>
    <definedName name="B_USER_TEMP" localSheetId="4">[3]ﾃﾞｰﾀﾍﾞｰｽ変更点!#REF!</definedName>
    <definedName name="B_USER_TEMP">[3]ﾃﾞｰﾀﾍﾞｰｽ変更点!#REF!</definedName>
    <definedName name="B_WATER_TEMP_GAUGE" localSheetId="4">[4]TableDesign!#REF!</definedName>
    <definedName name="B_WATER_TEMP_GAUGE">[4]TableDesign!#REF!</definedName>
    <definedName name="BB" localSheetId="4">'[8]DATA-COMMUNICATION-FORMAT'!#REF!</definedName>
    <definedName name="BB">'[8]DATA-COMMUNICATION-FORMAT'!#REF!</definedName>
    <definedName name="bbb" localSheetId="4" hidden="1">#REF!</definedName>
    <definedName name="bbb" localSheetId="2" hidden="1">#REF!</definedName>
    <definedName name="bbb" hidden="1">#REF!</definedName>
    <definedName name="BBBBB" localSheetId="2" hidden="1">{#N/A,#N/A,TRUE,"カスタマイズ仕様書";#N/A,#N/A,TRUE,"Ｉ・Ｏ関連表(1)";#N/A,#N/A,TRUE,"Ｉ・Ｏ関連表(2)";#N/A,#N/A,TRUE,"Ｉ・Ｏ関連表(3)";#N/A,#N/A,TRUE,"レポート記述書";#N/A,#N/A,TRUE,"画面記述書"}</definedName>
    <definedName name="BBBBB" hidden="1">{#N/A,#N/A,TRUE,"カスタマイズ仕様書";#N/A,#N/A,TRUE,"Ｉ・Ｏ関連表(1)";#N/A,#N/A,TRUE,"Ｉ・Ｏ関連表(2)";#N/A,#N/A,TRUE,"Ｉ・Ｏ関連表(3)";#N/A,#N/A,TRUE,"レポート記述書";#N/A,#N/A,TRUE,"画面記述書"}</definedName>
    <definedName name="ＢＢＢＢＢＢＢＢＢＢＢＢ" localSheetId="2" hidden="1">{#N/A,#N/A,TRUE,"カスタマイズ仕様書";#N/A,#N/A,TRUE,"Ｉ・Ｏ関連表(1)";#N/A,#N/A,TRUE,"Ｉ・Ｏ関連表(2)";#N/A,#N/A,TRUE,"Ｉ・Ｏ関連表(3)";#N/A,#N/A,TRUE,"レポート記述書";#N/A,#N/A,TRUE,"画面記述書"}</definedName>
    <definedName name="ＢＢＢＢＢＢＢＢＢＢＢＢ" hidden="1">{#N/A,#N/A,TRUE,"カスタマイズ仕様書";#N/A,#N/A,TRUE,"Ｉ・Ｏ関連表(1)";#N/A,#N/A,TRUE,"Ｉ・Ｏ関連表(2)";#N/A,#N/A,TRUE,"Ｉ・Ｏ関連表(3)";#N/A,#N/A,TRUE,"レポート記述書";#N/A,#N/A,TRUE,"画面記述書"}</definedName>
    <definedName name="BINVALID_PART_TERMINAL" localSheetId="4">[5]テーブル設計!#REF!</definedName>
    <definedName name="BINVALID_PART_TERMINAL">[5]テーブル設計!#REF!</definedName>
    <definedName name="BR" localSheetId="2" hidden="1">{#N/A,#N/A,FALSE,"製造PC120";#N/A,#N/A,FALSE,"製造PC200";#N/A,#N/A,FALSE,"製造PC288US";#N/A,#N/A,FALSE,"製造PC300"}</definedName>
    <definedName name="BR" hidden="1">{#N/A,#N/A,FALSE,"製造PC120";#N/A,#N/A,FALSE,"製造PC200";#N/A,#N/A,FALSE,"製造PC288US";#N/A,#N/A,FALSE,"製造PC300"}</definedName>
    <definedName name="BSID">[9]Dictionary!$D$14</definedName>
    <definedName name="BUKRS">'[10]I-O FLOW'!$AD$11</definedName>
    <definedName name="C_ACT_DATA" localSheetId="4">[3]ﾃﾞｰﾀﾍﾞｰｽ変更点!#REF!</definedName>
    <definedName name="C_ACT_DATA">[3]ﾃﾞｰﾀﾍﾞｰｽ変更点!#REF!</definedName>
    <definedName name="C_ACTUAL_OPERATION" localSheetId="4">[4]TableDesign!#REF!</definedName>
    <definedName name="C_ACTUAL_OPERATION">[4]TableDesign!#REF!</definedName>
    <definedName name="C_AREA" localSheetId="4">[3]ﾃﾞｰﾀﾍﾞｰｽ変更点!#REF!</definedName>
    <definedName name="C_AREA">[3]ﾃﾞｰﾀﾍﾞｰｽ変更点!#REF!</definedName>
    <definedName name="C_AREA_DEFINE" localSheetId="4">[3]ﾃﾞｰﾀﾍﾞｰｽ変更点!#REF!</definedName>
    <definedName name="C_AREA_DEFINE">[3]ﾃﾞｰﾀﾍﾞｰｽ変更点!#REF!</definedName>
    <definedName name="C_AREA_INIT" localSheetId="4">[3]ﾃﾞｰﾀﾍﾞｰｽ変更点!#REF!</definedName>
    <definedName name="C_AREA_INIT">[3]ﾃﾞｰﾀﾍﾞｰｽ変更点!#REF!</definedName>
    <definedName name="C_AREA_MASTER" localSheetId="4">[3]ﾃﾞｰﾀﾍﾞｰｽ変更点!#REF!</definedName>
    <definedName name="C_AREA_MASTER">[3]ﾃﾞｰﾀﾍﾞｰｽ変更点!#REF!</definedName>
    <definedName name="C_ASK" localSheetId="4">[3]ﾃﾞｰﾀﾍﾞｰｽ変更点!#REF!</definedName>
    <definedName name="C_ASK">[3]ﾃﾞｰﾀﾍﾞｰｽ変更点!#REF!</definedName>
    <definedName name="C_ASK_LOG" localSheetId="4">[5]テーブル設計!#REF!</definedName>
    <definedName name="C_ASK_LOG">[5]テーブル設計!#REF!</definedName>
    <definedName name="C_ASK_SYSTEM" localSheetId="4">[3]ﾃﾞｰﾀﾍﾞｰｽ変更点!#REF!</definedName>
    <definedName name="C_ASK_SYSTEM">[3]ﾃﾞｰﾀﾍﾞｰｽ変更点!#REF!</definedName>
    <definedName name="C_ATC_ERROR" localSheetId="4">[5]テーブル設計!#REF!</definedName>
    <definedName name="C_ATC_ERROR">[5]テーブル設計!#REF!</definedName>
    <definedName name="C_AUTHORITY_GROUP" localSheetId="4">[3]ﾃﾞｰﾀﾍﾞｰｽ変更点!#REF!</definedName>
    <definedName name="C_AUTHORITY_GROUP">[3]ﾃﾞｰﾀﾍﾞｰｽ変更点!#REF!</definedName>
    <definedName name="C_AUTHORITY_GROUP_DATA" localSheetId="4">[3]ﾃﾞｰﾀﾍﾞｰｽ変更点!#REF!</definedName>
    <definedName name="C_AUTHORITY_GROUP_DATA">[3]ﾃﾞｰﾀﾍﾞｰｽ変更点!#REF!</definedName>
    <definedName name="C_AUTHORITY_MASTER" localSheetId="4">[5]テーブル設計!#REF!</definedName>
    <definedName name="C_AUTHORITY_MASTER">[5]テーブル設計!#REF!</definedName>
    <definedName name="C_BONDED_STORE" localSheetId="4">[5]テーブル設計!#REF!</definedName>
    <definedName name="C_BONDED_STORE">[5]テーブル設計!#REF!</definedName>
    <definedName name="C_CAR_DATA" localSheetId="4">[3]ﾃﾞｰﾀﾍﾞｰｽ変更点!#REF!</definedName>
    <definedName name="C_CAR_DATA">[3]ﾃﾞｰﾀﾍﾞｰｽ変更点!#REF!</definedName>
    <definedName name="C_CAR_MASTER" localSheetId="4">[3]ﾃﾞｰﾀﾍﾞｰｽ変更点!#REF!</definedName>
    <definedName name="C_CAR_MASTER">[3]ﾃﾞｰﾀﾍﾞｰｽ変更点!#REF!</definedName>
    <definedName name="C_CAR_MONTHLY_DATA" localSheetId="4">[3]ﾃﾞｰﾀﾍﾞｰｽ変更点!#REF!</definedName>
    <definedName name="C_CAR_MONTHLY_DATA">[3]ﾃﾞｰﾀﾍﾞｰｽ変更点!#REF!</definedName>
    <definedName name="C_CAR_OWNER_HISTORY" localSheetId="4">[3]ﾃﾞｰﾀﾍﾞｰｽ変更点!#REF!</definedName>
    <definedName name="C_CAR_OWNER_HISTORY">[3]ﾃﾞｰﾀﾍﾞｰｽ変更点!#REF!</definedName>
    <definedName name="C_CAUTION" localSheetId="4">[4]TableDesign!#REF!</definedName>
    <definedName name="C_CAUTION">[4]TableDesign!#REF!</definedName>
    <definedName name="C_CAUTION_DATA" localSheetId="4">[3]ﾃﾞｰﾀﾍﾞｰｽ変更点!#REF!</definedName>
    <definedName name="C_CAUTION_DATA">[3]ﾃﾞｰﾀﾍﾞｰｽ変更点!#REF!</definedName>
    <definedName name="C_CAUTION_ENABLED" localSheetId="4">[3]ﾃﾞｰﾀﾍﾞｰｽ変更点!#REF!</definedName>
    <definedName name="C_CAUTION_ENABLED">[3]ﾃﾞｰﾀﾍﾞｰｽ変更点!#REF!</definedName>
    <definedName name="C_CAUTION_ICON" localSheetId="4">[3]ﾃﾞｰﾀﾍﾞｰｽ変更点!#REF!</definedName>
    <definedName name="C_CAUTION_ICON">[3]ﾃﾞｰﾀﾍﾞｰｽ変更点!#REF!</definedName>
    <definedName name="C_CAUTION_INIT" localSheetId="4">[3]ﾃﾞｰﾀﾍﾞｰｽ変更点!#REF!</definedName>
    <definedName name="C_CAUTION_INIT">[3]ﾃﾞｰﾀﾍﾞｰｽ変更点!#REF!</definedName>
    <definedName name="C_CAUTION_MASTER" localSheetId="4">[3]ﾃﾞｰﾀﾍﾞｰｽ変更点!#REF!</definedName>
    <definedName name="C_CAUTION_MASTER">[3]ﾃﾞｰﾀﾍﾞｰｽ変更点!#REF!</definedName>
    <definedName name="C_CLASS1_MASTER" localSheetId="4">[3]ﾃﾞｰﾀﾍﾞｰｽ変更点!#REF!</definedName>
    <definedName name="C_CLASS1_MASTER">[3]ﾃﾞｰﾀﾍﾞｰｽ変更点!#REF!</definedName>
    <definedName name="C_CLASS2_MASTER" localSheetId="4">[3]ﾃﾞｰﾀﾍﾞｰｽ変更点!#REF!</definedName>
    <definedName name="C_CLASS2_MASTER">[3]ﾃﾞｰﾀﾍﾞｰｽ変更点!#REF!</definedName>
    <definedName name="C_COMM_DATA" localSheetId="4">[3]ﾃﾞｰﾀﾍﾞｰｽ変更点!#REF!</definedName>
    <definedName name="C_COMM_DATA">[3]ﾃﾞｰﾀﾍﾞｰｽ変更点!#REF!</definedName>
    <definedName name="C_COMM_STATUS_MASTER" localSheetId="4">[3]ﾃﾞｰﾀﾍﾞｰｽ変更点!#REF!</definedName>
    <definedName name="C_COMM_STATUS_MASTER">[3]ﾃﾞｰﾀﾍﾞｰｽ変更点!#REF!</definedName>
    <definedName name="C_CONFIG_DEFINE" localSheetId="4">[3]ﾃﾞｰﾀﾍﾞｰｽ変更点!#REF!</definedName>
    <definedName name="C_CONFIG_DEFINE">[3]ﾃﾞｰﾀﾍﾞｰｽ変更点!#REF!</definedName>
    <definedName name="C_CONFIG_FLAG" localSheetId="4">[5]テーブル設計!#REF!</definedName>
    <definedName name="C_CONFIG_FLAG">[5]テーブル設計!#REF!</definedName>
    <definedName name="C_CONFIG_INIT" localSheetId="4">[3]ﾃﾞｰﾀﾍﾞｰｽ変更点!#REF!</definedName>
    <definedName name="C_CONFIG_INIT">[3]ﾃﾞｰﾀﾍﾞｰｽ変更点!#REF!</definedName>
    <definedName name="C_CONFIG_PATTERN" localSheetId="4">[3]ﾃﾞｰﾀﾍﾞｰｽ変更点!#REF!</definedName>
    <definedName name="C_CONFIG_PATTERN">[3]ﾃﾞｰﾀﾍﾞｰｽ変更点!#REF!</definedName>
    <definedName name="C_CONFIG_PATTERN_DATA" localSheetId="4">[3]ﾃﾞｰﾀﾍﾞｰｽ変更点!#REF!</definedName>
    <definedName name="C_CONFIG_PATTERN_DATA">[3]ﾃﾞｰﾀﾍﾞｰｽ変更点!#REF!</definedName>
    <definedName name="C_CONFIG_USER_FLAG" localSheetId="4">[5]テーブル設計!#REF!</definedName>
    <definedName name="C_CONFIG_USER_FLAG">[5]テーブル設計!#REF!</definedName>
    <definedName name="C_CONTRACT" localSheetId="4">[5]テーブル設計!#REF!</definedName>
    <definedName name="C_CONTRACT">[5]テーブル設計!#REF!</definedName>
    <definedName name="C_CUSTOMER" localSheetId="4">[3]ﾃﾞｰﾀﾍﾞｰｽ変更点!#REF!</definedName>
    <definedName name="C_CUSTOMER">[3]ﾃﾞｰﾀﾍﾞｰｽ変更点!#REF!</definedName>
    <definedName name="C_CUSTOMER_CAR" localSheetId="4">[3]ﾃﾞｰﾀﾍﾞｰｽ変更点!#REF!</definedName>
    <definedName name="C_CUSTOMER_CAR">[3]ﾃﾞｰﾀﾍﾞｰｽ変更点!#REF!</definedName>
    <definedName name="C_CUSTOMER_MASTER" localSheetId="4">[4]TableDesign!#REF!</definedName>
    <definedName name="C_CUSTOMER_MASTER">[4]TableDesign!#REF!</definedName>
    <definedName name="C_DIVISION_MASTER" localSheetId="4">[3]ﾃﾞｰﾀﾍﾞｰｽ変更点!#REF!</definedName>
    <definedName name="C_DIVISION_MASTER">[3]ﾃﾞｰﾀﾍﾞｰｽ変更点!#REF!</definedName>
    <definedName name="C_DOPA" localSheetId="4">[3]ﾃﾞｰﾀﾍﾞｰｽ変更点!#REF!</definedName>
    <definedName name="C_DOPA">[3]ﾃﾞｰﾀﾍﾞｰｽ変更点!#REF!</definedName>
    <definedName name="C_DOPA_OWNER_HISTORY" localSheetId="4">[3]ﾃﾞｰﾀﾍﾞｰｽ変更点!#REF!</definedName>
    <definedName name="C_DOPA_OWNER_HISTORY">[3]ﾃﾞｰﾀﾍﾞｰｽ変更点!#REF!</definedName>
    <definedName name="C_DOPA_SERVER" localSheetId="4">[3]ﾃﾞｰﾀﾍﾞｰｽ変更点!#REF!</definedName>
    <definedName name="C_DOPA_SERVER">[3]ﾃﾞｰﾀﾍﾞｰｽ変更点!#REF!</definedName>
    <definedName name="C_EQUIPMENT_HISTORY" localSheetId="4">[3]ﾃﾞｰﾀﾍﾞｰｽ変更点!#REF!</definedName>
    <definedName name="C_EQUIPMENT_HISTORY">[3]ﾃﾞｰﾀﾍﾞｰｽ変更点!#REF!</definedName>
    <definedName name="C_ERROR" localSheetId="4">[3]ﾃﾞｰﾀﾍﾞｰｽ変更点!#REF!</definedName>
    <definedName name="C_ERROR">[3]ﾃﾞｰﾀﾍﾞｰｽ変更点!#REF!</definedName>
    <definedName name="C_ERROR_ENABLED" localSheetId="4">[3]ﾃﾞｰﾀﾍﾞｰｽ変更点!#REF!</definedName>
    <definedName name="C_ERROR_ENABLED">[3]ﾃﾞｰﾀﾍﾞｰｽ変更点!#REF!</definedName>
    <definedName name="C_ERROR_MASTER" localSheetId="4">[3]ﾃﾞｰﾀﾍﾞｰｽ変更点!#REF!</definedName>
    <definedName name="C_ERROR_MASTER">[3]ﾃﾞｰﾀﾍﾞｰｽ変更点!#REF!</definedName>
    <definedName name="C_EVENT_CATEGORY" localSheetId="4">[4]TableDesign!#REF!</definedName>
    <definedName name="C_EVENT_CATEGORY">[4]TableDesign!#REF!</definedName>
    <definedName name="C_EVENT_DIVISION" localSheetId="4">[3]ﾃﾞｰﾀﾍﾞｰｽ変更点!#REF!</definedName>
    <definedName name="C_EVENT_DIVISION">[3]ﾃﾞｰﾀﾍﾞｰｽ変更点!#REF!</definedName>
    <definedName name="C_EVENT_MASTER" localSheetId="4">[3]ﾃﾞｰﾀﾍﾞｰｽ変更点!#REF!</definedName>
    <definedName name="C_EVENT_MASTER">[3]ﾃﾞｰﾀﾍﾞｰｽ変更点!#REF!</definedName>
    <definedName name="C_EVENT_NOTICE" localSheetId="4">[3]ﾃﾞｰﾀﾍﾞｰｽ変更点!#REF!</definedName>
    <definedName name="C_EVENT_NOTICE">[3]ﾃﾞｰﾀﾍﾞｰｽ変更点!#REF!</definedName>
    <definedName name="C_FUEL_GAUGE" localSheetId="4">[4]TableDesign!#REF!</definedName>
    <definedName name="C_FUEL_GAUGE">[4]TableDesign!#REF!</definedName>
    <definedName name="C_GAUGE_FUEL_WTTEMP" localSheetId="4">[3]ﾃﾞｰﾀﾍﾞｰｽ変更点!#REF!</definedName>
    <definedName name="C_GAUGE_FUEL_WTTEMP">[3]ﾃﾞｰﾀﾍﾞｰｽ変更点!#REF!</definedName>
    <definedName name="C_GIS_DEFINE" localSheetId="4">[4]TableDesign!#REF!</definedName>
    <definedName name="C_GIS_DEFINE">[4]TableDesign!#REF!</definedName>
    <definedName name="C_GPS" localSheetId="4">[3]ﾃﾞｰﾀﾍﾞｰｽ変更点!#REF!</definedName>
    <definedName name="C_GPS">[3]ﾃﾞｰﾀﾍﾞｰｽ変更点!#REF!</definedName>
    <definedName name="C_GRANT_AUTHORITY" localSheetId="4">[3]ﾃﾞｰﾀﾍﾞｰｽ変更点!#REF!</definedName>
    <definedName name="C_GRANT_AUTHORITY">[3]ﾃﾞｰﾀﾍﾞｰｽ変更点!#REF!</definedName>
    <definedName name="C_GROUP_MASTER" localSheetId="4">[3]ﾃﾞｰﾀﾍﾞｰｽ変更点!#REF!</definedName>
    <definedName name="C_GROUP_MASTER">[3]ﾃﾞｰﾀﾍﾞｰｽ変更点!#REF!</definedName>
    <definedName name="C_IGNORE_CAUTION" localSheetId="4">[5]テーブル設計!#REF!</definedName>
    <definedName name="C_IGNORE_CAUTION">[5]テーブル設計!#REF!</definedName>
    <definedName name="C_IGNORE_ERROR" localSheetId="4">[5]テーブル設計!#REF!</definedName>
    <definedName name="C_IGNORE_ERROR">[5]テーブル設計!#REF!</definedName>
    <definedName name="C_INFORM_MASTER" localSheetId="4">[3]ﾃﾞｰﾀﾍﾞｰｽ変更点!#REF!</definedName>
    <definedName name="C_INFORM_MASTER">[3]ﾃﾞｰﾀﾍﾞｰｽ変更点!#REF!</definedName>
    <definedName name="C_INFORMATION" localSheetId="4">[3]ﾃﾞｰﾀﾍﾞｰｽ変更点!#REF!</definedName>
    <definedName name="C_INFORMATION">[3]ﾃﾞｰﾀﾍﾞｰｽ変更点!#REF!</definedName>
    <definedName name="C_INFORMATION_READED" localSheetId="4">[3]ﾃﾞｰﾀﾍﾞｰｽ変更点!#REF!</definedName>
    <definedName name="C_INFORMATION_READED">[3]ﾃﾞｰﾀﾍﾞｰｽ変更点!#REF!</definedName>
    <definedName name="C_INVALID_PART_TERMINAL" localSheetId="4">[5]テーブル設計!#REF!</definedName>
    <definedName name="C_INVALID_PART_TERMINAL">[5]テーブル設計!#REF!</definedName>
    <definedName name="C_KIND_MASTER" localSheetId="4">[3]ﾃﾞｰﾀﾍﾞｰｽ変更点!#REF!</definedName>
    <definedName name="C_KIND_MASTER">[3]ﾃﾞｰﾀﾍﾞｰｽ変更点!#REF!</definedName>
    <definedName name="C_KRO_APPLICATION" localSheetId="4">[3]ﾃﾞｰﾀﾍﾞｰｽ変更点!#REF!</definedName>
    <definedName name="C_KRO_APPLICATION">[3]ﾃﾞｰﾀﾍﾞｰｽ変更点!#REF!</definedName>
    <definedName name="C_KRO_APPLICATION_DATA" localSheetId="4">[3]ﾃﾞｰﾀﾍﾞｰｽ変更点!#REF!</definedName>
    <definedName name="C_KRO_APPLICATION_DATA">[3]ﾃﾞｰﾀﾍﾞｰｽ変更点!#REF!</definedName>
    <definedName name="C_KRO_COMPLETION" localSheetId="4">[3]ﾃﾞｰﾀﾍﾞｰｽ変更点!#REF!</definedName>
    <definedName name="C_KRO_COMPLETION">[3]ﾃﾞｰﾀﾍﾞｰｽ変更点!#REF!</definedName>
    <definedName name="C_KRO_COMPLETION_DATA" localSheetId="4">[3]ﾃﾞｰﾀﾍﾞｰｽ変更点!#REF!</definedName>
    <definedName name="C_KRO_COMPLETION_DATA">[3]ﾃﾞｰﾀﾍﾞｰｽ変更点!#REF!</definedName>
    <definedName name="C_KRO_EMERGENCY" localSheetId="4">[5]テーブル設計!#REF!</definedName>
    <definedName name="C_KRO_EMERGENCY">[5]テーブル設計!#REF!</definedName>
    <definedName name="C_KRO_REPORT" localSheetId="4">[3]ﾃﾞｰﾀﾍﾞｰｽ変更点!#REF!</definedName>
    <definedName name="C_KRO_REPORT">[3]ﾃﾞｰﾀﾍﾞｰｽ変更点!#REF!</definedName>
    <definedName name="C_LANDMARK" localSheetId="4">[3]ﾃﾞｰﾀﾍﾞｰｽ変更点!#REF!</definedName>
    <definedName name="C_LANDMARK">[3]ﾃﾞｰﾀﾍﾞｰｽ変更点!#REF!</definedName>
    <definedName name="C_LANDMARK_CLASS" localSheetId="4">[3]ﾃﾞｰﾀﾍﾞｰｽ変更点!#REF!</definedName>
    <definedName name="C_LANDMARK_CLASS">[3]ﾃﾞｰﾀﾍﾞｰｽ変更点!#REF!</definedName>
    <definedName name="C_LOGON_HISTORY" localSheetId="4">[3]ﾃﾞｰﾀﾍﾞｰｽ変更点!#REF!</definedName>
    <definedName name="C_LOGON_HISTORY">[3]ﾃﾞｰﾀﾍﾞｰｽ変更点!#REF!</definedName>
    <definedName name="C_MACHINE_ERROR" localSheetId="4">[4]TableDesign!#REF!</definedName>
    <definedName name="C_MACHINE_ERROR">[4]TableDesign!#REF!</definedName>
    <definedName name="C_MACHINE_STATUS_MASTER" localSheetId="4">[3]ﾃﾞｰﾀﾍﾞｰｽ変更点!#REF!</definedName>
    <definedName name="C_MACHINE_STATUS_MASTER">[3]ﾃﾞｰﾀﾍﾞｰｽ変更点!#REF!</definedName>
    <definedName name="C_MAINTENANCE_DATA" localSheetId="4">[3]ﾃﾞｰﾀﾍﾞｰｽ変更点!#REF!</definedName>
    <definedName name="C_MAINTENANCE_DATA">[3]ﾃﾞｰﾀﾍﾞｰｽ変更点!#REF!</definedName>
    <definedName name="C_MAINTENANCE_INFORM" localSheetId="4">[3]ﾃﾞｰﾀﾍﾞｰｽ変更点!#REF!</definedName>
    <definedName name="C_MAINTENANCE_INFORM">[3]ﾃﾞｰﾀﾍﾞｰｽ変更点!#REF!</definedName>
    <definedName name="C_MAINTENANCE_MASTER" localSheetId="4">[3]ﾃﾞｰﾀﾍﾞｰｽ変更点!#REF!</definedName>
    <definedName name="C_MAINTENANCE_MASTER">[3]ﾃﾞｰﾀﾍﾞｰｽ変更点!#REF!</definedName>
    <definedName name="C_MAINTENANCE_TIME" localSheetId="4">[4]TableDesign!#REF!</definedName>
    <definedName name="C_MAINTENANCE_TIME">[4]TableDesign!#REF!</definedName>
    <definedName name="C_MAKER_MASTER" localSheetId="4">[3]ﾃﾞｰﾀﾍﾞｰｽ変更点!#REF!</definedName>
    <definedName name="C_MAKER_MASTER">[3]ﾃﾞｰﾀﾍﾞｰｽ変更点!#REF!</definedName>
    <definedName name="C_MARK_MACHINE" localSheetId="4">[4]TableDesign!#REF!</definedName>
    <definedName name="C_MARK_MACHINE">[4]TableDesign!#REF!</definedName>
    <definedName name="C_MARK_NOTIFICATION" localSheetId="4">[4]TableDesign!#REF!</definedName>
    <definedName name="C_MARK_NOTIFICATION">[4]TableDesign!#REF!</definedName>
    <definedName name="C_MARK_NOTIFICATION_DETAIL" localSheetId="4">[4]TableDesign!#REF!</definedName>
    <definedName name="C_MARK_NOTIFICATION_DETAIL">[4]TableDesign!#REF!</definedName>
    <definedName name="C_MEMO" localSheetId="4">[3]ﾃﾞｰﾀﾍﾞｰｽ変更点!#REF!</definedName>
    <definedName name="C_MEMO">[3]ﾃﾞｰﾀﾍﾞｰｽ変更点!#REF!</definedName>
    <definedName name="C_MEMORY_MODIFY" localSheetId="4">[3]ﾃﾞｰﾀﾍﾞｰｽ変更点!#REF!</definedName>
    <definedName name="C_MEMORY_MODIFY">[3]ﾃﾞｰﾀﾍﾞｰｽ変更点!#REF!</definedName>
    <definedName name="C_MEMORY_MODIFY_DATA" localSheetId="4">[3]ﾃﾞｰﾀﾍﾞｰｽ変更点!#REF!</definedName>
    <definedName name="C_MEMORY_MODIFY_DATA">[3]ﾃﾞｰﾀﾍﾞｰｽ変更点!#REF!</definedName>
    <definedName name="C_MESSAGE" localSheetId="4">[3]ﾃﾞｰﾀﾍﾞｰｽ変更点!#REF!</definedName>
    <definedName name="C_MESSAGE">[3]ﾃﾞｰﾀﾍﾞｰｽ変更点!#REF!</definedName>
    <definedName name="C_MESSAGE_MASTER" localSheetId="4">[3]ﾃﾞｰﾀﾍﾞｰｽ変更点!#REF!</definedName>
    <definedName name="C_MESSAGE_MASTER">[3]ﾃﾞｰﾀﾍﾞｰｽ変更点!#REF!</definedName>
    <definedName name="C_MONTHLY_ATT_SMR" localSheetId="4">[4]TableDesign!#REF!</definedName>
    <definedName name="C_MONTHLY_ATT_SMR">[4]TableDesign!#REF!</definedName>
    <definedName name="C_MONTHLY_ERROR" localSheetId="4">[4]TableDesign!#REF!</definedName>
    <definedName name="C_MONTHLY_ERROR">[4]TableDesign!#REF!</definedName>
    <definedName name="C_MONTHLY_LOAD" localSheetId="4">[4]TableDesign!#REF!</definedName>
    <definedName name="C_MONTHLY_LOAD">[4]TableDesign!#REF!</definedName>
    <definedName name="C_MONTHLY_MOVEMENT" localSheetId="4">[4]TableDesign!#REF!</definedName>
    <definedName name="C_MONTHLY_MOVEMENT">[4]TableDesign!#REF!</definedName>
    <definedName name="C_MONTHLY_OPERATION" localSheetId="4">[4]TableDesign!#REF!</definedName>
    <definedName name="C_MONTHLY_OPERATION">[4]TableDesign!#REF!</definedName>
    <definedName name="C_MONTHLY_SMR" localSheetId="4">[4]TableDesign!#REF!</definedName>
    <definedName name="C_MONTHLY_SMR">[4]TableDesign!#REF!</definedName>
    <definedName name="C_MONTHLY_WORKING_SMR" localSheetId="4">[4]TableDesign!#REF!</definedName>
    <definedName name="C_MONTHLY_WORKING_SMR">[4]TableDesign!#REF!</definedName>
    <definedName name="C_MONTLY_LOAD" localSheetId="4">[4]TableDesign!#REF!</definedName>
    <definedName name="C_MONTLY_LOAD">[4]TableDesign!#REF!</definedName>
    <definedName name="C_MULTI_OPE" localSheetId="4">[3]ﾃﾞｰﾀﾍﾞｰｽ変更点!#REF!</definedName>
    <definedName name="C_MULTI_OPE">[3]ﾃﾞｰﾀﾍﾞｰｽ変更点!#REF!</definedName>
    <definedName name="C_MULTI_OPE_DATA" localSheetId="4">[5]テーブル設計!#REF!</definedName>
    <definedName name="C_MULTI_OPE_DATA">[5]テーブル設計!#REF!</definedName>
    <definedName name="C_NLS_DB_RESOURCE" localSheetId="4">[4]TableDesign!#REF!</definedName>
    <definedName name="C_NLS_DB_RESOURCE">[4]TableDesign!#REF!</definedName>
    <definedName name="C_NLS_LANG" localSheetId="4">[4]TableDesign!#REF!</definedName>
    <definedName name="C_NLS_LANG">[4]TableDesign!#REF!</definedName>
    <definedName name="C_NLS_RESOURCE" localSheetId="4">[4]TableDesign!#REF!</definedName>
    <definedName name="C_NLS_RESOURCE">[4]TableDesign!#REF!</definedName>
    <definedName name="C_NOT_ACTIVE" localSheetId="4">[3]ﾃﾞｰﾀﾍﾞｰｽ変更点!#REF!</definedName>
    <definedName name="C_NOT_ACTIVE">[3]ﾃﾞｰﾀﾍﾞｰｽ変更点!#REF!</definedName>
    <definedName name="C_OPERATION_CATEGORY" localSheetId="4">[4]TableDesign!#REF!</definedName>
    <definedName name="C_OPERATION_CATEGORY">[4]TableDesign!#REF!</definedName>
    <definedName name="C_OPERATION_CLASS" localSheetId="4">[5]テーブル設計!#REF!</definedName>
    <definedName name="C_OPERATION_CLASS">[5]テーブル設計!#REF!</definedName>
    <definedName name="C_OPERATION_LOG" localSheetId="4">[3]ﾃﾞｰﾀﾍﾞｰｽ変更点!#REF!</definedName>
    <definedName name="C_OPERATION_LOG">[3]ﾃﾞｰﾀﾍﾞｰｽ変更点!#REF!</definedName>
    <definedName name="C_OPERATION_LOG2" localSheetId="4">[5]テーブル設計!#REF!</definedName>
    <definedName name="C_OPERATION_LOG2">[5]テーブル設計!#REF!</definedName>
    <definedName name="C_OPERATION_MAP" localSheetId="4">[4]TableDesign!#REF!</definedName>
    <definedName name="C_OPERATION_MAP">[4]TableDesign!#REF!</definedName>
    <definedName name="C_OPERATION_MASTER" localSheetId="4">[5]テーブル設計!#REF!</definedName>
    <definedName name="C_OPERATION_MASTER">[5]テーブル設計!#REF!</definedName>
    <definedName name="C_ORBCOMM" localSheetId="4">[3]ﾃﾞｰﾀﾍﾞｰｽ変更点!#REF!</definedName>
    <definedName name="C_ORBCOMM">[3]ﾃﾞｰﾀﾍﾞｰｽ変更点!#REF!</definedName>
    <definedName name="C_ORBCOMM_OWNER_HISTORY" localSheetId="4">[3]ﾃﾞｰﾀﾍﾞｰｽ変更点!#REF!</definedName>
    <definedName name="C_ORBCOMM_OWNER_HISTORY">[3]ﾃﾞｰﾀﾍﾞｰｽ変更点!#REF!</definedName>
    <definedName name="C_PLANT_CAR" localSheetId="4">[5]テーブル設計!#REF!</definedName>
    <definedName name="C_PLANT_CAR">[5]テーブル設計!#REF!</definedName>
    <definedName name="C_PLANT_ERROR" localSheetId="4">[5]テーブル設計!#REF!</definedName>
    <definedName name="C_PLANT_ERROR">[5]テーブル設計!#REF!</definedName>
    <definedName name="C_PLANT_GPS" localSheetId="4">[5]テーブル設計!#REF!</definedName>
    <definedName name="C_PLANT_GPS">[5]テーブル設計!#REF!</definedName>
    <definedName name="C_PREVENT_THEFT_KEY" localSheetId="4">[3]ﾃﾞｰﾀﾍﾞｰｽ変更点!#REF!</definedName>
    <definedName name="C_PREVENT_THEFT_KEY">[3]ﾃﾞｰﾀﾍﾞｰｽ変更点!#REF!</definedName>
    <definedName name="C_PRIVATE_TARGET_CAR" localSheetId="4">[3]ﾃﾞｰﾀﾍﾞｰｽ変更点!#REF!</definedName>
    <definedName name="C_PRIVATE_TARGET_CAR">[3]ﾃﾞｰﾀﾍﾞｰｽ変更点!#REF!</definedName>
    <definedName name="C_RECEIVE_LIST" localSheetId="4">[5]テーブル設計!#REF!</definedName>
    <definedName name="C_RECEIVE_LIST">[5]テーブル設計!#REF!</definedName>
    <definedName name="C_RECEIVE_LOG" localSheetId="4">[3]ﾃﾞｰﾀﾍﾞｰｽ変更点!#REF!</definedName>
    <definedName name="C_RECEIVE_LOG">[3]ﾃﾞｰﾀﾍﾞｰｽ変更点!#REF!</definedName>
    <definedName name="C_REGION_DATA" localSheetId="4">[4]TableDesign!#REF!</definedName>
    <definedName name="C_REGION_DATA">[4]TableDesign!#REF!</definedName>
    <definedName name="C_REGION_MASTER" localSheetId="4">[4]TableDesign!#REF!</definedName>
    <definedName name="C_REGION_MASTER">[4]TableDesign!#REF!</definedName>
    <definedName name="C_RENTAL_TERMINAL" localSheetId="4">[5]テーブル設計!#REF!</definedName>
    <definedName name="C_RENTAL_TERMINAL">[5]テーブル設計!#REF!</definedName>
    <definedName name="C_REQUEST" localSheetId="4">[3]ﾃﾞｰﾀﾍﾞｰｽ変更点!#REF!</definedName>
    <definedName name="C_REQUEST">[3]ﾃﾞｰﾀﾍﾞｰｽ変更点!#REF!</definedName>
    <definedName name="C_REQUEST_COUNT" localSheetId="4">[3]ﾃﾞｰﾀﾍﾞｰｽ変更点!#REF!</definedName>
    <definedName name="C_REQUEST_COUNT">[3]ﾃﾞｰﾀﾍﾞｰｽ変更点!#REF!</definedName>
    <definedName name="C_REQUEST_LOG" localSheetId="4">[3]ﾃﾞｰﾀﾍﾞｰｽ変更点!#REF!</definedName>
    <definedName name="C_REQUEST_LOG">[3]ﾃﾞｰﾀﾍﾞｰｽ変更点!#REF!</definedName>
    <definedName name="C_RIVATE_TARGET_CAR" localSheetId="4">[4]TableDesign!#REF!</definedName>
    <definedName name="C_RIVATE_TARGET_CAR">[4]TableDesign!#REF!</definedName>
    <definedName name="C_RUNNING_LOG" localSheetId="4">[3]ﾃﾞｰﾀﾍﾞｰｽ変更点!#REF!</definedName>
    <definedName name="C_RUNNING_LOG">[3]ﾃﾞｰﾀﾍﾞｰｽ変更点!#REF!</definedName>
    <definedName name="C_SAVE_INFORMATION" localSheetId="4">[5]テーブル設計!#REF!</definedName>
    <definedName name="C_SAVE_INFORMATION">[5]テーブル設計!#REF!</definedName>
    <definedName name="C_SELFCARINSPECTION" localSheetId="4">[3]ﾃﾞｰﾀﾍﾞｰｽ変更点!#REF!</definedName>
    <definedName name="C_SELFCARINSPECTION">[3]ﾃﾞｰﾀﾍﾞｰｽ変更点!#REF!</definedName>
    <definedName name="C_SEND_LIST" localSheetId="4">[5]テーブル設計!#REF!</definedName>
    <definedName name="C_SEND_LIST">[5]テーブル設計!#REF!</definedName>
    <definedName name="C_SEND_LOG" localSheetId="4">[5]テーブル設計!#REF!</definedName>
    <definedName name="C_SEND_LOG">[5]テーブル設計!#REF!</definedName>
    <definedName name="C_SERVER_COMMUNICATION" localSheetId="4">[4]TableDesign!#REF!</definedName>
    <definedName name="C_SERVER_COMMUNICATION">[4]TableDesign!#REF!</definedName>
    <definedName name="C_SERVER_INFORMATION" localSheetId="4">[3]ﾃﾞｰﾀﾍﾞｰｽ変更点!#REF!</definedName>
    <definedName name="C_SERVER_INFORMATION">[3]ﾃﾞｰﾀﾍﾞｰｽ変更点!#REF!</definedName>
    <definedName name="C_SERVICE_METER" localSheetId="4">[3]ﾃﾞｰﾀﾍﾞｰｽ変更点!#REF!</definedName>
    <definedName name="C_SERVICE_METER">[3]ﾃﾞｰﾀﾍﾞｰｽ変更点!#REF!</definedName>
    <definedName name="C_SERVICE_METER2" localSheetId="4">[5]テーブル設計!#REF!</definedName>
    <definedName name="C_SERVICE_METER2">[5]テーブル設計!#REF!</definedName>
    <definedName name="C_SERVICEMAN" localSheetId="4">[5]テーブル設計!#REF!</definedName>
    <definedName name="C_SERVICEMAN">[5]テーブル設計!#REF!</definedName>
    <definedName name="C_SERVICEMAN_CHARGE" localSheetId="4">[5]テーブル設計!#REF!</definedName>
    <definedName name="C_SERVICEMAN_CHARGE">[5]テーブル設計!#REF!</definedName>
    <definedName name="C_SHIPMENT" localSheetId="4">[3]ﾃﾞｰﾀﾍﾞｰｽ変更点!#REF!</definedName>
    <definedName name="C_SHIPMENT">[3]ﾃﾞｰﾀﾍﾞｰｽ変更点!#REF!</definedName>
    <definedName name="C_SHOW" localSheetId="4">[3]ﾃﾞｰﾀﾍﾞｰｽ変更点!#REF!</definedName>
    <definedName name="C_SHOW">[3]ﾃﾞｰﾀﾍﾞｰｽ変更点!#REF!</definedName>
    <definedName name="C_SHOW_GROUP" localSheetId="4">[3]ﾃﾞｰﾀﾍﾞｰｽ変更点!#REF!</definedName>
    <definedName name="C_SHOW_GROUP">[3]ﾃﾞｰﾀﾍﾞｰｽ変更点!#REF!</definedName>
    <definedName name="C_SPECIAL_AREA" localSheetId="4">[3]ﾃﾞｰﾀﾍﾞｰｽ変更点!#REF!</definedName>
    <definedName name="C_SPECIAL_AREA">[3]ﾃﾞｰﾀﾍﾞｰｽ変更点!#REF!</definedName>
    <definedName name="C_SUB_GROUP" localSheetId="4">[4]TableDesign!#REF!</definedName>
    <definedName name="C_SUB_GROUP">[4]TableDesign!#REF!</definedName>
    <definedName name="C_SUB_GROUP_CAR" localSheetId="4">[4]TableDesign!#REF!</definedName>
    <definedName name="C_SUB_GROUP_CAR">[4]TableDesign!#REF!</definedName>
    <definedName name="C_SYSTEM_COMMTERM_INFO" localSheetId="4">[3]ﾃﾞｰﾀﾍﾞｰｽ変更点!#REF!</definedName>
    <definedName name="C_SYSTEM_COMMTERM_INFO">[3]ﾃﾞｰﾀﾍﾞｰｽ変更点!#REF!</definedName>
    <definedName name="C_SYSTEM_LOG" localSheetId="4">[3]ﾃﾞｰﾀﾍﾞｰｽ変更点!#REF!</definedName>
    <definedName name="C_SYSTEM_LOG">[3]ﾃﾞｰﾀﾍﾞｰｽ変更点!#REF!</definedName>
    <definedName name="C_SYSTEM_NOTICE" localSheetId="4">[3]ﾃﾞｰﾀﾍﾞｰｽ変更点!#REF!</definedName>
    <definedName name="C_SYSTEM_NOTICE">[3]ﾃﾞｰﾀﾍﾞｰｽ変更点!#REF!</definedName>
    <definedName name="C_TARGET" localSheetId="4">[3]ﾃﾞｰﾀﾍﾞｰｽ変更点!#REF!</definedName>
    <definedName name="C_TARGET">[3]ﾃﾞｰﾀﾍﾞｰｽ変更点!#REF!</definedName>
    <definedName name="C_TARGET_CAR" localSheetId="4">[3]ﾃﾞｰﾀﾍﾞｰｽ変更点!#REF!</definedName>
    <definedName name="C_TARGET_CAR">[3]ﾃﾞｰﾀﾍﾞｰｽ変更点!#REF!</definedName>
    <definedName name="C_TERMINAL_AREA" localSheetId="4">[3]ﾃﾞｰﾀﾍﾞｰｽ変更点!#REF!</definedName>
    <definedName name="C_TERMINAL_AREA">[3]ﾃﾞｰﾀﾍﾞｰｽ変更点!#REF!</definedName>
    <definedName name="C_TERMINAL_CAUTION" localSheetId="4">[3]ﾃﾞｰﾀﾍﾞｰｽ変更点!#REF!</definedName>
    <definedName name="C_TERMINAL_CAUTION">[3]ﾃﾞｰﾀﾍﾞｰｽ変更点!#REF!</definedName>
    <definedName name="C_TERMINAL_ERROR" localSheetId="4">[3]ﾃﾞｰﾀﾍﾞｰｽ変更点!#REF!</definedName>
    <definedName name="C_TERMINAL_ERROR">[3]ﾃﾞｰﾀﾍﾞｰｽ変更点!#REF!</definedName>
    <definedName name="C_TERMINAL_KIND" localSheetId="4">[3]ﾃﾞｰﾀﾍﾞｰｽ変更点!#REF!</definedName>
    <definedName name="C_TERMINAL_KIND">[3]ﾃﾞｰﾀﾍﾞｰｽ変更点!#REF!</definedName>
    <definedName name="C_TERMINAL_MASTER" localSheetId="4">[3]ﾃﾞｰﾀﾍﾞｰｽ変更点!#REF!</definedName>
    <definedName name="C_TERMINAL_MASTER">[3]ﾃﾞｰﾀﾍﾞｰｽ変更点!#REF!</definedName>
    <definedName name="C_TERMINAL_PART_MASTER" localSheetId="4">[3]ﾃﾞｰﾀﾍﾞｰｽ変更点!#REF!</definedName>
    <definedName name="C_TERMINAL_PART_MASTER">[3]ﾃﾞｰﾀﾍﾞｰｽ変更点!#REF!</definedName>
    <definedName name="C_TYPE_MASTER" localSheetId="4">[3]ﾃﾞｰﾀﾍﾞｰｽ変更点!#REF!</definedName>
    <definedName name="C_TYPE_MASTER">[3]ﾃﾞｰﾀﾍﾞｰｽ変更点!#REF!</definedName>
    <definedName name="C_UFO" localSheetId="4">[3]ﾃﾞｰﾀﾍﾞｰｽ変更点!#REF!</definedName>
    <definedName name="C_UFO">[3]ﾃﾞｰﾀﾍﾞｰｽ変更点!#REF!</definedName>
    <definedName name="C_UNRELIABLE_RECEIVE" localSheetId="4">[3]ﾃﾞｰﾀﾍﾞｰｽ変更点!#REF!</definedName>
    <definedName name="C_UNRELIABLE_RECEIVE">[3]ﾃﾞｰﾀﾍﾞｰｽ変更点!#REF!</definedName>
    <definedName name="C_USER_MASTER" localSheetId="4">[3]ﾃﾞｰﾀﾍﾞｰｽ変更点!#REF!</definedName>
    <definedName name="C_USER_MASTER">[3]ﾃﾞｰﾀﾍﾞｰｽ変更点!#REF!</definedName>
    <definedName name="C_USER_TEMP" localSheetId="4">[3]ﾃﾞｰﾀﾍﾞｰｽ変更点!#REF!</definedName>
    <definedName name="C_USER_TEMP">[3]ﾃﾞｰﾀﾍﾞｰｽ変更点!#REF!</definedName>
    <definedName name="C_WATER_TEMP_GAUGE" localSheetId="4">[4]TableDesign!#REF!</definedName>
    <definedName name="C_WATER_TEMP_GAUGE">[4]TableDesign!#REF!</definedName>
    <definedName name="CAR" localSheetId="4">[3]ﾃﾞｰﾀﾍﾞｰｽ変更点!#REF!</definedName>
    <definedName name="CAR">[3]ﾃﾞｰﾀﾍﾞｰｽ変更点!#REF!</definedName>
    <definedName name="CC" localSheetId="4">'[6]DATA-COMMUNICATION-FORMAT'!#REF!</definedName>
    <definedName name="CC">'[6]DATA-COMMUNICATION-FORMAT'!#REF!</definedName>
    <definedName name="ccc" localSheetId="2" hidden="1">{#N/A,#N/A,TRUE,"カスタマイズ仕様書";#N/A,#N/A,TRUE,"Ｉ・Ｏ関連表(1)";#N/A,#N/A,TRUE,"Ｉ・Ｏ関連表(2)";#N/A,#N/A,TRUE,"Ｉ・Ｏ関連表(3)";#N/A,#N/A,TRUE,"レポート記述書";#N/A,#N/A,TRUE,"画面記述書"}</definedName>
    <definedName name="ccc" hidden="1">{#N/A,#N/A,TRUE,"カスタマイズ仕様書";#N/A,#N/A,TRUE,"Ｉ・Ｏ関連表(1)";#N/A,#N/A,TRUE,"Ｉ・Ｏ関連表(2)";#N/A,#N/A,TRUE,"Ｉ・Ｏ関連表(3)";#N/A,#N/A,TRUE,"レポート記述書";#N/A,#N/A,TRUE,"画面記述書"}</definedName>
    <definedName name="ＣＣＣＣＣＣＣ" localSheetId="2" hidden="1">{#N/A,#N/A,TRUE,"カスタマイズ仕様書";#N/A,#N/A,TRUE,"Ｉ・Ｏ関連表(1)";#N/A,#N/A,TRUE,"Ｉ・Ｏ関連表(2)";#N/A,#N/A,TRUE,"Ｉ・Ｏ関連表(3)";#N/A,#N/A,TRUE,"レポート記述書";#N/A,#N/A,TRUE,"画面記述書"}</definedName>
    <definedName name="ＣＣＣＣＣＣＣ" hidden="1">{#N/A,#N/A,TRUE,"カスタマイズ仕様書";#N/A,#N/A,TRUE,"Ｉ・Ｏ関連表(1)";#N/A,#N/A,TRUE,"Ｉ・Ｏ関連表(2)";#N/A,#N/A,TRUE,"Ｉ・Ｏ関連表(3)";#N/A,#N/A,TRUE,"レポート記述書";#N/A,#N/A,TRUE,"画面記述書"}</definedName>
    <definedName name="cdde" localSheetId="2" hidden="1">{#N/A,#N/A,TRUE,"カスタマイズ仕様書";#N/A,#N/A,TRUE,"Ｉ・Ｏ関連表(1)";#N/A,#N/A,TRUE,"Ｉ・Ｏ関連表(2)";#N/A,#N/A,TRUE,"Ｉ・Ｏ関連表(3)";#N/A,#N/A,TRUE,"レポート記述書";#N/A,#N/A,TRUE,"画面記述書"}</definedName>
    <definedName name="cdde" hidden="1">{#N/A,#N/A,TRUE,"カスタマイズ仕様書";#N/A,#N/A,TRUE,"Ｉ・Ｏ関連表(1)";#N/A,#N/A,TRUE,"Ｉ・Ｏ関連表(2)";#N/A,#N/A,TRUE,"Ｉ・Ｏ関連表(3)";#N/A,#N/A,TRUE,"レポート記述書";#N/A,#N/A,TRUE,"画面記述書"}</definedName>
    <definedName name="CINVALID_PART_TERMINAL" localSheetId="4">[5]テーブル設計!#REF!</definedName>
    <definedName name="CINVALID_PART_TERMINAL">[5]テーブル設計!#REF!</definedName>
    <definedName name="copy" localSheetId="2" hidden="1">{#N/A,#N/A,TRUE,"カスタマイズ仕様書";#N/A,#N/A,TRUE,"Ｉ・Ｏ関連表(1)";#N/A,#N/A,TRUE,"Ｉ・Ｏ関連表(2)";#N/A,#N/A,TRUE,"Ｉ・Ｏ関連表(3)";#N/A,#N/A,TRUE,"レポート記述書";#N/A,#N/A,TRUE,"画面記述書"}</definedName>
    <definedName name="copy" hidden="1">{#N/A,#N/A,TRUE,"カスタマイズ仕様書";#N/A,#N/A,TRUE,"Ｉ・Ｏ関連表(1)";#N/A,#N/A,TRUE,"Ｉ・Ｏ関連表(2)";#N/A,#N/A,TRUE,"Ｉ・Ｏ関連表(3)";#N/A,#N/A,TRUE,"レポート記述書";#N/A,#N/A,TRUE,"画面記述書"}</definedName>
    <definedName name="CUSTOMER" localSheetId="4">[3]ﾃﾞｰﾀﾍﾞｰｽ変更点!#REF!</definedName>
    <definedName name="CUSTOMER">[3]ﾃﾞｰﾀﾍﾞｰｽ変更点!#REF!</definedName>
    <definedName name="D" localSheetId="2" hidden="1">{#N/A,#N/A,TRUE,"カスタマイズ仕様書";#N/A,#N/A,TRUE,"Ｉ・Ｏ関連表(1)";#N/A,#N/A,TRUE,"Ｉ・Ｏ関連表(2)";#N/A,#N/A,TRUE,"Ｉ・Ｏ関連表(3)";#N/A,#N/A,TRUE,"レポート記述書";#N/A,#N/A,TRUE,"画面記述書"}</definedName>
    <definedName name="D" hidden="1">{#N/A,#N/A,TRUE,"カスタマイズ仕様書";#N/A,#N/A,TRUE,"Ｉ・Ｏ関連表(1)";#N/A,#N/A,TRUE,"Ｉ・Ｏ関連表(2)";#N/A,#N/A,TRUE,"Ｉ・Ｏ関連表(3)";#N/A,#N/A,TRUE,"レポート記述書";#N/A,#N/A,TRUE,"画面記述書"}</definedName>
    <definedName name="D_ACT_DATA" localSheetId="4">[3]ﾃﾞｰﾀﾍﾞｰｽ変更点!#REF!</definedName>
    <definedName name="D_ACT_DATA">[3]ﾃﾞｰﾀﾍﾞｰｽ変更点!#REF!</definedName>
    <definedName name="D_ACTUAL_OPERATION" localSheetId="4">[4]TableDesign!#REF!</definedName>
    <definedName name="D_ACTUAL_OPERATION">[4]TableDesign!#REF!</definedName>
    <definedName name="D_AREA" localSheetId="4">[3]ﾃﾞｰﾀﾍﾞｰｽ変更点!#REF!</definedName>
    <definedName name="D_AREA">[3]ﾃﾞｰﾀﾍﾞｰｽ変更点!#REF!</definedName>
    <definedName name="D_AREA_DEFINE" localSheetId="4">[3]ﾃﾞｰﾀﾍﾞｰｽ変更点!#REF!</definedName>
    <definedName name="D_AREA_DEFINE">[3]ﾃﾞｰﾀﾍﾞｰｽ変更点!#REF!</definedName>
    <definedName name="D_AREA_INIT" localSheetId="4">[3]ﾃﾞｰﾀﾍﾞｰｽ変更点!#REF!</definedName>
    <definedName name="D_AREA_INIT">[3]ﾃﾞｰﾀﾍﾞｰｽ変更点!#REF!</definedName>
    <definedName name="D_AREA_MASTER" localSheetId="4">[3]ﾃﾞｰﾀﾍﾞｰｽ変更点!#REF!</definedName>
    <definedName name="D_AREA_MASTER">[3]ﾃﾞｰﾀﾍﾞｰｽ変更点!#REF!</definedName>
    <definedName name="D_ASK" localSheetId="4">[3]ﾃﾞｰﾀﾍﾞｰｽ変更点!#REF!</definedName>
    <definedName name="D_ASK">[3]ﾃﾞｰﾀﾍﾞｰｽ変更点!#REF!</definedName>
    <definedName name="D_ASK_LOG" localSheetId="4">[5]テーブル設計!#REF!</definedName>
    <definedName name="D_ASK_LOG">[5]テーブル設計!#REF!</definedName>
    <definedName name="D_ASK_SYSTEM" localSheetId="4">[3]ﾃﾞｰﾀﾍﾞｰｽ変更点!#REF!</definedName>
    <definedName name="D_ASK_SYSTEM">[3]ﾃﾞｰﾀﾍﾞｰｽ変更点!#REF!</definedName>
    <definedName name="D_ATC_ERROR" localSheetId="4">[5]テーブル設計!#REF!</definedName>
    <definedName name="D_ATC_ERROR">[5]テーブル設計!#REF!</definedName>
    <definedName name="D_AUTHORITY_GROUP" localSheetId="4">[3]ﾃﾞｰﾀﾍﾞｰｽ変更点!#REF!</definedName>
    <definedName name="D_AUTHORITY_GROUP">[3]ﾃﾞｰﾀﾍﾞｰｽ変更点!#REF!</definedName>
    <definedName name="D_AUTHORITY_GROUP_DATA" localSheetId="4">[3]ﾃﾞｰﾀﾍﾞｰｽ変更点!#REF!</definedName>
    <definedName name="D_AUTHORITY_GROUP_DATA">[3]ﾃﾞｰﾀﾍﾞｰｽ変更点!#REF!</definedName>
    <definedName name="D_AUTHORITY_MASTER" localSheetId="4">[5]テーブル設計!#REF!</definedName>
    <definedName name="D_AUTHORITY_MASTER">[5]テーブル設計!#REF!</definedName>
    <definedName name="D_BONDED_STORE" localSheetId="4">[5]テーブル設計!#REF!</definedName>
    <definedName name="D_BONDED_STORE">[5]テーブル設計!#REF!</definedName>
    <definedName name="D_CAR_DATA" localSheetId="4">[3]ﾃﾞｰﾀﾍﾞｰｽ変更点!#REF!</definedName>
    <definedName name="D_CAR_DATA">[3]ﾃﾞｰﾀﾍﾞｰｽ変更点!#REF!</definedName>
    <definedName name="D_CAR_MASTER" localSheetId="4">[3]ﾃﾞｰﾀﾍﾞｰｽ変更点!#REF!</definedName>
    <definedName name="D_CAR_MASTER">[3]ﾃﾞｰﾀﾍﾞｰｽ変更点!#REF!</definedName>
    <definedName name="D_CAR_MONTHLY_DATA" localSheetId="4">[3]ﾃﾞｰﾀﾍﾞｰｽ変更点!#REF!</definedName>
    <definedName name="D_CAR_MONTHLY_DATA">[3]ﾃﾞｰﾀﾍﾞｰｽ変更点!#REF!</definedName>
    <definedName name="D_CAR_OWNER_HISTORY" localSheetId="4">[3]ﾃﾞｰﾀﾍﾞｰｽ変更点!#REF!</definedName>
    <definedName name="D_CAR_OWNER_HISTORY">[3]ﾃﾞｰﾀﾍﾞｰｽ変更点!#REF!</definedName>
    <definedName name="D_CAUTION" localSheetId="4">[4]TableDesign!#REF!</definedName>
    <definedName name="D_CAUTION">[4]TableDesign!#REF!</definedName>
    <definedName name="D_CAUTION_DATA" localSheetId="4">[3]ﾃﾞｰﾀﾍﾞｰｽ変更点!#REF!</definedName>
    <definedName name="D_CAUTION_DATA">[3]ﾃﾞｰﾀﾍﾞｰｽ変更点!#REF!</definedName>
    <definedName name="D_CAUTION_ENABLED" localSheetId="4">[3]ﾃﾞｰﾀﾍﾞｰｽ変更点!#REF!</definedName>
    <definedName name="D_CAUTION_ENABLED">[3]ﾃﾞｰﾀﾍﾞｰｽ変更点!#REF!</definedName>
    <definedName name="D_CAUTION_ICON" localSheetId="4">[3]ﾃﾞｰﾀﾍﾞｰｽ変更点!#REF!</definedName>
    <definedName name="D_CAUTION_ICON">[3]ﾃﾞｰﾀﾍﾞｰｽ変更点!#REF!</definedName>
    <definedName name="D_CAUTION_INIT" localSheetId="4">[3]ﾃﾞｰﾀﾍﾞｰｽ変更点!#REF!</definedName>
    <definedName name="D_CAUTION_INIT">[3]ﾃﾞｰﾀﾍﾞｰｽ変更点!#REF!</definedName>
    <definedName name="D_CAUTION_MASTER" localSheetId="4">[3]ﾃﾞｰﾀﾍﾞｰｽ変更点!#REF!</definedName>
    <definedName name="D_CAUTION_MASTER">[3]ﾃﾞｰﾀﾍﾞｰｽ変更点!#REF!</definedName>
    <definedName name="D_CLASS1_MASTER" localSheetId="4">[3]ﾃﾞｰﾀﾍﾞｰｽ変更点!#REF!</definedName>
    <definedName name="D_CLASS1_MASTER">[3]ﾃﾞｰﾀﾍﾞｰｽ変更点!#REF!</definedName>
    <definedName name="D_CLASS2_MASTER" localSheetId="4">[3]ﾃﾞｰﾀﾍﾞｰｽ変更点!#REF!</definedName>
    <definedName name="D_CLASS2_MASTER">[3]ﾃﾞｰﾀﾍﾞｰｽ変更点!#REF!</definedName>
    <definedName name="D_COMM_DATA" localSheetId="4">[3]ﾃﾞｰﾀﾍﾞｰｽ変更点!#REF!</definedName>
    <definedName name="D_COMM_DATA">[3]ﾃﾞｰﾀﾍﾞｰｽ変更点!#REF!</definedName>
    <definedName name="D_COMM_STATUS_MASTER" localSheetId="4">[3]ﾃﾞｰﾀﾍﾞｰｽ変更点!#REF!</definedName>
    <definedName name="D_COMM_STATUS_MASTER">[3]ﾃﾞｰﾀﾍﾞｰｽ変更点!#REF!</definedName>
    <definedName name="D_CONFIG_DEFINE" localSheetId="4">[3]ﾃﾞｰﾀﾍﾞｰｽ変更点!#REF!</definedName>
    <definedName name="D_CONFIG_DEFINE">[3]ﾃﾞｰﾀﾍﾞｰｽ変更点!#REF!</definedName>
    <definedName name="D_CONFIG_FLAG" localSheetId="4">[5]テーブル設計!#REF!</definedName>
    <definedName name="D_CONFIG_FLAG">[5]テーブル設計!#REF!</definedName>
    <definedName name="D_CONFIG_INIT" localSheetId="4">[3]ﾃﾞｰﾀﾍﾞｰｽ変更点!#REF!</definedName>
    <definedName name="D_CONFIG_INIT">[3]ﾃﾞｰﾀﾍﾞｰｽ変更点!#REF!</definedName>
    <definedName name="D_CONFIG_PATTERN" localSheetId="4">[3]ﾃﾞｰﾀﾍﾞｰｽ変更点!#REF!</definedName>
    <definedName name="D_CONFIG_PATTERN">[3]ﾃﾞｰﾀﾍﾞｰｽ変更点!#REF!</definedName>
    <definedName name="D_CONFIG_PATTERN_DATA" localSheetId="4">[3]ﾃﾞｰﾀﾍﾞｰｽ変更点!#REF!</definedName>
    <definedName name="D_CONFIG_PATTERN_DATA">[3]ﾃﾞｰﾀﾍﾞｰｽ変更点!#REF!</definedName>
    <definedName name="D_CONFIG_USER_FLAG" localSheetId="4">[5]テーブル設計!#REF!</definedName>
    <definedName name="D_CONFIG_USER_FLAG">[5]テーブル設計!#REF!</definedName>
    <definedName name="D_CONTRACT" localSheetId="4">[5]テーブル設計!#REF!</definedName>
    <definedName name="D_CONTRACT">[5]テーブル設計!#REF!</definedName>
    <definedName name="D_CUSTOMER" localSheetId="4">[3]ﾃﾞｰﾀﾍﾞｰｽ変更点!#REF!</definedName>
    <definedName name="D_CUSTOMER">[3]ﾃﾞｰﾀﾍﾞｰｽ変更点!#REF!</definedName>
    <definedName name="D_CUSTOMER_CAR" localSheetId="4">[3]ﾃﾞｰﾀﾍﾞｰｽ変更点!#REF!</definedName>
    <definedName name="D_CUSTOMER_CAR">[3]ﾃﾞｰﾀﾍﾞｰｽ変更点!#REF!</definedName>
    <definedName name="D_CUSTOMER_MASTER" localSheetId="4">[4]TableDesign!#REF!</definedName>
    <definedName name="D_CUSTOMER_MASTER">[4]TableDesign!#REF!</definedName>
    <definedName name="D_DIVISION_MASTER" localSheetId="4">[3]ﾃﾞｰﾀﾍﾞｰｽ変更点!#REF!</definedName>
    <definedName name="D_DIVISION_MASTER">[3]ﾃﾞｰﾀﾍﾞｰｽ変更点!#REF!</definedName>
    <definedName name="D_DOPA" localSheetId="4">[3]ﾃﾞｰﾀﾍﾞｰｽ変更点!#REF!</definedName>
    <definedName name="D_DOPA">[3]ﾃﾞｰﾀﾍﾞｰｽ変更点!#REF!</definedName>
    <definedName name="D_DOPA_OWNER_HISTORY" localSheetId="4">[3]ﾃﾞｰﾀﾍﾞｰｽ変更点!#REF!</definedName>
    <definedName name="D_DOPA_OWNER_HISTORY">[3]ﾃﾞｰﾀﾍﾞｰｽ変更点!#REF!</definedName>
    <definedName name="D_DOPA_SERVER" localSheetId="4">[3]ﾃﾞｰﾀﾍﾞｰｽ変更点!#REF!</definedName>
    <definedName name="D_DOPA_SERVER">[3]ﾃﾞｰﾀﾍﾞｰｽ変更点!#REF!</definedName>
    <definedName name="D_EQUIPMENT_HISTORY" localSheetId="4">[3]ﾃﾞｰﾀﾍﾞｰｽ変更点!#REF!</definedName>
    <definedName name="D_EQUIPMENT_HISTORY">[3]ﾃﾞｰﾀﾍﾞｰｽ変更点!#REF!</definedName>
    <definedName name="D_ERROR" localSheetId="4">[3]ﾃﾞｰﾀﾍﾞｰｽ変更点!#REF!</definedName>
    <definedName name="D_ERROR">[3]ﾃﾞｰﾀﾍﾞｰｽ変更点!#REF!</definedName>
    <definedName name="D_ERROR_ENABLED" localSheetId="4">[3]ﾃﾞｰﾀﾍﾞｰｽ変更点!#REF!</definedName>
    <definedName name="D_ERROR_ENABLED">[3]ﾃﾞｰﾀﾍﾞｰｽ変更点!#REF!</definedName>
    <definedName name="D_ERROR_MASTER" localSheetId="4">[3]ﾃﾞｰﾀﾍﾞｰｽ変更点!#REF!</definedName>
    <definedName name="D_ERROR_MASTER">[3]ﾃﾞｰﾀﾍﾞｰｽ変更点!#REF!</definedName>
    <definedName name="D_EVENT_CATEGORY" localSheetId="4">[4]TableDesign!#REF!</definedName>
    <definedName name="D_EVENT_CATEGORY">[4]TableDesign!#REF!</definedName>
    <definedName name="D_EVENT_DIVISION" localSheetId="4">[3]ﾃﾞｰﾀﾍﾞｰｽ変更点!#REF!</definedName>
    <definedName name="D_EVENT_DIVISION">[3]ﾃﾞｰﾀﾍﾞｰｽ変更点!#REF!</definedName>
    <definedName name="D_EVENT_MASTER" localSheetId="4">[3]ﾃﾞｰﾀﾍﾞｰｽ変更点!#REF!</definedName>
    <definedName name="D_EVENT_MASTER">[3]ﾃﾞｰﾀﾍﾞｰｽ変更点!#REF!</definedName>
    <definedName name="D_EVENT_NOTICE" localSheetId="4">[3]ﾃﾞｰﾀﾍﾞｰｽ変更点!#REF!</definedName>
    <definedName name="D_EVENT_NOTICE">[3]ﾃﾞｰﾀﾍﾞｰｽ変更点!#REF!</definedName>
    <definedName name="D_FUEL_GAUGE" localSheetId="4">[4]TableDesign!#REF!</definedName>
    <definedName name="D_FUEL_GAUGE">[4]TableDesign!#REF!</definedName>
    <definedName name="D_GAUGE_FUEL_WTTEMP" localSheetId="4">[3]ﾃﾞｰﾀﾍﾞｰｽ変更点!#REF!</definedName>
    <definedName name="D_GAUGE_FUEL_WTTEMP">[3]ﾃﾞｰﾀﾍﾞｰｽ変更点!#REF!</definedName>
    <definedName name="D_GIS_DEFINE" localSheetId="4">[4]TableDesign!#REF!</definedName>
    <definedName name="D_GIS_DEFINE">[4]TableDesign!#REF!</definedName>
    <definedName name="D_GPS" localSheetId="4">[3]ﾃﾞｰﾀﾍﾞｰｽ変更点!#REF!</definedName>
    <definedName name="D_GPS">[3]ﾃﾞｰﾀﾍﾞｰｽ変更点!#REF!</definedName>
    <definedName name="D_GRANT_AUTHORITY" localSheetId="4">[3]ﾃﾞｰﾀﾍﾞｰｽ変更点!#REF!</definedName>
    <definedName name="D_GRANT_AUTHORITY">[3]ﾃﾞｰﾀﾍﾞｰｽ変更点!#REF!</definedName>
    <definedName name="D_GROUP_MASTER" localSheetId="4">[3]ﾃﾞｰﾀﾍﾞｰｽ変更点!#REF!</definedName>
    <definedName name="D_GROUP_MASTER">[3]ﾃﾞｰﾀﾍﾞｰｽ変更点!#REF!</definedName>
    <definedName name="D_IGNORE_CAUTION" localSheetId="4">[5]テーブル設計!#REF!</definedName>
    <definedName name="D_IGNORE_CAUTION">[5]テーブル設計!#REF!</definedName>
    <definedName name="D_IGNORE_ERROR" localSheetId="4">[5]テーブル設計!#REF!</definedName>
    <definedName name="D_IGNORE_ERROR">[5]テーブル設計!#REF!</definedName>
    <definedName name="D_INFORM_MASTER" localSheetId="4">[3]ﾃﾞｰﾀﾍﾞｰｽ変更点!#REF!</definedName>
    <definedName name="D_INFORM_MASTER">[3]ﾃﾞｰﾀﾍﾞｰｽ変更点!#REF!</definedName>
    <definedName name="D_INFORMATION" localSheetId="4">[3]ﾃﾞｰﾀﾍﾞｰｽ変更点!#REF!</definedName>
    <definedName name="D_INFORMATION">[3]ﾃﾞｰﾀﾍﾞｰｽ変更点!#REF!</definedName>
    <definedName name="D_INFORMATION_READED" localSheetId="4">[3]ﾃﾞｰﾀﾍﾞｰｽ変更点!#REF!</definedName>
    <definedName name="D_INFORMATION_READED">[3]ﾃﾞｰﾀﾍﾞｰｽ変更点!#REF!</definedName>
    <definedName name="D_INVALID_PART_TERMINAL" localSheetId="4">[5]テーブル設計!#REF!</definedName>
    <definedName name="D_INVALID_PART_TERMINAL">[5]テーブル設計!#REF!</definedName>
    <definedName name="D_KIND_MASTER" localSheetId="4">[3]ﾃﾞｰﾀﾍﾞｰｽ変更点!#REF!</definedName>
    <definedName name="D_KIND_MASTER">[3]ﾃﾞｰﾀﾍﾞｰｽ変更点!#REF!</definedName>
    <definedName name="D_KRO_APPLICATION" localSheetId="4">[3]ﾃﾞｰﾀﾍﾞｰｽ変更点!#REF!</definedName>
    <definedName name="D_KRO_APPLICATION">[3]ﾃﾞｰﾀﾍﾞｰｽ変更点!#REF!</definedName>
    <definedName name="D_KRO_APPLICATION_DATA" localSheetId="4">[3]ﾃﾞｰﾀﾍﾞｰｽ変更点!#REF!</definedName>
    <definedName name="D_KRO_APPLICATION_DATA">[3]ﾃﾞｰﾀﾍﾞｰｽ変更点!#REF!</definedName>
    <definedName name="D_KRO_COMPLETION" localSheetId="4">[3]ﾃﾞｰﾀﾍﾞｰｽ変更点!#REF!</definedName>
    <definedName name="D_KRO_COMPLETION">[3]ﾃﾞｰﾀﾍﾞｰｽ変更点!#REF!</definedName>
    <definedName name="D_KRO_COMPLETION_DATA" localSheetId="4">[3]ﾃﾞｰﾀﾍﾞｰｽ変更点!#REF!</definedName>
    <definedName name="D_KRO_COMPLETION_DATA">[3]ﾃﾞｰﾀﾍﾞｰｽ変更点!#REF!</definedName>
    <definedName name="D_KRO_EMERGENCY" localSheetId="4">[5]テーブル設計!#REF!</definedName>
    <definedName name="D_KRO_EMERGENCY">[5]テーブル設計!#REF!</definedName>
    <definedName name="D_KRO_REPORT" localSheetId="4">[3]ﾃﾞｰﾀﾍﾞｰｽ変更点!#REF!</definedName>
    <definedName name="D_KRO_REPORT">[3]ﾃﾞｰﾀﾍﾞｰｽ変更点!#REF!</definedName>
    <definedName name="D_LANDMARK" localSheetId="4">[3]ﾃﾞｰﾀﾍﾞｰｽ変更点!#REF!</definedName>
    <definedName name="D_LANDMARK">[3]ﾃﾞｰﾀﾍﾞｰｽ変更点!#REF!</definedName>
    <definedName name="D_LANDMARK_CLASS" localSheetId="4">[3]ﾃﾞｰﾀﾍﾞｰｽ変更点!#REF!</definedName>
    <definedName name="D_LANDMARK_CLASS">[3]ﾃﾞｰﾀﾍﾞｰｽ変更点!#REF!</definedName>
    <definedName name="D_LOGON_HISTORY" localSheetId="4">[3]ﾃﾞｰﾀﾍﾞｰｽ変更点!#REF!</definedName>
    <definedName name="D_LOGON_HISTORY">[3]ﾃﾞｰﾀﾍﾞｰｽ変更点!#REF!</definedName>
    <definedName name="D_MACHINE_ERROR" localSheetId="4">[4]TableDesign!#REF!</definedName>
    <definedName name="D_MACHINE_ERROR">[4]TableDesign!#REF!</definedName>
    <definedName name="D_MACHINE_STATUS_MASTER" localSheetId="4">[3]ﾃﾞｰﾀﾍﾞｰｽ変更点!#REF!</definedName>
    <definedName name="D_MACHINE_STATUS_MASTER">[3]ﾃﾞｰﾀﾍﾞｰｽ変更点!#REF!</definedName>
    <definedName name="D_MAINTENANCE_DATA" localSheetId="4">[3]ﾃﾞｰﾀﾍﾞｰｽ変更点!#REF!</definedName>
    <definedName name="D_MAINTENANCE_DATA">[3]ﾃﾞｰﾀﾍﾞｰｽ変更点!#REF!</definedName>
    <definedName name="D_MAINTENANCE_INFORM" localSheetId="4">[3]ﾃﾞｰﾀﾍﾞｰｽ変更点!#REF!</definedName>
    <definedName name="D_MAINTENANCE_INFORM">[3]ﾃﾞｰﾀﾍﾞｰｽ変更点!#REF!</definedName>
    <definedName name="D_MAINTENANCE_MASTER" localSheetId="4">[3]ﾃﾞｰﾀﾍﾞｰｽ変更点!#REF!</definedName>
    <definedName name="D_MAINTENANCE_MASTER">[3]ﾃﾞｰﾀﾍﾞｰｽ変更点!#REF!</definedName>
    <definedName name="D_MAINTENANCE_TIME" localSheetId="4">[4]TableDesign!#REF!</definedName>
    <definedName name="D_MAINTENANCE_TIME">[4]TableDesign!#REF!</definedName>
    <definedName name="D_MAKER_MASTER" localSheetId="4">[3]ﾃﾞｰﾀﾍﾞｰｽ変更点!#REF!</definedName>
    <definedName name="D_MAKER_MASTER">[3]ﾃﾞｰﾀﾍﾞｰｽ変更点!#REF!</definedName>
    <definedName name="D_MARK_MACHINE" localSheetId="4">[4]TableDesign!#REF!</definedName>
    <definedName name="D_MARK_MACHINE">[4]TableDesign!#REF!</definedName>
    <definedName name="D_MARK_NOTIFICATION" localSheetId="4">[4]TableDesign!#REF!</definedName>
    <definedName name="D_MARK_NOTIFICATION">[4]TableDesign!#REF!</definedName>
    <definedName name="D_MARK_NOTIFICATION_DETAIL" localSheetId="4">[4]TableDesign!#REF!</definedName>
    <definedName name="D_MARK_NOTIFICATION_DETAIL">[4]TableDesign!#REF!</definedName>
    <definedName name="D_MEMO" localSheetId="4">[3]ﾃﾞｰﾀﾍﾞｰｽ変更点!#REF!</definedName>
    <definedName name="D_MEMO">[3]ﾃﾞｰﾀﾍﾞｰｽ変更点!#REF!</definedName>
    <definedName name="D_MEMORY_MODIFY" localSheetId="4">[3]ﾃﾞｰﾀﾍﾞｰｽ変更点!#REF!</definedName>
    <definedName name="D_MEMORY_MODIFY">[3]ﾃﾞｰﾀﾍﾞｰｽ変更点!#REF!</definedName>
    <definedName name="D_MEMORY_MODIFY_DATA" localSheetId="4">[3]ﾃﾞｰﾀﾍﾞｰｽ変更点!#REF!</definedName>
    <definedName name="D_MEMORY_MODIFY_DATA">[3]ﾃﾞｰﾀﾍﾞｰｽ変更点!#REF!</definedName>
    <definedName name="D_MESSAGE" localSheetId="4">[3]ﾃﾞｰﾀﾍﾞｰｽ変更点!#REF!</definedName>
    <definedName name="D_MESSAGE">[3]ﾃﾞｰﾀﾍﾞｰｽ変更点!#REF!</definedName>
    <definedName name="D_MESSAGE_MASTER" localSheetId="4">[3]ﾃﾞｰﾀﾍﾞｰｽ変更点!#REF!</definedName>
    <definedName name="D_MESSAGE_MASTER">[3]ﾃﾞｰﾀﾍﾞｰｽ変更点!#REF!</definedName>
    <definedName name="D_MONTHLY_ATT_SMR" localSheetId="4">[4]TableDesign!#REF!</definedName>
    <definedName name="D_MONTHLY_ATT_SMR">[4]TableDesign!#REF!</definedName>
    <definedName name="D_MONTHLY_ERROR" localSheetId="4">[4]TableDesign!#REF!</definedName>
    <definedName name="D_MONTHLY_ERROR">[4]TableDesign!#REF!</definedName>
    <definedName name="D_MONTHLY_LOAD" localSheetId="4">[4]TableDesign!#REF!</definedName>
    <definedName name="D_MONTHLY_LOAD">[4]TableDesign!#REF!</definedName>
    <definedName name="D_MONTHLY_MOVEMENT" localSheetId="4">[4]TableDesign!#REF!</definedName>
    <definedName name="D_MONTHLY_MOVEMENT">[4]TableDesign!#REF!</definedName>
    <definedName name="D_MONTHLY_OPERATION" localSheetId="4">[4]TableDesign!#REF!</definedName>
    <definedName name="D_MONTHLY_OPERATION">[4]TableDesign!#REF!</definedName>
    <definedName name="D_MONTHLY_SMR" localSheetId="4">[4]TableDesign!#REF!</definedName>
    <definedName name="D_MONTHLY_SMR">[4]TableDesign!#REF!</definedName>
    <definedName name="D_MONTHLY_WORKING_SMR" localSheetId="4">[4]TableDesign!#REF!</definedName>
    <definedName name="D_MONTHLY_WORKING_SMR">[4]TableDesign!#REF!</definedName>
    <definedName name="D_MONTLY_LOAD" localSheetId="4">[4]TableDesign!#REF!</definedName>
    <definedName name="D_MONTLY_LOAD">[4]TableDesign!#REF!</definedName>
    <definedName name="D_MULTI_OPE" localSheetId="4">[3]ﾃﾞｰﾀﾍﾞｰｽ変更点!#REF!</definedName>
    <definedName name="D_MULTI_OPE">[3]ﾃﾞｰﾀﾍﾞｰｽ変更点!#REF!</definedName>
    <definedName name="D_MULTI_OPE_DATA" localSheetId="4">[5]テーブル設計!#REF!</definedName>
    <definedName name="D_MULTI_OPE_DATA">[5]テーブル設計!#REF!</definedName>
    <definedName name="D_NLS_DB_RESOURCE" localSheetId="4">[4]TableDesign!#REF!</definedName>
    <definedName name="D_NLS_DB_RESOURCE">[4]TableDesign!#REF!</definedName>
    <definedName name="D_NLS_LANG" localSheetId="4">[4]TableDesign!#REF!</definedName>
    <definedName name="D_NLS_LANG">[4]TableDesign!#REF!</definedName>
    <definedName name="D_NLS_RESOURCE" localSheetId="4">[4]TableDesign!#REF!</definedName>
    <definedName name="D_NLS_RESOURCE">[4]TableDesign!#REF!</definedName>
    <definedName name="D_NOT_ACTIVE" localSheetId="4">[3]ﾃﾞｰﾀﾍﾞｰｽ変更点!#REF!</definedName>
    <definedName name="D_NOT_ACTIVE">[3]ﾃﾞｰﾀﾍﾞｰｽ変更点!#REF!</definedName>
    <definedName name="D_OPERATION_CATEGORY" localSheetId="4">[4]TableDesign!#REF!</definedName>
    <definedName name="D_OPERATION_CATEGORY">[4]TableDesign!#REF!</definedName>
    <definedName name="D_OPERATION_CLASS" localSheetId="4">[5]テーブル設計!#REF!</definedName>
    <definedName name="D_OPERATION_CLASS">[5]テーブル設計!#REF!</definedName>
    <definedName name="D_OPERATION_LOG" localSheetId="4">[3]ﾃﾞｰﾀﾍﾞｰｽ変更点!#REF!</definedName>
    <definedName name="D_OPERATION_LOG">[3]ﾃﾞｰﾀﾍﾞｰｽ変更点!#REF!</definedName>
    <definedName name="D_OPERATION_LOG2" localSheetId="4">[5]テーブル設計!#REF!</definedName>
    <definedName name="D_OPERATION_LOG2">[5]テーブル設計!#REF!</definedName>
    <definedName name="D_OPERATION_MAP" localSheetId="4">[4]TableDesign!#REF!</definedName>
    <definedName name="D_OPERATION_MAP">[4]TableDesign!#REF!</definedName>
    <definedName name="D_OPERATION_MASTER" localSheetId="4">[5]テーブル設計!#REF!</definedName>
    <definedName name="D_OPERATION_MASTER">[5]テーブル設計!#REF!</definedName>
    <definedName name="D_ORBCOMM" localSheetId="4">[3]ﾃﾞｰﾀﾍﾞｰｽ変更点!#REF!</definedName>
    <definedName name="D_ORBCOMM">[3]ﾃﾞｰﾀﾍﾞｰｽ変更点!#REF!</definedName>
    <definedName name="D_ORBCOMM_OWNER_HISTORY" localSheetId="4">[3]ﾃﾞｰﾀﾍﾞｰｽ変更点!#REF!</definedName>
    <definedName name="D_ORBCOMM_OWNER_HISTORY">[3]ﾃﾞｰﾀﾍﾞｰｽ変更点!#REF!</definedName>
    <definedName name="D_PLANT_CAR" localSheetId="4">[5]テーブル設計!#REF!</definedName>
    <definedName name="D_PLANT_CAR">[5]テーブル設計!#REF!</definedName>
    <definedName name="D_PLANT_ERROR" localSheetId="4">[5]テーブル設計!#REF!</definedName>
    <definedName name="D_PLANT_ERROR">[5]テーブル設計!#REF!</definedName>
    <definedName name="D_PLANT_GPS" localSheetId="4">[5]テーブル設計!#REF!</definedName>
    <definedName name="D_PLANT_GPS">[5]テーブル設計!#REF!</definedName>
    <definedName name="D_PREVENT_THEFT_KEY" localSheetId="4">[3]ﾃﾞｰﾀﾍﾞｰｽ変更点!#REF!</definedName>
    <definedName name="D_PREVENT_THEFT_KEY">[3]ﾃﾞｰﾀﾍﾞｰｽ変更点!#REF!</definedName>
    <definedName name="D_PRIVATE_TARGET_CAR" localSheetId="4">[3]ﾃﾞｰﾀﾍﾞｰｽ変更点!#REF!</definedName>
    <definedName name="D_PRIVATE_TARGET_CAR">[3]ﾃﾞｰﾀﾍﾞｰｽ変更点!#REF!</definedName>
    <definedName name="D_RECEIVE_LIST" localSheetId="4">[5]テーブル設計!#REF!</definedName>
    <definedName name="D_RECEIVE_LIST">[5]テーブル設計!#REF!</definedName>
    <definedName name="D_RECEIVE_LOG" localSheetId="4">[3]ﾃﾞｰﾀﾍﾞｰｽ変更点!#REF!</definedName>
    <definedName name="D_RECEIVE_LOG">[3]ﾃﾞｰﾀﾍﾞｰｽ変更点!#REF!</definedName>
    <definedName name="D_REGION_DATA" localSheetId="4">[4]TableDesign!#REF!</definedName>
    <definedName name="D_REGION_DATA">[4]TableDesign!#REF!</definedName>
    <definedName name="D_REGION_MASTER" localSheetId="4">[4]TableDesign!#REF!</definedName>
    <definedName name="D_REGION_MASTER">[4]TableDesign!#REF!</definedName>
    <definedName name="D_RENTAL_TERMINAL" localSheetId="4">[5]テーブル設計!#REF!</definedName>
    <definedName name="D_RENTAL_TERMINAL">[5]テーブル設計!#REF!</definedName>
    <definedName name="D_REQUEST" localSheetId="4">[3]ﾃﾞｰﾀﾍﾞｰｽ変更点!#REF!</definedName>
    <definedName name="D_REQUEST">[3]ﾃﾞｰﾀﾍﾞｰｽ変更点!#REF!</definedName>
    <definedName name="D_REQUEST_COUNT" localSheetId="4">[3]ﾃﾞｰﾀﾍﾞｰｽ変更点!#REF!</definedName>
    <definedName name="D_REQUEST_COUNT">[3]ﾃﾞｰﾀﾍﾞｰｽ変更点!#REF!</definedName>
    <definedName name="D_REQUEST_LOG" localSheetId="4">[3]ﾃﾞｰﾀﾍﾞｰｽ変更点!#REF!</definedName>
    <definedName name="D_REQUEST_LOG">[3]ﾃﾞｰﾀﾍﾞｰｽ変更点!#REF!</definedName>
    <definedName name="D_RIVATE_TARGET_CAR" localSheetId="4">[4]TableDesign!#REF!</definedName>
    <definedName name="D_RIVATE_TARGET_CAR">[4]TableDesign!#REF!</definedName>
    <definedName name="D_RUNNING_LOG" localSheetId="4">[3]ﾃﾞｰﾀﾍﾞｰｽ変更点!#REF!</definedName>
    <definedName name="D_RUNNING_LOG">[3]ﾃﾞｰﾀﾍﾞｰｽ変更点!#REF!</definedName>
    <definedName name="D_SAVE_INFORMATION" localSheetId="4">[5]テーブル設計!#REF!</definedName>
    <definedName name="D_SAVE_INFORMATION">[5]テーブル設計!#REF!</definedName>
    <definedName name="D_SELFCARINSPECTION" localSheetId="4">[3]ﾃﾞｰﾀﾍﾞｰｽ変更点!#REF!</definedName>
    <definedName name="D_SELFCARINSPECTION">[3]ﾃﾞｰﾀﾍﾞｰｽ変更点!#REF!</definedName>
    <definedName name="D_SEND_LIST" localSheetId="4">[5]テーブル設計!#REF!</definedName>
    <definedName name="D_SEND_LIST">[5]テーブル設計!#REF!</definedName>
    <definedName name="D_SEND_LOG" localSheetId="4">[5]テーブル設計!#REF!</definedName>
    <definedName name="D_SEND_LOG">[5]テーブル設計!#REF!</definedName>
    <definedName name="D_SERVER_COMMUNICATION" localSheetId="4">[4]TableDesign!#REF!</definedName>
    <definedName name="D_SERVER_COMMUNICATION">[4]TableDesign!#REF!</definedName>
    <definedName name="D_SERVER_INFORMATION" localSheetId="4">[3]ﾃﾞｰﾀﾍﾞｰｽ変更点!#REF!</definedName>
    <definedName name="D_SERVER_INFORMATION">[3]ﾃﾞｰﾀﾍﾞｰｽ変更点!#REF!</definedName>
    <definedName name="D_SERVICE_METER" localSheetId="4">[3]ﾃﾞｰﾀﾍﾞｰｽ変更点!#REF!</definedName>
    <definedName name="D_SERVICE_METER">[3]ﾃﾞｰﾀﾍﾞｰｽ変更点!#REF!</definedName>
    <definedName name="D_SERVICE_METER2" localSheetId="4">[5]テーブル設計!#REF!</definedName>
    <definedName name="D_SERVICE_METER2">[5]テーブル設計!#REF!</definedName>
    <definedName name="D_SERVICEMAN" localSheetId="4">[5]テーブル設計!#REF!</definedName>
    <definedName name="D_SERVICEMAN">[5]テーブル設計!#REF!</definedName>
    <definedName name="D_SERVICEMAN_CHARGE" localSheetId="4">[5]テーブル設計!#REF!</definedName>
    <definedName name="D_SERVICEMAN_CHARGE">[5]テーブル設計!#REF!</definedName>
    <definedName name="D_SHIPMENT" localSheetId="4">[3]ﾃﾞｰﾀﾍﾞｰｽ変更点!#REF!</definedName>
    <definedName name="D_SHIPMENT">[3]ﾃﾞｰﾀﾍﾞｰｽ変更点!#REF!</definedName>
    <definedName name="D_SHOW" localSheetId="4">[3]ﾃﾞｰﾀﾍﾞｰｽ変更点!#REF!</definedName>
    <definedName name="D_SHOW">[3]ﾃﾞｰﾀﾍﾞｰｽ変更点!#REF!</definedName>
    <definedName name="D_SHOW_GROUP" localSheetId="4">[3]ﾃﾞｰﾀﾍﾞｰｽ変更点!#REF!</definedName>
    <definedName name="D_SHOW_GROUP">[3]ﾃﾞｰﾀﾍﾞｰｽ変更点!#REF!</definedName>
    <definedName name="D_SPECIAL_AREA" localSheetId="4">[3]ﾃﾞｰﾀﾍﾞｰｽ変更点!#REF!</definedName>
    <definedName name="D_SPECIAL_AREA">[3]ﾃﾞｰﾀﾍﾞｰｽ変更点!#REF!</definedName>
    <definedName name="D_SUB_GROUP" localSheetId="4">[4]TableDesign!#REF!</definedName>
    <definedName name="D_SUB_GROUP">[4]TableDesign!#REF!</definedName>
    <definedName name="D_SUB_GROUP_CAR" localSheetId="4">[4]TableDesign!#REF!</definedName>
    <definedName name="D_SUB_GROUP_CAR">[4]TableDesign!#REF!</definedName>
    <definedName name="D_SYSTEM_COMMTERM_INFO" localSheetId="4">[3]ﾃﾞｰﾀﾍﾞｰｽ変更点!#REF!</definedName>
    <definedName name="D_SYSTEM_COMMTERM_INFO">[3]ﾃﾞｰﾀﾍﾞｰｽ変更点!#REF!</definedName>
    <definedName name="D_SYSTEM_LOG" localSheetId="4">[3]ﾃﾞｰﾀﾍﾞｰｽ変更点!#REF!</definedName>
    <definedName name="D_SYSTEM_LOG">[3]ﾃﾞｰﾀﾍﾞｰｽ変更点!#REF!</definedName>
    <definedName name="D_SYSTEM_NOTICE" localSheetId="4">[3]ﾃﾞｰﾀﾍﾞｰｽ変更点!#REF!</definedName>
    <definedName name="D_SYSTEM_NOTICE">[3]ﾃﾞｰﾀﾍﾞｰｽ変更点!#REF!</definedName>
    <definedName name="D_TARGET" localSheetId="4">[3]ﾃﾞｰﾀﾍﾞｰｽ変更点!#REF!</definedName>
    <definedName name="D_TARGET">[3]ﾃﾞｰﾀﾍﾞｰｽ変更点!#REF!</definedName>
    <definedName name="D_TARGET_CAR" localSheetId="4">[3]ﾃﾞｰﾀﾍﾞｰｽ変更点!#REF!</definedName>
    <definedName name="D_TARGET_CAR">[3]ﾃﾞｰﾀﾍﾞｰｽ変更点!#REF!</definedName>
    <definedName name="D_TERMINAL_AREA" localSheetId="4">[3]ﾃﾞｰﾀﾍﾞｰｽ変更点!#REF!</definedName>
    <definedName name="D_TERMINAL_AREA">[3]ﾃﾞｰﾀﾍﾞｰｽ変更点!#REF!</definedName>
    <definedName name="D_TERMINAL_CAUTION" localSheetId="4">[3]ﾃﾞｰﾀﾍﾞｰｽ変更点!#REF!</definedName>
    <definedName name="D_TERMINAL_CAUTION">[3]ﾃﾞｰﾀﾍﾞｰｽ変更点!#REF!</definedName>
    <definedName name="D_TERMINAL_ERROR" localSheetId="4">[3]ﾃﾞｰﾀﾍﾞｰｽ変更点!#REF!</definedName>
    <definedName name="D_TERMINAL_ERROR">[3]ﾃﾞｰﾀﾍﾞｰｽ変更点!#REF!</definedName>
    <definedName name="D_TERMINAL_KIND" localSheetId="4">[3]ﾃﾞｰﾀﾍﾞｰｽ変更点!#REF!</definedName>
    <definedName name="D_TERMINAL_KIND">[3]ﾃﾞｰﾀﾍﾞｰｽ変更点!#REF!</definedName>
    <definedName name="D_TERMINAL_MASTER" localSheetId="4">[3]ﾃﾞｰﾀﾍﾞｰｽ変更点!#REF!</definedName>
    <definedName name="D_TERMINAL_MASTER">[3]ﾃﾞｰﾀﾍﾞｰｽ変更点!#REF!</definedName>
    <definedName name="D_TERMINAL_PART_MASTER" localSheetId="4">[3]ﾃﾞｰﾀﾍﾞｰｽ変更点!#REF!</definedName>
    <definedName name="D_TERMINAL_PART_MASTER">[3]ﾃﾞｰﾀﾍﾞｰｽ変更点!#REF!</definedName>
    <definedName name="D_TYPE_MASTER" localSheetId="4">[3]ﾃﾞｰﾀﾍﾞｰｽ変更点!#REF!</definedName>
    <definedName name="D_TYPE_MASTER">[3]ﾃﾞｰﾀﾍﾞｰｽ変更点!#REF!</definedName>
    <definedName name="D_UFO" localSheetId="4">[3]ﾃﾞｰﾀﾍﾞｰｽ変更点!#REF!</definedName>
    <definedName name="D_UFO">[3]ﾃﾞｰﾀﾍﾞｰｽ変更点!#REF!</definedName>
    <definedName name="D_UNRELIABLE_RECEIVE" localSheetId="4">[3]ﾃﾞｰﾀﾍﾞｰｽ変更点!#REF!</definedName>
    <definedName name="D_UNRELIABLE_RECEIVE">[3]ﾃﾞｰﾀﾍﾞｰｽ変更点!#REF!</definedName>
    <definedName name="D_USER_MASTER" localSheetId="4">[3]ﾃﾞｰﾀﾍﾞｰｽ変更点!#REF!</definedName>
    <definedName name="D_USER_MASTER">[3]ﾃﾞｰﾀﾍﾞｰｽ変更点!#REF!</definedName>
    <definedName name="D_USER_TEMP" localSheetId="4">[3]ﾃﾞｰﾀﾍﾞｰｽ変更点!#REF!</definedName>
    <definedName name="D_USER_TEMP">[3]ﾃﾞｰﾀﾍﾞｰｽ変更点!#REF!</definedName>
    <definedName name="D_WATER_TEMP_GAUGE" localSheetId="4">[4]TableDesign!#REF!</definedName>
    <definedName name="D_WATER_TEMP_GAUGE">[4]TableDesign!#REF!</definedName>
    <definedName name="DBI" localSheetId="4">#REF!</definedName>
    <definedName name="DBI">#REF!</definedName>
    <definedName name="DD" localSheetId="4">'[6]DATA-COMMUNICATION-FORMAT'!#REF!</definedName>
    <definedName name="DD">'[6]DATA-COMMUNICATION-FORMAT'!#REF!</definedName>
    <definedName name="ddd" localSheetId="4" hidden="1">[7]基本仕様１!#REF!</definedName>
    <definedName name="ddd" hidden="1">[7]基本仕様１!#REF!</definedName>
    <definedName name="ＤＤＤＤＤ" localSheetId="2" hidden="1">{#N/A,#N/A,TRUE,"カスタマイズ仕様書";#N/A,#N/A,TRUE,"Ｉ・Ｏ関連表(1)";#N/A,#N/A,TRUE,"Ｉ・Ｏ関連表(2)";#N/A,#N/A,TRUE,"Ｉ・Ｏ関連表(3)";#N/A,#N/A,TRUE,"レポート記述書";#N/A,#N/A,TRUE,"画面記述書"}</definedName>
    <definedName name="ＤＤＤＤＤ" hidden="1">{#N/A,#N/A,TRUE,"カスタマイズ仕様書";#N/A,#N/A,TRUE,"Ｉ・Ｏ関連表(1)";#N/A,#N/A,TRUE,"Ｉ・Ｏ関連表(2)";#N/A,#N/A,TRUE,"Ｉ・Ｏ関連表(3)";#N/A,#N/A,TRUE,"レポート記述書";#N/A,#N/A,TRUE,"画面記述書"}</definedName>
    <definedName name="dictionary">[9]Dictionary!$D$14:$E$49</definedName>
    <definedName name="E_ACT_DATA" localSheetId="4">[3]ﾃﾞｰﾀﾍﾞｰｽ変更点!#REF!</definedName>
    <definedName name="E_ACT_DATA">[3]ﾃﾞｰﾀﾍﾞｰｽ変更点!#REF!</definedName>
    <definedName name="E_ACTUAL_OPERATION" localSheetId="4">[4]TableDesign!#REF!</definedName>
    <definedName name="E_ACTUAL_OPERATION">[4]TableDesign!#REF!</definedName>
    <definedName name="E_AREA" localSheetId="4">[3]ﾃﾞｰﾀﾍﾞｰｽ変更点!#REF!</definedName>
    <definedName name="E_AREA">[3]ﾃﾞｰﾀﾍﾞｰｽ変更点!#REF!</definedName>
    <definedName name="E_AREA_DEFINE" localSheetId="4">[3]ﾃﾞｰﾀﾍﾞｰｽ変更点!#REF!</definedName>
    <definedName name="E_AREA_DEFINE">[3]ﾃﾞｰﾀﾍﾞｰｽ変更点!#REF!</definedName>
    <definedName name="E_AREA_INIT" localSheetId="4">[3]ﾃﾞｰﾀﾍﾞｰｽ変更点!#REF!</definedName>
    <definedName name="E_AREA_INIT">[3]ﾃﾞｰﾀﾍﾞｰｽ変更点!#REF!</definedName>
    <definedName name="E_AREA_MASTER" localSheetId="4">[3]ﾃﾞｰﾀﾍﾞｰｽ変更点!#REF!</definedName>
    <definedName name="E_AREA_MASTER">[3]ﾃﾞｰﾀﾍﾞｰｽ変更点!#REF!</definedName>
    <definedName name="E_ASK" localSheetId="4">[3]ﾃﾞｰﾀﾍﾞｰｽ変更点!#REF!</definedName>
    <definedName name="E_ASK">[3]ﾃﾞｰﾀﾍﾞｰｽ変更点!#REF!</definedName>
    <definedName name="E_ASK_LOG" localSheetId="4">[5]テーブル設計!#REF!</definedName>
    <definedName name="E_ASK_LOG">[5]テーブル設計!#REF!</definedName>
    <definedName name="E_ASK_SYSTEM" localSheetId="4">[3]ﾃﾞｰﾀﾍﾞｰｽ変更点!#REF!</definedName>
    <definedName name="E_ASK_SYSTEM">[3]ﾃﾞｰﾀﾍﾞｰｽ変更点!#REF!</definedName>
    <definedName name="E_ATC_ERROR" localSheetId="4">[5]テーブル設計!#REF!</definedName>
    <definedName name="E_ATC_ERROR">[5]テーブル設計!#REF!</definedName>
    <definedName name="E_AUTHORITY_GROUP" localSheetId="4">[3]ﾃﾞｰﾀﾍﾞｰｽ変更点!#REF!</definedName>
    <definedName name="E_AUTHORITY_GROUP">[3]ﾃﾞｰﾀﾍﾞｰｽ変更点!#REF!</definedName>
    <definedName name="E_AUTHORITY_GROUP_DATA" localSheetId="4">[3]ﾃﾞｰﾀﾍﾞｰｽ変更点!#REF!</definedName>
    <definedName name="E_AUTHORITY_GROUP_DATA">[3]ﾃﾞｰﾀﾍﾞｰｽ変更点!#REF!</definedName>
    <definedName name="E_AUTHORITY_MASTER" localSheetId="4">[5]テーブル設計!#REF!</definedName>
    <definedName name="E_AUTHORITY_MASTER">[5]テーブル設計!#REF!</definedName>
    <definedName name="E_BONDED_STORE" localSheetId="4">[5]テーブル設計!#REF!</definedName>
    <definedName name="E_BONDED_STORE">[5]テーブル設計!#REF!</definedName>
    <definedName name="E_CAR_DATA" localSheetId="4">[3]ﾃﾞｰﾀﾍﾞｰｽ変更点!#REF!</definedName>
    <definedName name="E_CAR_DATA">[3]ﾃﾞｰﾀﾍﾞｰｽ変更点!#REF!</definedName>
    <definedName name="E_CAR_MASTER" localSheetId="4">[3]ﾃﾞｰﾀﾍﾞｰｽ変更点!#REF!</definedName>
    <definedName name="E_CAR_MASTER">[3]ﾃﾞｰﾀﾍﾞｰｽ変更点!#REF!</definedName>
    <definedName name="E_CAR_MONTHLY_DATA" localSheetId="4">[3]ﾃﾞｰﾀﾍﾞｰｽ変更点!#REF!</definedName>
    <definedName name="E_CAR_MONTHLY_DATA">[3]ﾃﾞｰﾀﾍﾞｰｽ変更点!#REF!</definedName>
    <definedName name="E_CAR_OWNER_HISTORY" localSheetId="4">[3]ﾃﾞｰﾀﾍﾞｰｽ変更点!#REF!</definedName>
    <definedName name="E_CAR_OWNER_HISTORY">[3]ﾃﾞｰﾀﾍﾞｰｽ変更点!#REF!</definedName>
    <definedName name="E_CAUTION" localSheetId="4">[4]TableDesign!#REF!</definedName>
    <definedName name="E_CAUTION">[4]TableDesign!#REF!</definedName>
    <definedName name="E_CAUTION_DATA" localSheetId="4">[3]ﾃﾞｰﾀﾍﾞｰｽ変更点!#REF!</definedName>
    <definedName name="E_CAUTION_DATA">[3]ﾃﾞｰﾀﾍﾞｰｽ変更点!#REF!</definedName>
    <definedName name="E_CAUTION_ENABLED" localSheetId="4">[3]ﾃﾞｰﾀﾍﾞｰｽ変更点!#REF!</definedName>
    <definedName name="E_CAUTION_ENABLED">[3]ﾃﾞｰﾀﾍﾞｰｽ変更点!#REF!</definedName>
    <definedName name="E_CAUTION_ICON" localSheetId="4">[3]ﾃﾞｰﾀﾍﾞｰｽ変更点!#REF!</definedName>
    <definedName name="E_CAUTION_ICON">[3]ﾃﾞｰﾀﾍﾞｰｽ変更点!#REF!</definedName>
    <definedName name="E_CAUTION_INIT" localSheetId="4">[3]ﾃﾞｰﾀﾍﾞｰｽ変更点!#REF!</definedName>
    <definedName name="E_CAUTION_INIT">[3]ﾃﾞｰﾀﾍﾞｰｽ変更点!#REF!</definedName>
    <definedName name="E_CAUTION_MASTER" localSheetId="4">[3]ﾃﾞｰﾀﾍﾞｰｽ変更点!#REF!</definedName>
    <definedName name="E_CAUTION_MASTER">[3]ﾃﾞｰﾀﾍﾞｰｽ変更点!#REF!</definedName>
    <definedName name="E_CLASS1_MASTER" localSheetId="4">[3]ﾃﾞｰﾀﾍﾞｰｽ変更点!#REF!</definedName>
    <definedName name="E_CLASS1_MASTER">[3]ﾃﾞｰﾀﾍﾞｰｽ変更点!#REF!</definedName>
    <definedName name="E_CLASS2_MASTER" localSheetId="4">[3]ﾃﾞｰﾀﾍﾞｰｽ変更点!#REF!</definedName>
    <definedName name="E_CLASS2_MASTER">[3]ﾃﾞｰﾀﾍﾞｰｽ変更点!#REF!</definedName>
    <definedName name="E_COMM_DATA" localSheetId="4">[3]ﾃﾞｰﾀﾍﾞｰｽ変更点!#REF!</definedName>
    <definedName name="E_COMM_DATA">[3]ﾃﾞｰﾀﾍﾞｰｽ変更点!#REF!</definedName>
    <definedName name="E_COMM_STATUS_MASTER" localSheetId="4">[3]ﾃﾞｰﾀﾍﾞｰｽ変更点!#REF!</definedName>
    <definedName name="E_COMM_STATUS_MASTER">[3]ﾃﾞｰﾀﾍﾞｰｽ変更点!#REF!</definedName>
    <definedName name="E_CONFIG_DEFINE" localSheetId="4">[3]ﾃﾞｰﾀﾍﾞｰｽ変更点!#REF!</definedName>
    <definedName name="E_CONFIG_DEFINE">[3]ﾃﾞｰﾀﾍﾞｰｽ変更点!#REF!</definedName>
    <definedName name="E_CONFIG_FLAG" localSheetId="4">[5]テーブル設計!#REF!</definedName>
    <definedName name="E_CONFIG_FLAG">[5]テーブル設計!#REF!</definedName>
    <definedName name="E_CONFIG_INIT" localSheetId="4">[3]ﾃﾞｰﾀﾍﾞｰｽ変更点!#REF!</definedName>
    <definedName name="E_CONFIG_INIT">[3]ﾃﾞｰﾀﾍﾞｰｽ変更点!#REF!</definedName>
    <definedName name="E_CONFIG_PATTERN" localSheetId="4">[3]ﾃﾞｰﾀﾍﾞｰｽ変更点!#REF!</definedName>
    <definedName name="E_CONFIG_PATTERN">[3]ﾃﾞｰﾀﾍﾞｰｽ変更点!#REF!</definedName>
    <definedName name="E_CONFIG_PATTERN_DATA" localSheetId="4">[3]ﾃﾞｰﾀﾍﾞｰｽ変更点!#REF!</definedName>
    <definedName name="E_CONFIG_PATTERN_DATA">[3]ﾃﾞｰﾀﾍﾞｰｽ変更点!#REF!</definedName>
    <definedName name="E_CONFIG_USER_FLAG" localSheetId="4">[5]テーブル設計!#REF!</definedName>
    <definedName name="E_CONFIG_USER_FLAG">[5]テーブル設計!#REF!</definedName>
    <definedName name="E_CONTRACT" localSheetId="4">[5]テーブル設計!#REF!</definedName>
    <definedName name="E_CONTRACT">[5]テーブル設計!#REF!</definedName>
    <definedName name="E_CUSTOMER" localSheetId="4">[3]ﾃﾞｰﾀﾍﾞｰｽ変更点!#REF!</definedName>
    <definedName name="E_CUSTOMER">[3]ﾃﾞｰﾀﾍﾞｰｽ変更点!#REF!</definedName>
    <definedName name="E_CUSTOMER_CAR" localSheetId="4">[3]ﾃﾞｰﾀﾍﾞｰｽ変更点!#REF!</definedName>
    <definedName name="E_CUSTOMER_CAR">[3]ﾃﾞｰﾀﾍﾞｰｽ変更点!#REF!</definedName>
    <definedName name="E_CUSTOMER_MASTER" localSheetId="4">[4]TableDesign!#REF!</definedName>
    <definedName name="E_CUSTOMER_MASTER">[4]TableDesign!#REF!</definedName>
    <definedName name="E_DIVISION_MASTER" localSheetId="4">[3]ﾃﾞｰﾀﾍﾞｰｽ変更点!#REF!</definedName>
    <definedName name="E_DIVISION_MASTER">[3]ﾃﾞｰﾀﾍﾞｰｽ変更点!#REF!</definedName>
    <definedName name="E_DOPA" localSheetId="4">[3]ﾃﾞｰﾀﾍﾞｰｽ変更点!#REF!</definedName>
    <definedName name="E_DOPA">[3]ﾃﾞｰﾀﾍﾞｰｽ変更点!#REF!</definedName>
    <definedName name="E_DOPA_OWNER_HISTORY" localSheetId="4">[3]ﾃﾞｰﾀﾍﾞｰｽ変更点!#REF!</definedName>
    <definedName name="E_DOPA_OWNER_HISTORY">[3]ﾃﾞｰﾀﾍﾞｰｽ変更点!#REF!</definedName>
    <definedName name="E_DOPA_SERVER" localSheetId="4">[3]ﾃﾞｰﾀﾍﾞｰｽ変更点!#REF!</definedName>
    <definedName name="E_DOPA_SERVER">[3]ﾃﾞｰﾀﾍﾞｰｽ変更点!#REF!</definedName>
    <definedName name="E_EQUIPMENT_HISTORY" localSheetId="4">[3]ﾃﾞｰﾀﾍﾞｰｽ変更点!#REF!</definedName>
    <definedName name="E_EQUIPMENT_HISTORY">[3]ﾃﾞｰﾀﾍﾞｰｽ変更点!#REF!</definedName>
    <definedName name="E_ERROR" localSheetId="4">[3]ﾃﾞｰﾀﾍﾞｰｽ変更点!#REF!</definedName>
    <definedName name="E_ERROR">[3]ﾃﾞｰﾀﾍﾞｰｽ変更点!#REF!</definedName>
    <definedName name="E_ERROR_ENABLED" localSheetId="4">[3]ﾃﾞｰﾀﾍﾞｰｽ変更点!#REF!</definedName>
    <definedName name="E_ERROR_ENABLED">[3]ﾃﾞｰﾀﾍﾞｰｽ変更点!#REF!</definedName>
    <definedName name="E_ERROR_MASTER" localSheetId="4">[3]ﾃﾞｰﾀﾍﾞｰｽ変更点!#REF!</definedName>
    <definedName name="E_ERROR_MASTER">[3]ﾃﾞｰﾀﾍﾞｰｽ変更点!#REF!</definedName>
    <definedName name="E_EVENT_CATEGORY" localSheetId="4">[4]TableDesign!#REF!</definedName>
    <definedName name="E_EVENT_CATEGORY">[4]TableDesign!#REF!</definedName>
    <definedName name="E_EVENT_DIVISION" localSheetId="4">[3]ﾃﾞｰﾀﾍﾞｰｽ変更点!#REF!</definedName>
    <definedName name="E_EVENT_DIVISION">[3]ﾃﾞｰﾀﾍﾞｰｽ変更点!#REF!</definedName>
    <definedName name="E_EVENT_MASTER" localSheetId="4">[3]ﾃﾞｰﾀﾍﾞｰｽ変更点!#REF!</definedName>
    <definedName name="E_EVENT_MASTER">[3]ﾃﾞｰﾀﾍﾞｰｽ変更点!#REF!</definedName>
    <definedName name="E_EVENT_NOTICE" localSheetId="4">[3]ﾃﾞｰﾀﾍﾞｰｽ変更点!#REF!</definedName>
    <definedName name="E_EVENT_NOTICE">[3]ﾃﾞｰﾀﾍﾞｰｽ変更点!#REF!</definedName>
    <definedName name="E_FUEL_GAUGE" localSheetId="4">[4]TableDesign!#REF!</definedName>
    <definedName name="E_FUEL_GAUGE">[4]TableDesign!#REF!</definedName>
    <definedName name="E_GAUGE_FUEL_WTTEMP" localSheetId="4">[3]ﾃﾞｰﾀﾍﾞｰｽ変更点!#REF!</definedName>
    <definedName name="E_GAUGE_FUEL_WTTEMP">[3]ﾃﾞｰﾀﾍﾞｰｽ変更点!#REF!</definedName>
    <definedName name="E_GIS_DEFINE" localSheetId="4">[4]TableDesign!#REF!</definedName>
    <definedName name="E_GIS_DEFINE">[4]TableDesign!#REF!</definedName>
    <definedName name="E_GPS" localSheetId="4">[3]ﾃﾞｰﾀﾍﾞｰｽ変更点!#REF!</definedName>
    <definedName name="E_GPS">[3]ﾃﾞｰﾀﾍﾞｰｽ変更点!#REF!</definedName>
    <definedName name="E_GRANT_AUTHORITY" localSheetId="4">[3]ﾃﾞｰﾀﾍﾞｰｽ変更点!#REF!</definedName>
    <definedName name="E_GRANT_AUTHORITY">[3]ﾃﾞｰﾀﾍﾞｰｽ変更点!#REF!</definedName>
    <definedName name="E_GROUP_MASTER" localSheetId="4">[3]ﾃﾞｰﾀﾍﾞｰｽ変更点!#REF!</definedName>
    <definedName name="E_GROUP_MASTER">[3]ﾃﾞｰﾀﾍﾞｰｽ変更点!#REF!</definedName>
    <definedName name="E_IGNORE_CAUTION" localSheetId="4">[5]テーブル設計!#REF!</definedName>
    <definedName name="E_IGNORE_CAUTION">[5]テーブル設計!#REF!</definedName>
    <definedName name="E_IGNORE_ERROR" localSheetId="4">[5]テーブル設計!#REF!</definedName>
    <definedName name="E_IGNORE_ERROR">[5]テーブル設計!#REF!</definedName>
    <definedName name="E_INFORM_MASTER" localSheetId="4">[3]ﾃﾞｰﾀﾍﾞｰｽ変更点!#REF!</definedName>
    <definedName name="E_INFORM_MASTER">[3]ﾃﾞｰﾀﾍﾞｰｽ変更点!#REF!</definedName>
    <definedName name="E_INFORMATION" localSheetId="4">[3]ﾃﾞｰﾀﾍﾞｰｽ変更点!#REF!</definedName>
    <definedName name="E_INFORMATION">[3]ﾃﾞｰﾀﾍﾞｰｽ変更点!#REF!</definedName>
    <definedName name="E_INFORMATION_READED" localSheetId="4">[3]ﾃﾞｰﾀﾍﾞｰｽ変更点!#REF!</definedName>
    <definedName name="E_INFORMATION_READED">[3]ﾃﾞｰﾀﾍﾞｰｽ変更点!#REF!</definedName>
    <definedName name="E_INVALID_PART_TERMINAL" localSheetId="4">[5]テーブル設計!#REF!</definedName>
    <definedName name="E_INVALID_PART_TERMINAL">[5]テーブル設計!#REF!</definedName>
    <definedName name="E_KIND_MASTER" localSheetId="4">[3]ﾃﾞｰﾀﾍﾞｰｽ変更点!#REF!</definedName>
    <definedName name="E_KIND_MASTER">[3]ﾃﾞｰﾀﾍﾞｰｽ変更点!#REF!</definedName>
    <definedName name="E_KRO_APPLICATION" localSheetId="4">[3]ﾃﾞｰﾀﾍﾞｰｽ変更点!#REF!</definedName>
    <definedName name="E_KRO_APPLICATION">[3]ﾃﾞｰﾀﾍﾞｰｽ変更点!#REF!</definedName>
    <definedName name="E_KRO_APPLICATION_DATA" localSheetId="4">[3]ﾃﾞｰﾀﾍﾞｰｽ変更点!#REF!</definedName>
    <definedName name="E_KRO_APPLICATION_DATA">[3]ﾃﾞｰﾀﾍﾞｰｽ変更点!#REF!</definedName>
    <definedName name="E_KRO_COMPLETION" localSheetId="4">[3]ﾃﾞｰﾀﾍﾞｰｽ変更点!#REF!</definedName>
    <definedName name="E_KRO_COMPLETION">[3]ﾃﾞｰﾀﾍﾞｰｽ変更点!#REF!</definedName>
    <definedName name="E_KRO_COMPLETION_DATA" localSheetId="4">[3]ﾃﾞｰﾀﾍﾞｰｽ変更点!#REF!</definedName>
    <definedName name="E_KRO_COMPLETION_DATA">[3]ﾃﾞｰﾀﾍﾞｰｽ変更点!#REF!</definedName>
    <definedName name="E_KRO_EMERGENCY" localSheetId="4">[5]テーブル設計!#REF!</definedName>
    <definedName name="E_KRO_EMERGENCY">[5]テーブル設計!#REF!</definedName>
    <definedName name="E_KRO_REPORT" localSheetId="4">[3]ﾃﾞｰﾀﾍﾞｰｽ変更点!#REF!</definedName>
    <definedName name="E_KRO_REPORT">[3]ﾃﾞｰﾀﾍﾞｰｽ変更点!#REF!</definedName>
    <definedName name="E_LANDMARK" localSheetId="4">[3]ﾃﾞｰﾀﾍﾞｰｽ変更点!#REF!</definedName>
    <definedName name="E_LANDMARK">[3]ﾃﾞｰﾀﾍﾞｰｽ変更点!#REF!</definedName>
    <definedName name="E_LANDMARK_CLASS" localSheetId="4">[3]ﾃﾞｰﾀﾍﾞｰｽ変更点!#REF!</definedName>
    <definedName name="E_LANDMARK_CLASS">[3]ﾃﾞｰﾀﾍﾞｰｽ変更点!#REF!</definedName>
    <definedName name="E_LOGON_HISTORY" localSheetId="4">[3]ﾃﾞｰﾀﾍﾞｰｽ変更点!#REF!</definedName>
    <definedName name="E_LOGON_HISTORY">[3]ﾃﾞｰﾀﾍﾞｰｽ変更点!#REF!</definedName>
    <definedName name="E_MACHINE_ERROR" localSheetId="4">[4]TableDesign!#REF!</definedName>
    <definedName name="E_MACHINE_ERROR">[4]TableDesign!#REF!</definedName>
    <definedName name="E_MACHINE_STATUS_MASTER" localSheetId="4">[3]ﾃﾞｰﾀﾍﾞｰｽ変更点!#REF!</definedName>
    <definedName name="E_MACHINE_STATUS_MASTER">[3]ﾃﾞｰﾀﾍﾞｰｽ変更点!#REF!</definedName>
    <definedName name="E_MAINTENANCE_DATA" localSheetId="4">[3]ﾃﾞｰﾀﾍﾞｰｽ変更点!#REF!</definedName>
    <definedName name="E_MAINTENANCE_DATA">[3]ﾃﾞｰﾀﾍﾞｰｽ変更点!#REF!</definedName>
    <definedName name="E_MAINTENANCE_INFORM" localSheetId="4">[3]ﾃﾞｰﾀﾍﾞｰｽ変更点!#REF!</definedName>
    <definedName name="E_MAINTENANCE_INFORM">[3]ﾃﾞｰﾀﾍﾞｰｽ変更点!#REF!</definedName>
    <definedName name="E_MAINTENANCE_MASTER" localSheetId="4">[3]ﾃﾞｰﾀﾍﾞｰｽ変更点!#REF!</definedName>
    <definedName name="E_MAINTENANCE_MASTER">[3]ﾃﾞｰﾀﾍﾞｰｽ変更点!#REF!</definedName>
    <definedName name="E_MAINTENANCE_TIME" localSheetId="4">[4]TableDesign!#REF!</definedName>
    <definedName name="E_MAINTENANCE_TIME">[4]TableDesign!#REF!</definedName>
    <definedName name="E_MAKER_MASTER" localSheetId="4">[3]ﾃﾞｰﾀﾍﾞｰｽ変更点!#REF!</definedName>
    <definedName name="E_MAKER_MASTER">[3]ﾃﾞｰﾀﾍﾞｰｽ変更点!#REF!</definedName>
    <definedName name="E_MARK_MACHINE" localSheetId="4">[4]TableDesign!#REF!</definedName>
    <definedName name="E_MARK_MACHINE">[4]TableDesign!#REF!</definedName>
    <definedName name="E_MARK_NOTIFICATION" localSheetId="4">[4]TableDesign!#REF!</definedName>
    <definedName name="E_MARK_NOTIFICATION">[4]TableDesign!#REF!</definedName>
    <definedName name="E_MARK_NOTIFICATION_DETAIL" localSheetId="4">[4]TableDesign!#REF!</definedName>
    <definedName name="E_MARK_NOTIFICATION_DETAIL">[4]TableDesign!#REF!</definedName>
    <definedName name="E_MEMO" localSheetId="4">[3]ﾃﾞｰﾀﾍﾞｰｽ変更点!#REF!</definedName>
    <definedName name="E_MEMO">[3]ﾃﾞｰﾀﾍﾞｰｽ変更点!#REF!</definedName>
    <definedName name="E_MEMORY_MODIFY" localSheetId="4">[3]ﾃﾞｰﾀﾍﾞｰｽ変更点!#REF!</definedName>
    <definedName name="E_MEMORY_MODIFY">[3]ﾃﾞｰﾀﾍﾞｰｽ変更点!#REF!</definedName>
    <definedName name="E_MEMORY_MODIFY_DATA" localSheetId="4">[3]ﾃﾞｰﾀﾍﾞｰｽ変更点!#REF!</definedName>
    <definedName name="E_MEMORY_MODIFY_DATA">[3]ﾃﾞｰﾀﾍﾞｰｽ変更点!#REF!</definedName>
    <definedName name="E_MESSAGE" localSheetId="4">[3]ﾃﾞｰﾀﾍﾞｰｽ変更点!#REF!</definedName>
    <definedName name="E_MESSAGE">[3]ﾃﾞｰﾀﾍﾞｰｽ変更点!#REF!</definedName>
    <definedName name="E_MESSAGE_MASTER" localSheetId="4">[3]ﾃﾞｰﾀﾍﾞｰｽ変更点!#REF!</definedName>
    <definedName name="E_MESSAGE_MASTER">[3]ﾃﾞｰﾀﾍﾞｰｽ変更点!#REF!</definedName>
    <definedName name="E_MONTHLY_ATT_SMR" localSheetId="4">[4]TableDesign!#REF!</definedName>
    <definedName name="E_MONTHLY_ATT_SMR">[4]TableDesign!#REF!</definedName>
    <definedName name="E_MONTHLY_ERROR" localSheetId="4">[4]TableDesign!#REF!</definedName>
    <definedName name="E_MONTHLY_ERROR">[4]TableDesign!#REF!</definedName>
    <definedName name="E_MONTHLY_LOAD" localSheetId="4">[4]TableDesign!#REF!</definedName>
    <definedName name="E_MONTHLY_LOAD">[4]TableDesign!#REF!</definedName>
    <definedName name="E_MONTHLY_MOVEMENT" localSheetId="4">[4]TableDesign!#REF!</definedName>
    <definedName name="E_MONTHLY_MOVEMENT">[4]TableDesign!#REF!</definedName>
    <definedName name="E_MONTHLY_OPERATION" localSheetId="4">[4]TableDesign!#REF!</definedName>
    <definedName name="E_MONTHLY_OPERATION">[4]TableDesign!#REF!</definedName>
    <definedName name="E_MONTHLY_SMR" localSheetId="4">[4]TableDesign!#REF!</definedName>
    <definedName name="E_MONTHLY_SMR">[4]TableDesign!#REF!</definedName>
    <definedName name="E_MONTHLY_WORKING_SMR" localSheetId="4">[4]TableDesign!#REF!</definedName>
    <definedName name="E_MONTHLY_WORKING_SMR">[4]TableDesign!#REF!</definedName>
    <definedName name="E_MONTLY_LOAD" localSheetId="4">[4]TableDesign!#REF!</definedName>
    <definedName name="E_MONTLY_LOAD">[4]TableDesign!#REF!</definedName>
    <definedName name="E_MULTI_OPE" localSheetId="4">[3]ﾃﾞｰﾀﾍﾞｰｽ変更点!#REF!</definedName>
    <definedName name="E_MULTI_OPE">[3]ﾃﾞｰﾀﾍﾞｰｽ変更点!#REF!</definedName>
    <definedName name="E_MULTI_OPE_DATA" localSheetId="4">[5]テーブル設計!#REF!</definedName>
    <definedName name="E_MULTI_OPE_DATA">[5]テーブル設計!#REF!</definedName>
    <definedName name="E_NLS_DB_RESOURCE" localSheetId="4">[4]TableDesign!#REF!</definedName>
    <definedName name="E_NLS_DB_RESOURCE">[4]TableDesign!#REF!</definedName>
    <definedName name="E_NLS_LANG" localSheetId="4">[4]TableDesign!#REF!</definedName>
    <definedName name="E_NLS_LANG">[4]TableDesign!#REF!</definedName>
    <definedName name="E_NLS_RESOURCE" localSheetId="4">[4]TableDesign!#REF!</definedName>
    <definedName name="E_NLS_RESOURCE">[4]TableDesign!#REF!</definedName>
    <definedName name="E_NOT_ACTIVE" localSheetId="4">[3]ﾃﾞｰﾀﾍﾞｰｽ変更点!#REF!</definedName>
    <definedName name="E_NOT_ACTIVE">[3]ﾃﾞｰﾀﾍﾞｰｽ変更点!#REF!</definedName>
    <definedName name="E_OPERATION_CATEGORY" localSheetId="4">[4]TableDesign!#REF!</definedName>
    <definedName name="E_OPERATION_CATEGORY">[4]TableDesign!#REF!</definedName>
    <definedName name="E_OPERATION_CLASS" localSheetId="4">[5]テーブル設計!#REF!</definedName>
    <definedName name="E_OPERATION_CLASS">[5]テーブル設計!#REF!</definedName>
    <definedName name="E_OPERATION_LOG" localSheetId="4">[3]ﾃﾞｰﾀﾍﾞｰｽ変更点!#REF!</definedName>
    <definedName name="E_OPERATION_LOG">[3]ﾃﾞｰﾀﾍﾞｰｽ変更点!#REF!</definedName>
    <definedName name="E_OPERATION_LOG2" localSheetId="4">[5]テーブル設計!#REF!</definedName>
    <definedName name="E_OPERATION_LOG2">[5]テーブル設計!#REF!</definedName>
    <definedName name="E_OPERATION_MAP" localSheetId="4">[4]TableDesign!#REF!</definedName>
    <definedName name="E_OPERATION_MAP">[4]TableDesign!#REF!</definedName>
    <definedName name="E_OPERATION_MASTER" localSheetId="4">[5]テーブル設計!#REF!</definedName>
    <definedName name="E_OPERATION_MASTER">[5]テーブル設計!#REF!</definedName>
    <definedName name="E_ORBCOMM" localSheetId="4">[3]ﾃﾞｰﾀﾍﾞｰｽ変更点!#REF!</definedName>
    <definedName name="E_ORBCOMM">[3]ﾃﾞｰﾀﾍﾞｰｽ変更点!#REF!</definedName>
    <definedName name="E_ORBCOMM_OWNER_HISTORY" localSheetId="4">[3]ﾃﾞｰﾀﾍﾞｰｽ変更点!#REF!</definedName>
    <definedName name="E_ORBCOMM_OWNER_HISTORY">[3]ﾃﾞｰﾀﾍﾞｰｽ変更点!#REF!</definedName>
    <definedName name="E_PLANT_CAR" localSheetId="4">[5]テーブル設計!#REF!</definedName>
    <definedName name="E_PLANT_CAR">[5]テーブル設計!#REF!</definedName>
    <definedName name="E_PLANT_ERROR" localSheetId="4">[5]テーブル設計!#REF!</definedName>
    <definedName name="E_PLANT_ERROR">[5]テーブル設計!#REF!</definedName>
    <definedName name="E_PLANT_GPS" localSheetId="4">[5]テーブル設計!#REF!</definedName>
    <definedName name="E_PLANT_GPS">[5]テーブル設計!#REF!</definedName>
    <definedName name="E_PREVENT_THEFT_KEY" localSheetId="4">[3]ﾃﾞｰﾀﾍﾞｰｽ変更点!#REF!</definedName>
    <definedName name="E_PREVENT_THEFT_KEY">[3]ﾃﾞｰﾀﾍﾞｰｽ変更点!#REF!</definedName>
    <definedName name="E_PRIVATE_TARGET_CAR" localSheetId="4">[3]ﾃﾞｰﾀﾍﾞｰｽ変更点!#REF!</definedName>
    <definedName name="E_PRIVATE_TARGET_CAR">[3]ﾃﾞｰﾀﾍﾞｰｽ変更点!#REF!</definedName>
    <definedName name="E_RECEIVE_LIST" localSheetId="4">[5]テーブル設計!#REF!</definedName>
    <definedName name="E_RECEIVE_LIST">[5]テーブル設計!#REF!</definedName>
    <definedName name="E_RECEIVE_LOG" localSheetId="4">[3]ﾃﾞｰﾀﾍﾞｰｽ変更点!#REF!</definedName>
    <definedName name="E_RECEIVE_LOG">[3]ﾃﾞｰﾀﾍﾞｰｽ変更点!#REF!</definedName>
    <definedName name="E_REGION_DATA" localSheetId="4">[4]TableDesign!#REF!</definedName>
    <definedName name="E_REGION_DATA">[4]TableDesign!#REF!</definedName>
    <definedName name="E_REGION_MASTER" localSheetId="4">[4]TableDesign!#REF!</definedName>
    <definedName name="E_REGION_MASTER">[4]TableDesign!#REF!</definedName>
    <definedName name="E_RENTAL_TERMINAL" localSheetId="4">[5]テーブル設計!#REF!</definedName>
    <definedName name="E_RENTAL_TERMINAL">[5]テーブル設計!#REF!</definedName>
    <definedName name="E_REQUEST" localSheetId="4">[3]ﾃﾞｰﾀﾍﾞｰｽ変更点!#REF!</definedName>
    <definedName name="E_REQUEST">[3]ﾃﾞｰﾀﾍﾞｰｽ変更点!#REF!</definedName>
    <definedName name="E_REQUEST_COUNT" localSheetId="4">[3]ﾃﾞｰﾀﾍﾞｰｽ変更点!#REF!</definedName>
    <definedName name="E_REQUEST_COUNT">[3]ﾃﾞｰﾀﾍﾞｰｽ変更点!#REF!</definedName>
    <definedName name="E_REQUEST_LOG" localSheetId="4">[3]ﾃﾞｰﾀﾍﾞｰｽ変更点!#REF!</definedName>
    <definedName name="E_REQUEST_LOG">[3]ﾃﾞｰﾀﾍﾞｰｽ変更点!#REF!</definedName>
    <definedName name="E_RIVATE_TARGET_CAR" localSheetId="4">[4]TableDesign!#REF!</definedName>
    <definedName name="E_RIVATE_TARGET_CAR">[4]TableDesign!#REF!</definedName>
    <definedName name="E_RUNNING_LOG" localSheetId="4">[3]ﾃﾞｰﾀﾍﾞｰｽ変更点!#REF!</definedName>
    <definedName name="E_RUNNING_LOG">[3]ﾃﾞｰﾀﾍﾞｰｽ変更点!#REF!</definedName>
    <definedName name="E_SAVE_INFORMATION" localSheetId="4">[5]テーブル設計!#REF!</definedName>
    <definedName name="E_SAVE_INFORMATION">[5]テーブル設計!#REF!</definedName>
    <definedName name="E_SELFCARINSPECTION" localSheetId="4">[3]ﾃﾞｰﾀﾍﾞｰｽ変更点!#REF!</definedName>
    <definedName name="E_SELFCARINSPECTION">[3]ﾃﾞｰﾀﾍﾞｰｽ変更点!#REF!</definedName>
    <definedName name="E_SEND_LIST" localSheetId="4">[5]テーブル設計!#REF!</definedName>
    <definedName name="E_SEND_LIST">[5]テーブル設計!#REF!</definedName>
    <definedName name="E_SEND_LOG" localSheetId="4">[5]テーブル設計!#REF!</definedName>
    <definedName name="E_SEND_LOG">[5]テーブル設計!#REF!</definedName>
    <definedName name="E_SERVER_COMMUNICATION" localSheetId="4">[4]TableDesign!#REF!</definedName>
    <definedName name="E_SERVER_COMMUNICATION">[4]TableDesign!#REF!</definedName>
    <definedName name="E_SERVER_INFORMATION" localSheetId="4">[3]ﾃﾞｰﾀﾍﾞｰｽ変更点!#REF!</definedName>
    <definedName name="E_SERVER_INFORMATION">[3]ﾃﾞｰﾀﾍﾞｰｽ変更点!#REF!</definedName>
    <definedName name="E_SERVICE_METER" localSheetId="4">[3]ﾃﾞｰﾀﾍﾞｰｽ変更点!#REF!</definedName>
    <definedName name="E_SERVICE_METER">[3]ﾃﾞｰﾀﾍﾞｰｽ変更点!#REF!</definedName>
    <definedName name="E_SERVICE_METER2" localSheetId="4">[5]テーブル設計!#REF!</definedName>
    <definedName name="E_SERVICE_METER2">[5]テーブル設計!#REF!</definedName>
    <definedName name="E_SERVICEMAN" localSheetId="4">[5]テーブル設計!#REF!</definedName>
    <definedName name="E_SERVICEMAN">[5]テーブル設計!#REF!</definedName>
    <definedName name="E_SERVICEMAN_CHARGE" localSheetId="4">[5]テーブル設計!#REF!</definedName>
    <definedName name="E_SERVICEMAN_CHARGE">[5]テーブル設計!#REF!</definedName>
    <definedName name="E_SHIPMENT" localSheetId="4">[3]ﾃﾞｰﾀﾍﾞｰｽ変更点!#REF!</definedName>
    <definedName name="E_SHIPMENT">[3]ﾃﾞｰﾀﾍﾞｰｽ変更点!#REF!</definedName>
    <definedName name="E_SHOW" localSheetId="4">[3]ﾃﾞｰﾀﾍﾞｰｽ変更点!#REF!</definedName>
    <definedName name="E_SHOW">[3]ﾃﾞｰﾀﾍﾞｰｽ変更点!#REF!</definedName>
    <definedName name="E_SHOW_GROUP" localSheetId="4">[3]ﾃﾞｰﾀﾍﾞｰｽ変更点!#REF!</definedName>
    <definedName name="E_SHOW_GROUP">[3]ﾃﾞｰﾀﾍﾞｰｽ変更点!#REF!</definedName>
    <definedName name="E_SPECIAL_AREA" localSheetId="4">[3]ﾃﾞｰﾀﾍﾞｰｽ変更点!#REF!</definedName>
    <definedName name="E_SPECIAL_AREA">[3]ﾃﾞｰﾀﾍﾞｰｽ変更点!#REF!</definedName>
    <definedName name="E_SUB_GROUP" localSheetId="4">[4]TableDesign!#REF!</definedName>
    <definedName name="E_SUB_GROUP">[4]TableDesign!#REF!</definedName>
    <definedName name="E_SUB_GROUP_CAR" localSheetId="4">[4]TableDesign!#REF!</definedName>
    <definedName name="E_SUB_GROUP_CAR">[4]TableDesign!#REF!</definedName>
    <definedName name="E_SYSTEM_COMMTERM_INFO" localSheetId="4">[3]ﾃﾞｰﾀﾍﾞｰｽ変更点!#REF!</definedName>
    <definedName name="E_SYSTEM_COMMTERM_INFO">[3]ﾃﾞｰﾀﾍﾞｰｽ変更点!#REF!</definedName>
    <definedName name="E_SYSTEM_LOG" localSheetId="4">[3]ﾃﾞｰﾀﾍﾞｰｽ変更点!#REF!</definedName>
    <definedName name="E_SYSTEM_LOG">[3]ﾃﾞｰﾀﾍﾞｰｽ変更点!#REF!</definedName>
    <definedName name="E_SYSTEM_NOTICE" localSheetId="4">[3]ﾃﾞｰﾀﾍﾞｰｽ変更点!#REF!</definedName>
    <definedName name="E_SYSTEM_NOTICE">[3]ﾃﾞｰﾀﾍﾞｰｽ変更点!#REF!</definedName>
    <definedName name="E_TARGET" localSheetId="4">[3]ﾃﾞｰﾀﾍﾞｰｽ変更点!#REF!</definedName>
    <definedName name="E_TARGET">[3]ﾃﾞｰﾀﾍﾞｰｽ変更点!#REF!</definedName>
    <definedName name="E_TARGET_CAR" localSheetId="4">[3]ﾃﾞｰﾀﾍﾞｰｽ変更点!#REF!</definedName>
    <definedName name="E_TARGET_CAR">[3]ﾃﾞｰﾀﾍﾞｰｽ変更点!#REF!</definedName>
    <definedName name="E_TERMINAL_AREA" localSheetId="4">[3]ﾃﾞｰﾀﾍﾞｰｽ変更点!#REF!</definedName>
    <definedName name="E_TERMINAL_AREA">[3]ﾃﾞｰﾀﾍﾞｰｽ変更点!#REF!</definedName>
    <definedName name="E_TERMINAL_CAUTION" localSheetId="4">[3]ﾃﾞｰﾀﾍﾞｰｽ変更点!#REF!</definedName>
    <definedName name="E_TERMINAL_CAUTION">[3]ﾃﾞｰﾀﾍﾞｰｽ変更点!#REF!</definedName>
    <definedName name="E_TERMINAL_ERROR" localSheetId="4">[3]ﾃﾞｰﾀﾍﾞｰｽ変更点!#REF!</definedName>
    <definedName name="E_TERMINAL_ERROR">[3]ﾃﾞｰﾀﾍﾞｰｽ変更点!#REF!</definedName>
    <definedName name="E_TERMINAL_KIND" localSheetId="4">[3]ﾃﾞｰﾀﾍﾞｰｽ変更点!#REF!</definedName>
    <definedName name="E_TERMINAL_KIND">[3]ﾃﾞｰﾀﾍﾞｰｽ変更点!#REF!</definedName>
    <definedName name="E_TERMINAL_MASTER" localSheetId="4">[3]ﾃﾞｰﾀﾍﾞｰｽ変更点!#REF!</definedName>
    <definedName name="E_TERMINAL_MASTER">[3]ﾃﾞｰﾀﾍﾞｰｽ変更点!#REF!</definedName>
    <definedName name="E_TERMINAL_PART_MASTER" localSheetId="4">[3]ﾃﾞｰﾀﾍﾞｰｽ変更点!#REF!</definedName>
    <definedName name="E_TERMINAL_PART_MASTER">[3]ﾃﾞｰﾀﾍﾞｰｽ変更点!#REF!</definedName>
    <definedName name="E_TYPE_MASTER" localSheetId="4">[3]ﾃﾞｰﾀﾍﾞｰｽ変更点!#REF!</definedName>
    <definedName name="E_TYPE_MASTER">[3]ﾃﾞｰﾀﾍﾞｰｽ変更点!#REF!</definedName>
    <definedName name="E_UFO" localSheetId="4">[3]ﾃﾞｰﾀﾍﾞｰｽ変更点!#REF!</definedName>
    <definedName name="E_UFO">[3]ﾃﾞｰﾀﾍﾞｰｽ変更点!#REF!</definedName>
    <definedName name="E_UNRELIABLE_RECEIVE" localSheetId="4">[3]ﾃﾞｰﾀﾍﾞｰｽ変更点!#REF!</definedName>
    <definedName name="E_UNRELIABLE_RECEIVE">[3]ﾃﾞｰﾀﾍﾞｰｽ変更点!#REF!</definedName>
    <definedName name="E_USER_MASTER" localSheetId="4">[3]ﾃﾞｰﾀﾍﾞｰｽ変更点!#REF!</definedName>
    <definedName name="E_USER_MASTER">[3]ﾃﾞｰﾀﾍﾞｰｽ変更点!#REF!</definedName>
    <definedName name="E_USER_TEMP" localSheetId="4">[3]ﾃﾞｰﾀﾍﾞｰｽ変更点!#REF!</definedName>
    <definedName name="E_USER_TEMP">[3]ﾃﾞｰﾀﾍﾞｰｽ変更点!#REF!</definedName>
    <definedName name="E_WATER_TEMP_GAUGE" localSheetId="4">[4]TableDesign!#REF!</definedName>
    <definedName name="E_WATER_TEMP_GAUGE">[4]TableDesign!#REF!</definedName>
    <definedName name="EE" localSheetId="4">'[6]DATA-COMMUNICATION-FORMAT'!#REF!</definedName>
    <definedName name="EE">'[6]DATA-COMMUNICATION-FORMAT'!#REF!</definedName>
    <definedName name="eee" localSheetId="2" hidden="1">{#N/A,#N/A,TRUE,"カスタマイズ仕様書";#N/A,#N/A,TRUE,"Ｉ・Ｏ関連表(1)";#N/A,#N/A,TRUE,"Ｉ・Ｏ関連表(2)";#N/A,#N/A,TRUE,"Ｉ・Ｏ関連表(3)";#N/A,#N/A,TRUE,"レポート記述書";#N/A,#N/A,TRUE,"画面記述書"}</definedName>
    <definedName name="eee" hidden="1">{#N/A,#N/A,TRUE,"カスタマイズ仕様書";#N/A,#N/A,TRUE,"Ｉ・Ｏ関連表(1)";#N/A,#N/A,TRUE,"Ｉ・Ｏ関連表(2)";#N/A,#N/A,TRUE,"Ｉ・Ｏ関連表(3)";#N/A,#N/A,TRUE,"レポート記述書";#N/A,#N/A,TRUE,"画面記述書"}</definedName>
    <definedName name="ｆ" localSheetId="2" hidden="1">{"'オンボード'!$A$1:$BZ$70"}</definedName>
    <definedName name="ｆ" hidden="1">{"'オンボード'!$A$1:$BZ$70"}</definedName>
    <definedName name="F_ACT_DATA" localSheetId="4">[3]ﾃﾞｰﾀﾍﾞｰｽ変更点!#REF!</definedName>
    <definedName name="F_ACT_DATA">[3]ﾃﾞｰﾀﾍﾞｰｽ変更点!#REF!</definedName>
    <definedName name="F_ACTUAL_OPERATION" localSheetId="4">[4]TableDesign!#REF!</definedName>
    <definedName name="F_ACTUAL_OPERATION">[4]TableDesign!#REF!</definedName>
    <definedName name="F_AREA" localSheetId="4">[3]ﾃﾞｰﾀﾍﾞｰｽ変更点!#REF!</definedName>
    <definedName name="F_AREA">[3]ﾃﾞｰﾀﾍﾞｰｽ変更点!#REF!</definedName>
    <definedName name="F_AREA_DEFINE" localSheetId="4">[3]ﾃﾞｰﾀﾍﾞｰｽ変更点!#REF!</definedName>
    <definedName name="F_AREA_DEFINE">[3]ﾃﾞｰﾀﾍﾞｰｽ変更点!#REF!</definedName>
    <definedName name="F_AREA_INIT" localSheetId="4">[3]ﾃﾞｰﾀﾍﾞｰｽ変更点!#REF!</definedName>
    <definedName name="F_AREA_INIT">[3]ﾃﾞｰﾀﾍﾞｰｽ変更点!#REF!</definedName>
    <definedName name="F_AREA_MASTER" localSheetId="4">[3]ﾃﾞｰﾀﾍﾞｰｽ変更点!#REF!</definedName>
    <definedName name="F_AREA_MASTER">[3]ﾃﾞｰﾀﾍﾞｰｽ変更点!#REF!</definedName>
    <definedName name="F_ASK" localSheetId="4">[3]ﾃﾞｰﾀﾍﾞｰｽ変更点!#REF!</definedName>
    <definedName name="F_ASK">[3]ﾃﾞｰﾀﾍﾞｰｽ変更点!#REF!</definedName>
    <definedName name="F_ASK_LOG" localSheetId="4">[5]テーブル設計!#REF!</definedName>
    <definedName name="F_ASK_LOG">[5]テーブル設計!#REF!</definedName>
    <definedName name="F_ASK_SYSTEM" localSheetId="4">[3]ﾃﾞｰﾀﾍﾞｰｽ変更点!#REF!</definedName>
    <definedName name="F_ASK_SYSTEM">[3]ﾃﾞｰﾀﾍﾞｰｽ変更点!#REF!</definedName>
    <definedName name="F_ATC_ERROR" localSheetId="4">[5]テーブル設計!#REF!</definedName>
    <definedName name="F_ATC_ERROR">[5]テーブル設計!#REF!</definedName>
    <definedName name="F_AUTHORITY_GROUP" localSheetId="4">[3]ﾃﾞｰﾀﾍﾞｰｽ変更点!#REF!</definedName>
    <definedName name="F_AUTHORITY_GROUP">[3]ﾃﾞｰﾀﾍﾞｰｽ変更点!#REF!</definedName>
    <definedName name="F_AUTHORITY_GROUP_DATA" localSheetId="4">[3]ﾃﾞｰﾀﾍﾞｰｽ変更点!#REF!</definedName>
    <definedName name="F_AUTHORITY_GROUP_DATA">[3]ﾃﾞｰﾀﾍﾞｰｽ変更点!#REF!</definedName>
    <definedName name="F_AUTHORITY_MASTER" localSheetId="4">[5]テーブル設計!#REF!</definedName>
    <definedName name="F_AUTHORITY_MASTER">[5]テーブル設計!#REF!</definedName>
    <definedName name="F_BELNR">[9]Dictionary!$D$22</definedName>
    <definedName name="F_BONDED_STORE" localSheetId="4">[5]テーブル設計!#REF!</definedName>
    <definedName name="F_BONDED_STORE">[5]テーブル設計!#REF!</definedName>
    <definedName name="F_BUDAT">[9]Dictionary!$D$26</definedName>
    <definedName name="F_BUKRS">[9]Dictionary!$D$17</definedName>
    <definedName name="F_BUZEI">[9]Dictionary!$D$23</definedName>
    <definedName name="F_CAR_DATA" localSheetId="4">[3]ﾃﾞｰﾀﾍﾞｰｽ変更点!#REF!</definedName>
    <definedName name="F_CAR_DATA">[3]ﾃﾞｰﾀﾍﾞｰｽ変更点!#REF!</definedName>
    <definedName name="F_CAR_MASTER" localSheetId="4">[3]ﾃﾞｰﾀﾍﾞｰｽ変更点!#REF!</definedName>
    <definedName name="F_CAR_MASTER">[3]ﾃﾞｰﾀﾍﾞｰｽ変更点!#REF!</definedName>
    <definedName name="F_CAR_MONTHLY_DATA" localSheetId="4">[3]ﾃﾞｰﾀﾍﾞｰｽ変更点!#REF!</definedName>
    <definedName name="F_CAR_MONTHLY_DATA">[3]ﾃﾞｰﾀﾍﾞｰｽ変更点!#REF!</definedName>
    <definedName name="F_CAR_OWNER_HISTORY" localSheetId="4">[3]ﾃﾞｰﾀﾍﾞｰｽ変更点!#REF!</definedName>
    <definedName name="F_CAR_OWNER_HISTORY">[3]ﾃﾞｰﾀﾍﾞｰｽ変更点!#REF!</definedName>
    <definedName name="F_CAUTION" localSheetId="4">[4]TableDesign!#REF!</definedName>
    <definedName name="F_CAUTION">[4]TableDesign!#REF!</definedName>
    <definedName name="F_CAUTION_DATA" localSheetId="4">[3]ﾃﾞｰﾀﾍﾞｰｽ変更点!#REF!</definedName>
    <definedName name="F_CAUTION_DATA">[3]ﾃﾞｰﾀﾍﾞｰｽ変更点!#REF!</definedName>
    <definedName name="F_CAUTION_ENABLED" localSheetId="4">[3]ﾃﾞｰﾀﾍﾞｰｽ変更点!#REF!</definedName>
    <definedName name="F_CAUTION_ENABLED">[3]ﾃﾞｰﾀﾍﾞｰｽ変更点!#REF!</definedName>
    <definedName name="F_CAUTION_ICON" localSheetId="4">[3]ﾃﾞｰﾀﾍﾞｰｽ変更点!#REF!</definedName>
    <definedName name="F_CAUTION_ICON">[3]ﾃﾞｰﾀﾍﾞｰｽ変更点!#REF!</definedName>
    <definedName name="F_CAUTION_INIT" localSheetId="4">[3]ﾃﾞｰﾀﾍﾞｰｽ変更点!#REF!</definedName>
    <definedName name="F_CAUTION_INIT">[3]ﾃﾞｰﾀﾍﾞｰｽ変更点!#REF!</definedName>
    <definedName name="F_CAUTION_MASTER" localSheetId="4">[3]ﾃﾞｰﾀﾍﾞｰｽ変更点!#REF!</definedName>
    <definedName name="F_CAUTION_MASTER">[3]ﾃﾞｰﾀﾍﾞｰｽ変更点!#REF!</definedName>
    <definedName name="F_CLASS1_MASTER" localSheetId="4">[3]ﾃﾞｰﾀﾍﾞｰｽ変更点!#REF!</definedName>
    <definedName name="F_CLASS1_MASTER">[3]ﾃﾞｰﾀﾍﾞｰｽ変更点!#REF!</definedName>
    <definedName name="F_CLASS2_MASTER" localSheetId="4">[3]ﾃﾞｰﾀﾍﾞｰｽ変更点!#REF!</definedName>
    <definedName name="F_CLASS2_MASTER">[3]ﾃﾞｰﾀﾍﾞｰｽ変更点!#REF!</definedName>
    <definedName name="F_COMM_DATA" localSheetId="4">[3]ﾃﾞｰﾀﾍﾞｰｽ変更点!#REF!</definedName>
    <definedName name="F_COMM_DATA">[3]ﾃﾞｰﾀﾍﾞｰｽ変更点!#REF!</definedName>
    <definedName name="F_COMM_STATUS_MASTER" localSheetId="4">[3]ﾃﾞｰﾀﾍﾞｰｽ変更点!#REF!</definedName>
    <definedName name="F_COMM_STATUS_MASTER">[3]ﾃﾞｰﾀﾍﾞｰｽ変更点!#REF!</definedName>
    <definedName name="F_CONFIG_DEFINE" localSheetId="4">[3]ﾃﾞｰﾀﾍﾞｰｽ変更点!#REF!</definedName>
    <definedName name="F_CONFIG_DEFINE">[3]ﾃﾞｰﾀﾍﾞｰｽ変更点!#REF!</definedName>
    <definedName name="F_CONFIG_FLAG" localSheetId="4">[5]テーブル設計!#REF!</definedName>
    <definedName name="F_CONFIG_FLAG">[5]テーブル設計!#REF!</definedName>
    <definedName name="F_CONFIG_INIT" localSheetId="4">[3]ﾃﾞｰﾀﾍﾞｰｽ変更点!#REF!</definedName>
    <definedName name="F_CONFIG_INIT">[3]ﾃﾞｰﾀﾍﾞｰｽ変更点!#REF!</definedName>
    <definedName name="F_CONFIG_PATTERN" localSheetId="4">[3]ﾃﾞｰﾀﾍﾞｰｽ変更点!#REF!</definedName>
    <definedName name="F_CONFIG_PATTERN">[3]ﾃﾞｰﾀﾍﾞｰｽ変更点!#REF!</definedName>
    <definedName name="F_CONFIG_PATTERN_DATA" localSheetId="4">[3]ﾃﾞｰﾀﾍﾞｰｽ変更点!#REF!</definedName>
    <definedName name="F_CONFIG_PATTERN_DATA">[3]ﾃﾞｰﾀﾍﾞｰｽ変更点!#REF!</definedName>
    <definedName name="F_CONFIG_USER_FLAG" localSheetId="4">[5]テーブル設計!#REF!</definedName>
    <definedName name="F_CONFIG_USER_FLAG">[5]テーブル設計!#REF!</definedName>
    <definedName name="F_CONTRACT" localSheetId="4">[5]テーブル設計!#REF!</definedName>
    <definedName name="F_CONTRACT">[5]テーブル設計!#REF!</definedName>
    <definedName name="F_CUSTOMER" localSheetId="4">[3]ﾃﾞｰﾀﾍﾞｰｽ変更点!#REF!</definedName>
    <definedName name="F_CUSTOMER">[3]ﾃﾞｰﾀﾍﾞｰｽ変更点!#REF!</definedName>
    <definedName name="F_CUSTOMER_CAR" localSheetId="4">[3]ﾃﾞｰﾀﾍﾞｰｽ変更点!#REF!</definedName>
    <definedName name="F_CUSTOMER_CAR">[3]ﾃﾞｰﾀﾍﾞｰｽ変更点!#REF!</definedName>
    <definedName name="F_CUSTOMER_MASTER" localSheetId="4">[4]TableDesign!#REF!</definedName>
    <definedName name="F_CUSTOMER_MASTER">[4]TableDesign!#REF!</definedName>
    <definedName name="F_DIVISION_MASTER" localSheetId="4">[3]ﾃﾞｰﾀﾍﾞｰｽ変更点!#REF!</definedName>
    <definedName name="F_DIVISION_MASTER">[3]ﾃﾞｰﾀﾍﾞｰｽ変更点!#REF!</definedName>
    <definedName name="F_DOPA" localSheetId="4">[3]ﾃﾞｰﾀﾍﾞｰｽ変更点!#REF!</definedName>
    <definedName name="F_DOPA">[3]ﾃﾞｰﾀﾍﾞｰｽ変更点!#REF!</definedName>
    <definedName name="F_DOPA_OWNER_HISTORY" localSheetId="4">[3]ﾃﾞｰﾀﾍﾞｰｽ変更点!#REF!</definedName>
    <definedName name="F_DOPA_OWNER_HISTORY">[3]ﾃﾞｰﾀﾍﾞｰｽ変更点!#REF!</definedName>
    <definedName name="F_DOPA_SERVER" localSheetId="4">[3]ﾃﾞｰﾀﾍﾞｰｽ変更点!#REF!</definedName>
    <definedName name="F_DOPA_SERVER">[3]ﾃﾞｰﾀﾍﾞｰｽ変更点!#REF!</definedName>
    <definedName name="F_EQUIPMENT_HISTORY" localSheetId="4">[3]ﾃﾞｰﾀﾍﾞｰｽ変更点!#REF!</definedName>
    <definedName name="F_EQUIPMENT_HISTORY">[3]ﾃﾞｰﾀﾍﾞｰｽ変更点!#REF!</definedName>
    <definedName name="F_ERROR" localSheetId="4">[3]ﾃﾞｰﾀﾍﾞｰｽ変更点!#REF!</definedName>
    <definedName name="F_ERROR">[3]ﾃﾞｰﾀﾍﾞｰｽ変更点!#REF!</definedName>
    <definedName name="F_ERROR_ENABLED" localSheetId="4">[3]ﾃﾞｰﾀﾍﾞｰｽ変更点!#REF!</definedName>
    <definedName name="F_ERROR_ENABLED">[3]ﾃﾞｰﾀﾍﾞｰｽ変更点!#REF!</definedName>
    <definedName name="F_ERROR_MASTER" localSheetId="4">[3]ﾃﾞｰﾀﾍﾞｰｽ変更点!#REF!</definedName>
    <definedName name="F_ERROR_MASTER">[3]ﾃﾞｰﾀﾍﾞｰｽ変更点!#REF!</definedName>
    <definedName name="F_EVENT_CATEGORY" localSheetId="4">[4]TableDesign!#REF!</definedName>
    <definedName name="F_EVENT_CATEGORY">[4]TableDesign!#REF!</definedName>
    <definedName name="F_EVENT_DIVISION" localSheetId="4">[3]ﾃﾞｰﾀﾍﾞｰｽ変更点!#REF!</definedName>
    <definedName name="F_EVENT_DIVISION">[3]ﾃﾞｰﾀﾍﾞｰｽ変更点!#REF!</definedName>
    <definedName name="F_EVENT_MASTER" localSheetId="4">[3]ﾃﾞｰﾀﾍﾞｰｽ変更点!#REF!</definedName>
    <definedName name="F_EVENT_MASTER">[3]ﾃﾞｰﾀﾍﾞｰｽ変更点!#REF!</definedName>
    <definedName name="F_EVENT_NOTICE" localSheetId="4">[3]ﾃﾞｰﾀﾍﾞｰｽ変更点!#REF!</definedName>
    <definedName name="F_EVENT_NOTICE">[3]ﾃﾞｰﾀﾍﾞｰｽ変更点!#REF!</definedName>
    <definedName name="F_FILKD">[9]Dictionary!$D$18</definedName>
    <definedName name="F_FUEL_GAUGE" localSheetId="4">[4]TableDesign!#REF!</definedName>
    <definedName name="F_FUEL_GAUGE">[4]TableDesign!#REF!</definedName>
    <definedName name="F_GAUGE_FUEL_WTTEMP" localSheetId="4">[3]ﾃﾞｰﾀﾍﾞｰｽ変更点!#REF!</definedName>
    <definedName name="F_GAUGE_FUEL_WTTEMP">[3]ﾃﾞｰﾀﾍﾞｰｽ変更点!#REF!</definedName>
    <definedName name="F_GIS_DEFINE" localSheetId="4">[4]TableDesign!#REF!</definedName>
    <definedName name="F_GIS_DEFINE">[4]TableDesign!#REF!</definedName>
    <definedName name="F_GJAHR">[9]Dictionary!$D$21</definedName>
    <definedName name="F_GPS" localSheetId="4">[3]ﾃﾞｰﾀﾍﾞｰｽ変更点!#REF!</definedName>
    <definedName name="F_GPS">[3]ﾃﾞｰﾀﾍﾞｰｽ変更点!#REF!</definedName>
    <definedName name="F_GRANT_AUTHORITY" localSheetId="4">[3]ﾃﾞｰﾀﾍﾞｰｽ変更点!#REF!</definedName>
    <definedName name="F_GRANT_AUTHORITY">[3]ﾃﾞｰﾀﾍﾞｰｽ変更点!#REF!</definedName>
    <definedName name="F_GROUP_MASTER" localSheetId="4">[3]ﾃﾞｰﾀﾍﾞｰｽ変更点!#REF!</definedName>
    <definedName name="F_GROUP_MASTER">[3]ﾃﾞｰﾀﾍﾞｰｽ変更点!#REF!</definedName>
    <definedName name="F_IGNORE_CAUTION" localSheetId="4">[5]テーブル設計!#REF!</definedName>
    <definedName name="F_IGNORE_CAUTION">[5]テーブル設計!#REF!</definedName>
    <definedName name="F_IGNORE_ERROR" localSheetId="4">[5]テーブル設計!#REF!</definedName>
    <definedName name="F_IGNORE_ERROR">[5]テーブル設計!#REF!</definedName>
    <definedName name="F_INFORM_MASTER" localSheetId="4">[3]ﾃﾞｰﾀﾍﾞｰｽ変更点!#REF!</definedName>
    <definedName name="F_INFORM_MASTER">[3]ﾃﾞｰﾀﾍﾞｰｽ変更点!#REF!</definedName>
    <definedName name="F_INFORMATION" localSheetId="4">[3]ﾃﾞｰﾀﾍﾞｰｽ変更点!#REF!</definedName>
    <definedName name="F_INFORMATION">[3]ﾃﾞｰﾀﾍﾞｰｽ変更点!#REF!</definedName>
    <definedName name="F_INFORMATION_READED" localSheetId="4">[3]ﾃﾞｰﾀﾍﾞｰｽ変更点!#REF!</definedName>
    <definedName name="F_INFORMATION_READED">[3]ﾃﾞｰﾀﾍﾞｰｽ変更点!#REF!</definedName>
    <definedName name="F_INVALID_PART_TERMINAL" localSheetId="4">[5]テーブル設計!#REF!</definedName>
    <definedName name="F_INVALID_PART_TERMINAL">[5]テーブル設計!#REF!</definedName>
    <definedName name="F_KIND_MASTER" localSheetId="4">[3]ﾃﾞｰﾀﾍﾞｰｽ変更点!#REF!</definedName>
    <definedName name="F_KIND_MASTER">[3]ﾃﾞｰﾀﾍﾞｰｽ変更点!#REF!</definedName>
    <definedName name="F_KRO_APPLICATION" localSheetId="4">[3]ﾃﾞｰﾀﾍﾞｰｽ変更点!#REF!</definedName>
    <definedName name="F_KRO_APPLICATION">[3]ﾃﾞｰﾀﾍﾞｰｽ変更点!#REF!</definedName>
    <definedName name="F_KRO_APPLICATION_DATA" localSheetId="4">[3]ﾃﾞｰﾀﾍﾞｰｽ変更点!#REF!</definedName>
    <definedName name="F_KRO_APPLICATION_DATA">[3]ﾃﾞｰﾀﾍﾞｰｽ変更点!#REF!</definedName>
    <definedName name="F_KRO_COMPLETION" localSheetId="4">[3]ﾃﾞｰﾀﾍﾞｰｽ変更点!#REF!</definedName>
    <definedName name="F_KRO_COMPLETION">[3]ﾃﾞｰﾀﾍﾞｰｽ変更点!#REF!</definedName>
    <definedName name="F_KRO_COMPLETION_DATA" localSheetId="4">[3]ﾃﾞｰﾀﾍﾞｰｽ変更点!#REF!</definedName>
    <definedName name="F_KRO_COMPLETION_DATA">[3]ﾃﾞｰﾀﾍﾞｰｽ変更点!#REF!</definedName>
    <definedName name="F_KRO_EMERGENCY" localSheetId="4">[5]テーブル設計!#REF!</definedName>
    <definedName name="F_KRO_EMERGENCY">[5]テーブル設計!#REF!</definedName>
    <definedName name="F_KRO_REPORT" localSheetId="4">[3]ﾃﾞｰﾀﾍﾞｰｽ変更点!#REF!</definedName>
    <definedName name="F_KRO_REPORT">[3]ﾃﾞｰﾀﾍﾞｰｽ変更点!#REF!</definedName>
    <definedName name="F_KUNNR">[9]Dictionary!$D$24</definedName>
    <definedName name="F_LANDMARK" localSheetId="4">[3]ﾃﾞｰﾀﾍﾞｰｽ変更点!#REF!</definedName>
    <definedName name="F_LANDMARK">[3]ﾃﾞｰﾀﾍﾞｰｽ変更点!#REF!</definedName>
    <definedName name="F_LANDMARK_CLASS" localSheetId="4">[3]ﾃﾞｰﾀﾍﾞｰｽ変更点!#REF!</definedName>
    <definedName name="F_LANDMARK_CLASS">[3]ﾃﾞｰﾀﾍﾞｰｽ変更点!#REF!</definedName>
    <definedName name="F_LOGON_HISTORY" localSheetId="4">[3]ﾃﾞｰﾀﾍﾞｰｽ変更点!#REF!</definedName>
    <definedName name="F_LOGON_HISTORY">[3]ﾃﾞｰﾀﾍﾞｰｽ変更点!#REF!</definedName>
    <definedName name="F_MACHINE_ERROR" localSheetId="4">[4]TableDesign!#REF!</definedName>
    <definedName name="F_MACHINE_ERROR">[4]TableDesign!#REF!</definedName>
    <definedName name="F_MACHINE_STATUS_MASTER" localSheetId="4">[3]ﾃﾞｰﾀﾍﾞｰｽ変更点!#REF!</definedName>
    <definedName name="F_MACHINE_STATUS_MASTER">[3]ﾃﾞｰﾀﾍﾞｰｽ変更点!#REF!</definedName>
    <definedName name="F_MAINTENANCE_DATA" localSheetId="4">[3]ﾃﾞｰﾀﾍﾞｰｽ変更点!#REF!</definedName>
    <definedName name="F_MAINTENANCE_DATA">[3]ﾃﾞｰﾀﾍﾞｰｽ変更点!#REF!</definedName>
    <definedName name="F_MAINTENANCE_INFORM" localSheetId="4">[3]ﾃﾞｰﾀﾍﾞｰｽ変更点!#REF!</definedName>
    <definedName name="F_MAINTENANCE_INFORM">[3]ﾃﾞｰﾀﾍﾞｰｽ変更点!#REF!</definedName>
    <definedName name="F_MAINTENANCE_MASTER" localSheetId="4">[3]ﾃﾞｰﾀﾍﾞｰｽ変更点!#REF!</definedName>
    <definedName name="F_MAINTENANCE_MASTER">[3]ﾃﾞｰﾀﾍﾞｰｽ変更点!#REF!</definedName>
    <definedName name="F_MAINTENANCE_TIME" localSheetId="4">[4]TableDesign!#REF!</definedName>
    <definedName name="F_MAINTENANCE_TIME">[4]TableDesign!#REF!</definedName>
    <definedName name="F_MAKER_MASTER" localSheetId="4">[3]ﾃﾞｰﾀﾍﾞｰｽ変更点!#REF!</definedName>
    <definedName name="F_MAKER_MASTER">[3]ﾃﾞｰﾀﾍﾞｰｽ変更点!#REF!</definedName>
    <definedName name="F_MARK_MACHINE" localSheetId="4">[4]TableDesign!#REF!</definedName>
    <definedName name="F_MARK_MACHINE">[4]TableDesign!#REF!</definedName>
    <definedName name="F_MARK_NOTIFICATION" localSheetId="4">[4]TableDesign!#REF!</definedName>
    <definedName name="F_MARK_NOTIFICATION">[4]TableDesign!#REF!</definedName>
    <definedName name="F_MARK_NOTIFICATION_DETAIL" localSheetId="4">[4]TableDesign!#REF!</definedName>
    <definedName name="F_MARK_NOTIFICATION_DETAIL">[4]TableDesign!#REF!</definedName>
    <definedName name="F_MEMO" localSheetId="4">[3]ﾃﾞｰﾀﾍﾞｰｽ変更点!#REF!</definedName>
    <definedName name="F_MEMO">[3]ﾃﾞｰﾀﾍﾞｰｽ変更点!#REF!</definedName>
    <definedName name="F_MEMORY_MODIFY" localSheetId="4">[3]ﾃﾞｰﾀﾍﾞｰｽ変更点!#REF!</definedName>
    <definedName name="F_MEMORY_MODIFY">[3]ﾃﾞｰﾀﾍﾞｰｽ変更点!#REF!</definedName>
    <definedName name="F_MEMORY_MODIFY_DATA" localSheetId="4">[3]ﾃﾞｰﾀﾍﾞｰｽ変更点!#REF!</definedName>
    <definedName name="F_MEMORY_MODIFY_DATA">[3]ﾃﾞｰﾀﾍﾞｰｽ変更点!#REF!</definedName>
    <definedName name="F_MESSAGE" localSheetId="4">[3]ﾃﾞｰﾀﾍﾞｰｽ変更点!#REF!</definedName>
    <definedName name="F_MESSAGE">[3]ﾃﾞｰﾀﾍﾞｰｽ変更点!#REF!</definedName>
    <definedName name="F_MESSAGE_MASTER" localSheetId="4">[3]ﾃﾞｰﾀﾍﾞｰｽ変更点!#REF!</definedName>
    <definedName name="F_MESSAGE_MASTER">[3]ﾃﾞｰﾀﾍﾞｰｽ変更点!#REF!</definedName>
    <definedName name="F_MONTHLY_ATT_SMR" localSheetId="4">[4]TableDesign!#REF!</definedName>
    <definedName name="F_MONTHLY_ATT_SMR">[4]TableDesign!#REF!</definedName>
    <definedName name="F_MONTHLY_ERROR" localSheetId="4">[4]TableDesign!#REF!</definedName>
    <definedName name="F_MONTHLY_ERROR">[4]TableDesign!#REF!</definedName>
    <definedName name="F_MONTHLY_LOAD" localSheetId="4">[4]TableDesign!#REF!</definedName>
    <definedName name="F_MONTHLY_LOAD">[4]TableDesign!#REF!</definedName>
    <definedName name="F_MONTHLY_MOVEMENT" localSheetId="4">[4]TableDesign!#REF!</definedName>
    <definedName name="F_MONTHLY_MOVEMENT">[4]TableDesign!#REF!</definedName>
    <definedName name="F_MONTHLY_OPERATION" localSheetId="4">[4]TableDesign!#REF!</definedName>
    <definedName name="F_MONTHLY_OPERATION">[4]TableDesign!#REF!</definedName>
    <definedName name="F_MONTHLY_SMR" localSheetId="4">[4]TableDesign!#REF!</definedName>
    <definedName name="F_MONTHLY_SMR">[4]TableDesign!#REF!</definedName>
    <definedName name="F_MONTHLY_WORKING_SMR" localSheetId="4">[4]TableDesign!#REF!</definedName>
    <definedName name="F_MONTHLY_WORKING_SMR">[4]TableDesign!#REF!</definedName>
    <definedName name="F_MONTLY_LOAD" localSheetId="4">[4]TableDesign!#REF!</definedName>
    <definedName name="F_MONTLY_LOAD">[4]TableDesign!#REF!</definedName>
    <definedName name="F_MULTI_OPE" localSheetId="4">[3]ﾃﾞｰﾀﾍﾞｰｽ変更点!#REF!</definedName>
    <definedName name="F_MULTI_OPE">[3]ﾃﾞｰﾀﾍﾞｰｽ変更点!#REF!</definedName>
    <definedName name="F_MULTI_OPE_DATA" localSheetId="4">[5]テーブル設計!#REF!</definedName>
    <definedName name="F_MULTI_OPE_DATA">[5]テーブル設計!#REF!</definedName>
    <definedName name="F_NLS_DB_RESOURCE" localSheetId="4">[4]TableDesign!#REF!</definedName>
    <definedName name="F_NLS_DB_RESOURCE">[4]TableDesign!#REF!</definedName>
    <definedName name="F_NLS_LANG" localSheetId="4">[4]TableDesign!#REF!</definedName>
    <definedName name="F_NLS_LANG">[4]TableDesign!#REF!</definedName>
    <definedName name="F_NLS_RESOURCE" localSheetId="4">[4]TableDesign!#REF!</definedName>
    <definedName name="F_NLS_RESOURCE">[4]TableDesign!#REF!</definedName>
    <definedName name="F_NOT_ACTIVE" localSheetId="4">[3]ﾃﾞｰﾀﾍﾞｰｽ変更点!#REF!</definedName>
    <definedName name="F_NOT_ACTIVE">[3]ﾃﾞｰﾀﾍﾞｰｽ変更点!#REF!</definedName>
    <definedName name="F_OPERATION_CATEGORY" localSheetId="4">[4]TableDesign!#REF!</definedName>
    <definedName name="F_OPERATION_CATEGORY">[4]TableDesign!#REF!</definedName>
    <definedName name="F_OPERATION_CLASS" localSheetId="4">[5]テーブル設計!#REF!</definedName>
    <definedName name="F_OPERATION_CLASS">[5]テーブル設計!#REF!</definedName>
    <definedName name="F_OPERATION_LOG" localSheetId="4">[3]ﾃﾞｰﾀﾍﾞｰｽ変更点!#REF!</definedName>
    <definedName name="F_OPERATION_LOG">[3]ﾃﾞｰﾀﾍﾞｰｽ変更点!#REF!</definedName>
    <definedName name="F_OPERATION_LOG2" localSheetId="4">[5]テーブル設計!#REF!</definedName>
    <definedName name="F_OPERATION_LOG2">[5]テーブル設計!#REF!</definedName>
    <definedName name="F_OPERATION_MAP" localSheetId="4">[4]TableDesign!#REF!</definedName>
    <definedName name="F_OPERATION_MAP">[4]TableDesign!#REF!</definedName>
    <definedName name="F_OPERATION_MASTER" localSheetId="4">[5]テーブル設計!#REF!</definedName>
    <definedName name="F_OPERATION_MASTER">[5]テーブル設計!#REF!</definedName>
    <definedName name="F_ORBCOMM" localSheetId="4">[3]ﾃﾞｰﾀﾍﾞｰｽ変更点!#REF!</definedName>
    <definedName name="F_ORBCOMM">[3]ﾃﾞｰﾀﾍﾞｰｽ変更点!#REF!</definedName>
    <definedName name="F_ORBCOMM_OWNER_HISTORY" localSheetId="4">[3]ﾃﾞｰﾀﾍﾞｰｽ変更点!#REF!</definedName>
    <definedName name="F_ORBCOMM_OWNER_HISTORY">[3]ﾃﾞｰﾀﾍﾞｰｽ変更点!#REF!</definedName>
    <definedName name="F_PLANT_CAR" localSheetId="4">[5]テーブル設計!#REF!</definedName>
    <definedName name="F_PLANT_CAR">[5]テーブル設計!#REF!</definedName>
    <definedName name="F_PLANT_ERROR" localSheetId="4">[5]テーブル設計!#REF!</definedName>
    <definedName name="F_PLANT_ERROR">[5]テーブル設計!#REF!</definedName>
    <definedName name="F_PLANT_GPS" localSheetId="4">[5]テーブル設計!#REF!</definedName>
    <definedName name="F_PLANT_GPS">[5]テーブル設計!#REF!</definedName>
    <definedName name="F_PREVENT_THEFT_KEY" localSheetId="4">[3]ﾃﾞｰﾀﾍﾞｰｽ変更点!#REF!</definedName>
    <definedName name="F_PREVENT_THEFT_KEY">[3]ﾃﾞｰﾀﾍﾞｰｽ変更点!#REF!</definedName>
    <definedName name="F_PRIVATE_TARGET_CAR" localSheetId="4">[3]ﾃﾞｰﾀﾍﾞｰｽ変更点!#REF!</definedName>
    <definedName name="F_PRIVATE_TARGET_CAR">[3]ﾃﾞｰﾀﾍﾞｰｽ変更点!#REF!</definedName>
    <definedName name="F_RECEIVE_LIST" localSheetId="4">[5]テーブル設計!#REF!</definedName>
    <definedName name="F_RECEIVE_LIST">[5]テーブル設計!#REF!</definedName>
    <definedName name="F_RECEIVE_LOG" localSheetId="4">[3]ﾃﾞｰﾀﾍﾞｰｽ変更点!#REF!</definedName>
    <definedName name="F_RECEIVE_LOG">[3]ﾃﾞｰﾀﾍﾞｰｽ変更点!#REF!</definedName>
    <definedName name="F_REGION_DATA" localSheetId="4">[4]TableDesign!#REF!</definedName>
    <definedName name="F_REGION_DATA">[4]TableDesign!#REF!</definedName>
    <definedName name="F_REGION_MASTER" localSheetId="4">[4]TableDesign!#REF!</definedName>
    <definedName name="F_REGION_MASTER">[4]TableDesign!#REF!</definedName>
    <definedName name="F_RENTAL_TERMINAL" localSheetId="4">[5]テーブル設計!#REF!</definedName>
    <definedName name="F_RENTAL_TERMINAL">[5]テーブル設計!#REF!</definedName>
    <definedName name="F_REQUEST" localSheetId="4">[3]ﾃﾞｰﾀﾍﾞｰｽ変更点!#REF!</definedName>
    <definedName name="F_REQUEST">[3]ﾃﾞｰﾀﾍﾞｰｽ変更点!#REF!</definedName>
    <definedName name="F_REQUEST_COUNT" localSheetId="4">[3]ﾃﾞｰﾀﾍﾞｰｽ変更点!#REF!</definedName>
    <definedName name="F_REQUEST_COUNT">[3]ﾃﾞｰﾀﾍﾞｰｽ変更点!#REF!</definedName>
    <definedName name="F_REQUEST_LOG" localSheetId="4">[3]ﾃﾞｰﾀﾍﾞｰｽ変更点!#REF!</definedName>
    <definedName name="F_REQUEST_LOG">[3]ﾃﾞｰﾀﾍﾞｰｽ変更点!#REF!</definedName>
    <definedName name="F_RIVATE_TARGET_CAR" localSheetId="4">[4]TableDesign!#REF!</definedName>
    <definedName name="F_RIVATE_TARGET_CAR">[4]TableDesign!#REF!</definedName>
    <definedName name="F_RUNNING_LOG" localSheetId="4">[3]ﾃﾞｰﾀﾍﾞｰｽ変更点!#REF!</definedName>
    <definedName name="F_RUNNING_LOG">[3]ﾃﾞｰﾀﾍﾞｰｽ変更点!#REF!</definedName>
    <definedName name="F_SAVE_INFORMATION" localSheetId="4">[5]テーブル設計!#REF!</definedName>
    <definedName name="F_SAVE_INFORMATION">[5]テーブル設計!#REF!</definedName>
    <definedName name="F_SELFCARINSPECTION" localSheetId="4">[3]ﾃﾞｰﾀﾍﾞｰｽ変更点!#REF!</definedName>
    <definedName name="F_SELFCARINSPECTION">[3]ﾃﾞｰﾀﾍﾞｰｽ変更点!#REF!</definedName>
    <definedName name="F_SEND_LIST" localSheetId="4">[5]テーブル設計!#REF!</definedName>
    <definedName name="F_SEND_LIST">[5]テーブル設計!#REF!</definedName>
    <definedName name="F_SEND_LOG" localSheetId="4">[5]テーブル設計!#REF!</definedName>
    <definedName name="F_SEND_LOG">[5]テーブル設計!#REF!</definedName>
    <definedName name="F_SERVER_COMMUNICATION" localSheetId="4">[4]TableDesign!#REF!</definedName>
    <definedName name="F_SERVER_COMMUNICATION">[4]TableDesign!#REF!</definedName>
    <definedName name="F_SERVER_INFORMATION" localSheetId="4">[3]ﾃﾞｰﾀﾍﾞｰｽ変更点!#REF!</definedName>
    <definedName name="F_SERVER_INFORMATION">[3]ﾃﾞｰﾀﾍﾞｰｽ変更点!#REF!</definedName>
    <definedName name="F_SERVICE_METER" localSheetId="4">[3]ﾃﾞｰﾀﾍﾞｰｽ変更点!#REF!</definedName>
    <definedName name="F_SERVICE_METER">[3]ﾃﾞｰﾀﾍﾞｰｽ変更点!#REF!</definedName>
    <definedName name="F_SERVICE_METER2" localSheetId="4">[5]テーブル設計!#REF!</definedName>
    <definedName name="F_SERVICE_METER2">[5]テーブル設計!#REF!</definedName>
    <definedName name="F_SERVICEMAN" localSheetId="4">[5]テーブル設計!#REF!</definedName>
    <definedName name="F_SERVICEMAN">[5]テーブル設計!#REF!</definedName>
    <definedName name="F_SERVICEMAN_CHARGE" localSheetId="4">[5]テーブル設計!#REF!</definedName>
    <definedName name="F_SERVICEMAN_CHARGE">[5]テーブル設計!#REF!</definedName>
    <definedName name="F_SGTXT">[9]Dictionary!$D$31</definedName>
    <definedName name="F_SHIPMENT" localSheetId="4">[3]ﾃﾞｰﾀﾍﾞｰｽ変更点!#REF!</definedName>
    <definedName name="F_SHIPMENT">[3]ﾃﾞｰﾀﾍﾞｰｽ変更点!#REF!</definedName>
    <definedName name="F_SHOW" localSheetId="4">[3]ﾃﾞｰﾀﾍﾞｰｽ変更点!#REF!</definedName>
    <definedName name="F_SHOW">[3]ﾃﾞｰﾀﾍﾞｰｽ変更点!#REF!</definedName>
    <definedName name="F_SHOW_GROUP" localSheetId="4">[3]ﾃﾞｰﾀﾍﾞｰｽ変更点!#REF!</definedName>
    <definedName name="F_SHOW_GROUP">[3]ﾃﾞｰﾀﾍﾞｰｽ変更点!#REF!</definedName>
    <definedName name="F_SPECIAL_AREA" localSheetId="4">[3]ﾃﾞｰﾀﾍﾞｰｽ変更点!#REF!</definedName>
    <definedName name="F_SPECIAL_AREA">[3]ﾃﾞｰﾀﾍﾞｰｽ変更点!#REF!</definedName>
    <definedName name="F_SUB_GROUP" localSheetId="4">[4]TableDesign!#REF!</definedName>
    <definedName name="F_SUB_GROUP">[4]TableDesign!#REF!</definedName>
    <definedName name="F_SUB_GROUP_CAR" localSheetId="4">[4]TableDesign!#REF!</definedName>
    <definedName name="F_SUB_GROUP_CAR">[4]TableDesign!#REF!</definedName>
    <definedName name="F_SYSTEM_COMMTERM_INFO" localSheetId="4">[3]ﾃﾞｰﾀﾍﾞｰｽ変更点!#REF!</definedName>
    <definedName name="F_SYSTEM_COMMTERM_INFO">[3]ﾃﾞｰﾀﾍﾞｰｽ変更点!#REF!</definedName>
    <definedName name="F_SYSTEM_LOG" localSheetId="4">[3]ﾃﾞｰﾀﾍﾞｰｽ変更点!#REF!</definedName>
    <definedName name="F_SYSTEM_LOG">[3]ﾃﾞｰﾀﾍﾞｰｽ変更点!#REF!</definedName>
    <definedName name="F_SYSTEM_NOTICE" localSheetId="4">[3]ﾃﾞｰﾀﾍﾞｰｽ変更点!#REF!</definedName>
    <definedName name="F_SYSTEM_NOTICE">[3]ﾃﾞｰﾀﾍﾞｰｽ変更点!#REF!</definedName>
    <definedName name="F_TARGET" localSheetId="4">[3]ﾃﾞｰﾀﾍﾞｰｽ変更点!#REF!</definedName>
    <definedName name="F_TARGET">[3]ﾃﾞｰﾀﾍﾞｰｽ変更点!#REF!</definedName>
    <definedName name="F_TARGET_CAR" localSheetId="4">[3]ﾃﾞｰﾀﾍﾞｰｽ変更点!#REF!</definedName>
    <definedName name="F_TARGET_CAR">[3]ﾃﾞｰﾀﾍﾞｰｽ変更点!#REF!</definedName>
    <definedName name="F_TERMINAL_AREA" localSheetId="4">[3]ﾃﾞｰﾀﾍﾞｰｽ変更点!#REF!</definedName>
    <definedName name="F_TERMINAL_AREA">[3]ﾃﾞｰﾀﾍﾞｰｽ変更点!#REF!</definedName>
    <definedName name="F_TERMINAL_CAUTION" localSheetId="4">[3]ﾃﾞｰﾀﾍﾞｰｽ変更点!#REF!</definedName>
    <definedName name="F_TERMINAL_CAUTION">[3]ﾃﾞｰﾀﾍﾞｰｽ変更点!#REF!</definedName>
    <definedName name="F_TERMINAL_ERROR" localSheetId="4">[3]ﾃﾞｰﾀﾍﾞｰｽ変更点!#REF!</definedName>
    <definedName name="F_TERMINAL_ERROR">[3]ﾃﾞｰﾀﾍﾞｰｽ変更点!#REF!</definedName>
    <definedName name="F_TERMINAL_KIND" localSheetId="4">[3]ﾃﾞｰﾀﾍﾞｰｽ変更点!#REF!</definedName>
    <definedName name="F_TERMINAL_KIND">[3]ﾃﾞｰﾀﾍﾞｰｽ変更点!#REF!</definedName>
    <definedName name="F_TERMINAL_MASTER" localSheetId="4">[3]ﾃﾞｰﾀﾍﾞｰｽ変更点!#REF!</definedName>
    <definedName name="F_TERMINAL_MASTER">[3]ﾃﾞｰﾀﾍﾞｰｽ変更点!#REF!</definedName>
    <definedName name="F_TERMINAL_PART_MASTER" localSheetId="4">[3]ﾃﾞｰﾀﾍﾞｰｽ変更点!#REF!</definedName>
    <definedName name="F_TERMINAL_PART_MASTER">[3]ﾃﾞｰﾀﾍﾞｰｽ変更点!#REF!</definedName>
    <definedName name="F_TYPE_MASTER" localSheetId="4">[3]ﾃﾞｰﾀﾍﾞｰｽ変更点!#REF!</definedName>
    <definedName name="F_TYPE_MASTER">[3]ﾃﾞｰﾀﾍﾞｰｽ変更点!#REF!</definedName>
    <definedName name="F_UFO" localSheetId="4">[3]ﾃﾞｰﾀﾍﾞｰｽ変更点!#REF!</definedName>
    <definedName name="F_UFO">[3]ﾃﾞｰﾀﾍﾞｰｽ変更点!#REF!</definedName>
    <definedName name="F_UNRELIABLE_RECEIVE" localSheetId="4">[3]ﾃﾞｰﾀﾍﾞｰｽ変更点!#REF!</definedName>
    <definedName name="F_UNRELIABLE_RECEIVE">[3]ﾃﾞｰﾀﾍﾞｰｽ変更点!#REF!</definedName>
    <definedName name="F_USER_MASTER" localSheetId="4">[3]ﾃﾞｰﾀﾍﾞｰｽ変更点!#REF!</definedName>
    <definedName name="F_USER_MASTER">[3]ﾃﾞｰﾀﾍﾞｰｽ変更点!#REF!</definedName>
    <definedName name="F_USER_TEMP" localSheetId="4">[3]ﾃﾞｰﾀﾍﾞｰｽ変更点!#REF!</definedName>
    <definedName name="F_USER_TEMP">[3]ﾃﾞｰﾀﾍﾞｰｽ変更点!#REF!</definedName>
    <definedName name="F_WATER_TEMP_GAUGE" localSheetId="4">[4]TableDesign!#REF!</definedName>
    <definedName name="F_WATER_TEMP_GAUGE">[4]TableDesign!#REF!</definedName>
    <definedName name="F_XREF1">[9]Dictionary!$D$32</definedName>
    <definedName name="F_XREF3">[9]Dictionary!$D$30</definedName>
    <definedName name="F_ZFBDT">[9]Dictionary!$D$19</definedName>
    <definedName name="FF" localSheetId="4">'[6]DATA-COMMUNICATION-FORMAT'!#REF!</definedName>
    <definedName name="FF">'[6]DATA-COMMUNICATION-FORMAT'!#REF!</definedName>
    <definedName name="fff" localSheetId="2" hidden="1">{#N/A,#N/A,TRUE,"カスタマイズ仕様書";#N/A,#N/A,TRUE,"Ｉ・Ｏ関連表(1)";#N/A,#N/A,TRUE,"Ｉ・Ｏ関連表(2)";#N/A,#N/A,TRUE,"Ｉ・Ｏ関連表(3)";#N/A,#N/A,TRUE,"レポート記述書";#N/A,#N/A,TRUE,"画面記述書"}</definedName>
    <definedName name="fff" hidden="1">{#N/A,#N/A,TRUE,"カスタマイズ仕様書";#N/A,#N/A,TRUE,"Ｉ・Ｏ関連表(1)";#N/A,#N/A,TRUE,"Ｉ・Ｏ関連表(2)";#N/A,#N/A,TRUE,"Ｉ・Ｏ関連表(3)";#N/A,#N/A,TRUE,"レポート記述書";#N/A,#N/A,TRUE,"画面記述書"}</definedName>
    <definedName name="Freepage" localSheetId="4">#REF!</definedName>
    <definedName name="Freepage">#REF!</definedName>
    <definedName name="Freepage2" localSheetId="4">#REF!</definedName>
    <definedName name="Freepage2">#REF!</definedName>
    <definedName name="Freepage3" localSheetId="4">#REF!</definedName>
    <definedName name="Freepage3">#REF!</definedName>
    <definedName name="Freespace" localSheetId="4">#REF!</definedName>
    <definedName name="Freespace">#REF!</definedName>
    <definedName name="Freespace2" localSheetId="4">#REF!</definedName>
    <definedName name="Freespace2">#REF!</definedName>
    <definedName name="Freespace3" localSheetId="4">#REF!</definedName>
    <definedName name="Freespace3">#REF!</definedName>
    <definedName name="G_ACT_DATA" localSheetId="4">[3]ﾃﾞｰﾀﾍﾞｰｽ変更点!#REF!</definedName>
    <definedName name="G_ACT_DATA">[3]ﾃﾞｰﾀﾍﾞｰｽ変更点!#REF!</definedName>
    <definedName name="G_ACTUAL_OPERATION" localSheetId="4">[4]TableDesign!#REF!</definedName>
    <definedName name="G_ACTUAL_OPERATION">[4]TableDesign!#REF!</definedName>
    <definedName name="G_AREA" localSheetId="4">[3]ﾃﾞｰﾀﾍﾞｰｽ変更点!#REF!</definedName>
    <definedName name="G_AREA">[3]ﾃﾞｰﾀﾍﾞｰｽ変更点!#REF!</definedName>
    <definedName name="G_AREA_DEFINE" localSheetId="4">[3]ﾃﾞｰﾀﾍﾞｰｽ変更点!#REF!</definedName>
    <definedName name="G_AREA_DEFINE">[3]ﾃﾞｰﾀﾍﾞｰｽ変更点!#REF!</definedName>
    <definedName name="G_AREA_INIT" localSheetId="4">[3]ﾃﾞｰﾀﾍﾞｰｽ変更点!#REF!</definedName>
    <definedName name="G_AREA_INIT">[3]ﾃﾞｰﾀﾍﾞｰｽ変更点!#REF!</definedName>
    <definedName name="G_AREA_MASTER" localSheetId="4">[3]ﾃﾞｰﾀﾍﾞｰｽ変更点!#REF!</definedName>
    <definedName name="G_AREA_MASTER">[3]ﾃﾞｰﾀﾍﾞｰｽ変更点!#REF!</definedName>
    <definedName name="G_ASK" localSheetId="4">[3]ﾃﾞｰﾀﾍﾞｰｽ変更点!#REF!</definedName>
    <definedName name="G_ASK">[3]ﾃﾞｰﾀﾍﾞｰｽ変更点!#REF!</definedName>
    <definedName name="G_ASK_LOG" localSheetId="4">[5]テーブル設計!#REF!</definedName>
    <definedName name="G_ASK_LOG">[5]テーブル設計!#REF!</definedName>
    <definedName name="G_ASK_SYSTEM" localSheetId="4">[3]ﾃﾞｰﾀﾍﾞｰｽ変更点!#REF!</definedName>
    <definedName name="G_ASK_SYSTEM">[3]ﾃﾞｰﾀﾍﾞｰｽ変更点!#REF!</definedName>
    <definedName name="G_ATC_ERROR" localSheetId="4">[5]テーブル設計!#REF!</definedName>
    <definedName name="G_ATC_ERROR">[5]テーブル設計!#REF!</definedName>
    <definedName name="G_AUTHORITY_GROUP" localSheetId="4">[3]ﾃﾞｰﾀﾍﾞｰｽ変更点!#REF!</definedName>
    <definedName name="G_AUTHORITY_GROUP">[3]ﾃﾞｰﾀﾍﾞｰｽ変更点!#REF!</definedName>
    <definedName name="G_AUTHORITY_GROUP_DATA" localSheetId="4">[3]ﾃﾞｰﾀﾍﾞｰｽ変更点!#REF!</definedName>
    <definedName name="G_AUTHORITY_GROUP_DATA">[3]ﾃﾞｰﾀﾍﾞｰｽ変更点!#REF!</definedName>
    <definedName name="G_AUTHORITY_MASTER" localSheetId="4">[5]テーブル設計!#REF!</definedName>
    <definedName name="G_AUTHORITY_MASTER">[5]テーブル設計!#REF!</definedName>
    <definedName name="G_BONDED_STORE" localSheetId="4">[5]テーブル設計!#REF!</definedName>
    <definedName name="G_BONDED_STORE">[5]テーブル設計!#REF!</definedName>
    <definedName name="G_CAR_DATA" localSheetId="4">[3]ﾃﾞｰﾀﾍﾞｰｽ変更点!#REF!</definedName>
    <definedName name="G_CAR_DATA">[3]ﾃﾞｰﾀﾍﾞｰｽ変更点!#REF!</definedName>
    <definedName name="G_CAR_MASTER" localSheetId="4">[3]ﾃﾞｰﾀﾍﾞｰｽ変更点!#REF!</definedName>
    <definedName name="G_CAR_MASTER">[3]ﾃﾞｰﾀﾍﾞｰｽ変更点!#REF!</definedName>
    <definedName name="G_CAR_MONTHLY_DATA" localSheetId="4">[3]ﾃﾞｰﾀﾍﾞｰｽ変更点!#REF!</definedName>
    <definedName name="G_CAR_MONTHLY_DATA">[3]ﾃﾞｰﾀﾍﾞｰｽ変更点!#REF!</definedName>
    <definedName name="G_CAR_OWNER_HISTORY" localSheetId="4">[3]ﾃﾞｰﾀﾍﾞｰｽ変更点!#REF!</definedName>
    <definedName name="G_CAR_OWNER_HISTORY">[3]ﾃﾞｰﾀﾍﾞｰｽ変更点!#REF!</definedName>
    <definedName name="G_CAUTION" localSheetId="4">[4]TableDesign!#REF!</definedName>
    <definedName name="G_CAUTION">[4]TableDesign!#REF!</definedName>
    <definedName name="G_CAUTION_DATA" localSheetId="4">[3]ﾃﾞｰﾀﾍﾞｰｽ変更点!#REF!</definedName>
    <definedName name="G_CAUTION_DATA">[3]ﾃﾞｰﾀﾍﾞｰｽ変更点!#REF!</definedName>
    <definedName name="G_CAUTION_ENABLED" localSheetId="4">[3]ﾃﾞｰﾀﾍﾞｰｽ変更点!#REF!</definedName>
    <definedName name="G_CAUTION_ENABLED">[3]ﾃﾞｰﾀﾍﾞｰｽ変更点!#REF!</definedName>
    <definedName name="G_CAUTION_ICON" localSheetId="4">[3]ﾃﾞｰﾀﾍﾞｰｽ変更点!#REF!</definedName>
    <definedName name="G_CAUTION_ICON">[3]ﾃﾞｰﾀﾍﾞｰｽ変更点!#REF!</definedName>
    <definedName name="G_CAUTION_INIT" localSheetId="4">[3]ﾃﾞｰﾀﾍﾞｰｽ変更点!#REF!</definedName>
    <definedName name="G_CAUTION_INIT">[3]ﾃﾞｰﾀﾍﾞｰｽ変更点!#REF!</definedName>
    <definedName name="G_CAUTION_MASTER" localSheetId="4">[3]ﾃﾞｰﾀﾍﾞｰｽ変更点!#REF!</definedName>
    <definedName name="G_CAUTION_MASTER">[3]ﾃﾞｰﾀﾍﾞｰｽ変更点!#REF!</definedName>
    <definedName name="G_CLASS1_MASTER" localSheetId="4">[3]ﾃﾞｰﾀﾍﾞｰｽ変更点!#REF!</definedName>
    <definedName name="G_CLASS1_MASTER">[3]ﾃﾞｰﾀﾍﾞｰｽ変更点!#REF!</definedName>
    <definedName name="G_CLASS2_MASTER" localSheetId="4">[3]ﾃﾞｰﾀﾍﾞｰｽ変更点!#REF!</definedName>
    <definedName name="G_CLASS2_MASTER">[3]ﾃﾞｰﾀﾍﾞｰｽ変更点!#REF!</definedName>
    <definedName name="G_COMM_DATA" localSheetId="4">[3]ﾃﾞｰﾀﾍﾞｰｽ変更点!#REF!</definedName>
    <definedName name="G_COMM_DATA">[3]ﾃﾞｰﾀﾍﾞｰｽ変更点!#REF!</definedName>
    <definedName name="G_COMM_STATUS_MASTER" localSheetId="4">[3]ﾃﾞｰﾀﾍﾞｰｽ変更点!#REF!</definedName>
    <definedName name="G_COMM_STATUS_MASTER">[3]ﾃﾞｰﾀﾍﾞｰｽ変更点!#REF!</definedName>
    <definedName name="G_CONFIG_DEFINE" localSheetId="4">[3]ﾃﾞｰﾀﾍﾞｰｽ変更点!#REF!</definedName>
    <definedName name="G_CONFIG_DEFINE">[3]ﾃﾞｰﾀﾍﾞｰｽ変更点!#REF!</definedName>
    <definedName name="G_CONFIG_FLAG" localSheetId="4">[5]テーブル設計!#REF!</definedName>
    <definedName name="G_CONFIG_FLAG">[5]テーブル設計!#REF!</definedName>
    <definedName name="G_CONFIG_INIT" localSheetId="4">[3]ﾃﾞｰﾀﾍﾞｰｽ変更点!#REF!</definedName>
    <definedName name="G_CONFIG_INIT">[3]ﾃﾞｰﾀﾍﾞｰｽ変更点!#REF!</definedName>
    <definedName name="G_CONFIG_PATTERN" localSheetId="4">[3]ﾃﾞｰﾀﾍﾞｰｽ変更点!#REF!</definedName>
    <definedName name="G_CONFIG_PATTERN">[3]ﾃﾞｰﾀﾍﾞｰｽ変更点!#REF!</definedName>
    <definedName name="G_CONFIG_PATTERN_DATA" localSheetId="4">[3]ﾃﾞｰﾀﾍﾞｰｽ変更点!#REF!</definedName>
    <definedName name="G_CONFIG_PATTERN_DATA">[3]ﾃﾞｰﾀﾍﾞｰｽ変更点!#REF!</definedName>
    <definedName name="G_CONFIG_USER_FLAG" localSheetId="4">[5]テーブル設計!#REF!</definedName>
    <definedName name="G_CONFIG_USER_FLAG">[5]テーブル設計!#REF!</definedName>
    <definedName name="G_CONTRACT" localSheetId="4">[5]テーブル設計!#REF!</definedName>
    <definedName name="G_CONTRACT">[5]テーブル設計!#REF!</definedName>
    <definedName name="G_CUSTOMER" localSheetId="4">[3]ﾃﾞｰﾀﾍﾞｰｽ変更点!#REF!</definedName>
    <definedName name="G_CUSTOMER">[3]ﾃﾞｰﾀﾍﾞｰｽ変更点!#REF!</definedName>
    <definedName name="G_CUSTOMER_CAR" localSheetId="4">[3]ﾃﾞｰﾀﾍﾞｰｽ変更点!#REF!</definedName>
    <definedName name="G_CUSTOMER_CAR">[3]ﾃﾞｰﾀﾍﾞｰｽ変更点!#REF!</definedName>
    <definedName name="G_CUSTOMER_MASTER" localSheetId="4">[4]TableDesign!#REF!</definedName>
    <definedName name="G_CUSTOMER_MASTER">[4]TableDesign!#REF!</definedName>
    <definedName name="G_DIVISION_MASTER" localSheetId="4">[3]ﾃﾞｰﾀﾍﾞｰｽ変更点!#REF!</definedName>
    <definedName name="G_DIVISION_MASTER">[3]ﾃﾞｰﾀﾍﾞｰｽ変更点!#REF!</definedName>
    <definedName name="G_DOPA" localSheetId="4">[3]ﾃﾞｰﾀﾍﾞｰｽ変更点!#REF!</definedName>
    <definedName name="G_DOPA">[3]ﾃﾞｰﾀﾍﾞｰｽ変更点!#REF!</definedName>
    <definedName name="G_DOPA_OWNER_HISTORY" localSheetId="4">[3]ﾃﾞｰﾀﾍﾞｰｽ変更点!#REF!</definedName>
    <definedName name="G_DOPA_OWNER_HISTORY">[3]ﾃﾞｰﾀﾍﾞｰｽ変更点!#REF!</definedName>
    <definedName name="G_DOPA_SERVER" localSheetId="4">[3]ﾃﾞｰﾀﾍﾞｰｽ変更点!#REF!</definedName>
    <definedName name="G_DOPA_SERVER">[3]ﾃﾞｰﾀﾍﾞｰｽ変更点!#REF!</definedName>
    <definedName name="G_EQUIPMENT_HISTORY" localSheetId="4">[3]ﾃﾞｰﾀﾍﾞｰｽ変更点!#REF!</definedName>
    <definedName name="G_EQUIPMENT_HISTORY">[3]ﾃﾞｰﾀﾍﾞｰｽ変更点!#REF!</definedName>
    <definedName name="G_ERROR" localSheetId="4">[3]ﾃﾞｰﾀﾍﾞｰｽ変更点!#REF!</definedName>
    <definedName name="G_ERROR">[3]ﾃﾞｰﾀﾍﾞｰｽ変更点!#REF!</definedName>
    <definedName name="G_ERROR_ENABLED" localSheetId="4">[3]ﾃﾞｰﾀﾍﾞｰｽ変更点!#REF!</definedName>
    <definedName name="G_ERROR_ENABLED">[3]ﾃﾞｰﾀﾍﾞｰｽ変更点!#REF!</definedName>
    <definedName name="G_ERROR_ENABLED_ERROR_ENABLED" localSheetId="4">[3]ﾃﾞｰﾀﾍﾞｰｽ変更点!#REF!</definedName>
    <definedName name="G_ERROR_ENABLED_ERROR_ENABLED">[3]ﾃﾞｰﾀﾍﾞｰｽ変更点!#REF!</definedName>
    <definedName name="G_ERROR_MASTER" localSheetId="4">[3]ﾃﾞｰﾀﾍﾞｰｽ変更点!#REF!</definedName>
    <definedName name="G_ERROR_MASTER">[3]ﾃﾞｰﾀﾍﾞｰｽ変更点!#REF!</definedName>
    <definedName name="G_EVENT_CATEGORY" localSheetId="4">[4]TableDesign!#REF!</definedName>
    <definedName name="G_EVENT_CATEGORY">[4]TableDesign!#REF!</definedName>
    <definedName name="G_EVENT_DIVISION" localSheetId="4">[3]ﾃﾞｰﾀﾍﾞｰｽ変更点!#REF!</definedName>
    <definedName name="G_EVENT_DIVISION">[3]ﾃﾞｰﾀﾍﾞｰｽ変更点!#REF!</definedName>
    <definedName name="G_EVENT_MASTER" localSheetId="4">[3]ﾃﾞｰﾀﾍﾞｰｽ変更点!#REF!</definedName>
    <definedName name="G_EVENT_MASTER">[3]ﾃﾞｰﾀﾍﾞｰｽ変更点!#REF!</definedName>
    <definedName name="G_EVENT_NOTICE" localSheetId="4">[3]ﾃﾞｰﾀﾍﾞｰｽ変更点!#REF!</definedName>
    <definedName name="G_EVENT_NOTICE">[3]ﾃﾞｰﾀﾍﾞｰｽ変更点!#REF!</definedName>
    <definedName name="G_FUEL_GAUGE" localSheetId="4">[4]TableDesign!#REF!</definedName>
    <definedName name="G_FUEL_GAUGE">[4]TableDesign!#REF!</definedName>
    <definedName name="G_GAUGE_FUEL_WTTEMP" localSheetId="4">[3]ﾃﾞｰﾀﾍﾞｰｽ変更点!#REF!</definedName>
    <definedName name="G_GAUGE_FUEL_WTTEMP">[3]ﾃﾞｰﾀﾍﾞｰｽ変更点!#REF!</definedName>
    <definedName name="G_GIS_DEFINE" localSheetId="4">[4]TableDesign!#REF!</definedName>
    <definedName name="G_GIS_DEFINE">[4]TableDesign!#REF!</definedName>
    <definedName name="G_GPS" localSheetId="4">[3]ﾃﾞｰﾀﾍﾞｰｽ変更点!#REF!</definedName>
    <definedName name="G_GPS">[3]ﾃﾞｰﾀﾍﾞｰｽ変更点!#REF!</definedName>
    <definedName name="G_GRANT_AUTHORITY" localSheetId="4">[3]ﾃﾞｰﾀﾍﾞｰｽ変更点!#REF!</definedName>
    <definedName name="G_GRANT_AUTHORITY">[3]ﾃﾞｰﾀﾍﾞｰｽ変更点!#REF!</definedName>
    <definedName name="G_GROUP_MASTER" localSheetId="4">[3]ﾃﾞｰﾀﾍﾞｰｽ変更点!#REF!</definedName>
    <definedName name="G_GROUP_MASTER">[3]ﾃﾞｰﾀﾍﾞｰｽ変更点!#REF!</definedName>
    <definedName name="G_IGNORE_CAUTION" localSheetId="4">[5]テーブル設計!#REF!</definedName>
    <definedName name="G_IGNORE_CAUTION">[5]テーブル設計!#REF!</definedName>
    <definedName name="G_IGNORE_ERROR" localSheetId="4">[5]テーブル設計!#REF!</definedName>
    <definedName name="G_IGNORE_ERROR">[5]テーブル設計!#REF!</definedName>
    <definedName name="G_INFORM_MASTER" localSheetId="4">[3]ﾃﾞｰﾀﾍﾞｰｽ変更点!#REF!</definedName>
    <definedName name="G_INFORM_MASTER">[3]ﾃﾞｰﾀﾍﾞｰｽ変更点!#REF!</definedName>
    <definedName name="G_INFORMATION" localSheetId="4">[3]ﾃﾞｰﾀﾍﾞｰｽ変更点!#REF!</definedName>
    <definedName name="G_INFORMATION">[3]ﾃﾞｰﾀﾍﾞｰｽ変更点!#REF!</definedName>
    <definedName name="G_INFORMATION_READED" localSheetId="4">[3]ﾃﾞｰﾀﾍﾞｰｽ変更点!#REF!</definedName>
    <definedName name="G_INFORMATION_READED">[3]ﾃﾞｰﾀﾍﾞｰｽ変更点!#REF!</definedName>
    <definedName name="G_INVALID_PART_TERMINAL" localSheetId="4">[5]テーブル設計!#REF!</definedName>
    <definedName name="G_INVALID_PART_TERMINAL">[5]テーブル設計!#REF!</definedName>
    <definedName name="G_KIND_MASTER" localSheetId="4">[3]ﾃﾞｰﾀﾍﾞｰｽ変更点!#REF!</definedName>
    <definedName name="G_KIND_MASTER">[3]ﾃﾞｰﾀﾍﾞｰｽ変更点!#REF!</definedName>
    <definedName name="G_KRO_APPLICATION" localSheetId="4">[3]ﾃﾞｰﾀﾍﾞｰｽ変更点!#REF!</definedName>
    <definedName name="G_KRO_APPLICATION">[3]ﾃﾞｰﾀﾍﾞｰｽ変更点!#REF!</definedName>
    <definedName name="G_KRO_APPLICATION_DATA" localSheetId="4">[3]ﾃﾞｰﾀﾍﾞｰｽ変更点!#REF!</definedName>
    <definedName name="G_KRO_APPLICATION_DATA">[3]ﾃﾞｰﾀﾍﾞｰｽ変更点!#REF!</definedName>
    <definedName name="G_KRO_COMPLETION" localSheetId="4">[3]ﾃﾞｰﾀﾍﾞｰｽ変更点!#REF!</definedName>
    <definedName name="G_KRO_COMPLETION">[3]ﾃﾞｰﾀﾍﾞｰｽ変更点!#REF!</definedName>
    <definedName name="G_KRO_COMPLETION_DATA" localSheetId="4">[3]ﾃﾞｰﾀﾍﾞｰｽ変更点!#REF!</definedName>
    <definedName name="G_KRO_COMPLETION_DATA">[3]ﾃﾞｰﾀﾍﾞｰｽ変更点!#REF!</definedName>
    <definedName name="G_KRO_EMERGENCY" localSheetId="4">[5]テーブル設計!#REF!</definedName>
    <definedName name="G_KRO_EMERGENCY">[5]テーブル設計!#REF!</definedName>
    <definedName name="G_KRO_REPORT" localSheetId="4">[3]ﾃﾞｰﾀﾍﾞｰｽ変更点!#REF!</definedName>
    <definedName name="G_KRO_REPORT">[3]ﾃﾞｰﾀﾍﾞｰｽ変更点!#REF!</definedName>
    <definedName name="G_LANDMARK" localSheetId="4">[3]ﾃﾞｰﾀﾍﾞｰｽ変更点!#REF!</definedName>
    <definedName name="G_LANDMARK">[3]ﾃﾞｰﾀﾍﾞｰｽ変更点!#REF!</definedName>
    <definedName name="G_LANDMARK_CLASS" localSheetId="4">[3]ﾃﾞｰﾀﾍﾞｰｽ変更点!#REF!</definedName>
    <definedName name="G_LANDMARK_CLASS">[3]ﾃﾞｰﾀﾍﾞｰｽ変更点!#REF!</definedName>
    <definedName name="G_LOGON_HISTORY" localSheetId="4">[3]ﾃﾞｰﾀﾍﾞｰｽ変更点!#REF!</definedName>
    <definedName name="G_LOGON_HISTORY">[3]ﾃﾞｰﾀﾍﾞｰｽ変更点!#REF!</definedName>
    <definedName name="G_MACHINE_ERROR" localSheetId="4">[4]TableDesign!#REF!</definedName>
    <definedName name="G_MACHINE_ERROR">[4]TableDesign!#REF!</definedName>
    <definedName name="G_MACHINE_STATUS_MASTER" localSheetId="4">[3]ﾃﾞｰﾀﾍﾞｰｽ変更点!#REF!</definedName>
    <definedName name="G_MACHINE_STATUS_MASTER">[3]ﾃﾞｰﾀﾍﾞｰｽ変更点!#REF!</definedName>
    <definedName name="G_MAINTENANCE_DATA" localSheetId="4">[3]ﾃﾞｰﾀﾍﾞｰｽ変更点!#REF!</definedName>
    <definedName name="G_MAINTENANCE_DATA">[3]ﾃﾞｰﾀﾍﾞｰｽ変更点!#REF!</definedName>
    <definedName name="G_MAINTENANCE_INFORM" localSheetId="4">[3]ﾃﾞｰﾀﾍﾞｰｽ変更点!#REF!</definedName>
    <definedName name="G_MAINTENANCE_INFORM">[3]ﾃﾞｰﾀﾍﾞｰｽ変更点!#REF!</definedName>
    <definedName name="G_MAINTENANCE_MASTER" localSheetId="4">[3]ﾃﾞｰﾀﾍﾞｰｽ変更点!#REF!</definedName>
    <definedName name="G_MAINTENANCE_MASTER">[3]ﾃﾞｰﾀﾍﾞｰｽ変更点!#REF!</definedName>
    <definedName name="G_MAINTENANCE_TIME" localSheetId="4">[4]TableDesign!#REF!</definedName>
    <definedName name="G_MAINTENANCE_TIME">[4]TableDesign!#REF!</definedName>
    <definedName name="G_MAKER_MASTER" localSheetId="4">[3]ﾃﾞｰﾀﾍﾞｰｽ変更点!#REF!</definedName>
    <definedName name="G_MAKER_MASTER">[3]ﾃﾞｰﾀﾍﾞｰｽ変更点!#REF!</definedName>
    <definedName name="G_MARK_MACHINE" localSheetId="4">[4]TableDesign!#REF!</definedName>
    <definedName name="G_MARK_MACHINE">[4]TableDesign!#REF!</definedName>
    <definedName name="G_MARK_NOTIFICATION" localSheetId="4">[4]TableDesign!#REF!</definedName>
    <definedName name="G_MARK_NOTIFICATION">[4]TableDesign!#REF!</definedName>
    <definedName name="G_MARK_NOTIFICATION_DETAIL" localSheetId="4">[4]TableDesign!#REF!</definedName>
    <definedName name="G_MARK_NOTIFICATION_DETAIL">[4]TableDesign!#REF!</definedName>
    <definedName name="G_MEMO" localSheetId="4">[3]ﾃﾞｰﾀﾍﾞｰｽ変更点!#REF!</definedName>
    <definedName name="G_MEMO">[3]ﾃﾞｰﾀﾍﾞｰｽ変更点!#REF!</definedName>
    <definedName name="G_MEMORY_MODIFY" localSheetId="4">[3]ﾃﾞｰﾀﾍﾞｰｽ変更点!#REF!</definedName>
    <definedName name="G_MEMORY_MODIFY">[3]ﾃﾞｰﾀﾍﾞｰｽ変更点!#REF!</definedName>
    <definedName name="G_MEMORY_MODIFY_DATA" localSheetId="4">[3]ﾃﾞｰﾀﾍﾞｰｽ変更点!#REF!</definedName>
    <definedName name="G_MEMORY_MODIFY_DATA">[3]ﾃﾞｰﾀﾍﾞｰｽ変更点!#REF!</definedName>
    <definedName name="G_MESSAGE" localSheetId="4">[3]ﾃﾞｰﾀﾍﾞｰｽ変更点!#REF!</definedName>
    <definedName name="G_MESSAGE">[3]ﾃﾞｰﾀﾍﾞｰｽ変更点!#REF!</definedName>
    <definedName name="G_MESSAGE_MASTER" localSheetId="4">[3]ﾃﾞｰﾀﾍﾞｰｽ変更点!#REF!</definedName>
    <definedName name="G_MESSAGE_MASTER">[3]ﾃﾞｰﾀﾍﾞｰｽ変更点!#REF!</definedName>
    <definedName name="G_MONTHLY_ATT_SMR" localSheetId="4">[4]TableDesign!#REF!</definedName>
    <definedName name="G_MONTHLY_ATT_SMR">[4]TableDesign!#REF!</definedName>
    <definedName name="G_MONTHLY_ERROR" localSheetId="4">[4]TableDesign!#REF!</definedName>
    <definedName name="G_MONTHLY_ERROR">[4]TableDesign!#REF!</definedName>
    <definedName name="G_MONTHLY_LOAD" localSheetId="4">[4]TableDesign!#REF!</definedName>
    <definedName name="G_MONTHLY_LOAD">[4]TableDesign!#REF!</definedName>
    <definedName name="G_MONTHLY_MOVEMENT" localSheetId="4">[4]TableDesign!#REF!</definedName>
    <definedName name="G_MONTHLY_MOVEMENT">[4]TableDesign!#REF!</definedName>
    <definedName name="G_MONTHLY_OPERATION" localSheetId="4">[4]TableDesign!#REF!</definedName>
    <definedName name="G_MONTHLY_OPERATION">[4]TableDesign!#REF!</definedName>
    <definedName name="G_MONTHLY_SMR" localSheetId="4">[4]TableDesign!#REF!</definedName>
    <definedName name="G_MONTHLY_SMR">[4]TableDesign!#REF!</definedName>
    <definedName name="G_MONTHLY_WORKING_SMR" localSheetId="4">[4]TableDesign!#REF!</definedName>
    <definedName name="G_MONTHLY_WORKING_SMR">[4]TableDesign!#REF!</definedName>
    <definedName name="G_MONTLY_LOAD" localSheetId="4">[4]TableDesign!#REF!</definedName>
    <definedName name="G_MONTLY_LOAD">[4]TableDesign!#REF!</definedName>
    <definedName name="G_MULTI_OPE" localSheetId="4">[3]ﾃﾞｰﾀﾍﾞｰｽ変更点!#REF!</definedName>
    <definedName name="G_MULTI_OPE">[3]ﾃﾞｰﾀﾍﾞｰｽ変更点!#REF!</definedName>
    <definedName name="G_MULTI_OPE_DATA" localSheetId="4">[5]テーブル設計!#REF!</definedName>
    <definedName name="G_MULTI_OPE_DATA">[5]テーブル設計!#REF!</definedName>
    <definedName name="G_NLS_DB_RESOURCE" localSheetId="4">[4]TableDesign!#REF!</definedName>
    <definedName name="G_NLS_DB_RESOURCE">[4]TableDesign!#REF!</definedName>
    <definedName name="G_NLS_LANG" localSheetId="4">[4]TableDesign!#REF!</definedName>
    <definedName name="G_NLS_LANG">[4]TableDesign!#REF!</definedName>
    <definedName name="G_NLS_RESOURCE" localSheetId="4">[4]TableDesign!#REF!</definedName>
    <definedName name="G_NLS_RESOURCE">[4]TableDesign!#REF!</definedName>
    <definedName name="G_NOT_ACTIVE" localSheetId="4">[3]ﾃﾞｰﾀﾍﾞｰｽ変更点!#REF!</definedName>
    <definedName name="G_NOT_ACTIVE">[3]ﾃﾞｰﾀﾍﾞｰｽ変更点!#REF!</definedName>
    <definedName name="G_OPERATION_CATEGORY" localSheetId="4">[4]TableDesign!#REF!</definedName>
    <definedName name="G_OPERATION_CATEGORY">[4]TableDesign!#REF!</definedName>
    <definedName name="G_OPERATION_CLASS" localSheetId="4">[5]テーブル設計!#REF!</definedName>
    <definedName name="G_OPERATION_CLASS">[5]テーブル設計!#REF!</definedName>
    <definedName name="G_OPERATION_LOG" localSheetId="4">[3]ﾃﾞｰﾀﾍﾞｰｽ変更点!#REF!</definedName>
    <definedName name="G_OPERATION_LOG">[3]ﾃﾞｰﾀﾍﾞｰｽ変更点!#REF!</definedName>
    <definedName name="G_OPERATION_LOG2" localSheetId="4">[5]テーブル設計!#REF!</definedName>
    <definedName name="G_OPERATION_LOG2">[5]テーブル設計!#REF!</definedName>
    <definedName name="G_OPERATION_MAP" localSheetId="4">[4]TableDesign!#REF!</definedName>
    <definedName name="G_OPERATION_MAP">[4]TableDesign!#REF!</definedName>
    <definedName name="G_OPERATION_MASTER" localSheetId="4">[5]テーブル設計!#REF!</definedName>
    <definedName name="G_OPERATION_MASTER">[5]テーブル設計!#REF!</definedName>
    <definedName name="G_ORBCOMM" localSheetId="4">[3]ﾃﾞｰﾀﾍﾞｰｽ変更点!#REF!</definedName>
    <definedName name="G_ORBCOMM">[3]ﾃﾞｰﾀﾍﾞｰｽ変更点!#REF!</definedName>
    <definedName name="G_ORBCOMM_OWNER_HISTORY" localSheetId="4">[3]ﾃﾞｰﾀﾍﾞｰｽ変更点!#REF!</definedName>
    <definedName name="G_ORBCOMM_OWNER_HISTORY">[3]ﾃﾞｰﾀﾍﾞｰｽ変更点!#REF!</definedName>
    <definedName name="G_PLANT_CAR" localSheetId="4">[5]テーブル設計!#REF!</definedName>
    <definedName name="G_PLANT_CAR">[5]テーブル設計!#REF!</definedName>
    <definedName name="G_PLANT_ERROR" localSheetId="4">[5]テーブル設計!#REF!</definedName>
    <definedName name="G_PLANT_ERROR">[5]テーブル設計!#REF!</definedName>
    <definedName name="G_PLANT_GPS" localSheetId="4">[5]テーブル設計!#REF!</definedName>
    <definedName name="G_PLANT_GPS">[5]テーブル設計!#REF!</definedName>
    <definedName name="G_PREVENT_THEFT_KEY" localSheetId="4">[3]ﾃﾞｰﾀﾍﾞｰｽ変更点!#REF!</definedName>
    <definedName name="G_PREVENT_THEFT_KEY">[3]ﾃﾞｰﾀﾍﾞｰｽ変更点!#REF!</definedName>
    <definedName name="G_PRIVATE_TARGET_CAR" localSheetId="4">[3]ﾃﾞｰﾀﾍﾞｰｽ変更点!#REF!</definedName>
    <definedName name="G_PRIVATE_TARGET_CAR">[3]ﾃﾞｰﾀﾍﾞｰｽ変更点!#REF!</definedName>
    <definedName name="G_RECEIVE_LIST" localSheetId="4">[5]テーブル設計!#REF!</definedName>
    <definedName name="G_RECEIVE_LIST">[5]テーブル設計!#REF!</definedName>
    <definedName name="G_RECEIVE_LOG" localSheetId="4">[3]ﾃﾞｰﾀﾍﾞｰｽ変更点!#REF!</definedName>
    <definedName name="G_RECEIVE_LOG">[3]ﾃﾞｰﾀﾍﾞｰｽ変更点!#REF!</definedName>
    <definedName name="G_REGION_DATA" localSheetId="4">[4]TableDesign!#REF!</definedName>
    <definedName name="G_REGION_DATA">[4]TableDesign!#REF!</definedName>
    <definedName name="G_REGION_MASTER" localSheetId="4">[4]TableDesign!#REF!</definedName>
    <definedName name="G_REGION_MASTER">[4]TableDesign!#REF!</definedName>
    <definedName name="G_RENTAL_TERMINAL" localSheetId="4">[5]テーブル設計!#REF!</definedName>
    <definedName name="G_RENTAL_TERMINAL">[5]テーブル設計!#REF!</definedName>
    <definedName name="G_REQUEST" localSheetId="4">[3]ﾃﾞｰﾀﾍﾞｰｽ変更点!#REF!</definedName>
    <definedName name="G_REQUEST">[3]ﾃﾞｰﾀﾍﾞｰｽ変更点!#REF!</definedName>
    <definedName name="G_REQUEST_COUNT" localSheetId="4">[3]ﾃﾞｰﾀﾍﾞｰｽ変更点!#REF!</definedName>
    <definedName name="G_REQUEST_COUNT">[3]ﾃﾞｰﾀﾍﾞｰｽ変更点!#REF!</definedName>
    <definedName name="G_REQUEST_LOG" localSheetId="4">[3]ﾃﾞｰﾀﾍﾞｰｽ変更点!#REF!</definedName>
    <definedName name="G_REQUEST_LOG">[3]ﾃﾞｰﾀﾍﾞｰｽ変更点!#REF!</definedName>
    <definedName name="G_RIVATE_TARGET_CAR" localSheetId="4">[4]TableDesign!#REF!</definedName>
    <definedName name="G_RIVATE_TARGET_CAR">[4]TableDesign!#REF!</definedName>
    <definedName name="G_RUNNING_LOG" localSheetId="4">[3]ﾃﾞｰﾀﾍﾞｰｽ変更点!#REF!</definedName>
    <definedName name="G_RUNNING_LOG">[3]ﾃﾞｰﾀﾍﾞｰｽ変更点!#REF!</definedName>
    <definedName name="G_SAVE_INFORMATION" localSheetId="4">[5]テーブル設計!#REF!</definedName>
    <definedName name="G_SAVE_INFORMATION">[5]テーブル設計!#REF!</definedName>
    <definedName name="G_SELFCARINSPECTION" localSheetId="4">[3]ﾃﾞｰﾀﾍﾞｰｽ変更点!#REF!</definedName>
    <definedName name="G_SELFCARINSPECTION">[3]ﾃﾞｰﾀﾍﾞｰｽ変更点!#REF!</definedName>
    <definedName name="G_SEND_LIST" localSheetId="4">[5]テーブル設計!#REF!</definedName>
    <definedName name="G_SEND_LIST">[5]テーブル設計!#REF!</definedName>
    <definedName name="G_SEND_LOG" localSheetId="4">[5]テーブル設計!#REF!</definedName>
    <definedName name="G_SEND_LOG">[5]テーブル設計!#REF!</definedName>
    <definedName name="G_SERVER_COMMUNICATION" localSheetId="4">[4]TableDesign!#REF!</definedName>
    <definedName name="G_SERVER_COMMUNICATION">[4]TableDesign!#REF!</definedName>
    <definedName name="G_SERVER_INFORMATION" localSheetId="4">[3]ﾃﾞｰﾀﾍﾞｰｽ変更点!#REF!</definedName>
    <definedName name="G_SERVER_INFORMATION">[3]ﾃﾞｰﾀﾍﾞｰｽ変更点!#REF!</definedName>
    <definedName name="G_SERVICE_METER" localSheetId="4">[3]ﾃﾞｰﾀﾍﾞｰｽ変更点!#REF!</definedName>
    <definedName name="G_SERVICE_METER">[3]ﾃﾞｰﾀﾍﾞｰｽ変更点!#REF!</definedName>
    <definedName name="G_SERVICE_METER2" localSheetId="4">[5]テーブル設計!#REF!</definedName>
    <definedName name="G_SERVICE_METER2">[5]テーブル設計!#REF!</definedName>
    <definedName name="G_SERVICEMAN" localSheetId="4">[5]テーブル設計!#REF!</definedName>
    <definedName name="G_SERVICEMAN">[5]テーブル設計!#REF!</definedName>
    <definedName name="G_SERVICEMAN_CHARGE" localSheetId="4">[5]テーブル設計!#REF!</definedName>
    <definedName name="G_SERVICEMAN_CHARGE">[5]テーブル設計!#REF!</definedName>
    <definedName name="G_SHIPMENT" localSheetId="4">[3]ﾃﾞｰﾀﾍﾞｰｽ変更点!#REF!</definedName>
    <definedName name="G_SHIPMENT">[3]ﾃﾞｰﾀﾍﾞｰｽ変更点!#REF!</definedName>
    <definedName name="G_SHOW" localSheetId="4">[3]ﾃﾞｰﾀﾍﾞｰｽ変更点!#REF!</definedName>
    <definedName name="G_SHOW">[3]ﾃﾞｰﾀﾍﾞｰｽ変更点!#REF!</definedName>
    <definedName name="G_SHOW_GROUP" localSheetId="4">[3]ﾃﾞｰﾀﾍﾞｰｽ変更点!#REF!</definedName>
    <definedName name="G_SHOW_GROUP">[3]ﾃﾞｰﾀﾍﾞｰｽ変更点!#REF!</definedName>
    <definedName name="G_SPECIAL_AREA" localSheetId="4">[3]ﾃﾞｰﾀﾍﾞｰｽ変更点!#REF!</definedName>
    <definedName name="G_SPECIAL_AREA">[3]ﾃﾞｰﾀﾍﾞｰｽ変更点!#REF!</definedName>
    <definedName name="G_SUB_GROUP" localSheetId="4">[4]TableDesign!#REF!</definedName>
    <definedName name="G_SUB_GROUP">[4]TableDesign!#REF!</definedName>
    <definedName name="G_SUB_GROUP_CAR" localSheetId="4">[4]TableDesign!#REF!</definedName>
    <definedName name="G_SUB_GROUP_CAR">[4]TableDesign!#REF!</definedName>
    <definedName name="G_SYSTEM_COMMTERM_INFO" localSheetId="4">[3]ﾃﾞｰﾀﾍﾞｰｽ変更点!#REF!</definedName>
    <definedName name="G_SYSTEM_COMMTERM_INFO">[3]ﾃﾞｰﾀﾍﾞｰｽ変更点!#REF!</definedName>
    <definedName name="G_SYSTEM_LOG" localSheetId="4">[3]ﾃﾞｰﾀﾍﾞｰｽ変更点!#REF!</definedName>
    <definedName name="G_SYSTEM_LOG">[3]ﾃﾞｰﾀﾍﾞｰｽ変更点!#REF!</definedName>
    <definedName name="G_SYSTEM_NOTICE" localSheetId="4">[3]ﾃﾞｰﾀﾍﾞｰｽ変更点!#REF!</definedName>
    <definedName name="G_SYSTEM_NOTICE">[3]ﾃﾞｰﾀﾍﾞｰｽ変更点!#REF!</definedName>
    <definedName name="G_TARGET" localSheetId="4">[3]ﾃﾞｰﾀﾍﾞｰｽ変更点!#REF!</definedName>
    <definedName name="G_TARGET">[3]ﾃﾞｰﾀﾍﾞｰｽ変更点!#REF!</definedName>
    <definedName name="G_TARGET_CAR" localSheetId="4">[3]ﾃﾞｰﾀﾍﾞｰｽ変更点!#REF!</definedName>
    <definedName name="G_TARGET_CAR">[3]ﾃﾞｰﾀﾍﾞｰｽ変更点!#REF!</definedName>
    <definedName name="G_TERMINAL_AREA" localSheetId="4">[3]ﾃﾞｰﾀﾍﾞｰｽ変更点!#REF!</definedName>
    <definedName name="G_TERMINAL_AREA">[3]ﾃﾞｰﾀﾍﾞｰｽ変更点!#REF!</definedName>
    <definedName name="G_TERMINAL_CAUTION" localSheetId="4">[3]ﾃﾞｰﾀﾍﾞｰｽ変更点!#REF!</definedName>
    <definedName name="G_TERMINAL_CAUTION">[3]ﾃﾞｰﾀﾍﾞｰｽ変更点!#REF!</definedName>
    <definedName name="G_TERMINAL_ERROR" localSheetId="4">[3]ﾃﾞｰﾀﾍﾞｰｽ変更点!#REF!</definedName>
    <definedName name="G_TERMINAL_ERROR">[3]ﾃﾞｰﾀﾍﾞｰｽ変更点!#REF!</definedName>
    <definedName name="G_TERMINAL_KIND" localSheetId="4">[3]ﾃﾞｰﾀﾍﾞｰｽ変更点!#REF!</definedName>
    <definedName name="G_TERMINAL_KIND">[3]ﾃﾞｰﾀﾍﾞｰｽ変更点!#REF!</definedName>
    <definedName name="G_TERMINAL_MASTER" localSheetId="4">[3]ﾃﾞｰﾀﾍﾞｰｽ変更点!#REF!</definedName>
    <definedName name="G_TERMINAL_MASTER">[3]ﾃﾞｰﾀﾍﾞｰｽ変更点!#REF!</definedName>
    <definedName name="G_TERMINAL_PART_MASTER" localSheetId="4">[3]ﾃﾞｰﾀﾍﾞｰｽ変更点!#REF!</definedName>
    <definedName name="G_TERMINAL_PART_MASTER">[3]ﾃﾞｰﾀﾍﾞｰｽ変更点!#REF!</definedName>
    <definedName name="G_TYPE_MASTER" localSheetId="4">[3]ﾃﾞｰﾀﾍﾞｰｽ変更点!#REF!</definedName>
    <definedName name="G_TYPE_MASTER">[3]ﾃﾞｰﾀﾍﾞｰｽ変更点!#REF!</definedName>
    <definedName name="G_UFO" localSheetId="4">[3]ﾃﾞｰﾀﾍﾞｰｽ変更点!#REF!</definedName>
    <definedName name="G_UFO">[3]ﾃﾞｰﾀﾍﾞｰｽ変更点!#REF!</definedName>
    <definedName name="G_UNRELIABLE_RECEIVE" localSheetId="4">[3]ﾃﾞｰﾀﾍﾞｰｽ変更点!#REF!</definedName>
    <definedName name="G_UNRELIABLE_RECEIVE">[3]ﾃﾞｰﾀﾍﾞｰｽ変更点!#REF!</definedName>
    <definedName name="G_USER_MASTER" localSheetId="4">[3]ﾃﾞｰﾀﾍﾞｰｽ変更点!#REF!</definedName>
    <definedName name="G_USER_MASTER">[3]ﾃﾞｰﾀﾍﾞｰｽ変更点!#REF!</definedName>
    <definedName name="G_USER_TEMP" localSheetId="4">[3]ﾃﾞｰﾀﾍﾞｰｽ変更点!#REF!</definedName>
    <definedName name="G_USER_TEMP">[3]ﾃﾞｰﾀﾍﾞｰｽ変更点!#REF!</definedName>
    <definedName name="G_V" localSheetId="4">[4]TableDesign!#REF!</definedName>
    <definedName name="G_V">[4]TableDesign!#REF!</definedName>
    <definedName name="G_WATER_TEMP_GAUGE" localSheetId="4">[4]TableDesign!#REF!</definedName>
    <definedName name="G_WATER_TEMP_GAUGE">[4]TableDesign!#REF!</definedName>
    <definedName name="GG" localSheetId="4">'[6]DATA-COMMUNICATION-FORMAT'!#REF!</definedName>
    <definedName name="GG">'[6]DATA-COMMUNICATION-FORMAT'!#REF!</definedName>
    <definedName name="ggg" localSheetId="2" hidden="1">{#N/A,#N/A,TRUE,"カスタマイズ仕様書";#N/A,#N/A,TRUE,"Ｉ・Ｏ関連表(1)";#N/A,#N/A,TRUE,"Ｉ・Ｏ関連表(2)";#N/A,#N/A,TRUE,"Ｉ・Ｏ関連表(3)";#N/A,#N/A,TRUE,"レポート記述書";#N/A,#N/A,TRUE,"画面記述書"}</definedName>
    <definedName name="ggg" hidden="1">{#N/A,#N/A,TRUE,"カスタマイズ仕様書";#N/A,#N/A,TRUE,"Ｉ・Ｏ関連表(1)";#N/A,#N/A,TRUE,"Ｉ・Ｏ関連表(2)";#N/A,#N/A,TRUE,"Ｉ・Ｏ関連表(3)";#N/A,#N/A,TRUE,"レポート記述書";#N/A,#N/A,TRUE,"画面記述書"}</definedName>
    <definedName name="GROUP" localSheetId="4">[3]ﾃﾞｰﾀﾍﾞｰｽ変更点!#REF!</definedName>
    <definedName name="GROUP">[3]ﾃﾞｰﾀﾍﾞｰｽ変更点!#REF!</definedName>
    <definedName name="GROUP_NUM" localSheetId="4">[3]ﾃﾞｰﾀﾍﾞｰｽ変更点!#REF!</definedName>
    <definedName name="GROUP_NUM">[3]ﾃﾞｰﾀﾍﾞｰｽ変更点!#REF!</definedName>
    <definedName name="ｈ" localSheetId="2" hidden="1">{"'オンボード'!$A$1:$BZ$70"}</definedName>
    <definedName name="ｈ" hidden="1">{"'オンボード'!$A$1:$BZ$70"}</definedName>
    <definedName name="header" localSheetId="2" hidden="1">{#N/A,#N/A,TRUE,"カスタマイズ仕様書";#N/A,#N/A,TRUE,"Ｉ・Ｏ関連表(1)";#N/A,#N/A,TRUE,"Ｉ・Ｏ関連表(2)";#N/A,#N/A,TRUE,"Ｉ・Ｏ関連表(3)";#N/A,#N/A,TRUE,"レポート記述書";#N/A,#N/A,TRUE,"画面記述書"}</definedName>
    <definedName name="header" hidden="1">{#N/A,#N/A,TRUE,"カスタマイズ仕様書";#N/A,#N/A,TRUE,"Ｉ・Ｏ関連表(1)";#N/A,#N/A,TRUE,"Ｉ・Ｏ関連表(2)";#N/A,#N/A,TRUE,"Ｉ・Ｏ関連表(3)";#N/A,#N/A,TRUE,"レポート記述書";#N/A,#N/A,TRUE,"画面記述書"}</definedName>
    <definedName name="HH" localSheetId="4">'[6]DATA-COMMUNICATION-FORMAT'!#REF!</definedName>
    <definedName name="HH">'[6]DATA-COMMUNICATION-FORMAT'!#REF!</definedName>
    <definedName name="hhh" localSheetId="2" hidden="1">{#N/A,#N/A,TRUE,"カスタマイズ仕様書";#N/A,#N/A,TRUE,"Ｉ・Ｏ関連表(1)";#N/A,#N/A,TRUE,"Ｉ・Ｏ関連表(2)";#N/A,#N/A,TRUE,"Ｉ・Ｏ関連表(3)";#N/A,#N/A,TRUE,"レポート記述書";#N/A,#N/A,TRUE,"画面記述書"}</definedName>
    <definedName name="hhh" hidden="1">{#N/A,#N/A,TRUE,"カスタマイズ仕様書";#N/A,#N/A,TRUE,"Ｉ・Ｏ関連表(1)";#N/A,#N/A,TRUE,"Ｉ・Ｏ関連表(2)";#N/A,#N/A,TRUE,"Ｉ・Ｏ関連表(3)";#N/A,#N/A,TRUE,"レポート記述書";#N/A,#N/A,TRUE,"画面記述書"}</definedName>
    <definedName name="HTML_CodePage" hidden="1">932</definedName>
    <definedName name="HTML_Control" localSheetId="2" hidden="1">{"'オンボード'!$A$1:$BZ$70"}</definedName>
    <definedName name="HTML_Control" hidden="1">{"'オンボード'!$A$1:$BZ$70"}</definedName>
    <definedName name="HTML_Description" hidden="1">""</definedName>
    <definedName name="HTML_Email" hidden="1">""</definedName>
    <definedName name="HTML_Header" hidden="1">"オンボード"</definedName>
    <definedName name="HTML_LastUpdate" hidden="1">"00/04/25"</definedName>
    <definedName name="HTML_LineAfter" hidden="1">FALSE</definedName>
    <definedName name="HTML_LineBefore" hidden="1">FALSE</definedName>
    <definedName name="HTML_Name" hidden="1">"システムラボラトリ　太田　晃平"</definedName>
    <definedName name="HTML_OBDlg2" hidden="1">TRUE</definedName>
    <definedName name="HTML_OBDlg4" hidden="1">TRUE</definedName>
    <definedName name="HTML_OS" hidden="1">0</definedName>
    <definedName name="HTML_PathFile" hidden="1">"D:\WebCARE\Aki\業務ﾌﾛｰもどき\MyHTML.htm"</definedName>
    <definedName name="HTML_Title" hidden="1">"ﾌﾛｰ"</definedName>
    <definedName name="I" localSheetId="2" hidden="1">{#N/A,#N/A,TRUE,"カスタマイズ仕様書";#N/A,#N/A,TRUE,"Ｉ・Ｏ関連表(1)";#N/A,#N/A,TRUE,"Ｉ・Ｏ関連表(2)";#N/A,#N/A,TRUE,"Ｉ・Ｏ関連表(3)";#N/A,#N/A,TRUE,"レポート記述書";#N/A,#N/A,TRUE,"画面記述書"}</definedName>
    <definedName name="I" hidden="1">{#N/A,#N/A,TRUE,"カスタマイズ仕様書";#N/A,#N/A,TRUE,"Ｉ・Ｏ関連表(1)";#N/A,#N/A,TRUE,"Ｉ・Ｏ関連表(2)";#N/A,#N/A,TRUE,"Ｉ・Ｏ関連表(3)";#N/A,#N/A,TRUE,"レポート記述書";#N/A,#N/A,TRUE,"画面記述書"}</definedName>
    <definedName name="IF概要債権" localSheetId="4">#REF!</definedName>
    <definedName name="IF概要債権">#REF!</definedName>
    <definedName name="II" localSheetId="4">'[6]DATA-COMMUNICATION-FORMAT'!#REF!</definedName>
    <definedName name="II">'[6]DATA-COMMUNICATION-FORMAT'!#REF!</definedName>
    <definedName name="iii" localSheetId="2" hidden="1">{#N/A,#N/A,TRUE,"カスタマイズ仕様書";#N/A,#N/A,TRUE,"Ｉ・Ｏ関連表(1)";#N/A,#N/A,TRUE,"Ｉ・Ｏ関連表(2)";#N/A,#N/A,TRUE,"Ｉ・Ｏ関連表(3)";#N/A,#N/A,TRUE,"レポート記述書";#N/A,#N/A,TRUE,"画面記述書"}</definedName>
    <definedName name="iii" hidden="1">{#N/A,#N/A,TRUE,"カスタマイズ仕様書";#N/A,#N/A,TRUE,"Ｉ・Ｏ関連表(1)";#N/A,#N/A,TRUE,"Ｉ・Ｏ関連表(2)";#N/A,#N/A,TRUE,"Ｉ・Ｏ関連表(3)";#N/A,#N/A,TRUE,"レポート記述書";#N/A,#N/A,TRUE,"画面記述書"}</definedName>
    <definedName name="IO" localSheetId="2" hidden="1">{#N/A,#N/A,TRUE,"カスタマイズ仕様書";#N/A,#N/A,TRUE,"Ｉ・Ｏ関連表(1)";#N/A,#N/A,TRUE,"Ｉ・Ｏ関連表(2)";#N/A,#N/A,TRUE,"Ｉ・Ｏ関連表(3)";#N/A,#N/A,TRUE,"レポート記述書";#N/A,#N/A,TRUE,"画面記述書"}</definedName>
    <definedName name="IO" hidden="1">{#N/A,#N/A,TRUE,"カスタマイズ仕様書";#N/A,#N/A,TRUE,"Ｉ・Ｏ関連表(1)";#N/A,#N/A,TRUE,"Ｉ・Ｏ関連表(2)";#N/A,#N/A,TRUE,"Ｉ・Ｏ関連表(3)";#N/A,#N/A,TRUE,"レポート記述書";#N/A,#N/A,TRUE,"画面記述書"}</definedName>
    <definedName name="IOI" localSheetId="2" hidden="1">{#N/A,#N/A,TRUE,"カスタマイズ仕様書";#N/A,#N/A,TRUE,"Ｉ・Ｏ関連表(1)";#N/A,#N/A,TRUE,"Ｉ・Ｏ関連表(2)";#N/A,#N/A,TRUE,"Ｉ・Ｏ関連表(3)";#N/A,#N/A,TRUE,"レポート記述書";#N/A,#N/A,TRUE,"画面記述書"}</definedName>
    <definedName name="IOI" hidden="1">{#N/A,#N/A,TRUE,"カスタマイズ仕様書";#N/A,#N/A,TRUE,"Ｉ・Ｏ関連表(1)";#N/A,#N/A,TRUE,"Ｉ・Ｏ関連表(2)";#N/A,#N/A,TRUE,"Ｉ・Ｏ関連表(3)";#N/A,#N/A,TRUE,"レポート記述書";#N/A,#N/A,TRUE,"画面記述書"}</definedName>
    <definedName name="IOO" localSheetId="2" hidden="1">{#N/A,#N/A,TRUE,"カスタマイズ仕様書";#N/A,#N/A,TRUE,"Ｉ・Ｏ関連表(1)";#N/A,#N/A,TRUE,"Ｉ・Ｏ関連表(2)";#N/A,#N/A,TRUE,"Ｉ・Ｏ関連表(3)";#N/A,#N/A,TRUE,"レポート記述書";#N/A,#N/A,TRUE,"画面記述書"}</definedName>
    <definedName name="IOO" hidden="1">{#N/A,#N/A,TRUE,"カスタマイズ仕様書";#N/A,#N/A,TRUE,"Ｉ・Ｏ関連表(1)";#N/A,#N/A,TRUE,"Ｉ・Ｏ関連表(2)";#N/A,#N/A,TRUE,"Ｉ・Ｏ関連表(3)";#N/A,#N/A,TRUE,"レポート記述書";#N/A,#N/A,TRUE,"画面記述書"}</definedName>
    <definedName name="jjj" localSheetId="2" hidden="1">{#N/A,#N/A,TRUE,"カスタマイズ仕様書";#N/A,#N/A,TRUE,"Ｉ・Ｏ関連表(1)";#N/A,#N/A,TRUE,"Ｉ・Ｏ関連表(2)";#N/A,#N/A,TRUE,"Ｉ・Ｏ関連表(3)";#N/A,#N/A,TRUE,"レポート記述書";#N/A,#N/A,TRUE,"画面記述書"}</definedName>
    <definedName name="jjj" hidden="1">{#N/A,#N/A,TRUE,"カスタマイズ仕様書";#N/A,#N/A,TRUE,"Ｉ・Ｏ関連表(1)";#N/A,#N/A,TRUE,"Ｉ・Ｏ関連表(2)";#N/A,#N/A,TRUE,"Ｉ・Ｏ関連表(3)";#N/A,#N/A,TRUE,"レポート記述書";#N/A,#N/A,TRUE,"画面記述書"}</definedName>
    <definedName name="KAKAKU_PG" localSheetId="4">'[11]御見積り（旧）'!#REF!</definedName>
    <definedName name="KAKAKU_PG">'[11]御見積り（旧）'!#REF!</definedName>
    <definedName name="KAKAKU_SE" localSheetId="4">'[11]御見積り（旧）'!#REF!</definedName>
    <definedName name="KAKAKU_SE">'[11]御見積り（旧）'!#REF!</definedName>
    <definedName name="KBA_ID" localSheetId="4">#REF!</definedName>
    <definedName name="KBA_ID">#REF!</definedName>
    <definedName name="KK" localSheetId="4">'[6]DATA-COMMUNICATION-FORMAT'!#REF!</definedName>
    <definedName name="KK">'[6]DATA-COMMUNICATION-FORMAT'!#REF!</definedName>
    <definedName name="ＬＬＬ" localSheetId="2" hidden="1">{#N/A,#N/A,TRUE,"カスタマイズ仕様書";#N/A,#N/A,TRUE,"Ｉ・Ｏ関連表(1)";#N/A,#N/A,TRUE,"Ｉ・Ｏ関連表(2)";#N/A,#N/A,TRUE,"Ｉ・Ｏ関連表(3)";#N/A,#N/A,TRUE,"レポート記述書";#N/A,#N/A,TRUE,"画面記述書"}</definedName>
    <definedName name="ＬＬＬ" hidden="1">{#N/A,#N/A,TRUE,"カスタマイズ仕様書";#N/A,#N/A,TRUE,"Ｉ・Ｏ関連表(1)";#N/A,#N/A,TRUE,"Ｉ・Ｏ関連表(2)";#N/A,#N/A,TRUE,"Ｉ・Ｏ関連表(3)";#N/A,#N/A,TRUE,"レポート記述書";#N/A,#N/A,TRUE,"画面記述書"}</definedName>
    <definedName name="M1LZ021D" localSheetId="2" hidden="1">{#N/A,#N/A,TRUE,"カスタマイズ仕様書";#N/A,#N/A,TRUE,"Ｉ・Ｏ関連表(1)";#N/A,#N/A,TRUE,"Ｉ・Ｏ関連表(2)";#N/A,#N/A,TRUE,"Ｉ・Ｏ関連表(3)";#N/A,#N/A,TRUE,"レポート記述書";#N/A,#N/A,TRUE,"画面記述書"}</definedName>
    <definedName name="M1LZ021D" hidden="1">{#N/A,#N/A,TRUE,"カスタマイズ仕様書";#N/A,#N/A,TRUE,"Ｉ・Ｏ関連表(1)";#N/A,#N/A,TRUE,"Ｉ・Ｏ関連表(2)";#N/A,#N/A,TRUE,"Ｉ・Ｏ関連表(3)";#N/A,#N/A,TRUE,"レポート記述書";#N/A,#N/A,TRUE,"画面記述書"}</definedName>
    <definedName name="NLS_LANG" localSheetId="4">[4]TableDesign!#REF!</definedName>
    <definedName name="NLS_LANG">[4]TableDesign!#REF!</definedName>
    <definedName name="NotNull" localSheetId="2">#REF!</definedName>
    <definedName name="NotNull">#REF!</definedName>
    <definedName name="org" localSheetId="2" hidden="1">{#N/A,#N/A,TRUE,"カスタマイズ仕様書";#N/A,#N/A,TRUE,"Ｉ・Ｏ関連表(1)";#N/A,#N/A,TRUE,"Ｉ・Ｏ関連表(2)";#N/A,#N/A,TRUE,"Ｉ・Ｏ関連表(3)";#N/A,#N/A,TRUE,"レポート記述書";#N/A,#N/A,TRUE,"画面記述書"}</definedName>
    <definedName name="org" hidden="1">{#N/A,#N/A,TRUE,"カスタマイズ仕様書";#N/A,#N/A,TRUE,"Ｉ・Ｏ関連表(1)";#N/A,#N/A,TRUE,"Ｉ・Ｏ関連表(2)";#N/A,#N/A,TRUE,"Ｉ・Ｏ関連表(3)";#N/A,#N/A,TRUE,"レポート記述書";#N/A,#N/A,TRUE,"画面記述書"}</definedName>
    <definedName name="PART" localSheetId="4">[3]ﾃﾞｰﾀﾍﾞｰｽ変更点!#REF!</definedName>
    <definedName name="PART">[3]ﾃﾞｰﾀﾍﾞｰｽ変更点!#REF!</definedName>
    <definedName name="PrimaryKey" localSheetId="2">#REF!</definedName>
    <definedName name="PrimaryKey">#REF!</definedName>
    <definedName name="_xlnm.Print_Area" localSheetId="4">'IT、ST（案）テスト項目'!$A$1:$J$18</definedName>
    <definedName name="_xlnm.Print_Area" localSheetId="2">テスト項目!$A$1:$J$67</definedName>
    <definedName name="_xlnm.Print_Area" localSheetId="1">#REF!</definedName>
    <definedName name="_xlnm.Print_Area">#REF!</definedName>
    <definedName name="PRINT_AREA_MI" localSheetId="4">#REF!</definedName>
    <definedName name="PRINT_AREA_MI">#REF!</definedName>
    <definedName name="Ｑ" localSheetId="2" hidden="1">{#N/A,#N/A,FALSE,"製造PC120";#N/A,#N/A,FALSE,"製造PC200";#N/A,#N/A,FALSE,"製造PC288US";#N/A,#N/A,FALSE,"製造PC300"}</definedName>
    <definedName name="Ｑ" hidden="1">{#N/A,#N/A,FALSE,"製造PC120";#N/A,#N/A,FALSE,"製造PC200";#N/A,#N/A,FALSE,"製造PC288US";#N/A,#N/A,FALSE,"製造PC300"}</definedName>
    <definedName name="qq" localSheetId="2" hidden="1">{#N/A,#N/A,TRUE,"カスタマイズ仕様書";#N/A,#N/A,TRUE,"Ｉ・Ｏ関連表(1)";#N/A,#N/A,TRUE,"Ｉ・Ｏ関連表(2)";#N/A,#N/A,TRUE,"Ｉ・Ｏ関連表(3)";#N/A,#N/A,TRUE,"レポート記述書";#N/A,#N/A,TRUE,"画面記述書"}</definedName>
    <definedName name="qq" hidden="1">{#N/A,#N/A,TRUE,"カスタマイズ仕様書";#N/A,#N/A,TRUE,"Ｉ・Ｏ関連表(1)";#N/A,#N/A,TRUE,"Ｉ・Ｏ関連表(2)";#N/A,#N/A,TRUE,"Ｉ・Ｏ関連表(3)";#N/A,#N/A,TRUE,"レポート記述書";#N/A,#N/A,TRUE,"画面記述書"}</definedName>
    <definedName name="ｑｑｑ" localSheetId="2" hidden="1">{#N/A,#N/A,TRUE,"カスタマイズ仕様書";#N/A,#N/A,TRUE,"Ｉ・Ｏ関連表(1)";#N/A,#N/A,TRUE,"Ｉ・Ｏ関連表(2)";#N/A,#N/A,TRUE,"Ｉ・Ｏ関連表(3)";#N/A,#N/A,TRUE,"レポート記述書";#N/A,#N/A,TRUE,"画面記述書"}</definedName>
    <definedName name="ｑｑｑ" hidden="1">{#N/A,#N/A,TRUE,"カスタマイズ仕様書";#N/A,#N/A,TRUE,"Ｉ・Ｏ関連表(1)";#N/A,#N/A,TRUE,"Ｉ・Ｏ関連表(2)";#N/A,#N/A,TRUE,"Ｉ・Ｏ関連表(3)";#N/A,#N/A,TRUE,"レポート記述書";#N/A,#N/A,TRUE,"画面記述書"}</definedName>
    <definedName name="qqqeeq">#REF!</definedName>
    <definedName name="ＱＱＱＱＱＱＱＱＱ" localSheetId="2" hidden="1">{#N/A,#N/A,TRUE,"カスタマイズ仕様書";#N/A,#N/A,TRUE,"Ｉ・Ｏ関連表(1)";#N/A,#N/A,TRUE,"Ｉ・Ｏ関連表(2)";#N/A,#N/A,TRUE,"Ｉ・Ｏ関連表(3)";#N/A,#N/A,TRUE,"レポート記述書";#N/A,#N/A,TRUE,"画面記述書"}</definedName>
    <definedName name="ＱＱＱＱＱＱＱＱＱ" hidden="1">{#N/A,#N/A,TRUE,"カスタマイズ仕様書";#N/A,#N/A,TRUE,"Ｉ・Ｏ関連表(1)";#N/A,#N/A,TRUE,"Ｉ・Ｏ関連表(2)";#N/A,#N/A,TRUE,"Ｉ・Ｏ関連表(3)";#N/A,#N/A,TRUE,"レポート記述書";#N/A,#N/A,TRUE,"画面記述書"}</definedName>
    <definedName name="Record" localSheetId="4">#REF!</definedName>
    <definedName name="Record">#REF!</definedName>
    <definedName name="Record2" localSheetId="4">#REF!</definedName>
    <definedName name="Record2">#REF!</definedName>
    <definedName name="Record3" localSheetId="4">#REF!</definedName>
    <definedName name="Record3">#REF!</definedName>
    <definedName name="Record4" localSheetId="4">#REF!</definedName>
    <definedName name="Record4">#REF!</definedName>
    <definedName name="s" localSheetId="2" hidden="1">{#N/A,#N/A,TRUE,"カスタマイズ仕様書";#N/A,#N/A,TRUE,"Ｉ・Ｏ関連表(1)";#N/A,#N/A,TRUE,"Ｉ・Ｏ関連表(2)";#N/A,#N/A,TRUE,"Ｉ・Ｏ関連表(3)";#N/A,#N/A,TRUE,"レポート記述書";#N/A,#N/A,TRUE,"画面記述書"}</definedName>
    <definedName name="s" hidden="1">{#N/A,#N/A,TRUE,"カスタマイズ仕様書";#N/A,#N/A,TRUE,"Ｉ・Ｏ関連表(1)";#N/A,#N/A,TRUE,"Ｉ・Ｏ関連表(2)";#N/A,#N/A,TRUE,"Ｉ・Ｏ関連表(3)";#N/A,#N/A,TRUE,"レポート記述書";#N/A,#N/A,TRUE,"画面記述書"}</definedName>
    <definedName name="SERVER_INFORMATION_A" localSheetId="4">[3]ﾃﾞｰﾀﾍﾞｰｽ変更点!#REF!</definedName>
    <definedName name="SERVER_INFORMATION_A">[3]ﾃﾞｰﾀﾍﾞｰｽ変更点!#REF!</definedName>
    <definedName name="shori" localSheetId="2" hidden="1">{#N/A,#N/A,TRUE,"カスタマイズ仕様書";#N/A,#N/A,TRUE,"Ｉ・Ｏ関連表(1)";#N/A,#N/A,TRUE,"Ｉ・Ｏ関連表(2)";#N/A,#N/A,TRUE,"Ｉ・Ｏ関連表(3)";#N/A,#N/A,TRUE,"レポート記述書";#N/A,#N/A,TRUE,"画面記述書"}</definedName>
    <definedName name="shori" hidden="1">{#N/A,#N/A,TRUE,"カスタマイズ仕様書";#N/A,#N/A,TRUE,"Ｉ・Ｏ関連表(1)";#N/A,#N/A,TRUE,"Ｉ・Ｏ関連表(2)";#N/A,#N/A,TRUE,"Ｉ・Ｏ関連表(3)";#N/A,#N/A,TRUE,"レポート記述書";#N/A,#N/A,TRUE,"画面記述書"}</definedName>
    <definedName name="SHOW_GROUP" localSheetId="4">[4]TableDesign!#REF!</definedName>
    <definedName name="SHOW_GROUP">[4]TableDesign!#REF!</definedName>
    <definedName name="solver_lin" hidden="1">0</definedName>
    <definedName name="solver_num" hidden="1">0</definedName>
    <definedName name="solver_opt" localSheetId="4" hidden="1">#REF!</definedName>
    <definedName name="solver_opt" localSheetId="2" hidden="1">#REF!</definedName>
    <definedName name="solver_opt" hidden="1">#REF!</definedName>
    <definedName name="solver_typ" hidden="1">1</definedName>
    <definedName name="solver_val" hidden="1">0</definedName>
    <definedName name="ss" localSheetId="2" hidden="1">{#N/A,#N/A,TRUE,"カスタマイズ仕様書";#N/A,#N/A,TRUE,"Ｉ・Ｏ関連表(1)";#N/A,#N/A,TRUE,"Ｉ・Ｏ関連表(2)";#N/A,#N/A,TRUE,"Ｉ・Ｏ関連表(3)";#N/A,#N/A,TRUE,"レポート記述書";#N/A,#N/A,TRUE,"画面記述書"}</definedName>
    <definedName name="ss" hidden="1">{#N/A,#N/A,TRUE,"カスタマイズ仕様書";#N/A,#N/A,TRUE,"Ｉ・Ｏ関連表(1)";#N/A,#N/A,TRUE,"Ｉ・Ｏ関連表(2)";#N/A,#N/A,TRUE,"Ｉ・Ｏ関連表(3)";#N/A,#N/A,TRUE,"レポート記述書";#N/A,#N/A,TRUE,"画面記述書"}</definedName>
    <definedName name="ＳＳＳＳ" localSheetId="4">'[12]DATA-COMMUNICATION-FORMAT'!#REF!</definedName>
    <definedName name="ＳＳＳＳ">'[12]DATA-COMMUNICATION-FORMAT'!#REF!</definedName>
    <definedName name="SUB_GROUP" localSheetId="4">[4]TableDesign!#REF!</definedName>
    <definedName name="SUB_GROUP">[4]TableDesign!#REF!</definedName>
    <definedName name="suzuki" localSheetId="2" hidden="1">{#N/A,#N/A,TRUE,"カスタマイズ仕様書";#N/A,#N/A,TRUE,"Ｉ・Ｏ関連表(1)";#N/A,#N/A,TRUE,"Ｉ・Ｏ関連表(2)";#N/A,#N/A,TRUE,"Ｉ・Ｏ関連表(3)";#N/A,#N/A,TRUE,"レポート記述書";#N/A,#N/A,TRUE,"画面記述書"}</definedName>
    <definedName name="suzuki" hidden="1">{#N/A,#N/A,TRUE,"カスタマイズ仕様書";#N/A,#N/A,TRUE,"Ｉ・Ｏ関連表(1)";#N/A,#N/A,TRUE,"Ｉ・Ｏ関連表(2)";#N/A,#N/A,TRUE,"Ｉ・Ｏ関連表(3)";#N/A,#N/A,TRUE,"レポート記述書";#N/A,#N/A,TRUE,"画面記述書"}</definedName>
    <definedName name="TARGET" localSheetId="4">[4]TableDesign!#REF!</definedName>
    <definedName name="TARGET">[4]TableDesign!#REF!</definedName>
    <definedName name="TBLNO" localSheetId="4">#REF!</definedName>
    <definedName name="TBLNO">#REF!</definedName>
    <definedName name="TMS_CP" localSheetId="4">#REF!</definedName>
    <definedName name="TMS_CP">#REF!</definedName>
    <definedName name="Tracksize" localSheetId="4">#REF!</definedName>
    <definedName name="Tracksize">#REF!</definedName>
    <definedName name="Tracksize2" localSheetId="4">#REF!</definedName>
    <definedName name="Tracksize2">#REF!</definedName>
    <definedName name="Tracksize3" localSheetId="4">#REF!</definedName>
    <definedName name="Tracksize3">#REF!</definedName>
    <definedName name="TS_TEMPORARY">[13]Storage!$B$10</definedName>
    <definedName name="TS_USERS">[13]Storage!$B$8</definedName>
    <definedName name="TTT" localSheetId="2" hidden="1">{"'オンボード'!$A$1:$BZ$70"}</definedName>
    <definedName name="TTT" hidden="1">{"'オンボード'!$A$1:$BZ$70"}</definedName>
    <definedName name="USER" localSheetId="4">[3]ﾃﾞｰﾀﾍﾞｰｽ変更点!#REF!</definedName>
    <definedName name="USER">[3]ﾃﾞｰﾀﾍﾞｰｽ変更点!#REF!</definedName>
    <definedName name="WMSDW" localSheetId="2" hidden="1">{#N/A,#N/A,TRUE,"カスタマイズ仕様書";#N/A,#N/A,TRUE,"Ｉ・Ｏ関連表(1)";#N/A,#N/A,TRUE,"Ｉ・Ｏ関連表(2)";#N/A,#N/A,TRUE,"Ｉ・Ｏ関連表(3)";#N/A,#N/A,TRUE,"レポート記述書";#N/A,#N/A,TRUE,"画面記述書"}</definedName>
    <definedName name="WMSDW" hidden="1">{#N/A,#N/A,TRUE,"カスタマイズ仕様書";#N/A,#N/A,TRUE,"Ｉ・Ｏ関連表(1)";#N/A,#N/A,TRUE,"Ｉ・Ｏ関連表(2)";#N/A,#N/A,TRUE,"Ｉ・Ｏ関連表(3)";#N/A,#N/A,TRUE,"レポート記述書";#N/A,#N/A,TRUE,"画面記述書"}</definedName>
    <definedName name="wrn." localSheetId="2" hidden="1">{#N/A,#N/A,TRUE,"カスタマイズ仕様書";#N/A,#N/A,TRUE,"Ｉ・Ｏ関連表(1)";#N/A,#N/A,TRUE,"Ｉ・Ｏ関連表(2)";#N/A,#N/A,TRUE,"Ｉ・Ｏ関連表(3)";#N/A,#N/A,TRUE,"レポート記述書";#N/A,#N/A,TRUE,"画面記述書"}</definedName>
    <definedName name="wrn." hidden="1">{#N/A,#N/A,TRUE,"カスタマイズ仕様書";#N/A,#N/A,TRUE,"Ｉ・Ｏ関連表(1)";#N/A,#N/A,TRUE,"Ｉ・Ｏ関連表(2)";#N/A,#N/A,TRUE,"Ｉ・Ｏ関連表(3)";#N/A,#N/A,TRUE,"レポート記述書";#N/A,#N/A,TRUE,"画面記述書"}</definedName>
    <definedName name="wrn.1016." localSheetId="2" hidden="1">{#N/A,#N/A,FALSE,"製造PC120";#N/A,#N/A,FALSE,"製造PC200";#N/A,#N/A,FALSE,"製造PC288US";#N/A,#N/A,FALSE,"製造PC300"}</definedName>
    <definedName name="wrn.1016." hidden="1">{#N/A,#N/A,FALSE,"製造PC120";#N/A,#N/A,FALSE,"製造PC200";#N/A,#N/A,FALSE,"製造PC288US";#N/A,#N/A,FALSE,"製造PC300"}</definedName>
    <definedName name="wrn.ORG." localSheetId="2" hidden="1">{#N/A,#N/A,TRUE,"カスタマイズ仕様書";#N/A,#N/A,TRUE,"Ｉ・Ｏ関連表(1)";#N/A,#N/A,TRUE,"Ｉ・Ｏ関連表(2)";#N/A,#N/A,TRUE,"Ｉ・Ｏ関連表(3)";#N/A,#N/A,TRUE,"レポート記述書";#N/A,#N/A,TRUE,"画面記述書"}</definedName>
    <definedName name="wrn.ORG."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 localSheetId="4" hidden="1">{#N/A,#N/A,TRUE,"カスタマイズ仕様書";#N/A,#N/A,TRUE,"Ｉ・Ｏ関連表(1)";#N/A,#N/A,TRUE,"Ｉ・Ｏ関連表(2)";#N/A,#N/A,TRUE,"Ｉ・Ｏ関連表(3)";#N/A,#N/A,TRUE,"レポート記述書";#N/A,#N/A,TRUE,"画面記述書"}</definedName>
    <definedName name="wrn.ORIG." localSheetId="2" hidden="1">{#N/A,#N/A,TRUE,"カスタマイズ仕様書";#N/A,#N/A,TRUE,"Ｉ・Ｏ関連表(1)";#N/A,#N/A,TRUE,"Ｉ・Ｏ関連表(2)";#N/A,#N/A,TRUE,"Ｉ・Ｏ関連表(3)";#N/A,#N/A,TRUE,"レポート記述書";#N/A,#N/A,TRUE,"画面記述書"}</definedName>
    <definedName name="wrn.ORIG." hidden="1">{#N/A,#N/A,TRUE,"カスタマイズ仕様書";#N/A,#N/A,TRUE,"Ｉ・Ｏ関連表(1)";#N/A,#N/A,TRUE,"Ｉ・Ｏ関連表(2)";#N/A,#N/A,TRUE,"Ｉ・Ｏ関連表(3)";#N/A,#N/A,TRUE,"レポート記述書";#N/A,#N/A,TRUE,"画面記述書"}</definedName>
    <definedName name="wrn.ORIG1" localSheetId="2" hidden="1">{#N/A,#N/A,TRUE,"カスタマイズ仕様書";#N/A,#N/A,TRUE,"Ｉ・Ｏ関連表(1)";#N/A,#N/A,TRUE,"Ｉ・Ｏ関連表(2)";#N/A,#N/A,TRUE,"Ｉ・Ｏ関連表(3)";#N/A,#N/A,TRUE,"レポート記述書";#N/A,#N/A,TRUE,"画面記述書"}</definedName>
    <definedName name="wrn.ORIG1" hidden="1">{#N/A,#N/A,TRUE,"カスタマイズ仕様書";#N/A,#N/A,TRUE,"Ｉ・Ｏ関連表(1)";#N/A,#N/A,TRUE,"Ｉ・Ｏ関連表(2)";#N/A,#N/A,TRUE,"Ｉ・Ｏ関連表(3)";#N/A,#N/A,TRUE,"レポート記述書";#N/A,#N/A,TRUE,"画面記述書"}</definedName>
    <definedName name="wrn.orig2" localSheetId="2" hidden="1">{#N/A,#N/A,TRUE,"カスタマイズ仕様書";#N/A,#N/A,TRUE,"Ｉ・Ｏ関連表(1)";#N/A,#N/A,TRUE,"Ｉ・Ｏ関連表(2)";#N/A,#N/A,TRUE,"Ｉ・Ｏ関連表(3)";#N/A,#N/A,TRUE,"レポート記述書";#N/A,#N/A,TRUE,"画面記述書"}</definedName>
    <definedName name="wrn.orig2" hidden="1">{#N/A,#N/A,TRUE,"カスタマイズ仕様書";#N/A,#N/A,TRUE,"Ｉ・Ｏ関連表(1)";#N/A,#N/A,TRUE,"Ｉ・Ｏ関連表(2)";#N/A,#N/A,TRUE,"Ｉ・Ｏ関連表(3)";#N/A,#N/A,TRUE,"レポート記述書";#N/A,#N/A,TRUE,"画面記述書"}</definedName>
    <definedName name="ww" localSheetId="2" hidden="1">{#N/A,#N/A,TRUE,"カスタマイズ仕様書";#N/A,#N/A,TRUE,"Ｉ・Ｏ関連表(1)";#N/A,#N/A,TRUE,"Ｉ・Ｏ関連表(2)";#N/A,#N/A,TRUE,"Ｉ・Ｏ関連表(3)";#N/A,#N/A,TRUE,"レポート記述書";#N/A,#N/A,TRUE,"画面記述書"}</definedName>
    <definedName name="ww" hidden="1">{#N/A,#N/A,TRUE,"カスタマイズ仕様書";#N/A,#N/A,TRUE,"Ｉ・Ｏ関連表(1)";#N/A,#N/A,TRUE,"Ｉ・Ｏ関連表(2)";#N/A,#N/A,TRUE,"Ｉ・Ｏ関連表(3)";#N/A,#N/A,TRUE,"レポート記述書";#N/A,#N/A,TRUE,"画面記述書"}</definedName>
    <definedName name="WWW" localSheetId="2" hidden="1">{"'オンボード'!$A$1:$BZ$70"}</definedName>
    <definedName name="WWW" hidden="1">{"'オンボード'!$A$1:$BZ$70"}</definedName>
    <definedName name="xxx" localSheetId="2" hidden="1">{#N/A,#N/A,TRUE,"カスタマイズ仕様書";#N/A,#N/A,TRUE,"Ｉ・Ｏ関連表(1)";#N/A,#N/A,TRUE,"Ｉ・Ｏ関連表(2)";#N/A,#N/A,TRUE,"Ｉ・Ｏ関連表(3)";#N/A,#N/A,TRUE,"レポート記述書";#N/A,#N/A,TRUE,"画面記述書"}</definedName>
    <definedName name="xxx" hidden="1">{#N/A,#N/A,TRUE,"カスタマイズ仕様書";#N/A,#N/A,TRUE,"Ｉ・Ｏ関連表(1)";#N/A,#N/A,TRUE,"Ｉ・Ｏ関連表(2)";#N/A,#N/A,TRUE,"Ｉ・Ｏ関連表(3)";#N/A,#N/A,TRUE,"レポート記述書";#N/A,#N/A,TRUE,"画面記述書"}</definedName>
    <definedName name="yyy" localSheetId="2" hidden="1">{#N/A,#N/A,TRUE,"カスタマイズ仕様書";#N/A,#N/A,TRUE,"Ｉ・Ｏ関連表(1)";#N/A,#N/A,TRUE,"Ｉ・Ｏ関連表(2)";#N/A,#N/A,TRUE,"Ｉ・Ｏ関連表(3)";#N/A,#N/A,TRUE,"レポート記述書";#N/A,#N/A,TRUE,"画面記述書"}</definedName>
    <definedName name="yyy" hidden="1">{#N/A,#N/A,TRUE,"カスタマイズ仕様書";#N/A,#N/A,TRUE,"Ｉ・Ｏ関連表(1)";#N/A,#N/A,TRUE,"Ｉ・Ｏ関連表(2)";#N/A,#N/A,TRUE,"Ｉ・Ｏ関連表(3)";#N/A,#N/A,TRUE,"レポート記述書";#N/A,#N/A,TRUE,"画面記述書"}</definedName>
    <definedName name="zzz" localSheetId="2" hidden="1">{#N/A,#N/A,TRUE,"カスタマイズ仕様書";#N/A,#N/A,TRUE,"Ｉ・Ｏ関連表(1)";#N/A,#N/A,TRUE,"Ｉ・Ｏ関連表(2)";#N/A,#N/A,TRUE,"Ｉ・Ｏ関連表(3)";#N/A,#N/A,TRUE,"レポート記述書";#N/A,#N/A,TRUE,"画面記述書"}</definedName>
    <definedName name="zzz" hidden="1">{#N/A,#N/A,TRUE,"カスタマイズ仕様書";#N/A,#N/A,TRUE,"Ｉ・Ｏ関連表(1)";#N/A,#N/A,TRUE,"Ｉ・Ｏ関連表(2)";#N/A,#N/A,TRUE,"Ｉ・Ｏ関連表(3)";#N/A,#N/A,TRUE,"レポート記述書";#N/A,#N/A,TRUE,"画面記述書"}</definedName>
    <definedName name="あ" localSheetId="4">#REF!</definedName>
    <definedName name="あ">#REF!</definedName>
    <definedName name="ああ" localSheetId="4">'[12]DATA-COMMUNICATION-FORMAT'!#REF!</definedName>
    <definedName name="ああ">'[12]DATA-COMMUNICATION-FORMAT'!#REF!</definedName>
    <definedName name="あああ" localSheetId="4">'[12]DATA-COMMUNICATION-FORMAT'!#REF!</definedName>
    <definedName name="あああ">'[12]DATA-COMMUNICATION-FORMAT'!#REF!</definedName>
    <definedName name="あああＱ" localSheetId="2" hidden="1">{#N/A,#N/A,TRUE,"カスタマイズ仕様書";#N/A,#N/A,TRUE,"Ｉ・Ｏ関連表(1)";#N/A,#N/A,TRUE,"Ｉ・Ｏ関連表(2)";#N/A,#N/A,TRUE,"Ｉ・Ｏ関連表(3)";#N/A,#N/A,TRUE,"レポート記述書";#N/A,#N/A,TRUE,"画面記述書"}</definedName>
    <definedName name="あああＱ" hidden="1">{#N/A,#N/A,TRUE,"カスタマイズ仕様書";#N/A,#N/A,TRUE,"Ｉ・Ｏ関連表(1)";#N/A,#N/A,TRUE,"Ｉ・Ｏ関連表(2)";#N/A,#N/A,TRUE,"Ｉ・Ｏ関連表(3)";#N/A,#N/A,TRUE,"レポート記述書";#N/A,#N/A,TRUE,"画面記述書"}</definedName>
    <definedName name="あああああ" localSheetId="4">'[12]DATA-COMMUNICATION-FORMAT'!#REF!</definedName>
    <definedName name="あああああ">'[12]DATA-COMMUNICATION-FORMAT'!#REF!</definedName>
    <definedName name="ああああああ" localSheetId="2" hidden="1">{#N/A,#N/A,TRUE,"カスタマイズ仕様書";#N/A,#N/A,TRUE,"Ｉ・Ｏ関連表(1)";#N/A,#N/A,TRUE,"Ｉ・Ｏ関連表(2)";#N/A,#N/A,TRUE,"Ｉ・Ｏ関連表(3)";#N/A,#N/A,TRUE,"レポート記述書";#N/A,#N/A,TRUE,"画面記述書"}</definedName>
    <definedName name="ああああああ" hidden="1">{#N/A,#N/A,TRUE,"カスタマイズ仕様書";#N/A,#N/A,TRUE,"Ｉ・Ｏ関連表(1)";#N/A,#N/A,TRUE,"Ｉ・Ｏ関連表(2)";#N/A,#N/A,TRUE,"Ｉ・Ｏ関連表(3)";#N/A,#N/A,TRUE,"レポート記述書";#N/A,#N/A,TRUE,"画面記述書"}</definedName>
    <definedName name="あああああああ" localSheetId="4" hidden="1">{"'オンボード'!$A$1:$BZ$70"}</definedName>
    <definedName name="あああああああ" localSheetId="2" hidden="1">{"'オンボード'!$A$1:$BZ$70"}</definedName>
    <definedName name="あああああああ" hidden="1">{"'オンボード'!$A$1:$BZ$70"}</definedName>
    <definedName name="ああああああああ" localSheetId="2" hidden="1">{"'オンボード'!$A$1:$BZ$70"}</definedName>
    <definedName name="ああああああああ" hidden="1">{"'オンボード'!$A$1:$BZ$70"}</definedName>
    <definedName name="い" localSheetId="2" hidden="1">{#N/A,#N/A,TRUE,"カスタマイズ仕様書";#N/A,#N/A,TRUE,"Ｉ・Ｏ関連表(1)";#N/A,#N/A,TRUE,"Ｉ・Ｏ関連表(2)";#N/A,#N/A,TRUE,"Ｉ・Ｏ関連表(3)";#N/A,#N/A,TRUE,"レポート記述書";#N/A,#N/A,TRUE,"画面記述書"}</definedName>
    <definedName name="い" hidden="1">{#N/A,#N/A,TRUE,"カスタマイズ仕様書";#N/A,#N/A,TRUE,"Ｉ・Ｏ関連表(1)";#N/A,#N/A,TRUE,"Ｉ・Ｏ関連表(2)";#N/A,#N/A,TRUE,"Ｉ・Ｏ関連表(3)";#N/A,#N/A,TRUE,"レポート記述書";#N/A,#N/A,TRUE,"画面記述書"}</definedName>
    <definedName name="いいい" localSheetId="2" hidden="1">{#N/A,#N/A,TRUE,"カスタマイズ仕様書";#N/A,#N/A,TRUE,"Ｉ・Ｏ関連表(1)";#N/A,#N/A,TRUE,"Ｉ・Ｏ関連表(2)";#N/A,#N/A,TRUE,"Ｉ・Ｏ関連表(3)";#N/A,#N/A,TRUE,"レポート記述書";#N/A,#N/A,TRUE,"画面記述書"}</definedName>
    <definedName name="いいい" hidden="1">{#N/A,#N/A,TRUE,"カスタマイズ仕様書";#N/A,#N/A,TRUE,"Ｉ・Ｏ関連表(1)";#N/A,#N/A,TRUE,"Ｉ・Ｏ関連表(2)";#N/A,#N/A,TRUE,"Ｉ・Ｏ関連表(3)";#N/A,#N/A,TRUE,"レポート記述書";#N/A,#N/A,TRUE,"画面記述書"}</definedName>
    <definedName name="インデックスNO" localSheetId="2">#REF!</definedName>
    <definedName name="インデックスNO">#REF!</definedName>
    <definedName name="インデックス項目" localSheetId="2">#REF!</definedName>
    <definedName name="インデックス項目">#REF!</definedName>
    <definedName name="インデックス所有者" localSheetId="2">#REF!</definedName>
    <definedName name="インデックス所有者">#REF!</definedName>
    <definedName name="インデックス属性" localSheetId="2">#REF!</definedName>
    <definedName name="インデックス属性">#REF!</definedName>
    <definedName name="インデックス表領域" localSheetId="2">#REF!</definedName>
    <definedName name="インデックス表領域">#REF!</definedName>
    <definedName name="インデックス名" localSheetId="2">#REF!</definedName>
    <definedName name="インデックス名">#REF!</definedName>
    <definedName name="え" localSheetId="2" hidden="1">{#N/A,#N/A,TRUE,"カスタマイズ仕様書";#N/A,#N/A,TRUE,"Ｉ・Ｏ関連表(1)";#N/A,#N/A,TRUE,"Ｉ・Ｏ関連表(2)";#N/A,#N/A,TRUE,"Ｉ・Ｏ関連表(3)";#N/A,#N/A,TRUE,"レポート記述書";#N/A,#N/A,TRUE,"画面記述書"}</definedName>
    <definedName name="え" hidden="1">{#N/A,#N/A,TRUE,"カスタマイズ仕様書";#N/A,#N/A,TRUE,"Ｉ・Ｏ関連表(1)";#N/A,#N/A,TRUE,"Ｉ・Ｏ関連表(2)";#N/A,#N/A,TRUE,"Ｉ・Ｏ関連表(3)";#N/A,#N/A,TRUE,"レポート記述書";#N/A,#N/A,TRUE,"画面記述書"}</definedName>
    <definedName name="ええ" localSheetId="2" hidden="1">{#N/A,#N/A,TRUE,"カスタマイズ仕様書";#N/A,#N/A,TRUE,"Ｉ・Ｏ関連表(1)";#N/A,#N/A,TRUE,"Ｉ・Ｏ関連表(2)";#N/A,#N/A,TRUE,"Ｉ・Ｏ関連表(3)";#N/A,#N/A,TRUE,"レポート記述書";#N/A,#N/A,TRUE,"画面記述書"}</definedName>
    <definedName name="ええ" hidden="1">{#N/A,#N/A,TRUE,"カスタマイズ仕様書";#N/A,#N/A,TRUE,"Ｉ・Ｏ関連表(1)";#N/A,#N/A,TRUE,"Ｉ・Ｏ関連表(2)";#N/A,#N/A,TRUE,"Ｉ・Ｏ関連表(3)";#N/A,#N/A,TRUE,"レポート記述書";#N/A,#N/A,TRUE,"画面記述書"}</definedName>
    <definedName name="おおお" localSheetId="2" hidden="1">{#N/A,#N/A,TRUE,"カスタマイズ仕様書";#N/A,#N/A,TRUE,"Ｉ・Ｏ関連表(1)";#N/A,#N/A,TRUE,"Ｉ・Ｏ関連表(2)";#N/A,#N/A,TRUE,"Ｉ・Ｏ関連表(3)";#N/A,#N/A,TRUE,"レポート記述書";#N/A,#N/A,TRUE,"画面記述書"}</definedName>
    <definedName name="おおお" hidden="1">{#N/A,#N/A,TRUE,"カスタマイズ仕様書";#N/A,#N/A,TRUE,"Ｉ・Ｏ関連表(1)";#N/A,#N/A,TRUE,"Ｉ・Ｏ関連表(2)";#N/A,#N/A,TRUE,"Ｉ・Ｏ関連表(3)";#N/A,#N/A,TRUE,"レポート記述書";#N/A,#N/A,TRUE,"画面記述書"}</definedName>
    <definedName name="オブジェクトタイプ" localSheetId="2">#REF!</definedName>
    <definedName name="オブジェクトタイプ">#REF!</definedName>
    <definedName name="コンバート" localSheetId="4">'[12]DATA-COMMUNICATION-FORMAT'!#REF!</definedName>
    <definedName name="コンバート">'[12]DATA-COMMUNICATION-FORMAT'!#REF!</definedName>
    <definedName name="ｻｰﾎﾞﾚｽ性能" localSheetId="4" hidden="1">#REF!</definedName>
    <definedName name="ｻｰﾎﾞﾚｽ性能" localSheetId="2" hidden="1">#REF!</definedName>
    <definedName name="ｻｰﾎﾞﾚｽ性能" hidden="1">#REF!</definedName>
    <definedName name="し" localSheetId="2" hidden="1">{#N/A,#N/A,TRUE,"カスタマイズ仕様書";#N/A,#N/A,TRUE,"Ｉ・Ｏ関連表(1)";#N/A,#N/A,TRUE,"Ｉ・Ｏ関連表(2)";#N/A,#N/A,TRUE,"Ｉ・Ｏ関連表(3)";#N/A,#N/A,TRUE,"レポート記述書";#N/A,#N/A,TRUE,"画面記述書"}</definedName>
    <definedName name="し" hidden="1">{#N/A,#N/A,TRUE,"カスタマイズ仕様書";#N/A,#N/A,TRUE,"Ｉ・Ｏ関連表(1)";#N/A,#N/A,TRUE,"Ｉ・Ｏ関連表(2)";#N/A,#N/A,TRUE,"Ｉ・Ｏ関連表(3)";#N/A,#N/A,TRUE,"レポート記述書";#N/A,#N/A,TRUE,"画面記述書"}</definedName>
    <definedName name="システム" localSheetId="4">#REF!</definedName>
    <definedName name="システム">#REF!</definedName>
    <definedName name="システムテスト計画書表紙" localSheetId="2" hidden="1">{#N/A,#N/A,TRUE,"カスタマイズ仕様書";#N/A,#N/A,TRUE,"Ｉ・Ｏ関連表(1)";#N/A,#N/A,TRUE,"Ｉ・Ｏ関連表(2)";#N/A,#N/A,TRUE,"Ｉ・Ｏ関連表(3)";#N/A,#N/A,TRUE,"レポート記述書";#N/A,#N/A,TRUE,"画面記述書"}</definedName>
    <definedName name="システムテスト計画書表紙" hidden="1">{#N/A,#N/A,TRUE,"カスタマイズ仕様書";#N/A,#N/A,TRUE,"Ｉ・Ｏ関連表(1)";#N/A,#N/A,TRUE,"Ｉ・Ｏ関連表(2)";#N/A,#N/A,TRUE,"Ｉ・Ｏ関連表(3)";#N/A,#N/A,TRUE,"レポート記述書";#N/A,#N/A,TRUE,"画面記述書"}</definedName>
    <definedName name="しと" localSheetId="2" hidden="1">{#N/A,#N/A,TRUE,"カスタマイズ仕様書";#N/A,#N/A,TRUE,"Ｉ・Ｏ関連表(1)";#N/A,#N/A,TRUE,"Ｉ・Ｏ関連表(2)";#N/A,#N/A,TRUE,"Ｉ・Ｏ関連表(3)";#N/A,#N/A,TRUE,"レポート記述書";#N/A,#N/A,TRUE,"画面記述書"}</definedName>
    <definedName name="しと" hidden="1">{#N/A,#N/A,TRUE,"カスタマイズ仕様書";#N/A,#N/A,TRUE,"Ｉ・Ｏ関連表(1)";#N/A,#N/A,TRUE,"Ｉ・Ｏ関連表(2)";#N/A,#N/A,TRUE,"Ｉ・Ｏ関連表(3)";#N/A,#N/A,TRUE,"レポート記述書";#N/A,#N/A,TRUE,"画面記述書"}</definedName>
    <definedName name="タイトル" localSheetId="4">#REF!</definedName>
    <definedName name="タイトル">#REF!</definedName>
    <definedName name="データ移行基本設計書" localSheetId="2" hidden="1">{"'オンボード'!$A$1:$BZ$70"}</definedName>
    <definedName name="データ移行基本設計書" hidden="1">{"'オンボード'!$A$1:$BZ$70"}</definedName>
    <definedName name="テーブルNO" localSheetId="2">#REF!</definedName>
    <definedName name="テーブルNO">#REF!</definedName>
    <definedName name="テーブルサイズ1" localSheetId="2">#REF!</definedName>
    <definedName name="テーブルサイズ1">#REF!</definedName>
    <definedName name="テーブルサイズ2" localSheetId="2">#REF!</definedName>
    <definedName name="テーブルサイズ2">#REF!</definedName>
    <definedName name="テーブル型" localSheetId="2">#REF!</definedName>
    <definedName name="テーブル型">#REF!</definedName>
    <definedName name="テーブル項目物理名" localSheetId="2">#REF!</definedName>
    <definedName name="テーブル項目物理名">#REF!</definedName>
    <definedName name="テーブル項目論理名" localSheetId="2">#REF!</definedName>
    <definedName name="テーブル項目論理名">#REF!</definedName>
    <definedName name="テーブル所有者" localSheetId="2">#REF!</definedName>
    <definedName name="テーブル所有者">#REF!</definedName>
    <definedName name="テーブル備考" localSheetId="2">#REF!</definedName>
    <definedName name="テーブル備考">#REF!</definedName>
    <definedName name="テーブル表領域" localSheetId="2">#REF!</definedName>
    <definedName name="テーブル表領域">#REF!</definedName>
    <definedName name="テーブル物理名" localSheetId="2">#REF!</definedName>
    <definedName name="テーブル物理名">#REF!</definedName>
    <definedName name="テーブル論理名" localSheetId="2">#REF!</definedName>
    <definedName name="テーブル論理名">#REF!</definedName>
    <definedName name="メモ" localSheetId="4">#REF!</definedName>
    <definedName name="メモ">#REF!</definedName>
    <definedName name="わ" localSheetId="2" hidden="1">{#N/A,#N/A,TRUE,"カスタマイズ仕様書";#N/A,#N/A,TRUE,"Ｉ・Ｏ関連表(1)";#N/A,#N/A,TRUE,"Ｉ・Ｏ関連表(2)";#N/A,#N/A,TRUE,"Ｉ・Ｏ関連表(3)";#N/A,#N/A,TRUE,"レポート記述書";#N/A,#N/A,TRUE,"画面記述書"}</definedName>
    <definedName name="わ" hidden="1">{#N/A,#N/A,TRUE,"カスタマイズ仕様書";#N/A,#N/A,TRUE,"Ｉ・Ｏ関連表(1)";#N/A,#N/A,TRUE,"Ｉ・Ｏ関連表(2)";#N/A,#N/A,TRUE,"Ｉ・Ｏ関連表(3)";#N/A,#N/A,TRUE,"レポート記述書";#N/A,#N/A,TRUE,"画面記述書"}</definedName>
    <definedName name="画面" localSheetId="2" hidden="1">{#N/A,#N/A,TRUE,"カスタマイズ仕様書";#N/A,#N/A,TRUE,"Ｉ・Ｏ関連表(1)";#N/A,#N/A,TRUE,"Ｉ・Ｏ関連表(2)";#N/A,#N/A,TRUE,"Ｉ・Ｏ関連表(3)";#N/A,#N/A,TRUE,"レポート記述書";#N/A,#N/A,TRUE,"画面記述書"}</definedName>
    <definedName name="画面" hidden="1">{#N/A,#N/A,TRUE,"カスタマイズ仕様書";#N/A,#N/A,TRUE,"Ｉ・Ｏ関連表(1)";#N/A,#N/A,TRUE,"Ｉ・Ｏ関連表(2)";#N/A,#N/A,TRUE,"Ｉ・Ｏ関連表(3)";#N/A,#N/A,TRUE,"レポート記述書";#N/A,#N/A,TRUE,"画面記述書"}</definedName>
    <definedName name="画面ﾚｲｱｳﾄ" localSheetId="4" hidden="1">{"'オンボード'!$A$1:$BZ$70"}</definedName>
    <definedName name="画面ﾚｲｱｳﾄ" localSheetId="2" hidden="1">{"'オンボード'!$A$1:$BZ$70"}</definedName>
    <definedName name="画面ﾚｲｱｳﾄ" hidden="1">{"'オンボード'!$A$1:$BZ$70"}</definedName>
    <definedName name="画面ﾚｲｱｳﾄ2" localSheetId="2" hidden="1">{"'オンボード'!$A$1:$BZ$70"}</definedName>
    <definedName name="画面ﾚｲｱｳﾄ2" hidden="1">{"'オンボード'!$A$1:$BZ$70"}</definedName>
    <definedName name="海外本社受注実績" localSheetId="2" hidden="1">{"'オンボード'!$A$1:$BZ$70"}</definedName>
    <definedName name="海外本社受注実績" hidden="1">{"'オンボード'!$A$1:$BZ$70"}</definedName>
    <definedName name="概要概要" localSheetId="2" hidden="1">{#N/A,#N/A,TRUE,"カスタマイズ仕様書";#N/A,#N/A,TRUE,"Ｉ・Ｏ関連表(1)";#N/A,#N/A,TRUE,"Ｉ・Ｏ関連表(2)";#N/A,#N/A,TRUE,"Ｉ・Ｏ関連表(3)";#N/A,#N/A,TRUE,"レポート記述書";#N/A,#N/A,TRUE,"画面記述書"}</definedName>
    <definedName name="概要概要" hidden="1">{#N/A,#N/A,TRUE,"カスタマイズ仕様書";#N/A,#N/A,TRUE,"Ｉ・Ｏ関連表(1)";#N/A,#N/A,TRUE,"Ｉ・Ｏ関連表(2)";#N/A,#N/A,TRUE,"Ｉ・Ｏ関連表(3)";#N/A,#N/A,TRUE,"レポート記述書";#N/A,#N/A,TRUE,"画面記述書"}</definedName>
    <definedName name="結AF" localSheetId="4">#REF!</definedName>
    <definedName name="結AF">#REF!</definedName>
    <definedName name="結AT" localSheetId="4">#REF!</definedName>
    <definedName name="結AT">#REF!</definedName>
    <definedName name="結合子" localSheetId="4">#REF!</definedName>
    <definedName name="結合子">#REF!</definedName>
    <definedName name="結合子A201" localSheetId="4">#REF!</definedName>
    <definedName name="結合子A201">#REF!</definedName>
    <definedName name="結合子B101" localSheetId="4">#REF!</definedName>
    <definedName name="結合子B101">#REF!</definedName>
    <definedName name="結合子B301" localSheetId="4">#REF!</definedName>
    <definedName name="結合子B301">#REF!</definedName>
    <definedName name="結合子B501" localSheetId="4">#REF!</definedName>
    <definedName name="結合子B501">#REF!</definedName>
    <definedName name="結合子D101" localSheetId="4">#REF!</definedName>
    <definedName name="結合子D101">#REF!</definedName>
    <definedName name="結合子D201" localSheetId="4">#REF!</definedName>
    <definedName name="結合子D201">#REF!</definedName>
    <definedName name="更新" localSheetId="4">#REF!</definedName>
    <definedName name="更新">#REF!</definedName>
    <definedName name="更新者" localSheetId="4">#REF!</definedName>
    <definedName name="更新者">#REF!</definedName>
    <definedName name="更新日" localSheetId="4">#REF!</definedName>
    <definedName name="更新日">#REF!</definedName>
    <definedName name="作成者" localSheetId="4">#REF!</definedName>
    <definedName name="作成者">#REF!</definedName>
    <definedName name="作成日" localSheetId="4">#REF!</definedName>
    <definedName name="作成日">#REF!</definedName>
    <definedName name="種別カテゴライズ" localSheetId="2" hidden="1">{"'オンボード'!$A$1:$BZ$70"}</definedName>
    <definedName name="種別カテゴライズ" hidden="1">{"'オンボード'!$A$1:$BZ$70"}</definedName>
    <definedName name="処理" localSheetId="2" hidden="1">{#N/A,#N/A,TRUE,"カスタマイズ仕様書";#N/A,#N/A,TRUE,"Ｉ・Ｏ関連表(1)";#N/A,#N/A,TRUE,"Ｉ・Ｏ関連表(2)";#N/A,#N/A,TRUE,"Ｉ・Ｏ関連表(3)";#N/A,#N/A,TRUE,"レポート記述書";#N/A,#N/A,TRUE,"画面記述書"}</definedName>
    <definedName name="処理" hidden="1">{#N/A,#N/A,TRUE,"カスタマイズ仕様書";#N/A,#N/A,TRUE,"Ｉ・Ｏ関連表(1)";#N/A,#N/A,TRUE,"Ｉ・Ｏ関連表(2)";#N/A,#N/A,TRUE,"Ｉ・Ｏ関連表(3)";#N/A,#N/A,TRUE,"レポート記述書";#N/A,#N/A,TRUE,"画面記述書"}</definedName>
    <definedName name="処理④" localSheetId="2" hidden="1">{#N/A,#N/A,TRUE,"カスタマイズ仕様書";#N/A,#N/A,TRUE,"Ｉ・Ｏ関連表(1)";#N/A,#N/A,TRUE,"Ｉ・Ｏ関連表(2)";#N/A,#N/A,TRUE,"Ｉ・Ｏ関連表(3)";#N/A,#N/A,TRUE,"レポート記述書";#N/A,#N/A,TRUE,"画面記述書"}</definedName>
    <definedName name="処理④" hidden="1">{#N/A,#N/A,TRUE,"カスタマイズ仕様書";#N/A,#N/A,TRUE,"Ｉ・Ｏ関連表(1)";#N/A,#N/A,TRUE,"Ｉ・Ｏ関連表(2)";#N/A,#N/A,TRUE,"Ｉ・Ｏ関連表(3)";#N/A,#N/A,TRUE,"レポート記述書";#N/A,#N/A,TRUE,"画面記述書"}</definedName>
    <definedName name="処理ORG" localSheetId="2" hidden="1">{#N/A,#N/A,TRUE,"カスタマイズ仕様書";#N/A,#N/A,TRUE,"Ｉ・Ｏ関連表(1)";#N/A,#N/A,TRUE,"Ｉ・Ｏ関連表(2)";#N/A,#N/A,TRUE,"Ｉ・Ｏ関連表(3)";#N/A,#N/A,TRUE,"レポート記述書";#N/A,#N/A,TRUE,"画面記述書"}</definedName>
    <definedName name="処理ORG" hidden="1">{#N/A,#N/A,TRUE,"カスタマイズ仕様書";#N/A,#N/A,TRUE,"Ｉ・Ｏ関連表(1)";#N/A,#N/A,TRUE,"Ｉ・Ｏ関連表(2)";#N/A,#N/A,TRUE,"Ｉ・Ｏ関連表(3)";#N/A,#N/A,TRUE,"レポート記述書";#N/A,#N/A,TRUE,"画面記述書"}</definedName>
    <definedName name="初期値" localSheetId="2">#REF!</definedName>
    <definedName name="初期値">#REF!</definedName>
    <definedName name="生産計画時期" localSheetId="2" hidden="1">{#N/A,#N/A,TRUE,"カスタマイズ仕様書";#N/A,#N/A,TRUE,"Ｉ・Ｏ関連表(1)";#N/A,#N/A,TRUE,"Ｉ・Ｏ関連表(2)";#N/A,#N/A,TRUE,"Ｉ・Ｏ関連表(3)";#N/A,#N/A,TRUE,"レポート記述書";#N/A,#N/A,TRUE,"画面記述書"}</definedName>
    <definedName name="生産計画時期" hidden="1">{#N/A,#N/A,TRUE,"カスタマイズ仕様書";#N/A,#N/A,TRUE,"Ｉ・Ｏ関連表(1)";#N/A,#N/A,TRUE,"Ｉ・Ｏ関連表(2)";#N/A,#N/A,TRUE,"Ｉ・Ｏ関連表(3)";#N/A,#N/A,TRUE,"レポート記述書";#N/A,#N/A,TRUE,"画面記述書"}</definedName>
    <definedName name="単価_IPｱﾄﾞﾚｽ登録" localSheetId="4">#REF!</definedName>
    <definedName name="単価_IPｱﾄﾞﾚｽ登録">#REF!</definedName>
    <definedName name="単価_NetWare関連_ﾌｧｲﾙ戻し_ｻｰﾊﾞ" localSheetId="4">#REF!</definedName>
    <definedName name="単価_NetWare関連_ﾌｧｲﾙ戻し_ｻｰﾊﾞ">#REF!</definedName>
    <definedName name="単価_NetWare関連_ﾌｧｲﾙ戻し_ﾃｰﾌﾟ" localSheetId="4">#REF!</definedName>
    <definedName name="単価_NetWare関連_ﾌｧｲﾙ戻し_ﾃｰﾌﾟ">#REF!</definedName>
    <definedName name="単価_NetWare関連_申請関連" localSheetId="4">#REF!</definedName>
    <definedName name="単価_NetWare関連_申請関連">#REF!</definedName>
    <definedName name="単価_Notes関連_ﾃﾞｰﾀﾍﾞｰｽ戻し" localSheetId="4">#REF!</definedName>
    <definedName name="単価_Notes関連_ﾃﾞｰﾀﾍﾞｰｽ戻し">#REF!</definedName>
    <definedName name="単価_Notes関連_申請関連" localSheetId="4">#REF!</definedName>
    <definedName name="単価_Notes関連_申請関連">#REF!</definedName>
    <definedName name="単価_ｻｰﾊﾞに関する申請_DNS関連" localSheetId="4">#REF!</definedName>
    <definedName name="単価_ｻｰﾊﾞに関する申請_DNS関連">#REF!</definedName>
    <definedName name="単価_ｻｰﾊﾞに関する申請_FireWallACL関連" localSheetId="4">#REF!</definedName>
    <definedName name="単価_ｻｰﾊﾞに関する申請_FireWallACL関連">#REF!</definedName>
    <definedName name="単価_ｻｰﾊﾞに関する申請_ﾄﾞﾒｲﾝ登録" localSheetId="4">#REF!</definedName>
    <definedName name="単価_ｻｰﾊﾞに関する申請_ﾄﾞﾒｲﾝ登録">#REF!</definedName>
    <definedName name="単価_ｻｰﾊﾞに関する申請_ﾒｰﾙﾙｰﾄ関連" localSheetId="4">#REF!</definedName>
    <definedName name="単価_ｻｰﾊﾞに関する申請_ﾒｰﾙﾙｰﾄ関連">#REF!</definedName>
    <definedName name="単価_ｻｰﾊﾞ証明書" localSheetId="4">#REF!</definedName>
    <definedName name="単価_ｻｰﾊﾞ証明書">#REF!</definedName>
    <definedName name="単価_ﾊﾟｿｺﾝﾌﾟﾘﾝﾀ移設" localSheetId="4">#REF!</definedName>
    <definedName name="単価_ﾊﾟｿｺﾝﾌﾟﾘﾝﾀ移設">#REF!</definedName>
    <definedName name="単価_ﾊﾟｿｺﾝﾌﾟﾘﾝﾀ新設" localSheetId="4">#REF!</definedName>
    <definedName name="単価_ﾊﾟｿｺﾝﾌﾟﾘﾝﾀ新設">#REF!</definedName>
    <definedName name="単価_ﾊﾟｿｺﾝ変更" localSheetId="4">#REF!</definedName>
    <definedName name="単価_ﾊﾟｿｺﾝ変更">#REF!</definedName>
    <definedName name="中日程表" localSheetId="2" hidden="1">{#N/A,#N/A,TRUE,"カスタマイズ仕様書";#N/A,#N/A,TRUE,"Ｉ・Ｏ関連表(1)";#N/A,#N/A,TRUE,"Ｉ・Ｏ関連表(2)";#N/A,#N/A,TRUE,"Ｉ・Ｏ関連表(3)";#N/A,#N/A,TRUE,"レポート記述書";#N/A,#N/A,TRUE,"画面記述書"}</definedName>
    <definedName name="中日程表" hidden="1">{#N/A,#N/A,TRUE,"カスタマイズ仕様書";#N/A,#N/A,TRUE,"Ｉ・Ｏ関連表(1)";#N/A,#N/A,TRUE,"Ｉ・Ｏ関連表(2)";#N/A,#N/A,TRUE,"Ｉ・Ｏ関連表(3)";#N/A,#N/A,TRUE,"レポート記述書";#N/A,#N/A,TRUE,"画面記述書"}</definedName>
    <definedName name="帳票設計原始" localSheetId="2" hidden="1">{#N/A,#N/A,TRUE,"カスタマイズ仕様書";#N/A,#N/A,TRUE,"Ｉ・Ｏ関連表(1)";#N/A,#N/A,TRUE,"Ｉ・Ｏ関連表(2)";#N/A,#N/A,TRUE,"Ｉ・Ｏ関連表(3)";#N/A,#N/A,TRUE,"レポート記述書";#N/A,#N/A,TRUE,"画面記述書"}</definedName>
    <definedName name="帳票設計原始" hidden="1">{#N/A,#N/A,TRUE,"カスタマイズ仕様書";#N/A,#N/A,TRUE,"Ｉ・Ｏ関連表(1)";#N/A,#N/A,TRUE,"Ｉ・Ｏ関連表(2)";#N/A,#N/A,TRUE,"Ｉ・Ｏ関連表(3)";#N/A,#N/A,TRUE,"レポート記述書";#N/A,#N/A,TRUE,"画面記述書"}</definedName>
    <definedName name="納品物" localSheetId="2" hidden="1">{#N/A,#N/A,TRUE,"カスタマイズ仕様書";#N/A,#N/A,TRUE,"Ｉ・Ｏ関連表(1)";#N/A,#N/A,TRUE,"Ｉ・Ｏ関連表(2)";#N/A,#N/A,TRUE,"Ｉ・Ｏ関連表(3)";#N/A,#N/A,TRUE,"レポート記述書";#N/A,#N/A,TRUE,"画面記述書"}</definedName>
    <definedName name="納品物" hidden="1">{#N/A,#N/A,TRUE,"カスタマイズ仕様書";#N/A,#N/A,TRUE,"Ｉ・Ｏ関連表(1)";#N/A,#N/A,TRUE,"Ｉ・Ｏ関連表(2)";#N/A,#N/A,TRUE,"Ｉ・Ｏ関連表(3)";#N/A,#N/A,TRUE,"レポート記述書";#N/A,#N/A,TRUE,"画面記述書"}</definedName>
    <definedName name="汎用承認明細" localSheetId="2" hidden="1">{"'オンボード'!$A$1:$BZ$70"}</definedName>
    <definedName name="汎用承認明細" hidden="1">{"'オンボード'!$A$1:$BZ$70"}</definedName>
    <definedName name="費用処理パターン" localSheetId="2" hidden="1">{#N/A,#N/A,TRUE,"カスタマイズ仕様書";#N/A,#N/A,TRUE,"Ｉ・Ｏ関連表(1)";#N/A,#N/A,TRUE,"Ｉ・Ｏ関連表(2)";#N/A,#N/A,TRUE,"Ｉ・Ｏ関連表(3)";#N/A,#N/A,TRUE,"レポート記述書";#N/A,#N/A,TRUE,"画面記述書"}</definedName>
    <definedName name="費用処理パターン" hidden="1">{#N/A,#N/A,TRUE,"カスタマイズ仕様書";#N/A,#N/A,TRUE,"Ｉ・Ｏ関連表(1)";#N/A,#N/A,TRUE,"Ｉ・Ｏ関連表(2)";#N/A,#N/A,TRUE,"Ｉ・Ｏ関連表(3)";#N/A,#N/A,TRUE,"レポート記述書";#N/A,#N/A,TRUE,"画面記述書"}</definedName>
  </definedNames>
  <calcPr calcId="162913"/>
</workbook>
</file>

<file path=xl/calcChain.xml><?xml version="1.0" encoding="utf-8"?>
<calcChain xmlns="http://schemas.openxmlformats.org/spreadsheetml/2006/main">
  <c r="N4" i="19" l="1"/>
  <c r="Q4" i="19" l="1"/>
  <c r="Q3" i="19"/>
  <c r="Q2" i="19"/>
  <c r="P4" i="19" l="1"/>
  <c r="O4" i="19"/>
  <c r="P3" i="19"/>
  <c r="O3" i="19"/>
  <c r="N3" i="19"/>
  <c r="P2" i="19"/>
  <c r="O2" i="19"/>
  <c r="N2" i="19"/>
  <c r="B78" i="19" l="1"/>
  <c r="B71" i="19"/>
  <c r="B72" i="19"/>
  <c r="B73" i="19"/>
  <c r="B74" i="19"/>
  <c r="B75" i="19"/>
  <c r="B76" i="19"/>
  <c r="B77" i="19"/>
  <c r="B79" i="19"/>
  <c r="B80"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9" i="19"/>
  <c r="M4" i="19" l="1"/>
  <c r="M3" i="19"/>
  <c r="M2" i="19"/>
  <c r="J3" i="19" l="1"/>
  <c r="G3" i="19"/>
  <c r="I3" i="19"/>
  <c r="H3" i="19"/>
  <c r="M20" i="14"/>
  <c r="L20" i="14"/>
  <c r="K20" i="14"/>
  <c r="H20" i="14" s="1"/>
  <c r="N4" i="14"/>
  <c r="N3" i="14" s="1"/>
  <c r="J3" i="14" s="1"/>
  <c r="M4" i="14"/>
  <c r="M3" i="14" s="1"/>
  <c r="I3" i="14" s="1"/>
  <c r="L4" i="14"/>
  <c r="L3" i="14" s="1"/>
  <c r="H3" i="14" s="1"/>
  <c r="K4" i="14"/>
  <c r="K3" i="14" s="1"/>
  <c r="G3" i="14" s="1"/>
  <c r="H4" i="14" l="1"/>
</calcChain>
</file>

<file path=xl/sharedStrings.xml><?xml version="1.0" encoding="utf-8"?>
<sst xmlns="http://schemas.openxmlformats.org/spreadsheetml/2006/main" count="425" uniqueCount="288">
  <si>
    <t>OK</t>
  </si>
  <si>
    <t>ALL</t>
  </si>
  <si>
    <t>■</t>
  </si>
  <si>
    <t xml:space="preserve"> </t>
  </si>
  <si>
    <t>項番</t>
  </si>
  <si>
    <t>中項目</t>
  </si>
  <si>
    <t>確認項目</t>
  </si>
  <si>
    <t>予想結果</t>
  </si>
  <si>
    <t>判定</t>
  </si>
  <si>
    <t>確認日</t>
  </si>
  <si>
    <t>確認者</t>
  </si>
  <si>
    <t>受入テスト（大項目）</t>
    <phoneticPr fontId="47"/>
  </si>
  <si>
    <t>Chrome</t>
    <phoneticPr fontId="47"/>
  </si>
  <si>
    <t>（大項目1）</t>
    <phoneticPr fontId="47"/>
  </si>
  <si>
    <t>不具合票番号</t>
    <rPh sb="0" eb="4">
      <t>フグアイヒョウ</t>
    </rPh>
    <rPh sb="4" eb="6">
      <t>バンゴウ</t>
    </rPh>
    <phoneticPr fontId="47"/>
  </si>
  <si>
    <t>1-1</t>
    <phoneticPr fontId="47"/>
  </si>
  <si>
    <t>1-2</t>
    <phoneticPr fontId="47"/>
  </si>
  <si>
    <t>NG残</t>
    <phoneticPr fontId="47"/>
  </si>
  <si>
    <t>1-6</t>
  </si>
  <si>
    <t>1-7</t>
  </si>
  <si>
    <t>1-8</t>
  </si>
  <si>
    <t>NG済</t>
    <phoneticPr fontId="47"/>
  </si>
  <si>
    <t>共通</t>
    <rPh sb="0" eb="2">
      <t>キョウツウ</t>
    </rPh>
    <phoneticPr fontId="28"/>
  </si>
  <si>
    <t>グローバルでの逆ジオコーディング(緯度・経度から住所を取得)を実施</t>
  </si>
  <si>
    <t>累積燃料消費量によって点検日を予測する。</t>
  </si>
  <si>
    <t>SMR間隔管理項目に対応するオレンジフラグを検出する。</t>
  </si>
  <si>
    <t>累積燃料消費量管理項目に対応するオレンジフラグを検出する。</t>
  </si>
  <si>
    <t>月毎累積燃料消費量が取得不可な車両の累積燃料消費量を算出する。</t>
  </si>
  <si>
    <t>Keyperson権限の場合、管理者メニューが表示される</t>
    <rPh sb="9" eb="11">
      <t>ケンゲン</t>
    </rPh>
    <rPh sb="12" eb="14">
      <t>バアイ</t>
    </rPh>
    <rPh sb="15" eb="18">
      <t>カンリシャ</t>
    </rPh>
    <rPh sb="23" eb="25">
      <t>ヒョウジ</t>
    </rPh>
    <phoneticPr fontId="28"/>
  </si>
  <si>
    <t>Keyperson権限ではない場合、管理者メニューが表示されない</t>
    <rPh sb="9" eb="11">
      <t>ケンゲン</t>
    </rPh>
    <rPh sb="15" eb="17">
      <t>バアイ</t>
    </rPh>
    <rPh sb="18" eb="21">
      <t>カンリシャ</t>
    </rPh>
    <rPh sb="26" eb="28">
      <t>ヒョウジ</t>
    </rPh>
    <phoneticPr fontId="28"/>
  </si>
  <si>
    <t>シナリオ</t>
    <phoneticPr fontId="28"/>
  </si>
  <si>
    <t>ログイン　→　管理者メニューへの遷移</t>
    <rPh sb="7" eb="9">
      <t>カンリ</t>
    </rPh>
    <rPh sb="9" eb="10">
      <t>シャ</t>
    </rPh>
    <rPh sb="16" eb="18">
      <t>センイ</t>
    </rPh>
    <phoneticPr fontId="28"/>
  </si>
  <si>
    <t>管理者メニューの権限設定</t>
    <rPh sb="0" eb="3">
      <t>カンリシャ</t>
    </rPh>
    <rPh sb="8" eb="10">
      <t>ケンゲン</t>
    </rPh>
    <rPh sb="10" eb="12">
      <t>セッテイ</t>
    </rPh>
    <phoneticPr fontId="28"/>
  </si>
  <si>
    <t>新KBA　TOP画面を確認する</t>
    <rPh sb="0" eb="1">
      <t>シン</t>
    </rPh>
    <rPh sb="8" eb="10">
      <t>ガメン</t>
    </rPh>
    <rPh sb="11" eb="13">
      <t>カクニン</t>
    </rPh>
    <phoneticPr fontId="28"/>
  </si>
  <si>
    <t>確認方法</t>
    <rPh sb="2" eb="4">
      <t>ホウホウ</t>
    </rPh>
    <phoneticPr fontId="28"/>
  </si>
  <si>
    <t>現KBAにて「SMR間隔管理項目設定権限」を付与</t>
    <phoneticPr fontId="28"/>
  </si>
  <si>
    <t>SMR間隔管理項目設定が表示される</t>
    <rPh sb="12" eb="14">
      <t>ヒョウジ</t>
    </rPh>
    <phoneticPr fontId="28"/>
  </si>
  <si>
    <t>現KBAにて「累積燃料消費量管理項目設定権限」を付与</t>
    <phoneticPr fontId="28"/>
  </si>
  <si>
    <t>累積燃料消費量管理項目設定が表示される</t>
    <rPh sb="14" eb="16">
      <t>ヒョウジ</t>
    </rPh>
    <phoneticPr fontId="28"/>
  </si>
  <si>
    <t>現KBAにて「車両管理権限（登録／削除／変更）」を付与</t>
    <phoneticPr fontId="28"/>
  </si>
  <si>
    <t>車両管理権限（登録／削除／変更）が表示される</t>
    <rPh sb="17" eb="19">
      <t>ヒョウジ</t>
    </rPh>
    <phoneticPr fontId="28"/>
  </si>
  <si>
    <t>現KBAにて「フラグ条件設定権限」を付与</t>
    <phoneticPr fontId="28"/>
  </si>
  <si>
    <t>現KBAにて「分類管理権限（登録／削除／変更）」を付与</t>
    <phoneticPr fontId="28"/>
  </si>
  <si>
    <t>分類管理が表示される</t>
    <rPh sb="5" eb="7">
      <t>ヒョウジ</t>
    </rPh>
    <phoneticPr fontId="28"/>
  </si>
  <si>
    <t>フラグ条件設定が表示される</t>
    <rPh sb="8" eb="10">
      <t>ヒョウジ</t>
    </rPh>
    <phoneticPr fontId="28"/>
  </si>
  <si>
    <t>管理者メニュー　→　通常メニューへの遷移</t>
    <rPh sb="0" eb="2">
      <t>カンリ</t>
    </rPh>
    <rPh sb="2" eb="3">
      <t>シャ</t>
    </rPh>
    <rPh sb="10" eb="12">
      <t>ツウジョウ</t>
    </rPh>
    <rPh sb="18" eb="20">
      <t>センイ</t>
    </rPh>
    <phoneticPr fontId="28"/>
  </si>
  <si>
    <t>管理者メニューから通常メニューへのリンクをクリック</t>
    <rPh sb="0" eb="2">
      <t>カンリ</t>
    </rPh>
    <rPh sb="2" eb="3">
      <t>シャ</t>
    </rPh>
    <rPh sb="9" eb="11">
      <t>ツウジョウ</t>
    </rPh>
    <phoneticPr fontId="28"/>
  </si>
  <si>
    <t>通常メニューのTOPページへ遷移する</t>
    <rPh sb="0" eb="2">
      <t>ツウジョウ</t>
    </rPh>
    <rPh sb="14" eb="16">
      <t>センイ</t>
    </rPh>
    <phoneticPr fontId="28"/>
  </si>
  <si>
    <t>管理者メニュー　→　ログアウト</t>
    <rPh sb="0" eb="3">
      <t>カンリシャ</t>
    </rPh>
    <phoneticPr fontId="28"/>
  </si>
  <si>
    <t>管理者メニューからログアウトへのリンクをクリック</t>
    <phoneticPr fontId="28"/>
  </si>
  <si>
    <t>ログアウト画面が表示される</t>
    <rPh sb="5" eb="7">
      <t>ガメン</t>
    </rPh>
    <rPh sb="8" eb="10">
      <t>ヒョウジ</t>
    </rPh>
    <phoneticPr fontId="28"/>
  </si>
  <si>
    <t>管理者メニュー　→　言語切り替え</t>
    <rPh sb="0" eb="3">
      <t>カンリシャ</t>
    </rPh>
    <rPh sb="10" eb="12">
      <t>ゲンゴ</t>
    </rPh>
    <rPh sb="12" eb="13">
      <t>キ</t>
    </rPh>
    <rPh sb="14" eb="15">
      <t>カ</t>
    </rPh>
    <phoneticPr fontId="28"/>
  </si>
  <si>
    <t>管理者メニューから設定　-　言語を切替</t>
    <rPh sb="9" eb="11">
      <t>セッテイ</t>
    </rPh>
    <rPh sb="14" eb="16">
      <t>ゲンゴ</t>
    </rPh>
    <rPh sb="17" eb="19">
      <t>キリカエ</t>
    </rPh>
    <phoneticPr fontId="28"/>
  </si>
  <si>
    <t>設定した言語へ切り替わること</t>
    <rPh sb="0" eb="2">
      <t>セッテイ</t>
    </rPh>
    <rPh sb="4" eb="6">
      <t>ゲンゴ</t>
    </rPh>
    <rPh sb="7" eb="8">
      <t>キ</t>
    </rPh>
    <rPh sb="9" eb="10">
      <t>カ</t>
    </rPh>
    <phoneticPr fontId="28"/>
  </si>
  <si>
    <t>SMR間隔管理項目管理</t>
    <rPh sb="3" eb="5">
      <t>カンカク</t>
    </rPh>
    <rPh sb="5" eb="7">
      <t>カンリ</t>
    </rPh>
    <rPh sb="7" eb="9">
      <t>コウモク</t>
    </rPh>
    <rPh sb="9" eb="11">
      <t>カンリ</t>
    </rPh>
    <phoneticPr fontId="28"/>
  </si>
  <si>
    <t>SMR間隔管理項目を登録する</t>
    <phoneticPr fontId="28"/>
  </si>
  <si>
    <t>操作方法</t>
    <rPh sb="0" eb="2">
      <t>ソウサ</t>
    </rPh>
    <rPh sb="2" eb="4">
      <t>ホウホウ</t>
    </rPh>
    <phoneticPr fontId="28"/>
  </si>
  <si>
    <t xml:space="preserve">SMR間隔管理登録画面からSMR管理項目を登録する
</t>
    <rPh sb="3" eb="5">
      <t>カンカク</t>
    </rPh>
    <rPh sb="5" eb="7">
      <t>カンリ</t>
    </rPh>
    <rPh sb="7" eb="9">
      <t>トウロク</t>
    </rPh>
    <rPh sb="9" eb="11">
      <t>ガメン</t>
    </rPh>
    <rPh sb="16" eb="18">
      <t>カンリ</t>
    </rPh>
    <rPh sb="18" eb="20">
      <t>コウモク</t>
    </rPh>
    <rPh sb="21" eb="23">
      <t>トウロク</t>
    </rPh>
    <phoneticPr fontId="28"/>
  </si>
  <si>
    <t>テストデータ</t>
    <phoneticPr fontId="28"/>
  </si>
  <si>
    <t>機種-型式　PC200　8E0
点検開始SMR　1000
SMR間隔管理　500</t>
    <rPh sb="0" eb="2">
      <t>キシュ</t>
    </rPh>
    <rPh sb="3" eb="5">
      <t>カタシキ</t>
    </rPh>
    <rPh sb="16" eb="18">
      <t>テンケン</t>
    </rPh>
    <rPh sb="18" eb="20">
      <t>カイシ</t>
    </rPh>
    <rPh sb="32" eb="34">
      <t>カンカク</t>
    </rPh>
    <rPh sb="34" eb="36">
      <t>カンリ</t>
    </rPh>
    <phoneticPr fontId="28"/>
  </si>
  <si>
    <t>SMR間隔管理画面に表示される
SMR_SERVICE_MASTERテーブルにデータが登録されること</t>
    <rPh sb="3" eb="5">
      <t>カンカク</t>
    </rPh>
    <rPh sb="5" eb="7">
      <t>カンリ</t>
    </rPh>
    <rPh sb="7" eb="9">
      <t>ガメン</t>
    </rPh>
    <rPh sb="10" eb="12">
      <t>ヒョウジ</t>
    </rPh>
    <rPh sb="43" eb="45">
      <t>トウロク</t>
    </rPh>
    <phoneticPr fontId="28"/>
  </si>
  <si>
    <t>車両登録→（OrbCOｍｍ申請）　証明書 High KMDに影響するもの</t>
    <rPh sb="0" eb="2">
      <t>シャリョウ</t>
    </rPh>
    <rPh sb="2" eb="4">
      <t>トウロク</t>
    </rPh>
    <rPh sb="13" eb="15">
      <t>シンセイ</t>
    </rPh>
    <rPh sb="17" eb="20">
      <t>ショウメイショ</t>
    </rPh>
    <rPh sb="30" eb="32">
      <t>エイキョウ</t>
    </rPh>
    <phoneticPr fontId="28"/>
  </si>
  <si>
    <t>画面表示</t>
    <rPh sb="0" eb="2">
      <t>ガメン</t>
    </rPh>
    <rPh sb="2" eb="4">
      <t>ヒョウジ</t>
    </rPh>
    <phoneticPr fontId="47"/>
  </si>
  <si>
    <t xml:space="preserve">株式会社 小松製作所　　　　 御中 </t>
    <rPh sb="0" eb="2">
      <t>カブシキ</t>
    </rPh>
    <rPh sb="2" eb="4">
      <t>カイシャ</t>
    </rPh>
    <phoneticPr fontId="145"/>
  </si>
  <si>
    <t>EXE承認者</t>
    <rPh sb="3" eb="5">
      <t>ショウニン</t>
    </rPh>
    <rPh sb="5" eb="6">
      <t>シャ</t>
    </rPh>
    <phoneticPr fontId="145"/>
  </si>
  <si>
    <t>EXE確認者</t>
    <rPh sb="3" eb="5">
      <t>カクニン</t>
    </rPh>
    <rPh sb="5" eb="6">
      <t>シャ</t>
    </rPh>
    <phoneticPr fontId="145"/>
  </si>
  <si>
    <t>EXE作成者</t>
    <rPh sb="3" eb="6">
      <t>サクセイシャ</t>
    </rPh>
    <phoneticPr fontId="145"/>
  </si>
  <si>
    <t>株式会社システムエグゼ</t>
    <rPh sb="0" eb="4">
      <t>カブシキガイシャ</t>
    </rPh>
    <phoneticPr fontId="145"/>
  </si>
  <si>
    <t>日付</t>
  </si>
  <si>
    <t>対象</t>
    <rPh sb="0" eb="2">
      <t>タイショウ</t>
    </rPh>
    <phoneticPr fontId="28"/>
  </si>
  <si>
    <t>内容</t>
    <rPh sb="0" eb="2">
      <t>ナイヨウ</t>
    </rPh>
    <phoneticPr fontId="147"/>
  </si>
  <si>
    <t>変更者</t>
  </si>
  <si>
    <t>-</t>
    <phoneticPr fontId="147"/>
  </si>
  <si>
    <t>初版作成</t>
    <rPh sb="0" eb="2">
      <t>ショハン</t>
    </rPh>
    <rPh sb="2" eb="4">
      <t>サクセイ</t>
    </rPh>
    <phoneticPr fontId="147"/>
  </si>
  <si>
    <t>ＧＭ</t>
    <phoneticPr fontId="145"/>
  </si>
  <si>
    <t>チーム長</t>
    <rPh sb="3" eb="4">
      <t>チョウ</t>
    </rPh>
    <phoneticPr fontId="145"/>
  </si>
  <si>
    <t>主技</t>
    <rPh sb="0" eb="1">
      <t>シュ</t>
    </rPh>
    <rPh sb="1" eb="2">
      <t>ワザ</t>
    </rPh>
    <phoneticPr fontId="145"/>
  </si>
  <si>
    <t>担当</t>
    <rPh sb="0" eb="2">
      <t>タントウ</t>
    </rPh>
    <phoneticPr fontId="145"/>
  </si>
  <si>
    <t>備考
※ 確認用SQLや確認手順等</t>
    <rPh sb="0" eb="2">
      <t>ビコウ</t>
    </rPh>
    <rPh sb="5" eb="8">
      <t>カクニンヨウ</t>
    </rPh>
    <rPh sb="12" eb="14">
      <t>カクニン</t>
    </rPh>
    <rPh sb="14" eb="16">
      <t>テジュン</t>
    </rPh>
    <rPh sb="16" eb="17">
      <t>ナド</t>
    </rPh>
    <phoneticPr fontId="28"/>
  </si>
  <si>
    <t>小項目</t>
    <rPh sb="0" eb="3">
      <t>ショウコウモク</t>
    </rPh>
    <phoneticPr fontId="28"/>
  </si>
  <si>
    <t>画面テスト（大項目）</t>
    <rPh sb="0" eb="2">
      <t>ガメン</t>
    </rPh>
    <phoneticPr fontId="47"/>
  </si>
  <si>
    <t>次世代KOMTRAX EMN画面開発</t>
    <rPh sb="0" eb="3">
      <t>ジセダイ</t>
    </rPh>
    <rPh sb="14" eb="16">
      <t>ガメン</t>
    </rPh>
    <rPh sb="16" eb="18">
      <t>カイハツ</t>
    </rPh>
    <phoneticPr fontId="145"/>
  </si>
  <si>
    <t>指定画面サイズ（1280 * 768）で表示した際、JSエラーなく表示されること</t>
    <phoneticPr fontId="47"/>
  </si>
  <si>
    <t>－</t>
    <phoneticPr fontId="47"/>
  </si>
  <si>
    <t>テスト結果（Chrome）</t>
    <phoneticPr fontId="47"/>
  </si>
  <si>
    <t>テスト結果（Safari）</t>
    <phoneticPr fontId="47"/>
  </si>
  <si>
    <t>NG</t>
  </si>
  <si>
    <t>NG済</t>
    <rPh sb="2" eb="3">
      <t>ズ</t>
    </rPh>
    <phoneticPr fontId="28"/>
  </si>
  <si>
    <t>IE</t>
  </si>
  <si>
    <t>chrome</t>
  </si>
  <si>
    <t>safari</t>
  </si>
  <si>
    <t>テスト結果（IE）</t>
    <phoneticPr fontId="47"/>
  </si>
  <si>
    <t>レイウアト崩れがないこと</t>
    <rPh sb="5" eb="6">
      <t>クズ</t>
    </rPh>
    <phoneticPr fontId="47"/>
  </si>
  <si>
    <t>リサイズ</t>
    <phoneticPr fontId="47"/>
  </si>
  <si>
    <t>次世代対応を反映した画面設計書と画面を照らし合わせ、各表示項目の位置、内容が一致すること</t>
    <rPh sb="0" eb="3">
      <t>ジセダイ</t>
    </rPh>
    <rPh sb="3" eb="5">
      <t>タイオウ</t>
    </rPh>
    <rPh sb="6" eb="8">
      <t>ハンエイ</t>
    </rPh>
    <rPh sb="10" eb="12">
      <t>ガメン</t>
    </rPh>
    <rPh sb="12" eb="15">
      <t>セッケイショ</t>
    </rPh>
    <rPh sb="16" eb="18">
      <t>ガメン</t>
    </rPh>
    <rPh sb="19" eb="20">
      <t>テ</t>
    </rPh>
    <rPh sb="22" eb="23">
      <t>ア</t>
    </rPh>
    <rPh sb="26" eb="27">
      <t>カク</t>
    </rPh>
    <rPh sb="27" eb="29">
      <t>ヒョウジ</t>
    </rPh>
    <rPh sb="29" eb="31">
      <t>コウモク</t>
    </rPh>
    <rPh sb="32" eb="34">
      <t>イチ</t>
    </rPh>
    <rPh sb="35" eb="37">
      <t>ナイヨウ</t>
    </rPh>
    <rPh sb="38" eb="40">
      <t>イッチ</t>
    </rPh>
    <phoneticPr fontId="47"/>
  </si>
  <si>
    <t>初期処理</t>
    <rPh sb="0" eb="2">
      <t>ショキ</t>
    </rPh>
    <rPh sb="2" eb="4">
      <t>ショリ</t>
    </rPh>
    <phoneticPr fontId="28"/>
  </si>
  <si>
    <t>画面が起動すること</t>
    <rPh sb="0" eb="2">
      <t>ガメン</t>
    </rPh>
    <rPh sb="3" eb="5">
      <t>キドウ</t>
    </rPh>
    <phoneticPr fontId="47"/>
  </si>
  <si>
    <t>パラメータ名</t>
    <rPh sb="5" eb="6">
      <t>メイ</t>
    </rPh>
    <phoneticPr fontId="28"/>
  </si>
  <si>
    <t>論理名</t>
    <rPh sb="0" eb="2">
      <t>ロンリ</t>
    </rPh>
    <rPh sb="2" eb="3">
      <t>メイ</t>
    </rPh>
    <phoneticPr fontId="28"/>
  </si>
  <si>
    <t>備考</t>
    <rPh sb="0" eb="2">
      <t>ビコウ</t>
    </rPh>
    <phoneticPr fontId="28"/>
  </si>
  <si>
    <t>結合テスト仕様書 フリータイミング - メール受信者</t>
    <rPh sb="0" eb="2">
      <t>ケツゴウ</t>
    </rPh>
    <rPh sb="5" eb="7">
      <t>シヨウ</t>
    </rPh>
    <rPh sb="7" eb="8">
      <t>ショ</t>
    </rPh>
    <rPh sb="23" eb="26">
      <t>ジュシンシャ</t>
    </rPh>
    <phoneticPr fontId="145"/>
  </si>
  <si>
    <t>メイン画面上部の名称（フリータイミング）</t>
    <rPh sb="3" eb="5">
      <t>ガメン</t>
    </rPh>
    <rPh sb="5" eb="7">
      <t>ジョウブ</t>
    </rPh>
    <rPh sb="8" eb="10">
      <t>メイショウ</t>
    </rPh>
    <phoneticPr fontId="47"/>
  </si>
  <si>
    <t>言語</t>
    <rPh sb="0" eb="2">
      <t>ゲンゴ</t>
    </rPh>
    <phoneticPr fontId="28"/>
  </si>
  <si>
    <t>フリータイミング - メール受信者</t>
    <rPh sb="14" eb="17">
      <t>ジュシンシャ</t>
    </rPh>
    <phoneticPr fontId="28"/>
  </si>
  <si>
    <t>初期表示</t>
    <rPh sb="0" eb="2">
      <t>ショキ</t>
    </rPh>
    <rPh sb="2" eb="4">
      <t>ヒョウジ</t>
    </rPh>
    <phoneticPr fontId="28"/>
  </si>
  <si>
    <t>初期値が表示されること(初期値は取得順で最初のものを表示）</t>
    <rPh sb="0" eb="2">
      <t>ショキ</t>
    </rPh>
    <rPh sb="2" eb="3">
      <t>アタイ</t>
    </rPh>
    <rPh sb="4" eb="6">
      <t>ヒョウジ</t>
    </rPh>
    <rPh sb="12" eb="14">
      <t>ショキ</t>
    </rPh>
    <rPh sb="14" eb="15">
      <t>アタイ</t>
    </rPh>
    <rPh sb="16" eb="18">
      <t>シュトク</t>
    </rPh>
    <rPh sb="18" eb="19">
      <t>ジュン</t>
    </rPh>
    <rPh sb="20" eb="22">
      <t>サイショ</t>
    </rPh>
    <rPh sb="26" eb="28">
      <t>ヒョウジ</t>
    </rPh>
    <phoneticPr fontId="28"/>
  </si>
  <si>
    <t>プルダウンリスト</t>
    <phoneticPr fontId="28"/>
  </si>
  <si>
    <t>プルダウンリストで表示されること</t>
    <rPh sb="9" eb="11">
      <t>ヒョウジ</t>
    </rPh>
    <phoneticPr fontId="28"/>
  </si>
  <si>
    <t>メッセージ形式</t>
    <rPh sb="5" eb="7">
      <t>ケイシキ</t>
    </rPh>
    <phoneticPr fontId="28"/>
  </si>
  <si>
    <t>初期表示</t>
    <rPh sb="0" eb="2">
      <t>ショキ</t>
    </rPh>
    <rPh sb="2" eb="4">
      <t>ヒョウジ</t>
    </rPh>
    <phoneticPr fontId="47"/>
  </si>
  <si>
    <t>テキストボックスが空白で表示されること</t>
    <rPh sb="9" eb="11">
      <t>クウハク</t>
    </rPh>
    <rPh sb="12" eb="14">
      <t>ヒョウジ</t>
    </rPh>
    <phoneticPr fontId="28"/>
  </si>
  <si>
    <t>文字数制御</t>
    <rPh sb="0" eb="3">
      <t>モジスウ</t>
    </rPh>
    <rPh sb="3" eb="5">
      <t>セイギョ</t>
    </rPh>
    <phoneticPr fontId="28"/>
  </si>
  <si>
    <t>リクエストパラメータ確認</t>
    <rPh sb="10" eb="12">
      <t>カクニン</t>
    </rPh>
    <phoneticPr fontId="28"/>
  </si>
  <si>
    <t>メールアドレス検索 入力フォーム</t>
    <rPh sb="7" eb="9">
      <t>ケンサク</t>
    </rPh>
    <rPh sb="10" eb="12">
      <t>ニュウリョク</t>
    </rPh>
    <phoneticPr fontId="28"/>
  </si>
  <si>
    <t>禁則文字チェック</t>
    <rPh sb="0" eb="2">
      <t>キンソク</t>
    </rPh>
    <rPh sb="2" eb="4">
      <t>モジ</t>
    </rPh>
    <phoneticPr fontId="28"/>
  </si>
  <si>
    <t>一覧（メールアドレス）</t>
    <rPh sb="0" eb="2">
      <t>イチラン</t>
    </rPh>
    <phoneticPr fontId="28"/>
  </si>
  <si>
    <t>メールアドレス</t>
    <phoneticPr fontId="28"/>
  </si>
  <si>
    <t>メールアドレス</t>
    <phoneticPr fontId="28"/>
  </si>
  <si>
    <t>空欄となっていること</t>
    <rPh sb="0" eb="2">
      <t>クウラン</t>
    </rPh>
    <phoneticPr fontId="28"/>
  </si>
  <si>
    <t>［＞］、［＜］矢印ボタン</t>
    <rPh sb="7" eb="9">
      <t>ヤジルシ</t>
    </rPh>
    <phoneticPr fontId="28"/>
  </si>
  <si>
    <t>ボタンステータス</t>
    <phoneticPr fontId="28"/>
  </si>
  <si>
    <t>非活性となっていること</t>
    <rPh sb="0" eb="1">
      <t>ヒ</t>
    </rPh>
    <rPh sb="1" eb="3">
      <t>カッセイ</t>
    </rPh>
    <phoneticPr fontId="28"/>
  </si>
  <si>
    <t>メールアドレス取得結果が０件</t>
    <rPh sb="7" eb="9">
      <t>シュトク</t>
    </rPh>
    <rPh sb="9" eb="11">
      <t>ケッカ</t>
    </rPh>
    <rPh sb="13" eb="14">
      <t>ケン</t>
    </rPh>
    <phoneticPr fontId="28"/>
  </si>
  <si>
    <t>［確定］ボタン</t>
    <rPh sb="1" eb="3">
      <t>カクテイ</t>
    </rPh>
    <phoneticPr fontId="28"/>
  </si>
  <si>
    <t>メールアドレス取得結果が１件以上</t>
    <rPh sb="7" eb="9">
      <t>シュトク</t>
    </rPh>
    <rPh sb="9" eb="11">
      <t>ケッカ</t>
    </rPh>
    <rPh sb="13" eb="14">
      <t>ケン</t>
    </rPh>
    <rPh sb="14" eb="16">
      <t>イジョウ</t>
    </rPh>
    <phoneticPr fontId="28"/>
  </si>
  <si>
    <t>Check Box</t>
    <phoneticPr fontId="28"/>
  </si>
  <si>
    <t>ヘッダ部</t>
    <rPh sb="3" eb="4">
      <t>ブ</t>
    </rPh>
    <phoneticPr fontId="28"/>
  </si>
  <si>
    <t>明細部</t>
    <rPh sb="0" eb="2">
      <t>メイサイ</t>
    </rPh>
    <rPh sb="2" eb="3">
      <t>ブ</t>
    </rPh>
    <phoneticPr fontId="28"/>
  </si>
  <si>
    <t>チェックボックスのON / OFFが切り替えられること</t>
    <rPh sb="18" eb="19">
      <t>キ</t>
    </rPh>
    <rPh sb="20" eb="21">
      <t>カ</t>
    </rPh>
    <phoneticPr fontId="28"/>
  </si>
  <si>
    <t>Toリストへの移動ボタン［＞］、Ccリストへの移動ボタン［＞］の2つが活性化すること</t>
    <rPh sb="7" eb="9">
      <t>イドウ</t>
    </rPh>
    <rPh sb="23" eb="25">
      <t>イドウ</t>
    </rPh>
    <rPh sb="35" eb="38">
      <t>カッセイカ</t>
    </rPh>
    <phoneticPr fontId="28"/>
  </si>
  <si>
    <t>チェックボックスONのメールアドレス背景が白から　　 へ切り替わること
※hsl(43, 95%, 85%)</t>
    <rPh sb="18" eb="20">
      <t>ハイケイ</t>
    </rPh>
    <rPh sb="21" eb="22">
      <t>シロ</t>
    </rPh>
    <rPh sb="28" eb="29">
      <t>キ</t>
    </rPh>
    <rPh sb="30" eb="31">
      <t>カ</t>
    </rPh>
    <phoneticPr fontId="28"/>
  </si>
  <si>
    <t>Toリストへの移動ボタン［＞］、Ccリストへの移動ボタン［＞］の2つが非活性となること</t>
    <rPh sb="7" eb="9">
      <t>イドウ</t>
    </rPh>
    <rPh sb="23" eb="25">
      <t>イドウ</t>
    </rPh>
    <rPh sb="35" eb="36">
      <t>ヒ</t>
    </rPh>
    <rPh sb="36" eb="38">
      <t>カッセイ</t>
    </rPh>
    <phoneticPr fontId="28"/>
  </si>
  <si>
    <t>Check Box（メールアドレス取得結果が0件）</t>
    <rPh sb="23" eb="24">
      <t>ケン</t>
    </rPh>
    <phoneticPr fontId="28"/>
  </si>
  <si>
    <t>Check Box（メールアドレス取得結果が１件以上）</t>
    <phoneticPr fontId="28"/>
  </si>
  <si>
    <t>チェックボックスが非活性となること</t>
    <rPh sb="9" eb="10">
      <t>ヒ</t>
    </rPh>
    <rPh sb="10" eb="12">
      <t>カッセイ</t>
    </rPh>
    <phoneticPr fontId="28"/>
  </si>
  <si>
    <t>－</t>
    <phoneticPr fontId="47"/>
  </si>
  <si>
    <t>明細部（ON時）</t>
    <rPh sb="6" eb="7">
      <t>ジ</t>
    </rPh>
    <phoneticPr fontId="28"/>
  </si>
  <si>
    <t>明細部（OFF時）</t>
    <rPh sb="7" eb="8">
      <t>ジ</t>
    </rPh>
    <phoneticPr fontId="28"/>
  </si>
  <si>
    <t>明細部（全件ON時）</t>
    <rPh sb="4" eb="6">
      <t>ゼンケン</t>
    </rPh>
    <rPh sb="8" eb="9">
      <t>ジ</t>
    </rPh>
    <phoneticPr fontId="28"/>
  </si>
  <si>
    <t>ヘッダ部のチェックボックスもONとなること</t>
    <rPh sb="3" eb="4">
      <t>ブ</t>
    </rPh>
    <phoneticPr fontId="28"/>
  </si>
  <si>
    <t>ヘッダ部（ON時）</t>
    <rPh sb="3" eb="4">
      <t>ブ</t>
    </rPh>
    <rPh sb="7" eb="8">
      <t>ジ</t>
    </rPh>
    <phoneticPr fontId="28"/>
  </si>
  <si>
    <t>ヘッダ部（OFF時）</t>
    <rPh sb="3" eb="4">
      <t>ブ</t>
    </rPh>
    <rPh sb="8" eb="9">
      <t>ジ</t>
    </rPh>
    <phoneticPr fontId="28"/>
  </si>
  <si>
    <t>明細部のチェックボックスが全件ONとなること</t>
    <rPh sb="0" eb="2">
      <t>メイサイ</t>
    </rPh>
    <rPh sb="2" eb="3">
      <t>ブ</t>
    </rPh>
    <rPh sb="13" eb="15">
      <t>ゼンケン</t>
    </rPh>
    <phoneticPr fontId="28"/>
  </si>
  <si>
    <t>明細部のチェックボックスが全件OFFとなること</t>
    <rPh sb="0" eb="2">
      <t>メイサイ</t>
    </rPh>
    <rPh sb="2" eb="3">
      <t>ブ</t>
    </rPh>
    <rPh sb="13" eb="15">
      <t>ゼンケン</t>
    </rPh>
    <phoneticPr fontId="28"/>
  </si>
  <si>
    <t>Toリスト明細部</t>
    <rPh sb="5" eb="7">
      <t>メイサイ</t>
    </rPh>
    <rPh sb="7" eb="8">
      <t>ブ</t>
    </rPh>
    <phoneticPr fontId="28"/>
  </si>
  <si>
    <t>メールアドレスリスト</t>
    <phoneticPr fontId="28"/>
  </si>
  <si>
    <t>アドレスデータが表示されること</t>
    <rPh sb="8" eb="10">
      <t>ヒョウジ</t>
    </rPh>
    <phoneticPr fontId="28"/>
  </si>
  <si>
    <t>移動ボタン［＞］</t>
    <rPh sb="0" eb="2">
      <t>イドウ</t>
    </rPh>
    <phoneticPr fontId="28"/>
  </si>
  <si>
    <t>チェックボックス</t>
    <phoneticPr fontId="28"/>
  </si>
  <si>
    <t>Ccリスト明細部</t>
    <rPh sb="5" eb="7">
      <t>メイサイ</t>
    </rPh>
    <rPh sb="7" eb="8">
      <t>ブ</t>
    </rPh>
    <phoneticPr fontId="28"/>
  </si>
  <si>
    <t>選択したアドレスデータがToリストに表示されること</t>
    <rPh sb="0" eb="2">
      <t>センタク</t>
    </rPh>
    <rPh sb="18" eb="20">
      <t>ヒョウジ</t>
    </rPh>
    <phoneticPr fontId="28"/>
  </si>
  <si>
    <t>選択したアドレスデータがCcリストに表示されること</t>
    <rPh sb="0" eb="2">
      <t>センタク</t>
    </rPh>
    <rPh sb="18" eb="20">
      <t>ヒョウジ</t>
    </rPh>
    <phoneticPr fontId="28"/>
  </si>
  <si>
    <t>選択したアドレスデータがメールアドレスリストから削除されていること</t>
    <rPh sb="0" eb="2">
      <t>センタク</t>
    </rPh>
    <rPh sb="24" eb="26">
      <t>サクジョ</t>
    </rPh>
    <phoneticPr fontId="28"/>
  </si>
  <si>
    <t>一覧（To）</t>
    <rPh sb="0" eb="2">
      <t>イチラン</t>
    </rPh>
    <phoneticPr fontId="28"/>
  </si>
  <si>
    <t>表示アドレスデータ0件</t>
    <rPh sb="0" eb="2">
      <t>ヒョウジ</t>
    </rPh>
    <rPh sb="10" eb="11">
      <t>ケン</t>
    </rPh>
    <phoneticPr fontId="28"/>
  </si>
  <si>
    <t>表示アドレスデータ1件以上</t>
    <rPh sb="0" eb="2">
      <t>ヒョウジ</t>
    </rPh>
    <rPh sb="10" eb="13">
      <t>ケンイジョウ</t>
    </rPh>
    <phoneticPr fontId="28"/>
  </si>
  <si>
    <t>一覧（Cc）</t>
    <rPh sb="0" eb="2">
      <t>イチラン</t>
    </rPh>
    <phoneticPr fontId="28"/>
  </si>
  <si>
    <t>チェックボックスONのメールアドレス背景が白へ切り替わること</t>
    <rPh sb="18" eb="20">
      <t>ハイケイ</t>
    </rPh>
    <rPh sb="21" eb="22">
      <t>シロ</t>
    </rPh>
    <rPh sb="23" eb="24">
      <t>キ</t>
    </rPh>
    <rPh sb="25" eb="26">
      <t>カ</t>
    </rPh>
    <phoneticPr fontId="28"/>
  </si>
  <si>
    <t>Toリスト（表示アドレスデータ0件）</t>
    <rPh sb="6" eb="8">
      <t>ヒョウジ</t>
    </rPh>
    <rPh sb="16" eb="17">
      <t>ケン</t>
    </rPh>
    <phoneticPr fontId="28"/>
  </si>
  <si>
    <t>Toリスト（表示アドレスデータ1件以上）</t>
    <rPh sb="6" eb="8">
      <t>ヒョウジ</t>
    </rPh>
    <rPh sb="16" eb="17">
      <t>ケン</t>
    </rPh>
    <rPh sb="17" eb="19">
      <t>イジョウ</t>
    </rPh>
    <phoneticPr fontId="28"/>
  </si>
  <si>
    <t>活性化すること</t>
    <rPh sb="0" eb="3">
      <t>カッセイカ</t>
    </rPh>
    <phoneticPr fontId="28"/>
  </si>
  <si>
    <t>［メッセージ］タブ内の入力チェック</t>
    <rPh sb="9" eb="10">
      <t>ナイ</t>
    </rPh>
    <rPh sb="11" eb="13">
      <t>ニュウリョク</t>
    </rPh>
    <phoneticPr fontId="28"/>
  </si>
  <si>
    <t>画面サイズを変更して表示した際、JSエラーなく表示されること</t>
    <rPh sb="0" eb="2">
      <t>ガメン</t>
    </rPh>
    <rPh sb="6" eb="8">
      <t>ヘンコウ</t>
    </rPh>
    <rPh sb="10" eb="12">
      <t>ヒョウジ</t>
    </rPh>
    <rPh sb="14" eb="15">
      <t>サイ</t>
    </rPh>
    <phoneticPr fontId="47"/>
  </si>
  <si>
    <t>確認画面へと遷移すること</t>
    <rPh sb="0" eb="2">
      <t>カクニン</t>
    </rPh>
    <rPh sb="2" eb="4">
      <t>ガメン</t>
    </rPh>
    <rPh sb="6" eb="8">
      <t>センイ</t>
    </rPh>
    <phoneticPr fontId="28"/>
  </si>
  <si>
    <t>［メールアドレス］リスト内の全てのチェックボックスがOFFとなっていること</t>
    <rPh sb="12" eb="13">
      <t>ナイ</t>
    </rPh>
    <rPh sb="14" eb="15">
      <t>スベ</t>
    </rPh>
    <phoneticPr fontId="28"/>
  </si>
  <si>
    <t>［To］リストから［メールアドレス］リストへの移動ボタン［＜］が活性化すること</t>
    <rPh sb="23" eb="25">
      <t>イドウ</t>
    </rPh>
    <rPh sb="32" eb="35">
      <t>カッセイカ</t>
    </rPh>
    <phoneticPr fontId="28"/>
  </si>
  <si>
    <t>［To］リストから［メールアドレス］リストへの移動ボタン［＜］が非活性となること</t>
    <rPh sb="23" eb="25">
      <t>イドウ</t>
    </rPh>
    <rPh sb="32" eb="33">
      <t>ヒ</t>
    </rPh>
    <rPh sb="33" eb="35">
      <t>カッセイ</t>
    </rPh>
    <phoneticPr fontId="28"/>
  </si>
  <si>
    <t>［Cc］から［メールアドレス］リストへの移動ボタン［＜］が活性化すること</t>
    <rPh sb="20" eb="22">
      <t>イドウ</t>
    </rPh>
    <rPh sb="29" eb="32">
      <t>カッセイカ</t>
    </rPh>
    <phoneticPr fontId="28"/>
  </si>
  <si>
    <t>［Cc］から［メールアドレス］リストへの移動ボタン［＜］が非活性となること</t>
    <rPh sb="20" eb="22">
      <t>イドウ</t>
    </rPh>
    <rPh sb="29" eb="30">
      <t>ヒ</t>
    </rPh>
    <rPh sb="30" eb="32">
      <t>カッセイ</t>
    </rPh>
    <phoneticPr fontId="28"/>
  </si>
  <si>
    <t>［確定］</t>
    <rPh sb="1" eb="3">
      <t>カクテイ</t>
    </rPh>
    <phoneticPr fontId="28"/>
  </si>
  <si>
    <t>ヘッダタブメニュー</t>
    <phoneticPr fontId="28"/>
  </si>
  <si>
    <t>画面表示</t>
    <rPh sb="0" eb="2">
      <t>ガメン</t>
    </rPh>
    <rPh sb="2" eb="4">
      <t>ヒョウジ</t>
    </rPh>
    <phoneticPr fontId="28"/>
  </si>
  <si>
    <t>－</t>
    <phoneticPr fontId="47"/>
  </si>
  <si>
    <t>［車両］タブへ画面遷移</t>
    <rPh sb="1" eb="3">
      <t>シャリョウ</t>
    </rPh>
    <rPh sb="7" eb="9">
      <t>ガメン</t>
    </rPh>
    <rPh sb="9" eb="11">
      <t>センイ</t>
    </rPh>
    <phoneticPr fontId="28"/>
  </si>
  <si>
    <t>－</t>
    <phoneticPr fontId="47"/>
  </si>
  <si>
    <t>左メニュー</t>
    <rPh sb="0" eb="1">
      <t>ヒダリ</t>
    </rPh>
    <phoneticPr fontId="28"/>
  </si>
  <si>
    <t>－</t>
    <phoneticPr fontId="47"/>
  </si>
  <si>
    <t>確認ダイアログが表示された後、該当画面に遷移すること</t>
    <rPh sb="0" eb="2">
      <t>カクニン</t>
    </rPh>
    <rPh sb="8" eb="10">
      <t>ヒョウジ</t>
    </rPh>
    <rPh sb="13" eb="14">
      <t>ノチ</t>
    </rPh>
    <rPh sb="15" eb="17">
      <t>ガイトウ</t>
    </rPh>
    <rPh sb="17" eb="19">
      <t>ガメン</t>
    </rPh>
    <rPh sb="20" eb="22">
      <t>センイ</t>
    </rPh>
    <phoneticPr fontId="28"/>
  </si>
  <si>
    <t>想定外操作</t>
    <rPh sb="0" eb="2">
      <t>ソウテイ</t>
    </rPh>
    <rPh sb="2" eb="3">
      <t>ガイ</t>
    </rPh>
    <rPh sb="3" eb="5">
      <t>ソウサ</t>
    </rPh>
    <phoneticPr fontId="28"/>
  </si>
  <si>
    <t>戻るボタン操作</t>
    <rPh sb="0" eb="1">
      <t>モド</t>
    </rPh>
    <rPh sb="5" eb="7">
      <t>ソウサ</t>
    </rPh>
    <phoneticPr fontId="28"/>
  </si>
  <si>
    <t>ホーム画面に戻ること</t>
    <rPh sb="3" eb="5">
      <t>ガメン</t>
    </rPh>
    <rPh sb="6" eb="7">
      <t>モド</t>
    </rPh>
    <phoneticPr fontId="28"/>
  </si>
  <si>
    <t>再読み込み（Ｆ5）操作</t>
    <rPh sb="0" eb="2">
      <t>サイヨ</t>
    </rPh>
    <rPh sb="3" eb="4">
      <t>コ</t>
    </rPh>
    <rPh sb="9" eb="11">
      <t>ソウサ</t>
    </rPh>
    <phoneticPr fontId="28"/>
  </si>
  <si>
    <t>多言語確認</t>
  </si>
  <si>
    <t>環境設定の言語をロシア語に変更</t>
    <rPh sb="0" eb="2">
      <t>カンキョウ</t>
    </rPh>
    <rPh sb="2" eb="4">
      <t>セッテイ</t>
    </rPh>
    <rPh sb="5" eb="7">
      <t>ゲンゴ</t>
    </rPh>
    <rPh sb="11" eb="12">
      <t>ゴ</t>
    </rPh>
    <rPh sb="13" eb="15">
      <t>ヘンコウ</t>
    </rPh>
    <phoneticPr fontId="28"/>
  </si>
  <si>
    <t>表示項目がロシア語になること ※表示項目全てを確認すること</t>
    <rPh sb="0" eb="2">
      <t>ヒョウジ</t>
    </rPh>
    <rPh sb="2" eb="4">
      <t>コウモク</t>
    </rPh>
    <rPh sb="8" eb="9">
      <t>ゴ</t>
    </rPh>
    <rPh sb="16" eb="18">
      <t>ヒョウジ</t>
    </rPh>
    <rPh sb="18" eb="20">
      <t>コウモク</t>
    </rPh>
    <rPh sb="20" eb="21">
      <t>スベ</t>
    </rPh>
    <rPh sb="23" eb="25">
      <t>カクニン</t>
    </rPh>
    <phoneticPr fontId="28"/>
  </si>
  <si>
    <t>レイアウトが崩れないこと</t>
    <rPh sb="6" eb="7">
      <t>クズ</t>
    </rPh>
    <phoneticPr fontId="28"/>
  </si>
  <si>
    <t>リクエストパラメータチェックシート</t>
    <phoneticPr fontId="28"/>
  </si>
  <si>
    <t>Header</t>
    <phoneticPr fontId="28"/>
  </si>
  <si>
    <t>query</t>
    <phoneticPr fontId="28"/>
  </si>
  <si>
    <t>receive_method</t>
    <phoneticPr fontId="28"/>
  </si>
  <si>
    <t>受信方法</t>
    <phoneticPr fontId="28"/>
  </si>
  <si>
    <t>registration_status</t>
    <phoneticPr fontId="28"/>
  </si>
  <si>
    <t>登録状態</t>
    <phoneticPr fontId="28"/>
  </si>
  <si>
    <t>lang_code</t>
    <phoneticPr fontId="28"/>
  </si>
  <si>
    <t>言語コード</t>
    <phoneticPr fontId="28"/>
  </si>
  <si>
    <t>email_format</t>
    <phoneticPr fontId="28"/>
  </si>
  <si>
    <t>Eメール形式</t>
    <phoneticPr fontId="28"/>
  </si>
  <si>
    <t>受信者検索キーワード</t>
    <phoneticPr fontId="28"/>
  </si>
  <si>
    <t>連絡先検索キーワード</t>
    <phoneticPr fontId="28"/>
  </si>
  <si>
    <t>receiver_search_keyword</t>
    <phoneticPr fontId="28"/>
  </si>
  <si>
    <t>contact_search_keyword</t>
    <phoneticPr fontId="28"/>
  </si>
  <si>
    <t>0:Email, 1:SMS</t>
    <phoneticPr fontId="28"/>
  </si>
  <si>
    <t>0:仮登録,1:本登録</t>
    <phoneticPr fontId="28"/>
  </si>
  <si>
    <t>{言語}-{地域}(IETF言語タグ)</t>
    <phoneticPr fontId="28"/>
  </si>
  <si>
    <t>0:PC, 1:携帯</t>
    <phoneticPr fontId="28"/>
  </si>
  <si>
    <t>受信者名、受信者名(英語)から部分一致にて検索する。
receive_methodが0のときは受信者ニックネームも検索対象とする。
ワイルドカード使用可能</t>
    <phoneticPr fontId="28"/>
  </si>
  <si>
    <t>部分一致にて検索する。
receive_methodが0の時はメールアドレスが検索対象
receive_methodが1の時は電話番号が検索対象</t>
    <phoneticPr fontId="28"/>
  </si>
  <si>
    <t>受信者情報一覧取得API (GET：/emn/receivers)</t>
    <phoneticPr fontId="28"/>
  </si>
  <si>
    <t>別シート"リクエストパラメータチェックシート:受信者情報一覧取得API"参照</t>
    <rPh sb="36" eb="38">
      <t>サンショウ</t>
    </rPh>
    <phoneticPr fontId="28"/>
  </si>
  <si>
    <t>画面表示（SAO:SMS権限あり）</t>
    <rPh sb="0" eb="2">
      <t>ガメン</t>
    </rPh>
    <rPh sb="2" eb="4">
      <t>ヒョウジ</t>
    </rPh>
    <rPh sb="12" eb="14">
      <t>ケンゲン</t>
    </rPh>
    <phoneticPr fontId="47"/>
  </si>
  <si>
    <t>［タブ］ヘッダメニュー（左から：メッセージ、車両、メール受信者、SMS受信者）、
［言語］、［メッセージ形式］セレクトボックス、
［メールアドレス検索］入力フォーム、［検索ボタン］、
［メールアドレス］、［To］、［Cc］リストテーブル、移動ボタン［＞］、［＜］、［確定］ボタンが表示された［メール受信者］タブ画面に遷移すること</t>
    <rPh sb="12" eb="13">
      <t>ヒダリ</t>
    </rPh>
    <rPh sb="22" eb="24">
      <t>シャリョウ</t>
    </rPh>
    <rPh sb="28" eb="31">
      <t>ジュシンシャ</t>
    </rPh>
    <rPh sb="35" eb="38">
      <t>ジュシンシャ</t>
    </rPh>
    <rPh sb="42" eb="44">
      <t>ゲンゴ</t>
    </rPh>
    <rPh sb="52" eb="54">
      <t>ケイシキ</t>
    </rPh>
    <rPh sb="73" eb="75">
      <t>ケンサク</t>
    </rPh>
    <rPh sb="76" eb="78">
      <t>ニュウリョク</t>
    </rPh>
    <rPh sb="84" eb="86">
      <t>ケンサク</t>
    </rPh>
    <rPh sb="119" eb="121">
      <t>イドウ</t>
    </rPh>
    <rPh sb="133" eb="135">
      <t>カクテイ</t>
    </rPh>
    <rPh sb="140" eb="142">
      <t>ヒョウジ</t>
    </rPh>
    <rPh sb="149" eb="152">
      <t>ジュシンシャ</t>
    </rPh>
    <rPh sb="155" eb="157">
      <t>ガメン</t>
    </rPh>
    <rPh sb="158" eb="160">
      <t>センイ</t>
    </rPh>
    <phoneticPr fontId="28"/>
  </si>
  <si>
    <t>画面表示（上記以外）</t>
    <rPh sb="0" eb="2">
      <t>ガメン</t>
    </rPh>
    <rPh sb="2" eb="4">
      <t>ヒョウジ</t>
    </rPh>
    <rPh sb="5" eb="7">
      <t>ジョウキ</t>
    </rPh>
    <rPh sb="7" eb="9">
      <t>イガイ</t>
    </rPh>
    <phoneticPr fontId="47"/>
  </si>
  <si>
    <t>［タブ］ヘッダメニュー（左から：メッセージ、車両、メール受信者）、
［言語］、［メッセージ形式］セレクトボックス、
［メールアドレス検索］入力フォーム、［検索ボタン］、
［メールアドレス］、［To］、［Cc］リストテーブル、移動ボタン［＞］、［＜］、［確定］ボタンが表示された［メール受信者］タブ画面に遷移すること</t>
    <rPh sb="12" eb="13">
      <t>ヒダリ</t>
    </rPh>
    <rPh sb="22" eb="24">
      <t>シャリョウ</t>
    </rPh>
    <rPh sb="28" eb="31">
      <t>ジュシンシャ</t>
    </rPh>
    <rPh sb="35" eb="37">
      <t>ゲンゴ</t>
    </rPh>
    <rPh sb="45" eb="47">
      <t>ケイシキ</t>
    </rPh>
    <rPh sb="66" eb="68">
      <t>ケンサク</t>
    </rPh>
    <rPh sb="69" eb="71">
      <t>ニュウリョク</t>
    </rPh>
    <rPh sb="77" eb="79">
      <t>ケンサク</t>
    </rPh>
    <rPh sb="112" eb="114">
      <t>イドウ</t>
    </rPh>
    <rPh sb="126" eb="128">
      <t>カクテイ</t>
    </rPh>
    <rPh sb="133" eb="135">
      <t>ヒョウジ</t>
    </rPh>
    <rPh sb="142" eb="145">
      <t>ジュシンシャ</t>
    </rPh>
    <rPh sb="148" eb="150">
      <t>ガメン</t>
    </rPh>
    <rPh sb="151" eb="153">
      <t>センイ</t>
    </rPh>
    <phoneticPr fontId="28"/>
  </si>
  <si>
    <t>画面表示（ユーザ属性が広域顧客、顧客の場合）</t>
    <rPh sb="0" eb="2">
      <t>ガメン</t>
    </rPh>
    <rPh sb="2" eb="4">
      <t>ヒョウジ</t>
    </rPh>
    <rPh sb="8" eb="10">
      <t>ゾクセイ</t>
    </rPh>
    <rPh sb="11" eb="13">
      <t>コウイキ</t>
    </rPh>
    <rPh sb="13" eb="15">
      <t>コキャク</t>
    </rPh>
    <rPh sb="16" eb="18">
      <t>コキャク</t>
    </rPh>
    <rPh sb="19" eb="21">
      <t>バアイ</t>
    </rPh>
    <phoneticPr fontId="47"/>
  </si>
  <si>
    <t>［タブ］ヘッダメニュー（左から：メッセージ、車両、メール受信者）、
非活性の確定ボタン以外は非表示であること</t>
    <rPh sb="34" eb="35">
      <t>ヒ</t>
    </rPh>
    <rPh sb="35" eb="37">
      <t>カッセイ</t>
    </rPh>
    <rPh sb="38" eb="40">
      <t>カクテイ</t>
    </rPh>
    <rPh sb="43" eb="45">
      <t>イガイ</t>
    </rPh>
    <rPh sb="46" eb="49">
      <t>ヒヒョウジ</t>
    </rPh>
    <phoneticPr fontId="47"/>
  </si>
  <si>
    <t>－</t>
    <phoneticPr fontId="47"/>
  </si>
  <si>
    <t>レイアウト</t>
    <phoneticPr fontId="47"/>
  </si>
  <si>
    <t>環境設定の言語をペルシャ語に変更</t>
    <rPh sb="0" eb="2">
      <t>カンキョウ</t>
    </rPh>
    <rPh sb="2" eb="4">
      <t>セッテイ</t>
    </rPh>
    <rPh sb="5" eb="7">
      <t>ゲンゴ</t>
    </rPh>
    <rPh sb="12" eb="13">
      <t>ゴ</t>
    </rPh>
    <rPh sb="14" eb="16">
      <t>ヘンコウ</t>
    </rPh>
    <phoneticPr fontId="28"/>
  </si>
  <si>
    <t>表示項目がペルシャ語になること ※表示項目全てを確認すること</t>
    <rPh sb="0" eb="2">
      <t>ヒョウジ</t>
    </rPh>
    <rPh sb="2" eb="4">
      <t>コウモク</t>
    </rPh>
    <rPh sb="9" eb="10">
      <t>ゴ</t>
    </rPh>
    <rPh sb="17" eb="19">
      <t>ヒョウジ</t>
    </rPh>
    <rPh sb="19" eb="21">
      <t>コウモク</t>
    </rPh>
    <rPh sb="21" eb="22">
      <t>スベ</t>
    </rPh>
    <rPh sb="24" eb="26">
      <t>カクニン</t>
    </rPh>
    <phoneticPr fontId="28"/>
  </si>
  <si>
    <t>前提条件：画面描画は1秒以内で完了すること※APIの処理時間は除く</t>
    <rPh sb="0" eb="2">
      <t>ゼンテイ</t>
    </rPh>
    <rPh sb="2" eb="4">
      <t>ジョウケン</t>
    </rPh>
    <rPh sb="5" eb="7">
      <t>ガメン</t>
    </rPh>
    <rPh sb="7" eb="9">
      <t>ビョウガ</t>
    </rPh>
    <rPh sb="11" eb="12">
      <t>ビョウ</t>
    </rPh>
    <rPh sb="12" eb="14">
      <t>イナイ</t>
    </rPh>
    <rPh sb="15" eb="17">
      <t>カンリョウ</t>
    </rPh>
    <rPh sb="26" eb="28">
      <t>ショリ</t>
    </rPh>
    <rPh sb="28" eb="30">
      <t>ジカン</t>
    </rPh>
    <rPh sb="31" eb="32">
      <t>ノゾ</t>
    </rPh>
    <phoneticPr fontId="28"/>
  </si>
  <si>
    <t>ボタンステータス</t>
    <phoneticPr fontId="28"/>
  </si>
  <si>
    <t>１.メインメニュー［プロファイル］項目より［フリータイミング］をクリック
２.［メール受信者］タブをクリック</t>
    <rPh sb="17" eb="19">
      <t>コウモク</t>
    </rPh>
    <rPh sb="43" eb="46">
      <t>ジュシンシャ</t>
    </rPh>
    <phoneticPr fontId="28"/>
  </si>
  <si>
    <t>検索ボタンクリック</t>
    <rPh sb="0" eb="2">
      <t>ケンサク</t>
    </rPh>
    <phoneticPr fontId="28"/>
  </si>
  <si>
    <t>Toリストへの移動ボタン［＞］クリック</t>
    <rPh sb="7" eb="9">
      <t>イドウ</t>
    </rPh>
    <phoneticPr fontId="28"/>
  </si>
  <si>
    <t>Ccリストへの移動ボタン［＞］クリック</t>
    <rPh sb="7" eb="9">
      <t>イドウ</t>
    </rPh>
    <phoneticPr fontId="28"/>
  </si>
  <si>
    <t>［確定］ボタンクリック</t>
    <rPh sb="1" eb="3">
      <t>カクテイ</t>
    </rPh>
    <phoneticPr fontId="28"/>
  </si>
  <si>
    <t>［確定］クリック時の［メッセージ］タブ内［タイトル］、［メッセージ］入力フォームの入力済みであること</t>
    <rPh sb="1" eb="3">
      <t>カクテイ</t>
    </rPh>
    <rPh sb="8" eb="9">
      <t>ジ</t>
    </rPh>
    <rPh sb="19" eb="20">
      <t>ナイ</t>
    </rPh>
    <rPh sb="34" eb="36">
      <t>ニュウリョク</t>
    </rPh>
    <rPh sb="41" eb="43">
      <t>ニュウリョク</t>
    </rPh>
    <rPh sb="43" eb="44">
      <t>ズ</t>
    </rPh>
    <phoneticPr fontId="28"/>
  </si>
  <si>
    <t>別セクションの任意メニューボタンクリック</t>
    <rPh sb="0" eb="1">
      <t>ベツ</t>
    </rPh>
    <rPh sb="7" eb="9">
      <t>ニンイ</t>
    </rPh>
    <phoneticPr fontId="28"/>
  </si>
  <si>
    <t>戻るボタンクリック時</t>
    <rPh sb="0" eb="1">
      <t>モド</t>
    </rPh>
    <rPh sb="9" eb="10">
      <t>ジ</t>
    </rPh>
    <phoneticPr fontId="28"/>
  </si>
  <si>
    <t>F5ボタンクリック時</t>
    <rPh sb="9" eb="10">
      <t>ジ</t>
    </rPh>
    <phoneticPr fontId="47"/>
  </si>
  <si>
    <t>検索時に禁則文字「#%&amp;&lt;&gt;'"」を入力の場合、エラーとなること</t>
    <rPh sb="0" eb="2">
      <t>ケンサク</t>
    </rPh>
    <rPh sb="2" eb="3">
      <t>ジ</t>
    </rPh>
    <rPh sb="4" eb="6">
      <t>キンソク</t>
    </rPh>
    <rPh sb="6" eb="8">
      <t>モジ</t>
    </rPh>
    <rPh sb="18" eb="20">
      <t>ニュウリョク</t>
    </rPh>
    <rPh sb="21" eb="23">
      <t>バアイ</t>
    </rPh>
    <phoneticPr fontId="28"/>
  </si>
  <si>
    <t>車種</t>
    <rPh sb="0" eb="2">
      <t>シャシュ</t>
    </rPh>
    <phoneticPr fontId="28"/>
  </si>
  <si>
    <t>セキュリティテスト</t>
    <phoneticPr fontId="28"/>
  </si>
  <si>
    <t>-</t>
  </si>
  <si>
    <t>脆弱性診断</t>
    <rPh sb="0" eb="3">
      <t>ゼイジャクセイ</t>
    </rPh>
    <rPh sb="3" eb="5">
      <t>シンダン</t>
    </rPh>
    <phoneticPr fontId="28"/>
  </si>
  <si>
    <t>OWASP ZAPを実行し、セキュリティに問題がないことを確認する</t>
    <rPh sb="10" eb="12">
      <t>ジッコウ</t>
    </rPh>
    <rPh sb="21" eb="23">
      <t>モンダイ</t>
    </rPh>
    <rPh sb="29" eb="31">
      <t>カクニン</t>
    </rPh>
    <phoneticPr fontId="28"/>
  </si>
  <si>
    <t>未実施</t>
    <rPh sb="0" eb="3">
      <t>ミジッシ</t>
    </rPh>
    <phoneticPr fontId="28"/>
  </si>
  <si>
    <t>エビデンス</t>
    <phoneticPr fontId="28"/>
  </si>
  <si>
    <t>表示名称はラベル情報取得ＡＰＩIからのレスポンス値を使用していること</t>
    <rPh sb="0" eb="2">
      <t>ヒョウジ</t>
    </rPh>
    <rPh sb="2" eb="4">
      <t>メイショウ</t>
    </rPh>
    <rPh sb="8" eb="10">
      <t>ジョウホウ</t>
    </rPh>
    <rPh sb="10" eb="12">
      <t>シュトク</t>
    </rPh>
    <rPh sb="24" eb="25">
      <t>アタイ</t>
    </rPh>
    <rPh sb="26" eb="28">
      <t>シヨウ</t>
    </rPh>
    <phoneticPr fontId="28"/>
  </si>
  <si>
    <t>Authorization</t>
    <phoneticPr fontId="28"/>
  </si>
  <si>
    <t>Bearerトークン</t>
    <phoneticPr fontId="28"/>
  </si>
  <si>
    <t>Content-Type</t>
    <phoneticPr fontId="28"/>
  </si>
  <si>
    <t>データ形式</t>
    <phoneticPr fontId="28"/>
  </si>
  <si>
    <t>Accept</t>
    <phoneticPr fontId="28"/>
  </si>
  <si>
    <t>メディアタイプ</t>
    <phoneticPr fontId="28"/>
  </si>
  <si>
    <t>X-Lang</t>
    <phoneticPr fontId="28"/>
  </si>
  <si>
    <t>言語タグ</t>
    <phoneticPr fontId="28"/>
  </si>
  <si>
    <t>X-AppCode</t>
    <phoneticPr fontId="28"/>
  </si>
  <si>
    <t>アプリコード</t>
    <phoneticPr fontId="28"/>
  </si>
  <si>
    <t>X-GroupId</t>
  </si>
  <si>
    <t>グループID</t>
    <phoneticPr fontId="28"/>
  </si>
  <si>
    <t>X-DateFormat</t>
    <phoneticPr fontId="28"/>
  </si>
  <si>
    <t>日付形式</t>
    <phoneticPr fontId="28"/>
  </si>
  <si>
    <t>X-DistanceUnit</t>
    <phoneticPr fontId="28"/>
  </si>
  <si>
    <t>距離単位</t>
    <phoneticPr fontId="28"/>
  </si>
  <si>
    <t>X-TemperatureUnit</t>
    <phoneticPr fontId="28"/>
  </si>
  <si>
    <t>温度単位</t>
    <phoneticPr fontId="28"/>
  </si>
  <si>
    <t>X-CarDivision</t>
  </si>
  <si>
    <t>X-Lang</t>
    <phoneticPr fontId="28"/>
  </si>
  <si>
    <t>言語タグ</t>
    <phoneticPr fontId="28"/>
  </si>
  <si>
    <t>X-AppCode</t>
    <phoneticPr fontId="28"/>
  </si>
  <si>
    <t>アプリケーションコード</t>
    <phoneticPr fontId="28"/>
  </si>
  <si>
    <t>X-GroupId</t>
    <phoneticPr fontId="28"/>
  </si>
  <si>
    <t>グループID</t>
    <phoneticPr fontId="28"/>
  </si>
  <si>
    <t>X-DateFormat</t>
    <phoneticPr fontId="28"/>
  </si>
  <si>
    <t>日付形式</t>
    <phoneticPr fontId="28"/>
  </si>
  <si>
    <t>X-CarDivision</t>
    <phoneticPr fontId="28"/>
  </si>
  <si>
    <t>車種</t>
    <phoneticPr fontId="28"/>
  </si>
  <si>
    <t>X-From</t>
    <phoneticPr fontId="28"/>
  </si>
  <si>
    <t>取得開始位置</t>
    <phoneticPr fontId="28"/>
  </si>
  <si>
    <t>X-Count</t>
    <phoneticPr fontId="28"/>
  </si>
  <si>
    <t>取得件数</t>
    <phoneticPr fontId="28"/>
  </si>
  <si>
    <t>X-Sort</t>
    <phoneticPr fontId="28"/>
  </si>
  <si>
    <t>ソート</t>
    <phoneticPr fontId="28"/>
  </si>
  <si>
    <t>①</t>
    <phoneticPr fontId="28"/>
  </si>
  <si>
    <t>［メッセージ］タブクリック</t>
    <phoneticPr fontId="28"/>
  </si>
  <si>
    <t>［車両］タブクリック</t>
    <rPh sb="1" eb="3">
      <t>シャリョウ</t>
    </rPh>
    <phoneticPr fontId="28"/>
  </si>
  <si>
    <t>［SMS受信者］タブクリック</t>
    <rPh sb="4" eb="7">
      <t>ジュシンシャ</t>
    </rPh>
    <phoneticPr fontId="28"/>
  </si>
  <si>
    <t>［メッセージ］タブへ画面遷移</t>
    <rPh sb="10" eb="12">
      <t>ガメン</t>
    </rPh>
    <rPh sb="12" eb="14">
      <t>センイ</t>
    </rPh>
    <phoneticPr fontId="28"/>
  </si>
  <si>
    <t>［SMS受信者］タブへ画面遷移</t>
    <rPh sb="11" eb="13">
      <t>ガメン</t>
    </rPh>
    <rPh sb="13" eb="15">
      <t>センイ</t>
    </rPh>
    <phoneticPr fontId="28"/>
  </si>
  <si>
    <t>環境設定の言語を英語に変更</t>
    <rPh sb="0" eb="2">
      <t>カンキョウ</t>
    </rPh>
    <rPh sb="2" eb="4">
      <t>セッテイ</t>
    </rPh>
    <rPh sb="5" eb="7">
      <t>ゲンゴ</t>
    </rPh>
    <rPh sb="8" eb="10">
      <t>エイゴ</t>
    </rPh>
    <rPh sb="11" eb="13">
      <t>ヘンコウ</t>
    </rPh>
    <phoneticPr fontId="28"/>
  </si>
  <si>
    <t>表示項目が英語になること ※表示項目全てを確認すること</t>
    <rPh sb="0" eb="2">
      <t>ヒョウジ</t>
    </rPh>
    <rPh sb="2" eb="4">
      <t>コウモク</t>
    </rPh>
    <rPh sb="5" eb="7">
      <t>エイゴ</t>
    </rPh>
    <rPh sb="14" eb="16">
      <t>ヒョウジ</t>
    </rPh>
    <rPh sb="16" eb="18">
      <t>コウモク</t>
    </rPh>
    <rPh sb="18" eb="19">
      <t>スベ</t>
    </rPh>
    <rPh sb="21" eb="23">
      <t>カクニン</t>
    </rPh>
    <phoneticPr fontId="28"/>
  </si>
  <si>
    <t>最大入力文字数が「２２５桁」であること</t>
    <rPh sb="0" eb="2">
      <t>サイダイ</t>
    </rPh>
    <rPh sb="2" eb="4">
      <t>ニュウリョク</t>
    </rPh>
    <rPh sb="4" eb="7">
      <t>モジスウ</t>
    </rPh>
    <rPh sb="12" eb="13">
      <t>ケタ</t>
    </rPh>
    <phoneticPr fontId="28"/>
  </si>
  <si>
    <t>ホーム画面(前ページ）に戻ること</t>
    <rPh sb="3" eb="5">
      <t>ガメン</t>
    </rPh>
    <rPh sb="6" eb="7">
      <t>マエ</t>
    </rPh>
    <rPh sb="12" eb="13">
      <t>モド</t>
    </rPh>
    <phoneticPr fontId="28"/>
  </si>
  <si>
    <t>（EXE）澁谷</t>
    <rPh sb="5" eb="7">
      <t>シブタニ</t>
    </rPh>
    <phoneticPr fontId="147"/>
  </si>
  <si>
    <t>澁谷</t>
    <rPh sb="0" eb="2">
      <t>シブタニ</t>
    </rPh>
    <phoneticPr fontId="28"/>
  </si>
  <si>
    <t>唐鎌</t>
    <rPh sb="0" eb="2">
      <t>カラカマ</t>
    </rPh>
    <phoneticPr fontId="28"/>
  </si>
  <si>
    <t>増田</t>
    <rPh sb="0" eb="2">
      <t>マスダ</t>
    </rPh>
    <phoneticPr fontId="2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</si>
</sst>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8">
    <numFmt numFmtId="41" formatCode="_ * #,##0_ ;_ * \-#,##0_ ;_ * &quot;-&quot;_ ;_ @_ "/>
    <numFmt numFmtId="43" formatCode="_ * #,##0.00_ ;_ * \-#,##0.00_ ;_ * &quot;-&quot;??_ ;_ @_ "/>
    <numFmt numFmtId="176" formatCode="0_ "/>
    <numFmt numFmtId="177" formatCode="[&lt;=999]000;000\-00"/>
    <numFmt numFmtId="178" formatCode="&quot;$&quot;#,##0.00_);\(&quot;$&quot;#,##0.00\)"/>
    <numFmt numFmtId="179" formatCode="&quot;$&quot;#,##0.00;[Red]\-&quot;$&quot;#,##0.00"/>
    <numFmt numFmtId="180" formatCode="_-&quot;$&quot;* #,##0_-;\-&quot;$&quot;* #,##0_-;_-&quot;$&quot;* &quot;-&quot;_-;_-@_-"/>
    <numFmt numFmtId="181" formatCode="0.0%;\(0.0%\)"/>
    <numFmt numFmtId="182" formatCode="_-* #,##0.0_-;\-* #,##0.0_-;_-* &quot;-&quot;??_-;_-@_-"/>
    <numFmt numFmtId="183" formatCode="_-* #,##0_-;\-* #,##0_-;_-* &quot;-&quot;??_-;_-@_-"/>
    <numFmt numFmtId="184" formatCode="#,##0.0;[Red]\(#,##0.0\)"/>
    <numFmt numFmtId="185" formatCode="0.0%;[Red]\(0.0%\)"/>
    <numFmt numFmtId="186" formatCode="#,##0.0_);\(#,##0.0\)"/>
    <numFmt numFmtId="187" formatCode="hh:mm\ \T\K"/>
    <numFmt numFmtId="188" formatCode="#,##0;\-#,##0;&quot;-&quot;"/>
    <numFmt numFmtId="189" formatCode="&quot;$&quot;#,##0"/>
    <numFmt numFmtId="190" formatCode="0000000000000"/>
    <numFmt numFmtId="191" formatCode="&quot;¥&quot;#,##0;&quot;¥&quot;&quot;¥&quot;\-#,##0"/>
    <numFmt numFmtId="192" formatCode="_(* #,##0.0000_);_(* \(#,##0.0000\);_(* &quot;-&quot;??_);_(@_)"/>
    <numFmt numFmtId="193" formatCode="_ * #,##0.00_)&quot;￡&quot;_ ;_ * \(#,##0.00\)&quot;￡&quot;_ ;_ * &quot;-&quot;??_)&quot;￡&quot;_ ;_ @_ "/>
    <numFmt numFmtId="194" formatCode="0_);[Red]\(0\)"/>
    <numFmt numFmtId="195" formatCode="&quot;$&quot;#,##0\ ;\(&quot;$&quot;#,##0\)"/>
    <numFmt numFmtId="196" formatCode="&quot;¥&quot;#,##0.00;\-&quot;¥&quot;#,##0.00"/>
    <numFmt numFmtId="197" formatCode="&quot;¥&quot;#,##0.00;[Red]\-&quot;¥&quot;#,##0.00"/>
    <numFmt numFmtId="198" formatCode="&quot;¥&quot;#,##0;[Red]\-&quot;¥&quot;#,##0"/>
    <numFmt numFmtId="199" formatCode="_(&quot;$&quot;* #,##0.00_);_(&quot;$&quot;* \(#,##0.00\);_(&quot;$&quot;* &quot;-&quot;??_);_(@_)"/>
    <numFmt numFmtId="200" formatCode="&quot;¥&quot;#,##0;[Red]&quot;¥&quot;#,##0"/>
    <numFmt numFmtId="201" formatCode="yyyy&quot;年&quot;m&quot;月&quot;d&quot;日&quot;;@"/>
  </numFmts>
  <fonts count="149">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name val="ＭＳ Ｐゴシック"/>
      <family val="3"/>
      <charset val="128"/>
    </font>
    <font>
      <sz val="10"/>
      <name val="Arial"/>
      <family val="2"/>
    </font>
    <font>
      <sz val="10"/>
      <color indexed="8"/>
      <name val="Arial"/>
      <family val="2"/>
    </font>
    <font>
      <sz val="10"/>
      <name val="Helv"/>
      <family val="2"/>
    </font>
    <font>
      <sz val="11"/>
      <name val="ＭＳ Ｐゴシック"/>
      <family val="3"/>
      <charset val="128"/>
    </font>
    <font>
      <sz val="11"/>
      <name val="明朝"/>
      <family val="1"/>
      <charset val="128"/>
    </font>
    <font>
      <u/>
      <sz val="10"/>
      <color indexed="14"/>
      <name val="MS Sans Serif"/>
      <family val="2"/>
    </font>
    <font>
      <sz val="8"/>
      <name val="Arial"/>
      <family val="2"/>
    </font>
    <font>
      <b/>
      <sz val="12"/>
      <name val="Arial"/>
      <family val="2"/>
    </font>
    <font>
      <u/>
      <sz val="8"/>
      <color indexed="12"/>
      <name val="Times New Roman"/>
      <family val="1"/>
    </font>
    <font>
      <sz val="7"/>
      <name val="Small Fonts"/>
      <family val="3"/>
      <charset val="128"/>
    </font>
    <font>
      <sz val="14"/>
      <name val="Terminal"/>
      <family val="3"/>
      <charset val="255"/>
    </font>
    <font>
      <u/>
      <sz val="11"/>
      <name val="ＭＳ Ｐゴシック"/>
      <family val="3"/>
      <charset val="128"/>
    </font>
    <font>
      <i/>
      <sz val="11"/>
      <name val="ＭＳ Ｐゴシック"/>
      <family val="3"/>
      <charset val="128"/>
    </font>
    <font>
      <b/>
      <sz val="11"/>
      <name val="ＭＳ Ｐゴシック"/>
      <family val="3"/>
      <charset val="128"/>
    </font>
    <font>
      <strike/>
      <sz val="11"/>
      <name val="ＭＳ Ｐゴシック"/>
      <family val="3"/>
      <charset val="128"/>
    </font>
    <font>
      <sz val="11"/>
      <name val="ＭＳ 明朝"/>
      <family val="1"/>
      <charset val="128"/>
    </font>
    <font>
      <sz val="12"/>
      <name val="ＭＳ ゴシック"/>
      <family val="3"/>
      <charset val="128"/>
    </font>
    <font>
      <sz val="14"/>
      <name val="ＭＳ 明朝"/>
      <family val="1"/>
      <charset val="128"/>
    </font>
    <font>
      <sz val="6"/>
      <name val="ＭＳ Ｐゴシック"/>
      <family val="3"/>
      <charset val="128"/>
    </font>
    <font>
      <sz val="11"/>
      <color indexed="10"/>
      <name val="ＭＳ Ｐゴシック"/>
      <family val="3"/>
      <charset val="128"/>
    </font>
    <font>
      <sz val="11"/>
      <color indexed="8"/>
      <name val="ＭＳ Ｐゴシック"/>
      <family val="3"/>
      <charset val="128"/>
    </font>
    <font>
      <sz val="11"/>
      <color indexed="9"/>
      <name val="ＭＳ Ｐゴシック"/>
      <family val="3"/>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8"/>
      <name val="ＭＳ ゴシック"/>
      <family val="3"/>
      <charset val="128"/>
    </font>
    <font>
      <sz val="11"/>
      <color indexed="17"/>
      <name val="ＭＳ Ｐゴシック"/>
      <family val="3"/>
      <charset val="128"/>
    </font>
    <font>
      <sz val="6"/>
      <name val="メイリオ"/>
      <family val="3"/>
      <charset val="128"/>
    </font>
    <font>
      <sz val="11"/>
      <color theme="1"/>
      <name val="ＭＳ Ｐゴシック"/>
      <family val="3"/>
      <charset val="128"/>
      <scheme val="minor"/>
    </font>
    <font>
      <sz val="11"/>
      <color theme="0"/>
      <name val="ＭＳ Ｐゴシック"/>
      <family val="3"/>
      <charset val="128"/>
      <scheme val="minor"/>
    </font>
    <font>
      <b/>
      <sz val="18"/>
      <color theme="3"/>
      <name val="ＭＳ Ｐゴシック"/>
      <family val="3"/>
      <charset val="128"/>
      <scheme val="major"/>
    </font>
    <font>
      <b/>
      <sz val="11"/>
      <color theme="0"/>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rgb="FFFF000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theme="1"/>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9"/>
      <color theme="1"/>
      <name val="メイリオ"/>
      <family val="3"/>
      <charset val="128"/>
    </font>
    <font>
      <sz val="10"/>
      <color indexed="24"/>
      <name val="Courier New"/>
      <family val="3"/>
    </font>
    <font>
      <sz val="10"/>
      <name val="MS Serif"/>
      <family val="1"/>
    </font>
    <font>
      <sz val="10"/>
      <color indexed="16"/>
      <name val="MS Serif"/>
      <family val="1"/>
    </font>
    <font>
      <sz val="9"/>
      <name val="Times New Roman"/>
      <family val="1"/>
    </font>
    <font>
      <b/>
      <sz val="16"/>
      <name val="Times New Roman"/>
      <family val="1"/>
    </font>
    <font>
      <b/>
      <sz val="12"/>
      <color indexed="24"/>
      <name val="Times New Roman"/>
      <family val="1"/>
    </font>
    <font>
      <sz val="10"/>
      <color indexed="24"/>
      <name val="Times New Roman"/>
      <family val="1"/>
    </font>
    <font>
      <sz val="10"/>
      <name val="MS Sans Serif"/>
      <family val="2"/>
    </font>
    <font>
      <b/>
      <sz val="10"/>
      <name val="MS Sans Serif"/>
      <family val="2"/>
    </font>
    <font>
      <sz val="8"/>
      <color indexed="16"/>
      <name val="Century Schoolbook"/>
      <family val="1"/>
    </font>
    <font>
      <sz val="8"/>
      <name val="Helv"/>
      <family val="2"/>
    </font>
    <font>
      <b/>
      <i/>
      <sz val="10"/>
      <name val="Times New Roman"/>
      <family val="1"/>
    </font>
    <font>
      <b/>
      <sz val="11"/>
      <name val="Helv"/>
      <family val="2"/>
    </font>
    <font>
      <b/>
      <sz val="8"/>
      <color indexed="8"/>
      <name val="Helv"/>
      <family val="2"/>
    </font>
    <font>
      <b/>
      <sz val="9"/>
      <name val="Times New Roman"/>
      <family val="1"/>
    </font>
    <font>
      <sz val="12"/>
      <name val="細明朝体"/>
      <family val="3"/>
      <charset val="128"/>
    </font>
    <font>
      <u/>
      <sz val="8"/>
      <color indexed="12"/>
      <name val="ＭＳ ゴシック"/>
      <family val="3"/>
      <charset val="128"/>
    </font>
    <font>
      <sz val="11"/>
      <name val="ＭＳ ゴシック"/>
      <family val="3"/>
      <charset val="128"/>
    </font>
    <font>
      <sz val="10"/>
      <name val="ＭＳ 明朝"/>
      <family val="1"/>
      <charset val="128"/>
    </font>
    <font>
      <sz val="12"/>
      <name val="宋体"/>
      <family val="3"/>
      <charset val="128"/>
    </font>
    <font>
      <sz val="11"/>
      <name val="ＭＳ ・団"/>
      <family val="1"/>
      <charset val="128"/>
    </font>
    <font>
      <sz val="11"/>
      <name val="Arial Unicode MS"/>
      <family val="3"/>
      <charset val="128"/>
    </font>
    <font>
      <sz val="12"/>
      <name val="ＭＳ 明朝"/>
      <family val="1"/>
      <charset val="128"/>
    </font>
    <font>
      <b/>
      <sz val="14"/>
      <name val="ＭＳ ゴシック"/>
      <family val="3"/>
      <charset val="128"/>
    </font>
    <font>
      <u/>
      <sz val="8.25"/>
      <color indexed="36"/>
      <name val="ＭＳ Ｐゴシック"/>
      <family val="3"/>
      <charset val="128"/>
    </font>
    <font>
      <sz val="11"/>
      <name val="ＭＳ Ｐゴシック"/>
      <family val="3"/>
      <charset val="128"/>
      <scheme val="minor"/>
    </font>
    <font>
      <b/>
      <sz val="11"/>
      <name val="ＭＳ Ｐゴシック"/>
      <family val="3"/>
      <charset val="128"/>
      <scheme val="minor"/>
    </font>
    <font>
      <sz val="11"/>
      <color indexed="8"/>
      <name val="ＭＳ Ｐゴシック"/>
      <family val="2"/>
      <scheme val="minor"/>
    </font>
    <font>
      <u/>
      <sz val="11"/>
      <color theme="10"/>
      <name val="ＭＳ Ｐゴシック"/>
      <family val="2"/>
      <charset val="128"/>
      <scheme val="minor"/>
    </font>
    <font>
      <sz val="9"/>
      <color indexed="8"/>
      <name val="メイリオ"/>
      <family val="3"/>
      <charset val="128"/>
    </font>
    <font>
      <sz val="9"/>
      <color indexed="9"/>
      <name val="メイリオ"/>
      <family val="3"/>
      <charset val="128"/>
    </font>
    <font>
      <b/>
      <sz val="9"/>
      <color indexed="9"/>
      <name val="メイリオ"/>
      <family val="3"/>
      <charset val="128"/>
    </font>
    <font>
      <sz val="9"/>
      <color indexed="60"/>
      <name val="メイリオ"/>
      <family val="3"/>
      <charset val="128"/>
    </font>
    <font>
      <u/>
      <sz val="11"/>
      <color indexed="12"/>
      <name val="ＭＳ Ｐゴシック"/>
      <family val="3"/>
      <charset val="128"/>
    </font>
    <font>
      <u/>
      <sz val="10"/>
      <color indexed="12"/>
      <name val="Arial"/>
      <family val="2"/>
    </font>
    <font>
      <sz val="9"/>
      <color indexed="52"/>
      <name val="メイリオ"/>
      <family val="3"/>
      <charset val="128"/>
    </font>
    <font>
      <sz val="9"/>
      <color indexed="20"/>
      <name val="メイリオ"/>
      <family val="3"/>
      <charset val="128"/>
    </font>
    <font>
      <b/>
      <sz val="9"/>
      <color indexed="52"/>
      <name val="メイリオ"/>
      <family val="3"/>
      <charset val="128"/>
    </font>
    <font>
      <sz val="9"/>
      <color indexed="10"/>
      <name val="メイリオ"/>
      <family val="3"/>
      <charset val="128"/>
    </font>
    <font>
      <b/>
      <sz val="15"/>
      <color indexed="56"/>
      <name val="メイリオ"/>
      <family val="3"/>
      <charset val="128"/>
    </font>
    <font>
      <b/>
      <sz val="13"/>
      <color indexed="56"/>
      <name val="メイリオ"/>
      <family val="3"/>
      <charset val="128"/>
    </font>
    <font>
      <b/>
      <sz val="11"/>
      <color indexed="56"/>
      <name val="メイリオ"/>
      <family val="3"/>
      <charset val="128"/>
    </font>
    <font>
      <b/>
      <sz val="9"/>
      <color indexed="8"/>
      <name val="メイリオ"/>
      <family val="3"/>
      <charset val="128"/>
    </font>
    <font>
      <b/>
      <sz val="9"/>
      <color indexed="63"/>
      <name val="メイリオ"/>
      <family val="3"/>
      <charset val="128"/>
    </font>
    <font>
      <i/>
      <sz val="9"/>
      <color indexed="23"/>
      <name val="メイリオ"/>
      <family val="3"/>
      <charset val="128"/>
    </font>
    <font>
      <sz val="9"/>
      <color indexed="62"/>
      <name val="メイリオ"/>
      <family val="3"/>
      <charset val="128"/>
    </font>
    <font>
      <sz val="9"/>
      <color indexed="17"/>
      <name val="メイリオ"/>
      <family val="3"/>
      <charset val="128"/>
    </font>
    <font>
      <sz val="10"/>
      <color theme="1"/>
      <name val="ＭＳ Ｐゴシック"/>
      <family val="2"/>
      <charset val="128"/>
      <scheme val="major"/>
    </font>
    <font>
      <sz val="9"/>
      <color indexed="8"/>
      <name val="ＭＳ Ｐゴシック"/>
      <family val="3"/>
      <charset val="128"/>
    </font>
    <font>
      <sz val="10"/>
      <color indexed="8"/>
      <name val="ＭＳ ゴシック"/>
      <family val="3"/>
      <charset val="128"/>
    </font>
    <font>
      <sz val="9"/>
      <color indexed="9"/>
      <name val="ＭＳ Ｐゴシック"/>
      <family val="3"/>
      <charset val="128"/>
    </font>
    <font>
      <sz val="10"/>
      <color indexed="9"/>
      <name val="ＭＳ ゴシック"/>
      <family val="3"/>
      <charset val="128"/>
    </font>
    <font>
      <b/>
      <sz val="9"/>
      <color indexed="9"/>
      <name val="ＭＳ Ｐゴシック"/>
      <family val="3"/>
      <charset val="128"/>
    </font>
    <font>
      <b/>
      <sz val="10"/>
      <color indexed="9"/>
      <name val="ＭＳ ゴシック"/>
      <family val="3"/>
      <charset val="128"/>
    </font>
    <font>
      <sz val="9"/>
      <color indexed="60"/>
      <name val="ＭＳ Ｐゴシック"/>
      <family val="3"/>
      <charset val="128"/>
    </font>
    <font>
      <sz val="10"/>
      <color indexed="60"/>
      <name val="ＭＳ ゴシック"/>
      <family val="3"/>
      <charset val="128"/>
    </font>
    <font>
      <sz val="9"/>
      <color indexed="52"/>
      <name val="ＭＳ Ｐゴシック"/>
      <family val="3"/>
      <charset val="128"/>
    </font>
    <font>
      <sz val="10"/>
      <color indexed="52"/>
      <name val="ＭＳ ゴシック"/>
      <family val="3"/>
      <charset val="128"/>
    </font>
    <font>
      <sz val="11"/>
      <color rgb="FFFA7D00"/>
      <name val="ＭＳ Ｐゴシック"/>
      <family val="2"/>
      <charset val="128"/>
      <scheme val="minor"/>
    </font>
    <font>
      <sz val="9"/>
      <color indexed="20"/>
      <name val="ＭＳ Ｐゴシック"/>
      <family val="3"/>
      <charset val="128"/>
    </font>
    <font>
      <sz val="10"/>
      <color indexed="20"/>
      <name val="ＭＳ ゴシック"/>
      <family val="3"/>
      <charset val="128"/>
    </font>
    <font>
      <b/>
      <sz val="9"/>
      <color indexed="52"/>
      <name val="ＭＳ Ｐゴシック"/>
      <family val="3"/>
      <charset val="128"/>
    </font>
    <font>
      <b/>
      <sz val="10"/>
      <color indexed="52"/>
      <name val="ＭＳ ゴシック"/>
      <family val="3"/>
      <charset val="128"/>
    </font>
    <font>
      <sz val="9"/>
      <color indexed="10"/>
      <name val="ＭＳ Ｐゴシック"/>
      <family val="3"/>
      <charset val="128"/>
    </font>
    <font>
      <sz val="10"/>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Ｐゴシック"/>
      <family val="3"/>
      <charset val="128"/>
    </font>
    <font>
      <b/>
      <sz val="10"/>
      <color indexed="8"/>
      <name val="ＭＳ ゴシック"/>
      <family val="3"/>
      <charset val="128"/>
    </font>
    <font>
      <b/>
      <sz val="9"/>
      <color indexed="63"/>
      <name val="ＭＳ Ｐゴシック"/>
      <family val="3"/>
      <charset val="128"/>
    </font>
    <font>
      <b/>
      <sz val="10"/>
      <color indexed="63"/>
      <name val="ＭＳ ゴシック"/>
      <family val="3"/>
      <charset val="128"/>
    </font>
    <font>
      <i/>
      <sz val="9"/>
      <color indexed="23"/>
      <name val="ＭＳ Ｐゴシック"/>
      <family val="3"/>
      <charset val="128"/>
    </font>
    <font>
      <i/>
      <sz val="10"/>
      <color indexed="23"/>
      <name val="ＭＳ ゴシック"/>
      <family val="3"/>
      <charset val="128"/>
    </font>
    <font>
      <sz val="9"/>
      <color indexed="62"/>
      <name val="ＭＳ Ｐゴシック"/>
      <family val="3"/>
      <charset val="128"/>
    </font>
    <font>
      <sz val="10"/>
      <color indexed="62"/>
      <name val="ＭＳ ゴシック"/>
      <family val="3"/>
      <charset val="128"/>
    </font>
    <font>
      <sz val="9"/>
      <color indexed="17"/>
      <name val="ＭＳ Ｐゴシック"/>
      <family val="3"/>
      <charset val="128"/>
    </font>
    <font>
      <sz val="10"/>
      <color indexed="17"/>
      <name val="ＭＳ ゴシック"/>
      <family val="3"/>
      <charset val="128"/>
    </font>
    <font>
      <u/>
      <sz val="14"/>
      <name val="ＭＳ 明朝"/>
      <family val="1"/>
      <charset val="128"/>
    </font>
    <font>
      <sz val="6"/>
      <name val="ＭＳ 明朝"/>
      <family val="1"/>
      <charset val="128"/>
    </font>
    <font>
      <b/>
      <sz val="20"/>
      <name val="ＭＳ 明朝"/>
      <family val="1"/>
      <charset val="128"/>
    </font>
    <font>
      <sz val="6"/>
      <name val="ＭＳ Ｐゴシック"/>
      <family val="2"/>
      <charset val="128"/>
      <scheme val="minor"/>
    </font>
    <font>
      <sz val="9"/>
      <name val="ＭＳ Ｐゴシック"/>
      <family val="3"/>
      <charset val="128"/>
    </font>
  </fonts>
  <fills count="64">
    <fill>
      <patternFill patternType="none"/>
    </fill>
    <fill>
      <patternFill patternType="gray125"/>
    </fill>
    <fill>
      <patternFill patternType="solid">
        <fgColor indexed="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26"/>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A5A5A5"/>
      </patternFill>
    </fill>
    <fill>
      <patternFill patternType="solid">
        <fgColor rgb="FFFFEB9C"/>
      </patternFill>
    </fill>
    <fill>
      <patternFill patternType="solid">
        <fgColor rgb="FFFFFFCC"/>
      </patternFill>
    </fill>
    <fill>
      <patternFill patternType="solid">
        <fgColor rgb="FFFFC7CE"/>
      </patternFill>
    </fill>
    <fill>
      <patternFill patternType="solid">
        <fgColor rgb="FFF2F2F2"/>
      </patternFill>
    </fill>
    <fill>
      <patternFill patternType="solid">
        <fgColor rgb="FFFFCC99"/>
      </patternFill>
    </fill>
    <fill>
      <patternFill patternType="solid">
        <fgColor rgb="FFC6EFCE"/>
      </patternFill>
    </fill>
    <fill>
      <patternFill patternType="solid">
        <fgColor rgb="FFCCFFCC"/>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0" tint="-0.49998474074526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style="double">
        <color indexed="64"/>
      </top>
      <bottom/>
      <diagonal/>
    </border>
    <border>
      <left style="thin">
        <color indexed="64"/>
      </left>
      <right/>
      <top/>
      <bottom style="double">
        <color indexed="64"/>
      </bottom>
      <diagonal/>
    </border>
    <border>
      <left/>
      <right/>
      <top style="thick">
        <color indexed="64"/>
      </top>
      <bottom/>
      <diagonal/>
    </border>
    <border>
      <left/>
      <right/>
      <top/>
      <bottom style="thin">
        <color indexed="64"/>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right/>
      <top style="thin">
        <color auto="1"/>
      </top>
      <bottom style="thin">
        <color auto="1"/>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bottom style="double">
        <color indexed="64"/>
      </bottom>
      <diagonal/>
    </border>
    <border>
      <left/>
      <right style="thin">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top style="double">
        <color indexed="64"/>
      </top>
      <bottom/>
      <diagonal/>
    </border>
    <border>
      <left/>
      <right style="medium">
        <color indexed="64"/>
      </right>
      <top style="double">
        <color indexed="64"/>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s>
  <cellStyleXfs count="1585">
    <xf numFmtId="0" fontId="0" fillId="0" borderId="0"/>
    <xf numFmtId="9" fontId="10" fillId="2" borderId="0"/>
    <xf numFmtId="0" fontId="30" fillId="3" borderId="0" applyNumberFormat="0" applyBorder="0" applyAlignment="0" applyProtection="0">
      <alignment vertical="center"/>
    </xf>
    <xf numFmtId="0" fontId="48" fillId="28" borderId="0" applyNumberFormat="0" applyBorder="0" applyAlignment="0" applyProtection="0">
      <alignment vertical="center"/>
    </xf>
    <xf numFmtId="0" fontId="48" fillId="28" borderId="0" applyNumberFormat="0" applyBorder="0" applyAlignment="0" applyProtection="0">
      <alignment vertical="center"/>
    </xf>
    <xf numFmtId="0" fontId="30" fillId="4" borderId="0" applyNumberFormat="0" applyBorder="0" applyAlignment="0" applyProtection="0">
      <alignment vertical="center"/>
    </xf>
    <xf numFmtId="0" fontId="48" fillId="29" borderId="0" applyNumberFormat="0" applyBorder="0" applyAlignment="0" applyProtection="0">
      <alignment vertical="center"/>
    </xf>
    <xf numFmtId="0" fontId="48" fillId="29" borderId="0" applyNumberFormat="0" applyBorder="0" applyAlignment="0" applyProtection="0">
      <alignment vertical="center"/>
    </xf>
    <xf numFmtId="0" fontId="30" fillId="5" borderId="0" applyNumberFormat="0" applyBorder="0" applyAlignment="0" applyProtection="0">
      <alignment vertical="center"/>
    </xf>
    <xf numFmtId="0" fontId="48" fillId="30" borderId="0" applyNumberFormat="0" applyBorder="0" applyAlignment="0" applyProtection="0">
      <alignment vertical="center"/>
    </xf>
    <xf numFmtId="0" fontId="48" fillId="30" borderId="0" applyNumberFormat="0" applyBorder="0" applyAlignment="0" applyProtection="0">
      <alignment vertical="center"/>
    </xf>
    <xf numFmtId="0" fontId="30" fillId="6" borderId="0" applyNumberFormat="0" applyBorder="0" applyAlignment="0" applyProtection="0">
      <alignment vertical="center"/>
    </xf>
    <xf numFmtId="0" fontId="48" fillId="31" borderId="0" applyNumberFormat="0" applyBorder="0" applyAlignment="0" applyProtection="0">
      <alignment vertical="center"/>
    </xf>
    <xf numFmtId="0" fontId="48" fillId="31" borderId="0" applyNumberFormat="0" applyBorder="0" applyAlignment="0" applyProtection="0">
      <alignment vertical="center"/>
    </xf>
    <xf numFmtId="0" fontId="30" fillId="7" borderId="0" applyNumberFormat="0" applyBorder="0" applyAlignment="0" applyProtection="0">
      <alignment vertical="center"/>
    </xf>
    <xf numFmtId="0" fontId="48" fillId="32" borderId="0" applyNumberFormat="0" applyBorder="0" applyAlignment="0" applyProtection="0">
      <alignment vertical="center"/>
    </xf>
    <xf numFmtId="0" fontId="48" fillId="32" borderId="0" applyNumberFormat="0" applyBorder="0" applyAlignment="0" applyProtection="0">
      <alignment vertical="center"/>
    </xf>
    <xf numFmtId="0" fontId="30" fillId="8" borderId="0" applyNumberFormat="0" applyBorder="0" applyAlignment="0" applyProtection="0">
      <alignment vertical="center"/>
    </xf>
    <xf numFmtId="0" fontId="48" fillId="33" borderId="0" applyNumberFormat="0" applyBorder="0" applyAlignment="0" applyProtection="0">
      <alignment vertical="center"/>
    </xf>
    <xf numFmtId="0" fontId="48" fillId="33" borderId="0" applyNumberFormat="0" applyBorder="0" applyAlignment="0" applyProtection="0">
      <alignment vertical="center"/>
    </xf>
    <xf numFmtId="0" fontId="30" fillId="9" borderId="0" applyNumberFormat="0" applyBorder="0" applyAlignment="0" applyProtection="0">
      <alignment vertical="center"/>
    </xf>
    <xf numFmtId="0" fontId="48" fillId="34" borderId="0" applyNumberFormat="0" applyBorder="0" applyAlignment="0" applyProtection="0">
      <alignment vertical="center"/>
    </xf>
    <xf numFmtId="0" fontId="48" fillId="34" borderId="0" applyNumberFormat="0" applyBorder="0" applyAlignment="0" applyProtection="0">
      <alignment vertical="center"/>
    </xf>
    <xf numFmtId="0" fontId="30" fillId="10" borderId="0" applyNumberFormat="0" applyBorder="0" applyAlignment="0" applyProtection="0">
      <alignment vertical="center"/>
    </xf>
    <xf numFmtId="0" fontId="48" fillId="35" borderId="0" applyNumberFormat="0" applyBorder="0" applyAlignment="0" applyProtection="0">
      <alignment vertical="center"/>
    </xf>
    <xf numFmtId="0" fontId="48" fillId="35" borderId="0" applyNumberFormat="0" applyBorder="0" applyAlignment="0" applyProtection="0">
      <alignment vertical="center"/>
    </xf>
    <xf numFmtId="0" fontId="30" fillId="11" borderId="0" applyNumberFormat="0" applyBorder="0" applyAlignment="0" applyProtection="0">
      <alignment vertical="center"/>
    </xf>
    <xf numFmtId="0" fontId="48" fillId="36" borderId="0" applyNumberFormat="0" applyBorder="0" applyAlignment="0" applyProtection="0">
      <alignment vertical="center"/>
    </xf>
    <xf numFmtId="0" fontId="48" fillId="36" borderId="0" applyNumberFormat="0" applyBorder="0" applyAlignment="0" applyProtection="0">
      <alignment vertical="center"/>
    </xf>
    <xf numFmtId="0" fontId="30" fillId="6" borderId="0" applyNumberFormat="0" applyBorder="0" applyAlignment="0" applyProtection="0">
      <alignment vertical="center"/>
    </xf>
    <xf numFmtId="0" fontId="48" fillId="37" borderId="0" applyNumberFormat="0" applyBorder="0" applyAlignment="0" applyProtection="0">
      <alignment vertical="center"/>
    </xf>
    <xf numFmtId="0" fontId="48" fillId="37" borderId="0" applyNumberFormat="0" applyBorder="0" applyAlignment="0" applyProtection="0">
      <alignment vertical="center"/>
    </xf>
    <xf numFmtId="0" fontId="30" fillId="9" borderId="0" applyNumberFormat="0" applyBorder="0" applyAlignment="0" applyProtection="0">
      <alignment vertical="center"/>
    </xf>
    <xf numFmtId="0" fontId="48" fillId="38" borderId="0" applyNumberFormat="0" applyBorder="0" applyAlignment="0" applyProtection="0">
      <alignment vertical="center"/>
    </xf>
    <xf numFmtId="0" fontId="48" fillId="38" borderId="0" applyNumberFormat="0" applyBorder="0" applyAlignment="0" applyProtection="0">
      <alignment vertical="center"/>
    </xf>
    <xf numFmtId="0" fontId="30" fillId="12" borderId="0" applyNumberFormat="0" applyBorder="0" applyAlignment="0" applyProtection="0">
      <alignment vertical="center"/>
    </xf>
    <xf numFmtId="0" fontId="48" fillId="39" borderId="0" applyNumberFormat="0" applyBorder="0" applyAlignment="0" applyProtection="0">
      <alignment vertical="center"/>
    </xf>
    <xf numFmtId="0" fontId="48" fillId="39" borderId="0" applyNumberFormat="0" applyBorder="0" applyAlignment="0" applyProtection="0">
      <alignment vertical="center"/>
    </xf>
    <xf numFmtId="0" fontId="31" fillId="13" borderId="0" applyNumberFormat="0" applyBorder="0" applyAlignment="0" applyProtection="0">
      <alignment vertical="center"/>
    </xf>
    <xf numFmtId="0" fontId="49" fillId="40" borderId="0" applyNumberFormat="0" applyBorder="0" applyAlignment="0" applyProtection="0">
      <alignment vertical="center"/>
    </xf>
    <xf numFmtId="0" fontId="49" fillId="40" borderId="0" applyNumberFormat="0" applyBorder="0" applyAlignment="0" applyProtection="0">
      <alignment vertical="center"/>
    </xf>
    <xf numFmtId="0" fontId="31" fillId="10" borderId="0" applyNumberFormat="0" applyBorder="0" applyAlignment="0" applyProtection="0">
      <alignment vertical="center"/>
    </xf>
    <xf numFmtId="0" fontId="49" fillId="41" borderId="0" applyNumberFormat="0" applyBorder="0" applyAlignment="0" applyProtection="0">
      <alignment vertical="center"/>
    </xf>
    <xf numFmtId="0" fontId="49" fillId="41" borderId="0" applyNumberFormat="0" applyBorder="0" applyAlignment="0" applyProtection="0">
      <alignment vertical="center"/>
    </xf>
    <xf numFmtId="0" fontId="31" fillId="11" borderId="0" applyNumberFormat="0" applyBorder="0" applyAlignment="0" applyProtection="0">
      <alignment vertical="center"/>
    </xf>
    <xf numFmtId="0" fontId="49" fillId="42" borderId="0" applyNumberFormat="0" applyBorder="0" applyAlignment="0" applyProtection="0">
      <alignment vertical="center"/>
    </xf>
    <xf numFmtId="0" fontId="49" fillId="42" borderId="0" applyNumberFormat="0" applyBorder="0" applyAlignment="0" applyProtection="0">
      <alignment vertical="center"/>
    </xf>
    <xf numFmtId="0" fontId="31" fillId="14" borderId="0" applyNumberFormat="0" applyBorder="0" applyAlignment="0" applyProtection="0">
      <alignment vertical="center"/>
    </xf>
    <xf numFmtId="0" fontId="49" fillId="43" borderId="0" applyNumberFormat="0" applyBorder="0" applyAlignment="0" applyProtection="0">
      <alignment vertical="center"/>
    </xf>
    <xf numFmtId="0" fontId="49" fillId="43" borderId="0" applyNumberFormat="0" applyBorder="0" applyAlignment="0" applyProtection="0">
      <alignment vertical="center"/>
    </xf>
    <xf numFmtId="0" fontId="31" fillId="15" borderId="0" applyNumberFormat="0" applyBorder="0" applyAlignment="0" applyProtection="0">
      <alignment vertical="center"/>
    </xf>
    <xf numFmtId="0" fontId="49" fillId="44" borderId="0" applyNumberFormat="0" applyBorder="0" applyAlignment="0" applyProtection="0">
      <alignment vertical="center"/>
    </xf>
    <xf numFmtId="0" fontId="49" fillId="44" borderId="0" applyNumberFormat="0" applyBorder="0" applyAlignment="0" applyProtection="0">
      <alignment vertical="center"/>
    </xf>
    <xf numFmtId="0" fontId="31" fillId="16" borderId="0" applyNumberFormat="0" applyBorder="0" applyAlignment="0" applyProtection="0">
      <alignment vertical="center"/>
    </xf>
    <xf numFmtId="0" fontId="49" fillId="45" borderId="0" applyNumberFormat="0" applyBorder="0" applyAlignment="0" applyProtection="0">
      <alignment vertical="center"/>
    </xf>
    <xf numFmtId="0" fontId="49" fillId="45" borderId="0" applyNumberFormat="0" applyBorder="0" applyAlignment="0" applyProtection="0">
      <alignment vertical="center"/>
    </xf>
    <xf numFmtId="188" fontId="11" fillId="0" borderId="0" applyFill="0" applyBorder="0" applyAlignment="0"/>
    <xf numFmtId="186" fontId="12" fillId="0" borderId="0" applyFill="0" applyBorder="0" applyAlignment="0"/>
    <xf numFmtId="192" fontId="12" fillId="0" borderId="0" applyFill="0" applyBorder="0" applyAlignment="0"/>
    <xf numFmtId="182" fontId="13" fillId="0" borderId="0" applyFill="0" applyBorder="0" applyAlignment="0"/>
    <xf numFmtId="183" fontId="13"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0" fillId="0" borderId="0" applyFont="0" applyFill="0" applyBorder="0" applyAlignment="0" applyProtection="0"/>
    <xf numFmtId="190" fontId="13" fillId="0" borderId="0" applyFont="0" applyFill="0" applyBorder="0" applyAlignment="0" applyProtection="0"/>
    <xf numFmtId="193" fontId="13" fillId="0" borderId="0" applyFont="0" applyFill="0" applyBorder="0" applyAlignment="0" applyProtection="0"/>
    <xf numFmtId="0" fontId="10" fillId="0" borderId="0" applyFont="0" applyFill="0" applyBorder="0" applyAlignment="0" applyProtection="0"/>
    <xf numFmtId="186" fontId="12" fillId="0" borderId="0" applyFont="0" applyFill="0" applyBorder="0" applyAlignment="0" applyProtection="0"/>
    <xf numFmtId="181" fontId="12" fillId="0" borderId="0" applyFont="0" applyFill="0" applyBorder="0" applyAlignment="0" applyProtection="0"/>
    <xf numFmtId="189" fontId="14" fillId="17" borderId="0" applyFont="0" applyBorder="0"/>
    <xf numFmtId="14" fontId="11" fillId="0" borderId="0" applyFill="0" applyBorder="0" applyAlignment="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0" fontId="15" fillId="0" borderId="0" applyNumberFormat="0" applyFill="0" applyBorder="0" applyAlignment="0" applyProtection="0"/>
    <xf numFmtId="38" fontId="16" fillId="17" borderId="0" applyNumberFormat="0" applyBorder="0" applyAlignment="0" applyProtection="0"/>
    <xf numFmtId="0" fontId="17" fillId="0" borderId="1" applyNumberFormat="0" applyAlignment="0" applyProtection="0">
      <alignment horizontal="left" vertical="center"/>
    </xf>
    <xf numFmtId="0" fontId="17" fillId="0" borderId="2">
      <alignment horizontal="left" vertical="center"/>
    </xf>
    <xf numFmtId="0" fontId="18" fillId="0" borderId="0" applyNumberFormat="0" applyFill="0" applyBorder="0" applyAlignment="0" applyProtection="0">
      <alignment vertical="top"/>
      <protection locked="0"/>
    </xf>
    <xf numFmtId="10" fontId="16" fillId="18" borderId="3" applyNumberFormat="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37" fontId="19" fillId="0" borderId="0"/>
    <xf numFmtId="178" fontId="14" fillId="0" borderId="0"/>
    <xf numFmtId="0" fontId="10" fillId="0" borderId="0"/>
    <xf numFmtId="177" fontId="13" fillId="0" borderId="0" applyFont="0" applyFill="0" applyBorder="0" applyAlignment="0" applyProtection="0"/>
    <xf numFmtId="190" fontId="13" fillId="0" borderId="0" applyFont="0" applyFill="0" applyBorder="0" applyAlignment="0" applyProtection="0"/>
    <xf numFmtId="183" fontId="13" fillId="0" borderId="0" applyFont="0" applyFill="0" applyBorder="0" applyAlignment="0" applyProtection="0"/>
    <xf numFmtId="193" fontId="13" fillId="0" borderId="0" applyFont="0" applyFill="0" applyBorder="0" applyAlignment="0" applyProtection="0"/>
    <xf numFmtId="10" fontId="10" fillId="0" borderId="0" applyFont="0" applyFill="0" applyBorder="0" applyAlignment="0" applyProtection="0"/>
    <xf numFmtId="184" fontId="13" fillId="0" borderId="0" applyFont="0" applyFill="0" applyBorder="0" applyAlignment="0" applyProtection="0"/>
    <xf numFmtId="190" fontId="13" fillId="0" borderId="0" applyFill="0" applyBorder="0" applyAlignment="0"/>
    <xf numFmtId="186" fontId="12" fillId="0" borderId="0" applyFill="0" applyBorder="0" applyAlignment="0"/>
    <xf numFmtId="190" fontId="13" fillId="0" borderId="0" applyFill="0" applyBorder="0" applyAlignment="0"/>
    <xf numFmtId="181" fontId="12" fillId="0" borderId="0" applyFill="0" applyBorder="0" applyAlignment="0"/>
    <xf numFmtId="186" fontId="12" fillId="0" borderId="0" applyFill="0" applyBorder="0" applyAlignment="0"/>
    <xf numFmtId="49" fontId="11" fillId="0" borderId="0" applyFill="0" applyBorder="0" applyAlignment="0"/>
    <xf numFmtId="184" fontId="13" fillId="0" borderId="0" applyFill="0" applyBorder="0" applyAlignment="0"/>
    <xf numFmtId="185" fontId="13" fillId="0" borderId="0" applyFill="0" applyBorder="0" applyAlignment="0"/>
    <xf numFmtId="176" fontId="13" fillId="0" borderId="0" applyFont="0" applyFill="0" applyBorder="0" applyAlignment="0" applyProtection="0"/>
    <xf numFmtId="191" fontId="13" fillId="0" borderId="0" applyFont="0" applyFill="0" applyBorder="0" applyAlignment="0" applyProtection="0"/>
    <xf numFmtId="0" fontId="20" fillId="0" borderId="0"/>
    <xf numFmtId="0" fontId="31" fillId="19" borderId="0" applyNumberFormat="0" applyBorder="0" applyAlignment="0" applyProtection="0">
      <alignment vertical="center"/>
    </xf>
    <xf numFmtId="0" fontId="49" fillId="46" borderId="0" applyNumberFormat="0" applyBorder="0" applyAlignment="0" applyProtection="0">
      <alignment vertical="center"/>
    </xf>
    <xf numFmtId="0" fontId="49" fillId="46" borderId="0" applyNumberFormat="0" applyBorder="0" applyAlignment="0" applyProtection="0">
      <alignment vertical="center"/>
    </xf>
    <xf numFmtId="0" fontId="31" fillId="20" borderId="0" applyNumberFormat="0" applyBorder="0" applyAlignment="0" applyProtection="0">
      <alignment vertical="center"/>
    </xf>
    <xf numFmtId="0" fontId="49" fillId="47" borderId="0" applyNumberFormat="0" applyBorder="0" applyAlignment="0" applyProtection="0">
      <alignment vertical="center"/>
    </xf>
    <xf numFmtId="0" fontId="49" fillId="47" borderId="0" applyNumberFormat="0" applyBorder="0" applyAlignment="0" applyProtection="0">
      <alignment vertical="center"/>
    </xf>
    <xf numFmtId="0" fontId="31" fillId="21" borderId="0" applyNumberFormat="0" applyBorder="0" applyAlignment="0" applyProtection="0">
      <alignment vertical="center"/>
    </xf>
    <xf numFmtId="0" fontId="49" fillId="48" borderId="0" applyNumberFormat="0" applyBorder="0" applyAlignment="0" applyProtection="0">
      <alignment vertical="center"/>
    </xf>
    <xf numFmtId="0" fontId="49" fillId="48" borderId="0" applyNumberFormat="0" applyBorder="0" applyAlignment="0" applyProtection="0">
      <alignment vertical="center"/>
    </xf>
    <xf numFmtId="0" fontId="31" fillId="14" borderId="0" applyNumberFormat="0" applyBorder="0" applyAlignment="0" applyProtection="0">
      <alignment vertical="center"/>
    </xf>
    <xf numFmtId="0" fontId="49" fillId="49" borderId="0" applyNumberFormat="0" applyBorder="0" applyAlignment="0" applyProtection="0">
      <alignment vertical="center"/>
    </xf>
    <xf numFmtId="0" fontId="49" fillId="49" borderId="0" applyNumberFormat="0" applyBorder="0" applyAlignment="0" applyProtection="0">
      <alignment vertical="center"/>
    </xf>
    <xf numFmtId="0" fontId="31" fillId="15" borderId="0" applyNumberFormat="0" applyBorder="0" applyAlignment="0" applyProtection="0">
      <alignment vertical="center"/>
    </xf>
    <xf numFmtId="0" fontId="49" fillId="50" borderId="0" applyNumberFormat="0" applyBorder="0" applyAlignment="0" applyProtection="0">
      <alignment vertical="center"/>
    </xf>
    <xf numFmtId="0" fontId="49" fillId="50" borderId="0" applyNumberFormat="0" applyBorder="0" applyAlignment="0" applyProtection="0">
      <alignment vertical="center"/>
    </xf>
    <xf numFmtId="0" fontId="31" fillId="22" borderId="0" applyNumberFormat="0" applyBorder="0" applyAlignment="0" applyProtection="0">
      <alignment vertical="center"/>
    </xf>
    <xf numFmtId="0" fontId="49" fillId="51" borderId="0" applyNumberFormat="0" applyBorder="0" applyAlignment="0" applyProtection="0">
      <alignment vertical="center"/>
    </xf>
    <xf numFmtId="0" fontId="49" fillId="51" borderId="0" applyNumberFormat="0" applyBorder="0" applyAlignment="0" applyProtection="0">
      <alignment vertical="center"/>
    </xf>
    <xf numFmtId="0" fontId="21" fillId="0" borderId="0" applyNumberFormat="0" applyFill="0" applyBorder="0" applyAlignment="0" applyProtection="0"/>
    <xf numFmtId="0" fontId="22" fillId="0" borderId="0" applyNumberFormat="0" applyFill="0" applyBorder="0" applyAlignment="0" applyProtection="0"/>
    <xf numFmtId="0" fontId="32"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50" fillId="0" borderId="0" applyNumberFormat="0" applyFill="0" applyBorder="0" applyAlignment="0" applyProtection="0">
      <alignment vertical="center"/>
    </xf>
    <xf numFmtId="0" fontId="33" fillId="23" borderId="4" applyNumberFormat="0" applyAlignment="0" applyProtection="0">
      <alignment vertical="center"/>
    </xf>
    <xf numFmtId="0" fontId="51" fillId="52" borderId="23" applyNumberFormat="0" applyAlignment="0" applyProtection="0">
      <alignment vertical="center"/>
    </xf>
    <xf numFmtId="0" fontId="51" fillId="52" borderId="23" applyNumberFormat="0" applyAlignment="0" applyProtection="0">
      <alignment vertical="center"/>
    </xf>
    <xf numFmtId="0" fontId="34" fillId="24" borderId="0" applyNumberFormat="0" applyBorder="0" applyAlignment="0" applyProtection="0">
      <alignment vertical="center"/>
    </xf>
    <xf numFmtId="0" fontId="52" fillId="53" borderId="0" applyNumberFormat="0" applyBorder="0" applyAlignment="0" applyProtection="0">
      <alignment vertical="center"/>
    </xf>
    <xf numFmtId="0" fontId="52" fillId="53" borderId="0" applyNumberFormat="0" applyBorder="0" applyAlignment="0" applyProtection="0">
      <alignment vertical="center"/>
    </xf>
    <xf numFmtId="180" fontId="10" fillId="0" borderId="0" applyFont="0" applyFill="0" applyBorder="0" applyAlignment="0" applyProtection="0"/>
    <xf numFmtId="179" fontId="12" fillId="0" borderId="0" applyFont="0" applyFill="0" applyBorder="0" applyAlignment="0" applyProtection="0"/>
    <xf numFmtId="0" fontId="23" fillId="0" borderId="0" applyNumberFormat="0" applyFill="0" applyBorder="0" applyAlignment="0" applyProtection="0"/>
    <xf numFmtId="0" fontId="12" fillId="0" borderId="0"/>
    <xf numFmtId="0" fontId="9" fillId="25" borderId="5" applyNumberFormat="0" applyFont="0" applyAlignment="0" applyProtection="0">
      <alignment vertical="center"/>
    </xf>
    <xf numFmtId="0" fontId="48" fillId="54" borderId="24" applyNumberFormat="0" applyFont="0" applyAlignment="0" applyProtection="0">
      <alignment vertical="center"/>
    </xf>
    <xf numFmtId="0" fontId="48" fillId="54" borderId="24" applyNumberFormat="0" applyFont="0" applyAlignment="0" applyProtection="0">
      <alignment vertical="center"/>
    </xf>
    <xf numFmtId="41" fontId="10" fillId="0" borderId="0" applyFont="0" applyFill="0" applyBorder="0" applyAlignment="0" applyProtection="0"/>
    <xf numFmtId="4" fontId="12" fillId="0" borderId="0" applyFont="0" applyFill="0" applyBorder="0" applyAlignment="0" applyProtection="0"/>
    <xf numFmtId="0" fontId="35" fillId="0" borderId="6" applyNumberFormat="0" applyFill="0" applyAlignment="0" applyProtection="0">
      <alignment vertical="center"/>
    </xf>
    <xf numFmtId="0" fontId="53" fillId="0" borderId="25" applyNumberFormat="0" applyFill="0" applyAlignment="0" applyProtection="0">
      <alignment vertical="center"/>
    </xf>
    <xf numFmtId="0" fontId="53" fillId="0" borderId="25" applyNumberFormat="0" applyFill="0" applyAlignment="0" applyProtection="0">
      <alignment vertical="center"/>
    </xf>
    <xf numFmtId="0" fontId="36" fillId="4" borderId="0" applyNumberFormat="0" applyBorder="0" applyAlignment="0" applyProtection="0">
      <alignment vertical="center"/>
    </xf>
    <xf numFmtId="0" fontId="54" fillId="55" borderId="0" applyNumberFormat="0" applyBorder="0" applyAlignment="0" applyProtection="0">
      <alignment vertical="center"/>
    </xf>
    <xf numFmtId="0" fontId="54" fillId="55" borderId="0" applyNumberFormat="0" applyBorder="0" applyAlignment="0" applyProtection="0">
      <alignment vertical="center"/>
    </xf>
    <xf numFmtId="0" fontId="37" fillId="26" borderId="7" applyNumberFormat="0" applyAlignment="0" applyProtection="0">
      <alignment vertical="center"/>
    </xf>
    <xf numFmtId="0" fontId="55" fillId="56" borderId="26" applyNumberFormat="0" applyAlignment="0" applyProtection="0">
      <alignment vertical="center"/>
    </xf>
    <xf numFmtId="0" fontId="55" fillId="56" borderId="26" applyNumberFormat="0" applyAlignment="0" applyProtection="0">
      <alignment vertical="center"/>
    </xf>
    <xf numFmtId="0" fontId="29"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38" fillId="0" borderId="8" applyNumberFormat="0" applyFill="0" applyAlignment="0" applyProtection="0">
      <alignment vertical="center"/>
    </xf>
    <xf numFmtId="0" fontId="57" fillId="0" borderId="27" applyNumberFormat="0" applyFill="0" applyAlignment="0" applyProtection="0">
      <alignment vertical="center"/>
    </xf>
    <xf numFmtId="0" fontId="57" fillId="0" borderId="27" applyNumberFormat="0" applyFill="0" applyAlignment="0" applyProtection="0">
      <alignment vertical="center"/>
    </xf>
    <xf numFmtId="0" fontId="39" fillId="0" borderId="9" applyNumberFormat="0" applyFill="0" applyAlignment="0" applyProtection="0">
      <alignment vertical="center"/>
    </xf>
    <xf numFmtId="0" fontId="58" fillId="0" borderId="28" applyNumberFormat="0" applyFill="0" applyAlignment="0" applyProtection="0">
      <alignment vertical="center"/>
    </xf>
    <xf numFmtId="0" fontId="58" fillId="0" borderId="28" applyNumberFormat="0" applyFill="0" applyAlignment="0" applyProtection="0">
      <alignment vertical="center"/>
    </xf>
    <xf numFmtId="0" fontId="40" fillId="0" borderId="10" applyNumberFormat="0" applyFill="0" applyAlignment="0" applyProtection="0">
      <alignment vertical="center"/>
    </xf>
    <xf numFmtId="0" fontId="59" fillId="0" borderId="29" applyNumberFormat="0" applyFill="0" applyAlignment="0" applyProtection="0">
      <alignment vertical="center"/>
    </xf>
    <xf numFmtId="0" fontId="59" fillId="0" borderId="29" applyNumberFormat="0" applyFill="0" applyAlignment="0" applyProtection="0">
      <alignment vertical="center"/>
    </xf>
    <xf numFmtId="0" fontId="40"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24" fillId="0" borderId="0" applyNumberFormat="0" applyFill="0" applyBorder="0" applyAlignment="0" applyProtection="0"/>
    <xf numFmtId="0" fontId="41" fillId="0" borderId="11" applyNumberFormat="0" applyFill="0" applyAlignment="0" applyProtection="0">
      <alignment vertical="center"/>
    </xf>
    <xf numFmtId="0" fontId="60" fillId="0" borderId="30" applyNumberFormat="0" applyFill="0" applyAlignment="0" applyProtection="0">
      <alignment vertical="center"/>
    </xf>
    <xf numFmtId="0" fontId="60" fillId="0" borderId="30" applyNumberFormat="0" applyFill="0" applyAlignment="0" applyProtection="0">
      <alignment vertical="center"/>
    </xf>
    <xf numFmtId="0" fontId="42" fillId="26" borderId="12" applyNumberFormat="0" applyAlignment="0" applyProtection="0">
      <alignment vertical="center"/>
    </xf>
    <xf numFmtId="0" fontId="61" fillId="56" borderId="31" applyNumberFormat="0" applyAlignment="0" applyProtection="0">
      <alignment vertical="center"/>
    </xf>
    <xf numFmtId="0" fontId="61" fillId="56" borderId="31" applyNumberFormat="0" applyAlignment="0" applyProtection="0">
      <alignment vertical="center"/>
    </xf>
    <xf numFmtId="0" fontId="13" fillId="0" borderId="0" applyNumberFormat="0" applyFont="0" applyFill="0" applyBorder="0" applyProtection="0">
      <alignment vertical="top"/>
    </xf>
    <xf numFmtId="0" fontId="13" fillId="0" borderId="13" applyNumberFormat="0" applyFont="0" applyFill="0" applyBorder="0" applyProtection="0">
      <alignment vertical="top" wrapText="1"/>
      <protection locked="0"/>
    </xf>
    <xf numFmtId="0" fontId="43"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13" fillId="0" borderId="0" applyNumberFormat="0" applyFont="0" applyFill="0" applyBorder="0" applyProtection="0">
      <alignment vertical="center"/>
    </xf>
    <xf numFmtId="0" fontId="13" fillId="0" borderId="0" applyNumberFormat="0" applyFont="0" applyFill="0" applyBorder="0" applyProtection="0">
      <alignment vertical="center" wrapText="1"/>
    </xf>
    <xf numFmtId="0" fontId="10" fillId="0" borderId="0" applyFont="0" applyFill="0" applyBorder="0" applyAlignment="0" applyProtection="0"/>
    <xf numFmtId="0" fontId="10" fillId="0" borderId="0" applyFont="0" applyFill="0" applyBorder="0" applyAlignment="0" applyProtection="0"/>
    <xf numFmtId="0" fontId="44" fillId="8" borderId="7" applyNumberFormat="0" applyAlignment="0" applyProtection="0">
      <alignment vertical="center"/>
    </xf>
    <xf numFmtId="0" fontId="63" fillId="57" borderId="26" applyNumberFormat="0" applyAlignment="0" applyProtection="0">
      <alignment vertical="center"/>
    </xf>
    <xf numFmtId="0" fontId="63" fillId="57" borderId="26" applyNumberFormat="0" applyAlignment="0" applyProtection="0">
      <alignment vertical="center"/>
    </xf>
    <xf numFmtId="0" fontId="48" fillId="0" borderId="0">
      <alignment vertical="center"/>
    </xf>
    <xf numFmtId="0" fontId="48" fillId="0" borderId="0">
      <alignment vertical="center"/>
    </xf>
    <xf numFmtId="0" fontId="45"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9" fillId="0" borderId="0"/>
    <xf numFmtId="0" fontId="45" fillId="0" borderId="0">
      <alignment vertical="center"/>
    </xf>
    <xf numFmtId="0" fontId="10" fillId="0" borderId="0"/>
    <xf numFmtId="0" fontId="10" fillId="0" borderId="0"/>
    <xf numFmtId="0" fontId="10" fillId="0" borderId="0"/>
    <xf numFmtId="0" fontId="10" fillId="0" borderId="0"/>
    <xf numFmtId="0" fontId="9" fillId="0" borderId="0">
      <alignment vertical="center"/>
    </xf>
    <xf numFmtId="0" fontId="45" fillId="0" borderId="0">
      <alignment vertical="center"/>
    </xf>
    <xf numFmtId="0" fontId="45" fillId="0" borderId="0">
      <alignment vertical="center"/>
    </xf>
    <xf numFmtId="0" fontId="45" fillId="0" borderId="0">
      <alignment vertical="center"/>
    </xf>
    <xf numFmtId="0" fontId="45" fillId="0" borderId="0">
      <alignment vertical="center"/>
    </xf>
    <xf numFmtId="0" fontId="48" fillId="0" borderId="0">
      <alignment vertical="center"/>
    </xf>
    <xf numFmtId="0" fontId="48" fillId="0" borderId="0">
      <alignment vertical="center"/>
    </xf>
    <xf numFmtId="0" fontId="9" fillId="0" borderId="0">
      <alignment vertical="center"/>
    </xf>
    <xf numFmtId="187" fontId="25" fillId="0" borderId="0"/>
    <xf numFmtId="0" fontId="26" fillId="0" borderId="0">
      <alignment vertical="center"/>
    </xf>
    <xf numFmtId="0" fontId="27" fillId="0" borderId="0"/>
    <xf numFmtId="0" fontId="46" fillId="5" borderId="0" applyNumberFormat="0" applyBorder="0" applyAlignment="0" applyProtection="0">
      <alignment vertical="center"/>
    </xf>
    <xf numFmtId="0" fontId="64" fillId="58" borderId="0" applyNumberFormat="0" applyBorder="0" applyAlignment="0" applyProtection="0">
      <alignment vertical="center"/>
    </xf>
    <xf numFmtId="0" fontId="64" fillId="58" borderId="0" applyNumberFormat="0" applyBorder="0" applyAlignment="0" applyProtection="0">
      <alignment vertical="center"/>
    </xf>
    <xf numFmtId="0" fontId="9" fillId="0" borderId="0"/>
    <xf numFmtId="0" fontId="65" fillId="0" borderId="0">
      <alignment vertical="center"/>
    </xf>
    <xf numFmtId="0" fontId="14" fillId="0" borderId="0"/>
    <xf numFmtId="43" fontId="10" fillId="0" borderId="0" applyFont="0" applyFill="0" applyBorder="0" applyAlignment="0" applyProtection="0"/>
    <xf numFmtId="0" fontId="25" fillId="0" borderId="0" applyNumberFormat="0" applyFill="0" applyBorder="0" applyAlignment="0" applyProtection="0">
      <alignment vertical="top"/>
      <protection locked="0"/>
    </xf>
    <xf numFmtId="0" fontId="25" fillId="0" borderId="0" applyFill="0" applyBorder="0" applyProtection="0">
      <alignment horizontal="left" vertical="center"/>
      <protection locked="0"/>
    </xf>
    <xf numFmtId="3" fontId="66" fillId="0" borderId="0" applyFont="0" applyFill="0" applyBorder="0" applyAlignment="0" applyProtection="0"/>
    <xf numFmtId="0" fontId="67" fillId="0" borderId="0" applyNumberFormat="0" applyAlignment="0">
      <alignment horizontal="left"/>
    </xf>
    <xf numFmtId="195" fontId="66" fillId="0" borderId="0" applyFont="0" applyFill="0" applyBorder="0" applyAlignment="0" applyProtection="0"/>
    <xf numFmtId="0" fontId="66" fillId="0" borderId="0" applyFont="0" applyFill="0" applyBorder="0" applyAlignment="0" applyProtection="0"/>
    <xf numFmtId="0" fontId="68" fillId="0" borderId="0" applyNumberFormat="0" applyAlignment="0">
      <alignment horizontal="left"/>
    </xf>
    <xf numFmtId="0" fontId="69" fillId="0" borderId="0">
      <alignment horizontal="left"/>
    </xf>
    <xf numFmtId="2" fontId="66" fillId="0" borderId="0" applyFont="0" applyFill="0" applyBorder="0" applyAlignment="0" applyProtection="0"/>
    <xf numFmtId="0" fontId="70" fillId="0" borderId="0"/>
    <xf numFmtId="0" fontId="71" fillId="0" borderId="0" applyNumberFormat="0" applyFill="0" applyBorder="0" applyAlignment="0" applyProtection="0"/>
    <xf numFmtId="0" fontId="72" fillId="0" borderId="0" applyNumberFormat="0" applyFill="0" applyBorder="0" applyAlignment="0" applyProtection="0"/>
    <xf numFmtId="0" fontId="25" fillId="0" borderId="0" applyFont="0" applyFill="0" applyBorder="0" applyAlignment="0" applyProtection="0"/>
    <xf numFmtId="0" fontId="25" fillId="0" borderId="0" applyFont="0" applyFill="0" applyBorder="0" applyAlignment="0" applyProtection="0"/>
    <xf numFmtId="0" fontId="25" fillId="0" borderId="0" applyNumberFormat="0" applyFill="0" applyBorder="0" applyAlignment="0" applyProtection="0">
      <alignment vertical="top"/>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4" fontId="69" fillId="0" borderId="0">
      <alignment horizontal="right"/>
    </xf>
    <xf numFmtId="0" fontId="73" fillId="0" borderId="0" applyNumberFormat="0" applyFont="0" applyFill="0" applyBorder="0" applyAlignment="0" applyProtection="0">
      <alignment horizontal="left"/>
    </xf>
    <xf numFmtId="0" fontId="74" fillId="0" borderId="16">
      <alignment horizontal="center"/>
    </xf>
    <xf numFmtId="4" fontId="75" fillId="0" borderId="0">
      <alignment horizontal="right"/>
    </xf>
    <xf numFmtId="30" fontId="76" fillId="0" borderId="0" applyNumberFormat="0" applyFill="0" applyBorder="0" applyAlignment="0" applyProtection="0">
      <alignment horizontal="left"/>
    </xf>
    <xf numFmtId="0" fontId="25" fillId="0" borderId="0"/>
    <xf numFmtId="0" fontId="77" fillId="0" borderId="0">
      <alignment horizontal="left"/>
    </xf>
    <xf numFmtId="0" fontId="25" fillId="0" borderId="0"/>
    <xf numFmtId="0" fontId="78" fillId="0" borderId="0"/>
    <xf numFmtId="40" fontId="79" fillId="0" borderId="0" applyBorder="0">
      <alignment horizontal="right"/>
    </xf>
    <xf numFmtId="0" fontId="80" fillId="0" borderId="0">
      <alignment horizontal="center"/>
    </xf>
    <xf numFmtId="0" fontId="66" fillId="0" borderId="35" applyNumberFormat="0" applyFont="0" applyFill="0" applyAlignment="0" applyProtection="0"/>
    <xf numFmtId="196" fontId="9" fillId="0" borderId="0" applyFont="0" applyFill="0" applyBorder="0" applyAlignment="0" applyProtection="0"/>
    <xf numFmtId="197" fontId="9" fillId="0" borderId="0" applyFont="0" applyFill="0" applyBorder="0" applyAlignment="0" applyProtection="0"/>
    <xf numFmtId="0" fontId="81" fillId="0" borderId="0"/>
    <xf numFmtId="0" fontId="82" fillId="0" borderId="0" applyNumberFormat="0" applyFill="0" applyBorder="0" applyAlignment="0" applyProtection="0">
      <alignment vertical="top"/>
      <protection locked="0"/>
    </xf>
    <xf numFmtId="9" fontId="25" fillId="0" borderId="15" applyFont="0" applyFill="0" applyBorder="0" applyAlignment="0" applyProtection="0"/>
    <xf numFmtId="0" fontId="83" fillId="0" borderId="36">
      <alignment horizontal="centerContinuous" vertical="center"/>
    </xf>
    <xf numFmtId="0" fontId="83" fillId="0" borderId="36">
      <alignment horizontal="centerContinuous" vertical="center"/>
    </xf>
    <xf numFmtId="0" fontId="83" fillId="0" borderId="36">
      <alignment horizontal="centerContinuous" vertical="center"/>
    </xf>
    <xf numFmtId="0" fontId="84" fillId="0" borderId="0">
      <alignment vertical="center"/>
    </xf>
    <xf numFmtId="43" fontId="10" fillId="0" borderId="0" applyFont="0" applyFill="0" applyBorder="0" applyAlignment="0" applyProtection="0"/>
    <xf numFmtId="41" fontId="10" fillId="0" borderId="0" applyFont="0" applyFill="0" applyBorder="0" applyAlignment="0" applyProtection="0"/>
    <xf numFmtId="0" fontId="85" fillId="0" borderId="0"/>
    <xf numFmtId="49" fontId="9" fillId="0" borderId="14" applyBorder="0" applyProtection="0">
      <alignment horizontal="left" vertical="top"/>
    </xf>
    <xf numFmtId="197" fontId="86" fillId="0" borderId="0" applyFont="0" applyFill="0" applyBorder="0" applyAlignment="0" applyProtection="0"/>
    <xf numFmtId="198" fontId="86" fillId="0" borderId="0" applyFont="0" applyFill="0" applyBorder="0" applyAlignment="0" applyProtection="0"/>
    <xf numFmtId="199" fontId="10" fillId="0" borderId="0" applyFont="0" applyFill="0" applyBorder="0" applyAlignment="0" applyProtection="0"/>
    <xf numFmtId="200" fontId="9" fillId="0" borderId="0" applyFont="0" applyFill="0" applyBorder="0" applyAlignment="0" applyProtection="0"/>
    <xf numFmtId="0" fontId="87" fillId="0" borderId="0">
      <alignment vertical="center"/>
    </xf>
    <xf numFmtId="0" fontId="88" fillId="0" borderId="37" applyBorder="0"/>
    <xf numFmtId="49" fontId="84" fillId="0" borderId="0"/>
    <xf numFmtId="0" fontId="89" fillId="0" borderId="0"/>
    <xf numFmtId="0" fontId="90" fillId="0" borderId="0" applyNumberFormat="0" applyFill="0" applyBorder="0" applyAlignment="0" applyProtection="0">
      <alignment vertical="top"/>
      <protection locked="0"/>
    </xf>
    <xf numFmtId="0" fontId="93" fillId="0" borderId="0">
      <alignment vertical="center"/>
    </xf>
    <xf numFmtId="0" fontId="8" fillId="0" borderId="0">
      <alignment vertical="center"/>
    </xf>
    <xf numFmtId="0" fontId="94" fillId="0" borderId="0" applyNumberFormat="0" applyFill="0" applyBorder="0" applyAlignment="0" applyProtection="0">
      <alignment vertical="center"/>
    </xf>
    <xf numFmtId="0" fontId="95" fillId="3" borderId="0" applyNumberFormat="0" applyBorder="0" applyAlignment="0" applyProtection="0">
      <alignment vertical="center"/>
    </xf>
    <xf numFmtId="0" fontId="95" fillId="3" borderId="0" applyNumberFormat="0" applyBorder="0" applyAlignment="0" applyProtection="0">
      <alignment vertical="center"/>
    </xf>
    <xf numFmtId="0" fontId="95" fillId="4" borderId="0" applyNumberFormat="0" applyBorder="0" applyAlignment="0" applyProtection="0">
      <alignment vertical="center"/>
    </xf>
    <xf numFmtId="0" fontId="95" fillId="4" borderId="0" applyNumberFormat="0" applyBorder="0" applyAlignment="0" applyProtection="0">
      <alignment vertical="center"/>
    </xf>
    <xf numFmtId="0" fontId="95" fillId="5" borderId="0" applyNumberFormat="0" applyBorder="0" applyAlignment="0" applyProtection="0">
      <alignment vertical="center"/>
    </xf>
    <xf numFmtId="0" fontId="95" fillId="5"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7" borderId="0" applyNumberFormat="0" applyBorder="0" applyAlignment="0" applyProtection="0">
      <alignment vertical="center"/>
    </xf>
    <xf numFmtId="0" fontId="95" fillId="7" borderId="0" applyNumberFormat="0" applyBorder="0" applyAlignment="0" applyProtection="0">
      <alignment vertical="center"/>
    </xf>
    <xf numFmtId="0" fontId="95" fillId="8" borderId="0" applyNumberFormat="0" applyBorder="0" applyAlignment="0" applyProtection="0">
      <alignment vertical="center"/>
    </xf>
    <xf numFmtId="0" fontId="95" fillId="8"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0" borderId="0" applyNumberFormat="0" applyBorder="0" applyAlignment="0" applyProtection="0">
      <alignment vertical="center"/>
    </xf>
    <xf numFmtId="0" fontId="95" fillId="10" borderId="0" applyNumberFormat="0" applyBorder="0" applyAlignment="0" applyProtection="0">
      <alignment vertical="center"/>
    </xf>
    <xf numFmtId="0" fontId="95" fillId="11" borderId="0" applyNumberFormat="0" applyBorder="0" applyAlignment="0" applyProtection="0">
      <alignment vertical="center"/>
    </xf>
    <xf numFmtId="0" fontId="95" fillId="11" borderId="0" applyNumberFormat="0" applyBorder="0" applyAlignment="0" applyProtection="0">
      <alignment vertical="center"/>
    </xf>
    <xf numFmtId="0" fontId="95" fillId="6" borderId="0" applyNumberFormat="0" applyBorder="0" applyAlignment="0" applyProtection="0">
      <alignment vertical="center"/>
    </xf>
    <xf numFmtId="0" fontId="95" fillId="6" borderId="0" applyNumberFormat="0" applyBorder="0" applyAlignment="0" applyProtection="0">
      <alignment vertical="center"/>
    </xf>
    <xf numFmtId="0" fontId="95" fillId="9" borderId="0" applyNumberFormat="0" applyBorder="0" applyAlignment="0" applyProtection="0">
      <alignment vertical="center"/>
    </xf>
    <xf numFmtId="0" fontId="95" fillId="9" borderId="0" applyNumberFormat="0" applyBorder="0" applyAlignment="0" applyProtection="0">
      <alignment vertical="center"/>
    </xf>
    <xf numFmtId="0" fontId="95" fillId="12" borderId="0" applyNumberFormat="0" applyBorder="0" applyAlignment="0" applyProtection="0">
      <alignment vertical="center"/>
    </xf>
    <xf numFmtId="0" fontId="95" fillId="12" borderId="0" applyNumberFormat="0" applyBorder="0" applyAlignment="0" applyProtection="0">
      <alignment vertical="center"/>
    </xf>
    <xf numFmtId="0" fontId="96" fillId="13" borderId="0" applyNumberFormat="0" applyBorder="0" applyAlignment="0" applyProtection="0">
      <alignment vertical="center"/>
    </xf>
    <xf numFmtId="0" fontId="96" fillId="13" borderId="0" applyNumberFormat="0" applyBorder="0" applyAlignment="0" applyProtection="0">
      <alignment vertical="center"/>
    </xf>
    <xf numFmtId="0" fontId="96" fillId="10" borderId="0" applyNumberFormat="0" applyBorder="0" applyAlignment="0" applyProtection="0">
      <alignment vertical="center"/>
    </xf>
    <xf numFmtId="0" fontId="96" fillId="10" borderId="0" applyNumberFormat="0" applyBorder="0" applyAlignment="0" applyProtection="0">
      <alignment vertical="center"/>
    </xf>
    <xf numFmtId="0" fontId="96" fillId="11" borderId="0" applyNumberFormat="0" applyBorder="0" applyAlignment="0" applyProtection="0">
      <alignment vertical="center"/>
    </xf>
    <xf numFmtId="0" fontId="96" fillId="1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16" borderId="0" applyNumberFormat="0" applyBorder="0" applyAlignment="0" applyProtection="0">
      <alignment vertical="center"/>
    </xf>
    <xf numFmtId="0" fontId="96" fillId="16" borderId="0" applyNumberFormat="0" applyBorder="0" applyAlignment="0" applyProtection="0">
      <alignment vertical="center"/>
    </xf>
    <xf numFmtId="0" fontId="25" fillId="17" borderId="0" applyFont="0" applyBorder="0"/>
    <xf numFmtId="38" fontId="25" fillId="17" borderId="0" applyNumberFormat="0" applyBorder="0" applyAlignment="0" applyProtection="0"/>
    <xf numFmtId="10" fontId="25" fillId="18" borderId="3" applyNumberFormat="0" applyBorder="0" applyAlignment="0" applyProtection="0"/>
    <xf numFmtId="37" fontId="25" fillId="0" borderId="0"/>
    <xf numFmtId="0" fontId="25" fillId="0" borderId="0"/>
    <xf numFmtId="10" fontId="25" fillId="0" borderId="0" applyFont="0" applyFill="0" applyBorder="0" applyAlignment="0" applyProtection="0"/>
    <xf numFmtId="0" fontId="96" fillId="19" borderId="0" applyNumberFormat="0" applyBorder="0" applyAlignment="0" applyProtection="0">
      <alignment vertical="center"/>
    </xf>
    <xf numFmtId="0" fontId="96" fillId="19" borderId="0" applyNumberFormat="0" applyBorder="0" applyAlignment="0" applyProtection="0">
      <alignment vertical="center"/>
    </xf>
    <xf numFmtId="0" fontId="96" fillId="20" borderId="0" applyNumberFormat="0" applyBorder="0" applyAlignment="0" applyProtection="0">
      <alignment vertical="center"/>
    </xf>
    <xf numFmtId="0" fontId="96" fillId="20" borderId="0" applyNumberFormat="0" applyBorder="0" applyAlignment="0" applyProtection="0">
      <alignment vertical="center"/>
    </xf>
    <xf numFmtId="0" fontId="96" fillId="21" borderId="0" applyNumberFormat="0" applyBorder="0" applyAlignment="0" applyProtection="0">
      <alignment vertical="center"/>
    </xf>
    <xf numFmtId="0" fontId="96" fillId="21" borderId="0" applyNumberFormat="0" applyBorder="0" applyAlignment="0" applyProtection="0">
      <alignment vertical="center"/>
    </xf>
    <xf numFmtId="0" fontId="96" fillId="14" borderId="0" applyNumberFormat="0" applyBorder="0" applyAlignment="0" applyProtection="0">
      <alignment vertical="center"/>
    </xf>
    <xf numFmtId="0" fontId="96" fillId="14" borderId="0" applyNumberFormat="0" applyBorder="0" applyAlignment="0" applyProtection="0">
      <alignment vertical="center"/>
    </xf>
    <xf numFmtId="0" fontId="96" fillId="15" borderId="0" applyNumberFormat="0" applyBorder="0" applyAlignment="0" applyProtection="0">
      <alignment vertical="center"/>
    </xf>
    <xf numFmtId="0" fontId="96" fillId="15" borderId="0" applyNumberFormat="0" applyBorder="0" applyAlignment="0" applyProtection="0">
      <alignment vertical="center"/>
    </xf>
    <xf numFmtId="0" fontId="96" fillId="22" borderId="0" applyNumberFormat="0" applyBorder="0" applyAlignment="0" applyProtection="0">
      <alignment vertical="center"/>
    </xf>
    <xf numFmtId="0" fontId="96" fillId="22" borderId="0" applyNumberFormat="0" applyBorder="0" applyAlignment="0" applyProtection="0">
      <alignment vertical="center"/>
    </xf>
    <xf numFmtId="0" fontId="32" fillId="0" borderId="0" applyNumberFormat="0" applyFill="0" applyBorder="0" applyAlignment="0" applyProtection="0">
      <alignment vertical="center"/>
    </xf>
    <xf numFmtId="0" fontId="32" fillId="0" borderId="0" applyNumberFormat="0" applyFill="0" applyBorder="0" applyAlignment="0" applyProtection="0">
      <alignment vertical="center"/>
    </xf>
    <xf numFmtId="0" fontId="97" fillId="23" borderId="4" applyNumberFormat="0" applyAlignment="0" applyProtection="0">
      <alignment vertical="center"/>
    </xf>
    <xf numFmtId="0" fontId="97" fillId="23" borderId="4" applyNumberFormat="0" applyAlignment="0" applyProtection="0">
      <alignment vertical="center"/>
    </xf>
    <xf numFmtId="0" fontId="98" fillId="24" borderId="0" applyNumberFormat="0" applyBorder="0" applyAlignment="0" applyProtection="0">
      <alignment vertical="center"/>
    </xf>
    <xf numFmtId="0" fontId="98" fillId="24" borderId="0" applyNumberFormat="0" applyBorder="0" applyAlignment="0" applyProtection="0">
      <alignment vertical="center"/>
    </xf>
    <xf numFmtId="0" fontId="99" fillId="0" borderId="0" applyNumberFormat="0" applyFill="0" applyBorder="0" applyAlignment="0" applyProtection="0">
      <alignment vertical="top"/>
      <protection locked="0"/>
    </xf>
    <xf numFmtId="0" fontId="100" fillId="0" borderId="0" applyNumberFormat="0" applyFill="0" applyBorder="0" applyAlignment="0" applyProtection="0">
      <alignment vertical="top"/>
      <protection locked="0"/>
    </xf>
    <xf numFmtId="0" fontId="95" fillId="25" borderId="5" applyNumberFormat="0" applyFont="0" applyAlignment="0" applyProtection="0">
      <alignment vertical="center"/>
    </xf>
    <xf numFmtId="0" fontId="95" fillId="25" borderId="5" applyNumberFormat="0" applyFont="0" applyAlignment="0" applyProtection="0">
      <alignment vertical="center"/>
    </xf>
    <xf numFmtId="0" fontId="101" fillId="0" borderId="6" applyNumberFormat="0" applyFill="0" applyAlignment="0" applyProtection="0">
      <alignment vertical="center"/>
    </xf>
    <xf numFmtId="0" fontId="101" fillId="0" borderId="6" applyNumberFormat="0" applyFill="0" applyAlignment="0" applyProtection="0">
      <alignment vertical="center"/>
    </xf>
    <xf numFmtId="0" fontId="102" fillId="4" borderId="0" applyNumberFormat="0" applyBorder="0" applyAlignment="0" applyProtection="0">
      <alignment vertical="center"/>
    </xf>
    <xf numFmtId="0" fontId="102" fillId="4" borderId="0" applyNumberFormat="0" applyBorder="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104"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8" applyNumberFormat="0" applyFill="0" applyAlignment="0" applyProtection="0">
      <alignment vertical="center"/>
    </xf>
    <xf numFmtId="0" fontId="105" fillId="0" borderId="8" applyNumberFormat="0" applyFill="0" applyAlignment="0" applyProtection="0">
      <alignment vertical="center"/>
    </xf>
    <xf numFmtId="0" fontId="106" fillId="0" borderId="9" applyNumberFormat="0" applyFill="0" applyAlignment="0" applyProtection="0">
      <alignment vertical="center"/>
    </xf>
    <xf numFmtId="0" fontId="106" fillId="0" borderId="9" applyNumberFormat="0" applyFill="0" applyAlignment="0" applyProtection="0">
      <alignment vertical="center"/>
    </xf>
    <xf numFmtId="0" fontId="107" fillId="0" borderId="10" applyNumberFormat="0" applyFill="0" applyAlignment="0" applyProtection="0">
      <alignment vertical="center"/>
    </xf>
    <xf numFmtId="0" fontId="107" fillId="0" borderId="10" applyNumberFormat="0" applyFill="0" applyAlignment="0" applyProtection="0">
      <alignment vertical="center"/>
    </xf>
    <xf numFmtId="0" fontId="107" fillId="0" borderId="0" applyNumberFormat="0" applyFill="0" applyBorder="0" applyAlignment="0" applyProtection="0">
      <alignment vertical="center"/>
    </xf>
    <xf numFmtId="0" fontId="107" fillId="0" borderId="0" applyNumberFormat="0" applyFill="0" applyBorder="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0" fillId="0" borderId="0" applyNumberFormat="0" applyFill="0" applyBorder="0" applyAlignment="0" applyProtection="0">
      <alignment vertical="center"/>
    </xf>
    <xf numFmtId="0" fontId="110" fillId="0" borderId="0" applyNumberFormat="0" applyFill="0" applyBorder="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30" fillId="0" borderId="0">
      <alignment vertical="center"/>
    </xf>
    <xf numFmtId="0" fontId="9" fillId="0" borderId="0"/>
    <xf numFmtId="0" fontId="8" fillId="0" borderId="0">
      <alignment vertical="center"/>
    </xf>
    <xf numFmtId="0" fontId="9" fillId="0" borderId="0">
      <alignment vertical="center"/>
    </xf>
    <xf numFmtId="0" fontId="8" fillId="0" borderId="0">
      <alignment vertical="center"/>
    </xf>
    <xf numFmtId="0" fontId="30" fillId="0" borderId="0">
      <alignment vertical="center"/>
    </xf>
    <xf numFmtId="0" fontId="10" fillId="0" borderId="0"/>
    <xf numFmtId="0" fontId="48" fillId="0" borderId="0">
      <alignment vertical="center"/>
    </xf>
    <xf numFmtId="0" fontId="9" fillId="0" borderId="0">
      <alignment vertical="center"/>
    </xf>
    <xf numFmtId="0" fontId="30" fillId="0" borderId="0">
      <alignment vertical="center"/>
    </xf>
    <xf numFmtId="0" fontId="112" fillId="5" borderId="0" applyNumberFormat="0" applyBorder="0" applyAlignment="0" applyProtection="0">
      <alignment vertical="center"/>
    </xf>
    <xf numFmtId="0" fontId="112" fillId="5" borderId="0" applyNumberFormat="0" applyBorder="0" applyAlignment="0" applyProtection="0">
      <alignment vertical="center"/>
    </xf>
    <xf numFmtId="38" fontId="8" fillId="0" borderId="0" applyFont="0" applyFill="0" applyBorder="0" applyAlignment="0" applyProtection="0">
      <alignment vertical="center"/>
    </xf>
    <xf numFmtId="10" fontId="25" fillId="18" borderId="3" applyNumberFormat="0" applyBorder="0" applyAlignment="0" applyProtection="0"/>
    <xf numFmtId="0" fontId="17" fillId="0" borderId="2">
      <alignment horizontal="lef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3" fillId="26" borderId="7" applyNumberFormat="0" applyAlignment="0" applyProtection="0">
      <alignment vertical="center"/>
    </xf>
    <xf numFmtId="0" fontId="103" fillId="26" borderId="7" applyNumberFormat="0" applyAlignment="0" applyProtection="0">
      <alignmen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0" fontId="17" fillId="0" borderId="2">
      <alignment horizontal="left" vertical="center"/>
    </xf>
    <xf numFmtId="0" fontId="95" fillId="25" borderId="5" applyNumberFormat="0" applyFont="0" applyAlignment="0" applyProtection="0">
      <alignment vertical="center"/>
    </xf>
    <xf numFmtId="0" fontId="17" fillId="0" borderId="2">
      <alignment horizontal="lef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0" fontId="8" fillId="0" borderId="0">
      <alignment vertical="center"/>
    </xf>
    <xf numFmtId="0" fontId="113" fillId="0" borderId="0">
      <alignment vertical="center"/>
    </xf>
    <xf numFmtId="0" fontId="17" fillId="0" borderId="39">
      <alignment horizontal="left" vertical="center"/>
    </xf>
    <xf numFmtId="0" fontId="95" fillId="25" borderId="5" applyNumberFormat="0" applyFont="0" applyAlignment="0" applyProtection="0">
      <alignment vertical="center"/>
    </xf>
    <xf numFmtId="0" fontId="95" fillId="25" borderId="5" applyNumberFormat="0" applyFont="0" applyAlignment="0" applyProtection="0">
      <alignment vertical="center"/>
    </xf>
    <xf numFmtId="10" fontId="25" fillId="18" borderId="3" applyNumberFormat="0" applyBorder="0" applyAlignment="0" applyProtection="0"/>
    <xf numFmtId="10" fontId="25" fillId="18" borderId="3" applyNumberFormat="0" applyBorder="0" applyAlignment="0" applyProtection="0"/>
    <xf numFmtId="0" fontId="17" fillId="0" borderId="39">
      <alignment horizontal="left" vertical="center"/>
    </xf>
    <xf numFmtId="0" fontId="17" fillId="0" borderId="39">
      <alignment horizontal="left" vertical="center"/>
    </xf>
    <xf numFmtId="10" fontId="25" fillId="18" borderId="3" applyNumberFormat="0" applyBorder="0" applyAlignment="0" applyProtection="0"/>
    <xf numFmtId="0" fontId="17" fillId="0" borderId="39">
      <alignment horizontal="left" vertical="center"/>
    </xf>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10" fontId="25" fillId="18" borderId="3" applyNumberFormat="0" applyBorder="0" applyAlignment="0" applyProtection="0"/>
    <xf numFmtId="0" fontId="103" fillId="26" borderId="7" applyNumberFormat="0" applyAlignment="0" applyProtection="0">
      <alignment vertical="center"/>
    </xf>
    <xf numFmtId="0" fontId="103" fillId="26" borderId="7" applyNumberFormat="0" applyAlignment="0" applyProtection="0">
      <alignment vertical="center"/>
    </xf>
    <xf numFmtId="0" fontId="108" fillId="0" borderId="11" applyNumberFormat="0" applyFill="0" applyAlignment="0" applyProtection="0">
      <alignment vertical="center"/>
    </xf>
    <xf numFmtId="0" fontId="108" fillId="0" borderId="11" applyNumberFormat="0" applyFill="0" applyAlignment="0" applyProtection="0">
      <alignment vertical="center"/>
    </xf>
    <xf numFmtId="0" fontId="109" fillId="26" borderId="12" applyNumberFormat="0" applyAlignment="0" applyProtection="0">
      <alignment vertical="center"/>
    </xf>
    <xf numFmtId="0" fontId="109" fillId="26" borderId="12" applyNumberFormat="0" applyAlignment="0" applyProtection="0">
      <alignment vertical="center"/>
    </xf>
    <xf numFmtId="0" fontId="111" fillId="8" borderId="7" applyNumberFormat="0" applyAlignment="0" applyProtection="0">
      <alignment vertical="center"/>
    </xf>
    <xf numFmtId="0" fontId="111" fillId="8" borderId="7" applyNumberFormat="0" applyAlignment="0" applyProtection="0">
      <alignment vertical="center"/>
    </xf>
    <xf numFmtId="0" fontId="48" fillId="0" borderId="0">
      <alignment vertical="center"/>
    </xf>
    <xf numFmtId="0" fontId="48" fillId="0" borderId="0">
      <alignment vertical="center"/>
    </xf>
    <xf numFmtId="0" fontId="48" fillId="0" borderId="0">
      <alignment vertical="center"/>
    </xf>
    <xf numFmtId="0" fontId="48" fillId="0" borderId="0">
      <alignment vertical="center"/>
    </xf>
    <xf numFmtId="0" fontId="114" fillId="3" borderId="0" applyNumberFormat="0" applyBorder="0" applyAlignment="0" applyProtection="0">
      <alignment vertical="center"/>
    </xf>
    <xf numFmtId="0" fontId="115" fillId="3" borderId="0" applyNumberFormat="0" applyBorder="0" applyAlignment="0" applyProtection="0">
      <alignment vertical="center"/>
    </xf>
    <xf numFmtId="0" fontId="114" fillId="4" borderId="0" applyNumberFormat="0" applyBorder="0" applyAlignment="0" applyProtection="0">
      <alignment vertical="center"/>
    </xf>
    <xf numFmtId="0" fontId="115" fillId="4" borderId="0" applyNumberFormat="0" applyBorder="0" applyAlignment="0" applyProtection="0">
      <alignment vertical="center"/>
    </xf>
    <xf numFmtId="0" fontId="114" fillId="5" borderId="0" applyNumberFormat="0" applyBorder="0" applyAlignment="0" applyProtection="0">
      <alignment vertical="center"/>
    </xf>
    <xf numFmtId="0" fontId="115" fillId="5"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7" borderId="0" applyNumberFormat="0" applyBorder="0" applyAlignment="0" applyProtection="0">
      <alignment vertical="center"/>
    </xf>
    <xf numFmtId="0" fontId="115" fillId="7" borderId="0" applyNumberFormat="0" applyBorder="0" applyAlignment="0" applyProtection="0">
      <alignment vertical="center"/>
    </xf>
    <xf numFmtId="0" fontId="114" fillId="26" borderId="0" applyNumberFormat="0" applyBorder="0" applyAlignment="0" applyProtection="0">
      <alignment vertical="center"/>
    </xf>
    <xf numFmtId="0" fontId="115" fillId="8"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0" borderId="0" applyNumberFormat="0" applyBorder="0" applyAlignment="0" applyProtection="0">
      <alignment vertical="center"/>
    </xf>
    <xf numFmtId="0" fontId="115" fillId="10" borderId="0" applyNumberFormat="0" applyBorder="0" applyAlignment="0" applyProtection="0">
      <alignment vertical="center"/>
    </xf>
    <xf numFmtId="0" fontId="114" fillId="11" borderId="0" applyNumberFormat="0" applyBorder="0" applyAlignment="0" applyProtection="0">
      <alignment vertical="center"/>
    </xf>
    <xf numFmtId="0" fontId="115" fillId="11" borderId="0" applyNumberFormat="0" applyBorder="0" applyAlignment="0" applyProtection="0">
      <alignment vertical="center"/>
    </xf>
    <xf numFmtId="0" fontId="114" fillId="6" borderId="0" applyNumberFormat="0" applyBorder="0" applyAlignment="0" applyProtection="0">
      <alignment vertical="center"/>
    </xf>
    <xf numFmtId="0" fontId="115" fillId="6" borderId="0" applyNumberFormat="0" applyBorder="0" applyAlignment="0" applyProtection="0">
      <alignment vertical="center"/>
    </xf>
    <xf numFmtId="0" fontId="114" fillId="9" borderId="0" applyNumberFormat="0" applyBorder="0" applyAlignment="0" applyProtection="0">
      <alignment vertical="center"/>
    </xf>
    <xf numFmtId="0" fontId="115" fillId="9" borderId="0" applyNumberFormat="0" applyBorder="0" applyAlignment="0" applyProtection="0">
      <alignment vertical="center"/>
    </xf>
    <xf numFmtId="0" fontId="114" fillId="12" borderId="0" applyNumberFormat="0" applyBorder="0" applyAlignment="0" applyProtection="0">
      <alignment vertical="center"/>
    </xf>
    <xf numFmtId="0" fontId="115" fillId="12" borderId="0" applyNumberFormat="0" applyBorder="0" applyAlignment="0" applyProtection="0">
      <alignment vertical="center"/>
    </xf>
    <xf numFmtId="0" fontId="116" fillId="13" borderId="0" applyNumberFormat="0" applyBorder="0" applyAlignment="0" applyProtection="0">
      <alignment vertical="center"/>
    </xf>
    <xf numFmtId="0" fontId="117" fillId="13" borderId="0" applyNumberFormat="0" applyBorder="0" applyAlignment="0" applyProtection="0">
      <alignment vertical="center"/>
    </xf>
    <xf numFmtId="0" fontId="116" fillId="10" borderId="0" applyNumberFormat="0" applyBorder="0" applyAlignment="0" applyProtection="0">
      <alignment vertical="center"/>
    </xf>
    <xf numFmtId="0" fontId="117" fillId="10" borderId="0" applyNumberFormat="0" applyBorder="0" applyAlignment="0" applyProtection="0">
      <alignment vertical="center"/>
    </xf>
    <xf numFmtId="0" fontId="116" fillId="11" borderId="0" applyNumberFormat="0" applyBorder="0" applyAlignment="0" applyProtection="0">
      <alignment vertical="center"/>
    </xf>
    <xf numFmtId="0" fontId="117" fillId="1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16" borderId="0" applyNumberFormat="0" applyBorder="0" applyAlignment="0" applyProtection="0">
      <alignment vertical="center"/>
    </xf>
    <xf numFmtId="0" fontId="117" fillId="16" borderId="0" applyNumberFormat="0" applyBorder="0" applyAlignment="0" applyProtection="0">
      <alignment vertical="center"/>
    </xf>
    <xf numFmtId="182" fontId="9" fillId="0" borderId="0" applyFill="0" applyBorder="0" applyAlignment="0"/>
    <xf numFmtId="183" fontId="9" fillId="0" borderId="0" applyFill="0" applyBorder="0" applyAlignment="0"/>
    <xf numFmtId="190" fontId="9" fillId="0" borderId="0" applyFill="0" applyBorder="0" applyAlignment="0"/>
    <xf numFmtId="190" fontId="9" fillId="0" borderId="0" applyFont="0" applyFill="0" applyBorder="0" applyAlignment="0" applyProtection="0"/>
    <xf numFmtId="190" fontId="9" fillId="0" borderId="0" applyFill="0" applyBorder="0" applyAlignment="0"/>
    <xf numFmtId="190" fontId="9" fillId="0" borderId="0" applyFill="0" applyBorder="0" applyAlignment="0"/>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0" fontId="17" fillId="0" borderId="39">
      <alignment horizontal="left" vertical="center"/>
    </xf>
    <xf numFmtId="190" fontId="9" fillId="0" borderId="0" applyFill="0" applyBorder="0" applyAlignment="0"/>
    <xf numFmtId="190" fontId="9" fillId="0" borderId="0" applyFill="0" applyBorder="0" applyAlignment="0"/>
    <xf numFmtId="37" fontId="19" fillId="0" borderId="0"/>
    <xf numFmtId="183" fontId="9" fillId="0" borderId="0" applyFont="0" applyFill="0" applyBorder="0" applyAlignment="0" applyProtection="0"/>
    <xf numFmtId="193" fontId="9" fillId="0" borderId="0" applyFont="0" applyFill="0" applyBorder="0" applyAlignment="0" applyProtection="0"/>
    <xf numFmtId="190" fontId="9" fillId="0" borderId="0" applyFill="0" applyBorder="0" applyAlignment="0"/>
    <xf numFmtId="190" fontId="9" fillId="0" borderId="0" applyFill="0" applyBorder="0" applyAlignment="0"/>
    <xf numFmtId="184" fontId="9" fillId="0" borderId="0" applyFill="0" applyBorder="0" applyAlignment="0"/>
    <xf numFmtId="185" fontId="9" fillId="0" borderId="0" applyFill="0" applyBorder="0" applyAlignment="0"/>
    <xf numFmtId="0" fontId="116" fillId="19" borderId="0" applyNumberFormat="0" applyBorder="0" applyAlignment="0" applyProtection="0">
      <alignment vertical="center"/>
    </xf>
    <xf numFmtId="0" fontId="117" fillId="19" borderId="0" applyNumberFormat="0" applyBorder="0" applyAlignment="0" applyProtection="0">
      <alignment vertical="center"/>
    </xf>
    <xf numFmtId="0" fontId="116" fillId="20" borderId="0" applyNumberFormat="0" applyBorder="0" applyAlignment="0" applyProtection="0">
      <alignment vertical="center"/>
    </xf>
    <xf numFmtId="0" fontId="117" fillId="20" borderId="0" applyNumberFormat="0" applyBorder="0" applyAlignment="0" applyProtection="0">
      <alignment vertical="center"/>
    </xf>
    <xf numFmtId="0" fontId="116" fillId="21" borderId="0" applyNumberFormat="0" applyBorder="0" applyAlignment="0" applyProtection="0">
      <alignment vertical="center"/>
    </xf>
    <xf numFmtId="0" fontId="117" fillId="21" borderId="0" applyNumberFormat="0" applyBorder="0" applyAlignment="0" applyProtection="0">
      <alignment vertical="center"/>
    </xf>
    <xf numFmtId="0" fontId="116" fillId="14" borderId="0" applyNumberFormat="0" applyBorder="0" applyAlignment="0" applyProtection="0">
      <alignment vertical="center"/>
    </xf>
    <xf numFmtId="0" fontId="117" fillId="14" borderId="0" applyNumberFormat="0" applyBorder="0" applyAlignment="0" applyProtection="0">
      <alignment vertical="center"/>
    </xf>
    <xf numFmtId="0" fontId="116" fillId="15" borderId="0" applyNumberFormat="0" applyBorder="0" applyAlignment="0" applyProtection="0">
      <alignment vertical="center"/>
    </xf>
    <xf numFmtId="0" fontId="117" fillId="15" borderId="0" applyNumberFormat="0" applyBorder="0" applyAlignment="0" applyProtection="0">
      <alignment vertical="center"/>
    </xf>
    <xf numFmtId="0" fontId="116" fillId="22" borderId="0" applyNumberFormat="0" applyBorder="0" applyAlignment="0" applyProtection="0">
      <alignment vertical="center"/>
    </xf>
    <xf numFmtId="0" fontId="117" fillId="22" borderId="0" applyNumberFormat="0" applyBorder="0" applyAlignment="0" applyProtection="0">
      <alignment vertical="center"/>
    </xf>
    <xf numFmtId="0" fontId="118" fillId="23" borderId="4" applyNumberFormat="0" applyAlignment="0" applyProtection="0">
      <alignment vertical="center"/>
    </xf>
    <xf numFmtId="0" fontId="119" fillId="23" borderId="4" applyNumberFormat="0" applyAlignment="0" applyProtection="0">
      <alignment vertical="center"/>
    </xf>
    <xf numFmtId="0" fontId="120" fillId="24" borderId="0" applyNumberFormat="0" applyBorder="0" applyAlignment="0" applyProtection="0">
      <alignment vertical="center"/>
    </xf>
    <xf numFmtId="0" fontId="121" fillId="24" borderId="0" applyNumberFormat="0" applyBorder="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22" fillId="0" borderId="6" applyNumberFormat="0" applyFill="0" applyAlignment="0" applyProtection="0">
      <alignment vertical="center"/>
    </xf>
    <xf numFmtId="0" fontId="123" fillId="0" borderId="6" applyNumberFormat="0" applyFill="0" applyAlignment="0" applyProtection="0">
      <alignment vertical="center"/>
    </xf>
    <xf numFmtId="0" fontId="124" fillId="0" borderId="25" applyNumberFormat="0" applyFill="0" applyAlignment="0" applyProtection="0">
      <alignment vertical="center"/>
    </xf>
    <xf numFmtId="0" fontId="125" fillId="4" borderId="0" applyNumberFormat="0" applyBorder="0" applyAlignment="0" applyProtection="0">
      <alignment vertical="center"/>
    </xf>
    <xf numFmtId="0" fontId="126" fillId="4" borderId="0" applyNumberFormat="0" applyBorder="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129" fillId="0" borderId="0" applyNumberFormat="0" applyFill="0" applyBorder="0" applyAlignment="0" applyProtection="0">
      <alignment vertical="center"/>
    </xf>
    <xf numFmtId="0" fontId="130" fillId="0" borderId="0" applyNumberFormat="0" applyFill="0" applyBorder="0" applyAlignment="0" applyProtection="0">
      <alignment vertical="center"/>
    </xf>
    <xf numFmtId="38" fontId="7" fillId="0" borderId="0" applyFont="0" applyFill="0" applyBorder="0" applyAlignment="0" applyProtection="0">
      <alignment vertical="center"/>
    </xf>
    <xf numFmtId="38" fontId="7" fillId="0" borderId="0" applyFont="0" applyFill="0" applyBorder="0" applyAlignment="0" applyProtection="0">
      <alignment vertical="center"/>
    </xf>
    <xf numFmtId="0" fontId="38" fillId="0" borderId="8" applyNumberFormat="0" applyFill="0" applyAlignment="0" applyProtection="0">
      <alignment vertical="center"/>
    </xf>
    <xf numFmtId="0" fontId="131" fillId="0" borderId="8" applyNumberFormat="0" applyFill="0" applyAlignment="0" applyProtection="0">
      <alignment vertical="center"/>
    </xf>
    <xf numFmtId="0" fontId="39" fillId="0" borderId="9" applyNumberFormat="0" applyFill="0" applyAlignment="0" applyProtection="0">
      <alignment vertical="center"/>
    </xf>
    <xf numFmtId="0" fontId="132" fillId="0" borderId="9" applyNumberFormat="0" applyFill="0" applyAlignment="0" applyProtection="0">
      <alignment vertical="center"/>
    </xf>
    <xf numFmtId="0" fontId="40" fillId="0" borderId="10" applyNumberFormat="0" applyFill="0" applyAlignment="0" applyProtection="0">
      <alignment vertical="center"/>
    </xf>
    <xf numFmtId="0" fontId="133" fillId="0" borderId="10" applyNumberFormat="0" applyFill="0" applyAlignment="0" applyProtection="0">
      <alignment vertical="center"/>
    </xf>
    <xf numFmtId="0" fontId="40"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4"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08" fillId="0" borderId="42" applyNumberFormat="0" applyFill="0" applyAlignment="0" applyProtection="0">
      <alignment vertical="center"/>
    </xf>
    <xf numFmtId="0" fontId="135"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41" fillId="0" borderId="42" applyNumberFormat="0" applyFill="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6"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09" fillId="26" borderId="43" applyNumberFormat="0" applyAlignment="0" applyProtection="0">
      <alignment vertical="center"/>
    </xf>
    <xf numFmtId="0" fontId="137"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42" fillId="26" borderId="43" applyNumberFormat="0" applyAlignment="0" applyProtection="0">
      <alignment vertical="center"/>
    </xf>
    <xf numFmtId="0" fontId="9" fillId="0" borderId="0" applyNumberFormat="0" applyFont="0" applyFill="0" applyBorder="0" applyProtection="0">
      <alignment vertical="top"/>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9" fillId="0" borderId="44" applyNumberFormat="0" applyFont="0" applyFill="0" applyBorder="0" applyProtection="0">
      <alignment vertical="top" wrapText="1"/>
      <protection locked="0"/>
    </xf>
    <xf numFmtId="0" fontId="138" fillId="0" borderId="0" applyNumberFormat="0" applyFill="0" applyBorder="0" applyAlignment="0" applyProtection="0">
      <alignment vertical="center"/>
    </xf>
    <xf numFmtId="0" fontId="139" fillId="0" borderId="0" applyNumberFormat="0" applyFill="0" applyBorder="0" applyAlignment="0" applyProtection="0">
      <alignment vertical="center"/>
    </xf>
    <xf numFmtId="0" fontId="9" fillId="0" borderId="0" applyNumberFormat="0" applyFont="0" applyFill="0" applyBorder="0" applyProtection="0">
      <alignment vertical="center"/>
    </xf>
    <xf numFmtId="0" fontId="9" fillId="0" borderId="0" applyNumberFormat="0" applyFont="0" applyFill="0" applyBorder="0" applyProtection="0">
      <alignment vertical="center" wrapText="1"/>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0"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alignment vertical="center"/>
    </xf>
    <xf numFmtId="0" fontId="7" fillId="0" borderId="0">
      <alignment vertical="center"/>
    </xf>
    <xf numFmtId="0" fontId="7" fillId="0" borderId="0">
      <alignment vertical="center"/>
    </xf>
    <xf numFmtId="0" fontId="9" fillId="0" borderId="0"/>
    <xf numFmtId="0" fontId="9" fillId="0" borderId="0">
      <alignment vertical="center"/>
    </xf>
    <xf numFmtId="0" fontId="114" fillId="0" borderId="0">
      <alignment vertical="center"/>
    </xf>
    <xf numFmtId="0" fontId="9" fillId="0" borderId="0">
      <alignment vertical="center"/>
    </xf>
    <xf numFmtId="0" fontId="115" fillId="0" borderId="0">
      <alignment vertical="center"/>
    </xf>
    <xf numFmtId="0" fontId="142" fillId="5" borderId="0" applyNumberFormat="0" applyBorder="0" applyAlignment="0" applyProtection="0">
      <alignment vertical="center"/>
    </xf>
    <xf numFmtId="0" fontId="143" fillId="5" borderId="0" applyNumberFormat="0" applyBorder="0" applyAlignment="0" applyProtection="0">
      <alignment vertical="center"/>
    </xf>
    <xf numFmtId="0" fontId="17" fillId="0" borderId="45">
      <alignment horizontal="left" vertical="center"/>
    </xf>
    <xf numFmtId="0" fontId="9" fillId="25" borderId="46" applyNumberFormat="0" applyFont="0" applyAlignment="0" applyProtection="0">
      <alignment vertical="center"/>
    </xf>
    <xf numFmtId="0" fontId="37" fillId="26" borderId="47" applyNumberFormat="0" applyAlignment="0" applyProtection="0">
      <alignment vertical="center"/>
    </xf>
    <xf numFmtId="0" fontId="41" fillId="0" borderId="48" applyNumberFormat="0" applyFill="0" applyAlignment="0" applyProtection="0">
      <alignment vertical="center"/>
    </xf>
    <xf numFmtId="0" fontId="42" fillId="26" borderId="49" applyNumberFormat="0" applyAlignment="0" applyProtection="0">
      <alignment vertical="center"/>
    </xf>
    <xf numFmtId="0" fontId="9" fillId="0" borderId="50" applyNumberFormat="0" applyFont="0" applyFill="0" applyBorder="0" applyProtection="0">
      <alignment vertical="top" wrapText="1"/>
      <protection locked="0"/>
    </xf>
    <xf numFmtId="0" fontId="44" fillId="8" borderId="47" applyNumberFormat="0" applyAlignment="0" applyProtection="0">
      <alignment vertical="center"/>
    </xf>
    <xf numFmtId="0" fontId="6" fillId="0" borderId="0">
      <alignmen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6" fillId="0" borderId="0">
      <alignment vertical="center"/>
    </xf>
    <xf numFmtId="0" fontId="6" fillId="0" borderId="0">
      <alignment vertical="center"/>
    </xf>
    <xf numFmtId="38" fontId="6" fillId="0" borderId="0" applyFont="0" applyFill="0" applyBorder="0" applyAlignment="0" applyProtection="0">
      <alignment vertical="center"/>
    </xf>
    <xf numFmtId="0" fontId="17" fillId="0" borderId="45">
      <alignment horizontal="lef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95" fillId="25" borderId="46" applyNumberFormat="0" applyFont="0" applyAlignment="0" applyProtection="0">
      <alignment vertical="center"/>
    </xf>
    <xf numFmtId="0" fontId="17" fillId="0" borderId="45">
      <alignment horizontal="left" vertical="center"/>
    </xf>
    <xf numFmtId="0" fontId="17" fillId="0" borderId="45">
      <alignment horizontal="left" vertical="center"/>
    </xf>
    <xf numFmtId="0" fontId="95" fillId="25" borderId="46" applyNumberFormat="0" applyFont="0" applyAlignment="0" applyProtection="0">
      <alignment vertical="center"/>
    </xf>
    <xf numFmtId="0" fontId="17" fillId="0" borderId="45">
      <alignment horizontal="left" vertical="center"/>
    </xf>
    <xf numFmtId="0" fontId="17" fillId="0" borderId="51">
      <alignment horizontal="left" vertical="center"/>
    </xf>
    <xf numFmtId="0" fontId="6" fillId="0" borderId="0">
      <alignment vertical="center"/>
    </xf>
    <xf numFmtId="0" fontId="17" fillId="0" borderId="51">
      <alignment horizontal="left" vertical="center"/>
    </xf>
    <xf numFmtId="0" fontId="95" fillId="25" borderId="46" applyNumberFormat="0" applyFont="0" applyAlignment="0" applyProtection="0">
      <alignment vertical="center"/>
    </xf>
    <xf numFmtId="0" fontId="95" fillId="25" borderId="46" applyNumberFormat="0" applyFon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03" fillId="26" borderId="47" applyNumberFormat="0" applyAlignment="0" applyProtection="0">
      <alignment vertical="center"/>
    </xf>
    <xf numFmtId="0" fontId="103" fillId="26" borderId="47" applyNumberFormat="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11" fillId="8" borderId="47" applyNumberFormat="0" applyAlignment="0" applyProtection="0">
      <alignment vertical="center"/>
    </xf>
    <xf numFmtId="0" fontId="111" fillId="8" borderId="47" applyNumberFormat="0" applyAlignment="0" applyProtection="0">
      <alignmen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17" fillId="0" borderId="51">
      <alignment horizontal="lef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114"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5"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9" fillId="25" borderId="52" applyNumberFormat="0" applyFon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7"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03" fillId="26" borderId="53" applyNumberFormat="0" applyAlignment="0" applyProtection="0">
      <alignment vertical="center"/>
    </xf>
    <xf numFmtId="0" fontId="128"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0" fontId="37" fillId="26" borderId="53" applyNumberFormat="0" applyAlignment="0" applyProtection="0">
      <alignment vertical="center"/>
    </xf>
    <xf numFmtId="38" fontId="6" fillId="0" borderId="0" applyFont="0" applyFill="0" applyBorder="0" applyAlignment="0" applyProtection="0">
      <alignment vertical="center"/>
    </xf>
    <xf numFmtId="38" fontId="6" fillId="0" borderId="0" applyFont="0" applyFill="0" applyBorder="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4"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08" fillId="0" borderId="54" applyNumberFormat="0" applyFill="0" applyAlignment="0" applyProtection="0">
      <alignment vertical="center"/>
    </xf>
    <xf numFmtId="0" fontId="135"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41" fillId="0" borderId="54" applyNumberFormat="0" applyFill="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6"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09" fillId="26" borderId="55" applyNumberFormat="0" applyAlignment="0" applyProtection="0">
      <alignment vertical="center"/>
    </xf>
    <xf numFmtId="0" fontId="137"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42" fillId="26" borderId="55" applyNumberFormat="0" applyAlignment="0" applyProtection="0">
      <alignment vertical="center"/>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9" fillId="0" borderId="56" applyNumberFormat="0" applyFont="0" applyFill="0" applyBorder="0" applyProtection="0">
      <alignment vertical="top" wrapText="1"/>
      <protection locked="0"/>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0" fillId="26"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11" fillId="8" borderId="53" applyNumberFormat="0" applyAlignment="0" applyProtection="0">
      <alignment vertical="center"/>
    </xf>
    <xf numFmtId="0" fontId="141"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44" fillId="8" borderId="53" applyNumberFormat="0" applyAlignment="0" applyProtection="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6" fillId="0" borderId="0">
      <alignment vertical="center"/>
    </xf>
    <xf numFmtId="0" fontId="84" fillId="0" borderId="0"/>
    <xf numFmtId="0" fontId="5" fillId="0" borderId="0">
      <alignment vertical="center"/>
    </xf>
    <xf numFmtId="43" fontId="10" fillId="0" borderId="0" applyFont="0" applyFill="0" applyBorder="0" applyAlignment="0" applyProtection="0"/>
    <xf numFmtId="43" fontId="10" fillId="0" borderId="0" applyFont="0" applyFill="0" applyBorder="0" applyAlignment="0" applyProtection="0"/>
    <xf numFmtId="0" fontId="30" fillId="3" borderId="0" applyNumberFormat="0" applyBorder="0" applyAlignment="0" applyProtection="0">
      <alignment vertical="center"/>
    </xf>
    <xf numFmtId="0" fontId="30" fillId="4" borderId="0" applyNumberFormat="0" applyBorder="0" applyAlignment="0" applyProtection="0">
      <alignment vertical="center"/>
    </xf>
    <xf numFmtId="0" fontId="30" fillId="5" borderId="0" applyNumberFormat="0" applyBorder="0" applyAlignment="0" applyProtection="0">
      <alignment vertical="center"/>
    </xf>
    <xf numFmtId="0" fontId="30" fillId="6" borderId="0" applyNumberFormat="0" applyBorder="0" applyAlignment="0" applyProtection="0">
      <alignment vertical="center"/>
    </xf>
    <xf numFmtId="0" fontId="30" fillId="7" borderId="0" applyNumberFormat="0" applyBorder="0" applyAlignment="0" applyProtection="0">
      <alignment vertical="center"/>
    </xf>
    <xf numFmtId="0" fontId="30" fillId="8" borderId="0" applyNumberFormat="0" applyBorder="0" applyAlignment="0" applyProtection="0">
      <alignment vertical="center"/>
    </xf>
    <xf numFmtId="0" fontId="30" fillId="9" borderId="0" applyNumberFormat="0" applyBorder="0" applyAlignment="0" applyProtection="0">
      <alignment vertical="center"/>
    </xf>
    <xf numFmtId="0" fontId="30" fillId="10" borderId="0" applyNumberFormat="0" applyBorder="0" applyAlignment="0" applyProtection="0">
      <alignment vertical="center"/>
    </xf>
    <xf numFmtId="0" fontId="30" fillId="11" borderId="0" applyNumberFormat="0" applyBorder="0" applyAlignment="0" applyProtection="0">
      <alignment vertical="center"/>
    </xf>
    <xf numFmtId="0" fontId="30" fillId="6" borderId="0" applyNumberFormat="0" applyBorder="0" applyAlignment="0" applyProtection="0">
      <alignment vertical="center"/>
    </xf>
    <xf numFmtId="0" fontId="30" fillId="9"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1" fillId="10" borderId="0" applyNumberFormat="0" applyBorder="0" applyAlignment="0" applyProtection="0">
      <alignment vertical="center"/>
    </xf>
    <xf numFmtId="0" fontId="31" fillId="1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16" borderId="0" applyNumberFormat="0" applyBorder="0" applyAlignment="0" applyProtection="0">
      <alignment vertical="center"/>
    </xf>
    <xf numFmtId="0" fontId="31" fillId="19" borderId="0" applyNumberFormat="0" applyBorder="0" applyAlignment="0" applyProtection="0">
      <alignment vertical="center"/>
    </xf>
    <xf numFmtId="0" fontId="31" fillId="20" borderId="0" applyNumberFormat="0" applyBorder="0" applyAlignment="0" applyProtection="0">
      <alignment vertical="center"/>
    </xf>
    <xf numFmtId="0" fontId="31" fillId="21"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1" fillId="22" borderId="0" applyNumberFormat="0" applyBorder="0" applyAlignment="0" applyProtection="0">
      <alignment vertical="center"/>
    </xf>
    <xf numFmtId="0" fontId="33" fillId="23" borderId="4" applyNumberFormat="0" applyAlignment="0" applyProtection="0">
      <alignment vertical="center"/>
    </xf>
    <xf numFmtId="0" fontId="34" fillId="24" borderId="0" applyNumberFormat="0" applyBorder="0" applyAlignment="0" applyProtection="0">
      <alignment vertical="center"/>
    </xf>
    <xf numFmtId="0" fontId="35" fillId="0" borderId="6" applyNumberFormat="0" applyFill="0" applyAlignment="0" applyProtection="0">
      <alignment vertical="center"/>
    </xf>
    <xf numFmtId="0" fontId="36" fillId="4" borderId="0" applyNumberFormat="0" applyBorder="0" applyAlignment="0" applyProtection="0">
      <alignment vertical="center"/>
    </xf>
    <xf numFmtId="0" fontId="29" fillId="0" borderId="0" applyNumberForma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38" fontId="4" fillId="0" borderId="0" applyFont="0" applyFill="0" applyBorder="0" applyAlignment="0" applyProtection="0">
      <alignment vertical="center"/>
    </xf>
    <xf numFmtId="0" fontId="38" fillId="0" borderId="8" applyNumberFormat="0" applyFill="0" applyAlignment="0" applyProtection="0">
      <alignment vertical="center"/>
    </xf>
    <xf numFmtId="0" fontId="39" fillId="0" borderId="9" applyNumberFormat="0" applyFill="0" applyAlignment="0" applyProtection="0">
      <alignment vertical="center"/>
    </xf>
    <xf numFmtId="0" fontId="40" fillId="0" borderId="10" applyNumberFormat="0" applyFill="0" applyAlignment="0" applyProtection="0">
      <alignment vertical="center"/>
    </xf>
    <xf numFmtId="0" fontId="40"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6" fillId="5" borderId="0" applyNumberFormat="0" applyBorder="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34" fillId="0" borderId="48" applyNumberFormat="0" applyFill="0" applyAlignment="0" applyProtection="0">
      <alignment vertical="center"/>
    </xf>
    <xf numFmtId="0" fontId="135" fillId="0" borderId="48" applyNumberFormat="0" applyFill="0" applyAlignment="0" applyProtection="0">
      <alignment vertical="center"/>
    </xf>
    <xf numFmtId="0" fontId="136" fillId="26" borderId="49" applyNumberFormat="0" applyAlignment="0" applyProtection="0">
      <alignment vertical="center"/>
    </xf>
    <xf numFmtId="0" fontId="137" fillId="26" borderId="49"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17" fillId="0" borderId="65">
      <alignment horizontal="left" vertical="center"/>
    </xf>
    <xf numFmtId="0" fontId="9" fillId="25" borderId="40" applyNumberFormat="0" applyFont="0" applyAlignment="0" applyProtection="0">
      <alignment vertical="center"/>
    </xf>
    <xf numFmtId="0" fontId="37" fillId="26" borderId="41" applyNumberFormat="0" applyAlignment="0" applyProtection="0">
      <alignment vertical="center"/>
    </xf>
    <xf numFmtId="0" fontId="9" fillId="0" borderId="56" applyNumberFormat="0" applyFont="0" applyFill="0" applyBorder="0" applyProtection="0">
      <alignment vertical="top" wrapText="1"/>
      <protection locked="0"/>
    </xf>
    <xf numFmtId="0" fontId="44" fillId="8" borderId="41" applyNumberFormat="0" applyAlignment="0" applyProtection="0">
      <alignment vertical="center"/>
    </xf>
    <xf numFmtId="0" fontId="3" fillId="0" borderId="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17" fillId="0" borderId="65">
      <alignment horizontal="lef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3" fillId="0" borderId="0">
      <alignmen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17" fillId="0" borderId="65">
      <alignment horizontal="lef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114"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5"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9" fillId="25" borderId="40" applyNumberFormat="0" applyFon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7"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03" fillId="26" borderId="41" applyNumberFormat="0" applyAlignment="0" applyProtection="0">
      <alignment vertical="center"/>
    </xf>
    <xf numFmtId="0" fontId="128"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0" fontId="37" fillId="26" borderId="41" applyNumberFormat="0" applyAlignment="0" applyProtection="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4"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08" fillId="0" borderId="48" applyNumberFormat="0" applyFill="0" applyAlignment="0" applyProtection="0">
      <alignment vertical="center"/>
    </xf>
    <xf numFmtId="0" fontId="135"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41" fillId="0" borderId="48" applyNumberFormat="0" applyFill="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6"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09" fillId="26" borderId="49" applyNumberFormat="0" applyAlignment="0" applyProtection="0">
      <alignment vertical="center"/>
    </xf>
    <xf numFmtId="0" fontId="137"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42" fillId="26" borderId="49"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0" fillId="26"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11" fillId="8" borderId="41" applyNumberFormat="0" applyAlignment="0" applyProtection="0">
      <alignment vertical="center"/>
    </xf>
    <xf numFmtId="0" fontId="141"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44" fillId="8" borderId="41" applyNumberFormat="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3" fillId="0" borderId="0" applyFont="0" applyFill="0" applyBorder="0" applyAlignment="0" applyProtection="0">
      <alignment vertical="center"/>
    </xf>
    <xf numFmtId="0" fontId="3" fillId="0" borderId="0">
      <alignment vertical="center"/>
    </xf>
    <xf numFmtId="38" fontId="3" fillId="0" borderId="0" applyFont="0" applyFill="0" applyBorder="0" applyAlignment="0" applyProtection="0">
      <alignment vertical="center"/>
    </xf>
    <xf numFmtId="38" fontId="3" fillId="0" borderId="0" applyFont="0" applyFill="0" applyBorder="0" applyAlignment="0" applyProtection="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2" fillId="0" borderId="0" applyFont="0" applyFill="0" applyBorder="0" applyAlignment="0" applyProtection="0">
      <alignment vertical="center"/>
    </xf>
    <xf numFmtId="0" fontId="2" fillId="0" borderId="0">
      <alignment vertical="center"/>
    </xf>
    <xf numFmtId="38"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38" fontId="1" fillId="0" borderId="0" applyFont="0" applyFill="0" applyBorder="0" applyAlignment="0" applyProtection="0">
      <alignment vertical="center"/>
    </xf>
    <xf numFmtId="0" fontId="1" fillId="0" borderId="0">
      <alignment vertical="center"/>
    </xf>
    <xf numFmtId="38" fontId="1" fillId="0" borderId="0" applyFont="0" applyFill="0" applyBorder="0" applyAlignment="0" applyProtection="0">
      <alignment vertical="center"/>
    </xf>
    <xf numFmtId="38" fontId="1" fillId="0" borderId="0" applyFon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209">
    <xf numFmtId="0" fontId="0" fillId="0" borderId="0" xfId="0"/>
    <xf numFmtId="0" fontId="91" fillId="0" borderId="0" xfId="210" applyFont="1" applyFill="1" applyBorder="1" applyAlignment="1">
      <alignment vertical="center"/>
    </xf>
    <xf numFmtId="49" fontId="91" fillId="0" borderId="0" xfId="210" applyNumberFormat="1" applyFont="1" applyAlignment="1">
      <alignment horizontal="center" vertical="center"/>
    </xf>
    <xf numFmtId="0" fontId="91" fillId="0" borderId="0" xfId="210" applyFont="1" applyAlignment="1">
      <alignment vertical="center"/>
    </xf>
    <xf numFmtId="0" fontId="91" fillId="0" borderId="0" xfId="210" applyFont="1" applyAlignment="1">
      <alignment horizontal="center" vertical="center"/>
    </xf>
    <xf numFmtId="0" fontId="91" fillId="0" borderId="0" xfId="210" applyFont="1" applyBorder="1" applyAlignment="1">
      <alignment vertical="center" wrapText="1"/>
    </xf>
    <xf numFmtId="0" fontId="91" fillId="27" borderId="3" xfId="210" applyFont="1" applyFill="1" applyBorder="1" applyAlignment="1">
      <alignment horizontal="center" vertical="center" wrapText="1"/>
    </xf>
    <xf numFmtId="0" fontId="91" fillId="27" borderId="3" xfId="210" applyFont="1" applyFill="1" applyBorder="1" applyAlignment="1">
      <alignment horizontal="center" vertical="center"/>
    </xf>
    <xf numFmtId="194" fontId="91" fillId="0" borderId="0" xfId="210" applyNumberFormat="1" applyFont="1" applyAlignment="1">
      <alignment vertical="center"/>
    </xf>
    <xf numFmtId="0" fontId="92" fillId="0" borderId="0" xfId="210" applyFont="1" applyFill="1" applyBorder="1" applyAlignment="1">
      <alignment vertical="center"/>
    </xf>
    <xf numFmtId="194" fontId="91" fillId="0" borderId="3" xfId="210" applyNumberFormat="1" applyFont="1" applyBorder="1" applyAlignment="1">
      <alignment horizontal="center" vertical="center" wrapText="1"/>
    </xf>
    <xf numFmtId="194" fontId="91" fillId="0" borderId="3" xfId="210" applyNumberFormat="1" applyFont="1" applyBorder="1" applyAlignment="1">
      <alignment horizontal="center" vertical="center"/>
    </xf>
    <xf numFmtId="194" fontId="91" fillId="0" borderId="0" xfId="210" applyNumberFormat="1" applyFont="1" applyAlignment="1">
      <alignment vertical="center" wrapText="1"/>
    </xf>
    <xf numFmtId="0" fontId="91" fillId="0" borderId="0" xfId="210" applyFont="1" applyFill="1" applyBorder="1" applyAlignment="1">
      <alignment horizontal="right" vertical="center"/>
    </xf>
    <xf numFmtId="0" fontId="91" fillId="0" borderId="0" xfId="210" applyFont="1" applyBorder="1" applyAlignment="1">
      <alignment horizontal="center" vertical="center" wrapText="1"/>
    </xf>
    <xf numFmtId="0" fontId="91" fillId="0" borderId="0" xfId="210" applyFont="1" applyFill="1" applyAlignment="1">
      <alignment vertical="center"/>
    </xf>
    <xf numFmtId="49" fontId="91" fillId="0" borderId="21" xfId="210" applyNumberFormat="1" applyFont="1" applyFill="1" applyBorder="1" applyAlignment="1">
      <alignment horizontal="center" vertical="center"/>
    </xf>
    <xf numFmtId="0" fontId="91" fillId="0" borderId="21" xfId="210" applyFont="1" applyFill="1" applyBorder="1" applyAlignment="1">
      <alignment vertical="center" wrapText="1"/>
    </xf>
    <xf numFmtId="0" fontId="91" fillId="0" borderId="3" xfId="210" applyFont="1" applyFill="1" applyBorder="1" applyAlignment="1">
      <alignment vertical="center" wrapText="1"/>
    </xf>
    <xf numFmtId="0" fontId="91" fillId="0" borderId="17" xfId="210" applyFont="1" applyFill="1" applyBorder="1" applyAlignment="1">
      <alignment horizontal="center" vertical="center"/>
    </xf>
    <xf numFmtId="14" fontId="91" fillId="0" borderId="17" xfId="210" applyNumberFormat="1" applyFont="1" applyFill="1" applyBorder="1" applyAlignment="1">
      <alignment horizontal="center" vertical="center"/>
    </xf>
    <xf numFmtId="49" fontId="91" fillId="0" borderId="17" xfId="210" applyNumberFormat="1" applyFont="1" applyFill="1" applyBorder="1" applyAlignment="1">
      <alignment horizontal="center" vertical="center"/>
    </xf>
    <xf numFmtId="0" fontId="91" fillId="0" borderId="17" xfId="210" applyFont="1" applyFill="1" applyBorder="1" applyAlignment="1">
      <alignment vertical="center" wrapText="1"/>
    </xf>
    <xf numFmtId="49" fontId="91" fillId="0" borderId="0" xfId="210" applyNumberFormat="1" applyFont="1" applyFill="1" applyBorder="1" applyAlignment="1">
      <alignment horizontal="center" vertical="center"/>
    </xf>
    <xf numFmtId="0" fontId="91" fillId="0" borderId="0" xfId="210" applyFont="1" applyFill="1" applyBorder="1" applyAlignment="1">
      <alignment vertical="center" wrapText="1"/>
    </xf>
    <xf numFmtId="0" fontId="91" fillId="0" borderId="0" xfId="210" applyFont="1" applyFill="1" applyBorder="1" applyAlignment="1">
      <alignment horizontal="center" vertical="center" wrapText="1"/>
    </xf>
    <xf numFmtId="14" fontId="91" fillId="0" borderId="0" xfId="210" applyNumberFormat="1" applyFont="1" applyFill="1" applyBorder="1" applyAlignment="1">
      <alignment horizontal="center" vertical="center"/>
    </xf>
    <xf numFmtId="194" fontId="91" fillId="0" borderId="0" xfId="210" applyNumberFormat="1" applyFont="1" applyFill="1" applyAlignment="1">
      <alignment vertical="center"/>
    </xf>
    <xf numFmtId="0" fontId="91" fillId="0" borderId="3" xfId="210" applyFont="1" applyFill="1" applyBorder="1" applyAlignment="1">
      <alignment horizontal="left" vertical="center"/>
    </xf>
    <xf numFmtId="0" fontId="91" fillId="0" borderId="19" xfId="210" applyFont="1" applyFill="1" applyBorder="1" applyAlignment="1">
      <alignment horizontal="left" vertical="center"/>
    </xf>
    <xf numFmtId="0" fontId="91" fillId="59" borderId="18" xfId="210" applyFont="1" applyFill="1" applyBorder="1" applyAlignment="1">
      <alignment horizontal="center" vertical="center"/>
    </xf>
    <xf numFmtId="194" fontId="91" fillId="0" borderId="18" xfId="210" applyNumberFormat="1" applyFont="1" applyFill="1" applyBorder="1" applyAlignment="1">
      <alignment vertical="center"/>
    </xf>
    <xf numFmtId="0" fontId="91" fillId="59" borderId="2" xfId="210" applyFont="1" applyFill="1" applyBorder="1" applyAlignment="1">
      <alignment horizontal="center" vertical="center"/>
    </xf>
    <xf numFmtId="0" fontId="91" fillId="59" borderId="20" xfId="210" applyFont="1" applyFill="1" applyBorder="1" applyAlignment="1">
      <alignment horizontal="center" vertical="center"/>
    </xf>
    <xf numFmtId="0" fontId="91" fillId="0" borderId="2" xfId="210" applyFont="1" applyFill="1" applyBorder="1" applyAlignment="1">
      <alignment horizontal="center" vertical="center"/>
    </xf>
    <xf numFmtId="0" fontId="91" fillId="0" borderId="20" xfId="210" applyFont="1" applyFill="1" applyBorder="1" applyAlignment="1">
      <alignment horizontal="center" vertical="center"/>
    </xf>
    <xf numFmtId="0" fontId="91" fillId="0" borderId="2" xfId="210" applyFont="1" applyFill="1" applyBorder="1" applyAlignment="1">
      <alignment vertical="center"/>
    </xf>
    <xf numFmtId="0" fontId="91" fillId="0" borderId="20" xfId="210" applyFont="1" applyFill="1" applyBorder="1" applyAlignment="1">
      <alignment vertical="center"/>
    </xf>
    <xf numFmtId="49" fontId="91" fillId="0" borderId="19" xfId="210" applyNumberFormat="1" applyFont="1" applyFill="1" applyBorder="1" applyAlignment="1">
      <alignment horizontal="center" vertical="center"/>
    </xf>
    <xf numFmtId="0" fontId="91" fillId="0" borderId="18" xfId="210" applyFont="1" applyFill="1" applyBorder="1" applyAlignment="1">
      <alignment horizontal="left" vertical="center"/>
    </xf>
    <xf numFmtId="0" fontId="91" fillId="0" borderId="21" xfId="210" applyFont="1" applyFill="1" applyBorder="1" applyAlignment="1">
      <alignment horizontal="left" vertical="center"/>
    </xf>
    <xf numFmtId="49" fontId="91" fillId="0" borderId="3" xfId="210" applyNumberFormat="1" applyFont="1" applyFill="1" applyBorder="1" applyAlignment="1">
      <alignment horizontal="center" vertical="center"/>
    </xf>
    <xf numFmtId="0" fontId="91" fillId="0" borderId="3" xfId="210" applyFont="1" applyFill="1" applyBorder="1" applyAlignment="1">
      <alignment horizontal="left" vertical="center" wrapText="1"/>
    </xf>
    <xf numFmtId="0" fontId="91" fillId="0" borderId="18" xfId="210" applyFont="1" applyFill="1" applyBorder="1" applyAlignment="1">
      <alignment horizontal="left" vertical="center" wrapText="1"/>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19" xfId="210" applyFont="1" applyFill="1" applyBorder="1" applyAlignment="1">
      <alignment vertical="center" wrapText="1"/>
    </xf>
    <xf numFmtId="0" fontId="91" fillId="0" borderId="21" xfId="210" applyFont="1" applyFill="1" applyBorder="1" applyAlignment="1">
      <alignment horizontal="center" vertical="center"/>
    </xf>
    <xf numFmtId="14" fontId="91" fillId="0" borderId="21" xfId="210" applyNumberFormat="1" applyFont="1" applyFill="1" applyBorder="1" applyAlignment="1">
      <alignment horizontal="center" vertical="center"/>
    </xf>
    <xf numFmtId="0" fontId="91" fillId="0" borderId="32" xfId="210" applyFont="1" applyFill="1" applyBorder="1" applyAlignment="1">
      <alignment horizontal="left" vertical="center"/>
    </xf>
    <xf numFmtId="194" fontId="91" fillId="0" borderId="34" xfId="210" applyNumberFormat="1" applyFont="1" applyFill="1" applyBorder="1" applyAlignment="1">
      <alignment vertical="center"/>
    </xf>
    <xf numFmtId="0" fontId="91" fillId="0" borderId="38" xfId="210" applyFont="1" applyFill="1" applyBorder="1" applyAlignment="1">
      <alignment vertical="center"/>
    </xf>
    <xf numFmtId="0" fontId="91" fillId="0" borderId="22" xfId="210" applyFont="1" applyFill="1" applyBorder="1" applyAlignment="1">
      <alignment vertical="center"/>
    </xf>
    <xf numFmtId="0" fontId="91" fillId="0" borderId="3" xfId="210" applyFont="1" applyFill="1" applyBorder="1" applyAlignment="1">
      <alignment horizontal="center" vertical="center"/>
    </xf>
    <xf numFmtId="14" fontId="91" fillId="0" borderId="3" xfId="210" applyNumberFormat="1" applyFont="1" applyFill="1" applyBorder="1" applyAlignment="1">
      <alignment horizontal="center" vertical="center"/>
    </xf>
    <xf numFmtId="0" fontId="91" fillId="0" borderId="13" xfId="210" applyFont="1" applyFill="1" applyBorder="1" applyAlignment="1">
      <alignment horizontal="center" vertical="center"/>
    </xf>
    <xf numFmtId="0" fontId="91" fillId="0" borderId="33" xfId="210" applyFont="1" applyFill="1" applyBorder="1" applyAlignment="1">
      <alignment horizontal="center" vertical="center"/>
    </xf>
    <xf numFmtId="0" fontId="91" fillId="2" borderId="32" xfId="210" applyFont="1" applyFill="1" applyBorder="1" applyAlignment="1">
      <alignment horizontal="center" vertical="center"/>
    </xf>
    <xf numFmtId="0" fontId="91" fillId="2" borderId="34"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34" xfId="210" applyFont="1" applyFill="1" applyBorder="1" applyAlignment="1">
      <alignment vertical="center" wrapText="1"/>
    </xf>
    <xf numFmtId="0" fontId="84" fillId="0" borderId="0" xfId="886" applyAlignment="1">
      <alignment vertical="center"/>
    </xf>
    <xf numFmtId="0" fontId="84" fillId="17" borderId="0" xfId="886" applyFill="1" applyAlignment="1">
      <alignment vertical="center"/>
    </xf>
    <xf numFmtId="0" fontId="84" fillId="17" borderId="0" xfId="886" applyFont="1" applyFill="1" applyAlignment="1">
      <alignment vertical="center"/>
    </xf>
    <xf numFmtId="0" fontId="84" fillId="17" borderId="0" xfId="886" applyFill="1"/>
    <xf numFmtId="0" fontId="84" fillId="0" borderId="0" xfId="886" applyBorder="1" applyAlignment="1">
      <alignment vertical="center"/>
    </xf>
    <xf numFmtId="0" fontId="84" fillId="0" borderId="0" xfId="886" applyBorder="1" applyAlignment="1">
      <alignment horizontal="center" vertical="center"/>
    </xf>
    <xf numFmtId="14" fontId="22" fillId="0" borderId="0" xfId="371" applyNumberFormat="1" applyFont="1" applyAlignment="1">
      <alignment horizontal="center" vertical="center"/>
    </xf>
    <xf numFmtId="49" fontId="9" fillId="0" borderId="0" xfId="371" applyNumberFormat="1" applyFont="1" applyAlignment="1">
      <alignment vertical="center"/>
    </xf>
    <xf numFmtId="49" fontId="9" fillId="0" borderId="0" xfId="371" applyNumberFormat="1" applyFont="1" applyAlignment="1">
      <alignment horizontal="left" vertical="center"/>
    </xf>
    <xf numFmtId="49" fontId="9" fillId="0" borderId="0" xfId="371" applyNumberFormat="1" applyFont="1" applyAlignment="1">
      <alignment horizontal="center" vertical="center"/>
    </xf>
    <xf numFmtId="0" fontId="9" fillId="0" borderId="0" xfId="371" applyFont="1" applyAlignment="1">
      <alignment vertical="center"/>
    </xf>
    <xf numFmtId="0" fontId="9" fillId="0" borderId="0" xfId="371" applyFont="1" applyAlignment="1">
      <alignment horizontal="center" vertical="center"/>
    </xf>
    <xf numFmtId="0" fontId="9" fillId="0" borderId="0" xfId="371" applyFont="1" applyAlignment="1">
      <alignment horizontal="left" vertical="center"/>
    </xf>
    <xf numFmtId="14" fontId="9" fillId="27" borderId="3" xfId="371" applyNumberFormat="1" applyFont="1" applyFill="1" applyBorder="1" applyAlignment="1">
      <alignment horizontal="center" vertical="center"/>
    </xf>
    <xf numFmtId="49" fontId="9" fillId="27" borderId="3" xfId="371" applyNumberFormat="1" applyFont="1" applyFill="1" applyBorder="1" applyAlignment="1">
      <alignment horizontal="center" vertical="center"/>
    </xf>
    <xf numFmtId="14" fontId="9" fillId="0" borderId="3" xfId="371" applyNumberFormat="1" applyFont="1" applyBorder="1" applyAlignment="1">
      <alignment horizontal="center" vertical="center"/>
    </xf>
    <xf numFmtId="49" fontId="9" fillId="0" borderId="3" xfId="371" applyNumberFormat="1" applyFont="1" applyBorder="1" applyAlignment="1">
      <alignment vertical="center"/>
    </xf>
    <xf numFmtId="49" fontId="9" fillId="0" borderId="3" xfId="371" applyNumberFormat="1" applyFont="1" applyBorder="1" applyAlignment="1">
      <alignment horizontal="left" vertical="center"/>
    </xf>
    <xf numFmtId="49" fontId="9" fillId="0" borderId="3" xfId="371" applyNumberFormat="1" applyFont="1" applyBorder="1" applyAlignment="1">
      <alignment horizontal="center" vertical="center"/>
    </xf>
    <xf numFmtId="14" fontId="9" fillId="0" borderId="3" xfId="371" applyNumberFormat="1" applyFont="1" applyBorder="1" applyAlignment="1">
      <alignment horizontal="center"/>
    </xf>
    <xf numFmtId="49" fontId="9" fillId="0" borderId="3" xfId="371" applyNumberFormat="1" applyFont="1" applyBorder="1" applyAlignment="1"/>
    <xf numFmtId="49" fontId="30" fillId="0" borderId="3" xfId="371" applyNumberFormat="1" applyFont="1" applyBorder="1" applyAlignment="1">
      <alignment horizontal="left"/>
    </xf>
    <xf numFmtId="49" fontId="9" fillId="0" borderId="3" xfId="371" applyNumberFormat="1" applyFont="1" applyBorder="1" applyAlignment="1">
      <alignment horizontal="center"/>
    </xf>
    <xf numFmtId="0" fontId="9" fillId="0" borderId="0" xfId="371" applyFont="1" applyAlignment="1"/>
    <xf numFmtId="0" fontId="9" fillId="0" borderId="0" xfId="371" applyFont="1" applyAlignment="1">
      <alignment horizontal="center"/>
    </xf>
    <xf numFmtId="0" fontId="9" fillId="0" borderId="0" xfId="371" applyFont="1" applyAlignment="1">
      <alignment horizontal="left"/>
    </xf>
    <xf numFmtId="0" fontId="9" fillId="0" borderId="0" xfId="371" applyFont="1"/>
    <xf numFmtId="49" fontId="9" fillId="0" borderId="3" xfId="371" applyNumberFormat="1" applyFont="1" applyBorder="1" applyAlignment="1">
      <alignment horizontal="left" vertical="center" wrapText="1"/>
    </xf>
    <xf numFmtId="14" fontId="9" fillId="0" borderId="0" xfId="371" applyNumberFormat="1" applyFont="1" applyAlignment="1">
      <alignment horizontal="center" vertical="center"/>
    </xf>
    <xf numFmtId="49" fontId="0" fillId="0" borderId="3" xfId="371" applyNumberFormat="1" applyFont="1" applyBorder="1" applyAlignment="1">
      <alignment horizontal="center" vertical="center"/>
    </xf>
    <xf numFmtId="49" fontId="0" fillId="0" borderId="3" xfId="371" applyNumberFormat="1" applyFont="1" applyBorder="1" applyAlignment="1"/>
    <xf numFmtId="0" fontId="84" fillId="0" borderId="0" xfId="886" applyAlignment="1">
      <alignment vertical="center"/>
    </xf>
    <xf numFmtId="0" fontId="91" fillId="59" borderId="18" xfId="210" applyFont="1" applyFill="1" applyBorder="1" applyAlignment="1">
      <alignment horizontal="center" vertical="center"/>
    </xf>
    <xf numFmtId="0" fontId="91" fillId="59" borderId="65" xfId="210" applyFont="1" applyFill="1" applyBorder="1" applyAlignment="1">
      <alignment horizontal="center" vertical="center"/>
    </xf>
    <xf numFmtId="0" fontId="91" fillId="59" borderId="20" xfId="210" applyFont="1" applyFill="1" applyBorder="1" applyAlignment="1">
      <alignment horizontal="center" vertical="center"/>
    </xf>
    <xf numFmtId="194" fontId="91" fillId="0" borderId="0" xfId="210" applyNumberFormat="1" applyFont="1" applyBorder="1" applyAlignment="1">
      <alignment horizontal="center" vertical="center"/>
    </xf>
    <xf numFmtId="0" fontId="91" fillId="0" borderId="0" xfId="210" applyFont="1" applyFill="1" applyBorder="1" applyAlignment="1">
      <alignment horizontal="left" vertical="center"/>
    </xf>
    <xf numFmtId="0" fontId="91" fillId="0" borderId="0" xfId="210" applyFont="1" applyFill="1" applyBorder="1" applyAlignment="1">
      <alignment vertical="center"/>
    </xf>
    <xf numFmtId="0" fontId="91" fillId="0" borderId="0" xfId="210" applyFont="1" applyAlignment="1">
      <alignment vertical="center"/>
    </xf>
    <xf numFmtId="0" fontId="91" fillId="0" borderId="3" xfId="210" applyFont="1" applyFill="1" applyBorder="1" applyAlignment="1">
      <alignment horizontal="left" vertical="center"/>
    </xf>
    <xf numFmtId="0" fontId="91" fillId="0" borderId="17" xfId="210" applyFont="1" applyFill="1" applyBorder="1" applyAlignment="1">
      <alignment horizontal="center" vertical="center"/>
    </xf>
    <xf numFmtId="0" fontId="91" fillId="0" borderId="3"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2" borderId="3" xfId="210" applyFont="1" applyFill="1" applyBorder="1" applyAlignment="1">
      <alignment horizontal="center" vertical="center"/>
    </xf>
    <xf numFmtId="0" fontId="91" fillId="0" borderId="0" xfId="210" applyFont="1" applyFill="1" applyBorder="1" applyAlignment="1">
      <alignment horizontal="center" vertical="center"/>
    </xf>
    <xf numFmtId="0" fontId="91" fillId="0" borderId="17" xfId="210" applyFont="1" applyFill="1" applyBorder="1" applyAlignment="1">
      <alignment vertical="center"/>
    </xf>
    <xf numFmtId="194" fontId="91" fillId="0" borderId="0" xfId="210" applyNumberFormat="1" applyFont="1" applyAlignment="1">
      <alignment horizontal="right" vertical="center"/>
    </xf>
    <xf numFmtId="194" fontId="91" fillId="0" borderId="0" xfId="210" applyNumberFormat="1" applyFont="1" applyAlignment="1">
      <alignment horizontal="right" vertical="center" wrapText="1"/>
    </xf>
    <xf numFmtId="0" fontId="91" fillId="0" borderId="0" xfId="210" applyFont="1" applyFill="1" applyBorder="1" applyAlignment="1">
      <alignment horizontal="center" vertical="center"/>
    </xf>
    <xf numFmtId="0" fontId="0" fillId="0" borderId="0" xfId="0" applyAlignment="1"/>
    <xf numFmtId="0" fontId="0" fillId="61" borderId="3" xfId="0" applyFill="1" applyBorder="1"/>
    <xf numFmtId="0" fontId="0" fillId="0" borderId="3" xfId="0" applyFont="1" applyBorder="1" applyAlignment="1">
      <alignment vertical="top" wrapText="1"/>
    </xf>
    <xf numFmtId="0" fontId="0" fillId="0" borderId="3" xfId="0" applyBorder="1"/>
    <xf numFmtId="0" fontId="0" fillId="0" borderId="0" xfId="0" applyFont="1" applyFill="1" applyBorder="1" applyAlignment="1">
      <alignment vertical="top" wrapText="1"/>
    </xf>
    <xf numFmtId="0" fontId="91" fillId="60" borderId="18" xfId="210" applyFont="1" applyFill="1" applyBorder="1" applyAlignment="1">
      <alignment horizontal="left" vertical="center" wrapText="1"/>
    </xf>
    <xf numFmtId="0" fontId="0" fillId="0" borderId="20" xfId="0" applyBorder="1" applyAlignment="1">
      <alignment horizontal="left" vertical="center" wrapText="1"/>
    </xf>
    <xf numFmtId="0" fontId="91" fillId="0" borderId="0" xfId="210" applyFont="1" applyFill="1" applyBorder="1" applyAlignment="1">
      <alignment horizontal="center" vertical="center"/>
    </xf>
    <xf numFmtId="0" fontId="148" fillId="0" borderId="0" xfId="0" applyFont="1"/>
    <xf numFmtId="0" fontId="0" fillId="0" borderId="0" xfId="0" applyFill="1"/>
    <xf numFmtId="0" fontId="0" fillId="0" borderId="0" xfId="0" applyFill="1" applyBorder="1"/>
    <xf numFmtId="0" fontId="0" fillId="0" borderId="0" xfId="0" applyFill="1" applyBorder="1" applyAlignment="1">
      <alignment horizontal="center"/>
    </xf>
    <xf numFmtId="0" fontId="0" fillId="0" borderId="0" xfId="0" applyBorder="1"/>
    <xf numFmtId="0" fontId="0" fillId="0" borderId="0" xfId="0" applyBorder="1" applyAlignment="1">
      <alignment horizontal="center"/>
    </xf>
    <xf numFmtId="0" fontId="0" fillId="0" borderId="3" xfId="0" applyBorder="1" applyAlignment="1">
      <alignment vertical="center" wrapText="1"/>
    </xf>
    <xf numFmtId="0" fontId="91" fillId="0" borderId="3" xfId="210" applyNumberFormat="1" applyFont="1" applyFill="1" applyBorder="1" applyAlignment="1">
      <alignment horizontal="center" vertical="center"/>
    </xf>
    <xf numFmtId="0" fontId="91" fillId="0" borderId="0" xfId="210" applyFont="1" applyAlignment="1">
      <alignment vertical="center" wrapText="1"/>
    </xf>
    <xf numFmtId="0" fontId="91" fillId="0" borderId="0" xfId="210" applyFont="1" applyFill="1" applyBorder="1" applyAlignment="1">
      <alignment horizontal="left" vertical="center" wrapText="1"/>
    </xf>
    <xf numFmtId="0" fontId="0" fillId="0" borderId="0" xfId="0" applyAlignment="1">
      <alignment vertical="center"/>
    </xf>
    <xf numFmtId="0" fontId="23" fillId="0" borderId="0" xfId="0" applyFont="1" applyAlignment="1">
      <alignment vertical="center" wrapText="1"/>
    </xf>
    <xf numFmtId="0" fontId="0" fillId="0" borderId="3" xfId="0" applyFont="1" applyBorder="1" applyAlignment="1">
      <alignment vertical="center" wrapText="1"/>
    </xf>
    <xf numFmtId="0" fontId="0" fillId="60" borderId="3" xfId="0" applyFont="1" applyFill="1" applyBorder="1" applyAlignment="1">
      <alignment vertical="center" wrapText="1"/>
    </xf>
    <xf numFmtId="0" fontId="0" fillId="60" borderId="3" xfId="0" applyFill="1" applyBorder="1" applyAlignment="1">
      <alignment vertical="center"/>
    </xf>
    <xf numFmtId="0" fontId="0" fillId="0" borderId="3" xfId="0" applyBorder="1" applyAlignment="1">
      <alignment vertical="center"/>
    </xf>
    <xf numFmtId="0" fontId="91" fillId="60" borderId="3" xfId="210" applyNumberFormat="1" applyFont="1" applyFill="1" applyBorder="1" applyAlignment="1">
      <alignment horizontal="center" vertical="center"/>
    </xf>
    <xf numFmtId="0" fontId="91" fillId="0" borderId="17" xfId="210" applyFont="1" applyFill="1" applyBorder="1" applyAlignment="1">
      <alignment horizontal="center" vertical="center" wrapText="1"/>
    </xf>
    <xf numFmtId="0" fontId="148" fillId="0" borderId="0" xfId="0" applyFont="1" applyAlignment="1">
      <alignment vertical="center"/>
    </xf>
    <xf numFmtId="0" fontId="0" fillId="62" borderId="3" xfId="0" applyFill="1" applyBorder="1" applyAlignment="1">
      <alignment horizontal="center" vertical="center"/>
    </xf>
    <xf numFmtId="0" fontId="0" fillId="63" borderId="3" xfId="0" applyFill="1" applyBorder="1"/>
    <xf numFmtId="0" fontId="91" fillId="0" borderId="0" xfId="210" applyFont="1" applyFill="1" applyBorder="1" applyAlignment="1">
      <alignment horizontal="center" vertical="center"/>
    </xf>
    <xf numFmtId="0" fontId="27" fillId="0" borderId="0" xfId="886" applyFont="1" applyAlignment="1">
      <alignment vertical="center"/>
    </xf>
    <xf numFmtId="0" fontId="88" fillId="0" borderId="0" xfId="886" applyFont="1" applyAlignment="1">
      <alignment vertical="center"/>
    </xf>
    <xf numFmtId="201" fontId="84" fillId="0" borderId="80" xfId="886" applyNumberFormat="1" applyBorder="1" applyAlignment="1">
      <alignment horizontal="right" vertical="center"/>
    </xf>
    <xf numFmtId="201" fontId="84" fillId="0" borderId="81" xfId="886" applyNumberFormat="1" applyBorder="1" applyAlignment="1">
      <alignment horizontal="right" vertical="center"/>
    </xf>
    <xf numFmtId="201" fontId="84" fillId="0" borderId="82" xfId="886" applyNumberFormat="1" applyBorder="1" applyAlignment="1">
      <alignment horizontal="right" vertical="center"/>
    </xf>
    <xf numFmtId="201" fontId="84" fillId="0" borderId="77" xfId="886" applyNumberFormat="1" applyBorder="1" applyAlignment="1">
      <alignment horizontal="right" vertical="center"/>
    </xf>
    <xf numFmtId="201" fontId="84" fillId="0" borderId="78" xfId="886" applyNumberFormat="1" applyBorder="1" applyAlignment="1">
      <alignment horizontal="right" vertical="center"/>
    </xf>
    <xf numFmtId="0" fontId="0" fillId="0" borderId="77" xfId="0" applyBorder="1"/>
    <xf numFmtId="0" fontId="0" fillId="0" borderId="78" xfId="0" applyBorder="1"/>
    <xf numFmtId="0" fontId="0" fillId="0" borderId="73" xfId="886" applyFont="1" applyBorder="1" applyAlignment="1">
      <alignment horizontal="center" vertical="center"/>
    </xf>
    <xf numFmtId="0" fontId="0" fillId="0" borderId="35" xfId="886" applyFont="1" applyBorder="1" applyAlignment="1">
      <alignment horizontal="center" vertical="center"/>
    </xf>
    <xf numFmtId="0" fontId="0" fillId="0" borderId="62" xfId="886" applyFont="1" applyBorder="1" applyAlignment="1">
      <alignment horizontal="center" vertical="center"/>
    </xf>
    <xf numFmtId="0" fontId="0" fillId="0" borderId="14" xfId="886" applyFont="1" applyBorder="1" applyAlignment="1">
      <alignment horizontal="center" vertical="center"/>
    </xf>
    <xf numFmtId="0" fontId="0" fillId="0" borderId="0" xfId="886" applyFont="1" applyBorder="1" applyAlignment="1">
      <alignment horizontal="center" vertical="center"/>
    </xf>
    <xf numFmtId="0" fontId="0" fillId="0" borderId="64" xfId="886" applyFont="1" applyBorder="1" applyAlignment="1">
      <alignment horizontal="center" vertical="center"/>
    </xf>
    <xf numFmtId="0" fontId="0" fillId="0" borderId="79" xfId="886" applyFont="1" applyBorder="1" applyAlignment="1">
      <alignment horizontal="center" vertical="center"/>
    </xf>
    <xf numFmtId="0" fontId="0" fillId="0" borderId="38" xfId="886" applyFont="1" applyBorder="1" applyAlignment="1">
      <alignment horizontal="center" vertical="center"/>
    </xf>
    <xf numFmtId="0" fontId="0" fillId="0" borderId="22" xfId="886" applyFont="1" applyBorder="1" applyAlignment="1">
      <alignment horizontal="center" vertical="center"/>
    </xf>
    <xf numFmtId="0" fontId="0" fillId="0" borderId="61" xfId="886" applyFont="1" applyBorder="1" applyAlignment="1">
      <alignment horizontal="center" vertical="center"/>
    </xf>
    <xf numFmtId="0" fontId="0" fillId="0" borderId="63" xfId="886" applyFont="1" applyBorder="1" applyAlignment="1">
      <alignment horizontal="center" vertical="center"/>
    </xf>
    <xf numFmtId="0" fontId="0" fillId="0" borderId="74" xfId="886" applyFont="1" applyBorder="1" applyAlignment="1">
      <alignment horizontal="center" vertical="center"/>
    </xf>
    <xf numFmtId="0" fontId="0" fillId="0" borderId="75" xfId="886" applyFont="1" applyBorder="1" applyAlignment="1">
      <alignment horizontal="center" vertical="center"/>
    </xf>
    <xf numFmtId="0" fontId="0" fillId="0" borderId="0" xfId="886" applyFont="1" applyAlignment="1">
      <alignment horizontal="right" vertical="center"/>
    </xf>
    <xf numFmtId="0" fontId="84" fillId="0" borderId="0" xfId="886" applyAlignment="1">
      <alignment horizontal="right" vertical="center"/>
    </xf>
    <xf numFmtId="0" fontId="144" fillId="17" borderId="0" xfId="886" applyFont="1" applyFill="1" applyAlignment="1">
      <alignment vertical="center"/>
    </xf>
    <xf numFmtId="0" fontId="146" fillId="17" borderId="0" xfId="886" applyFont="1" applyFill="1" applyAlignment="1">
      <alignment vertical="center"/>
    </xf>
    <xf numFmtId="0" fontId="146" fillId="17" borderId="0" xfId="886" applyFont="1" applyFill="1"/>
    <xf numFmtId="0" fontId="84" fillId="0" borderId="66" xfId="886" applyBorder="1" applyAlignment="1">
      <alignment horizontal="center" vertical="center"/>
    </xf>
    <xf numFmtId="0" fontId="84" fillId="0" borderId="67" xfId="886" applyBorder="1" applyAlignment="1">
      <alignment horizontal="center" vertical="center"/>
    </xf>
    <xf numFmtId="0" fontId="84" fillId="0" borderId="68" xfId="886" applyBorder="1" applyAlignment="1">
      <alignment horizontal="center" vertical="center"/>
    </xf>
    <xf numFmtId="0" fontId="84" fillId="0" borderId="71" xfId="886" applyBorder="1" applyAlignment="1">
      <alignment horizontal="center" vertical="center"/>
    </xf>
    <xf numFmtId="0" fontId="84" fillId="0" borderId="59" xfId="886" applyBorder="1" applyAlignment="1">
      <alignment horizontal="center" vertical="center"/>
    </xf>
    <xf numFmtId="0" fontId="84" fillId="0" borderId="60" xfId="886" applyBorder="1" applyAlignment="1">
      <alignment horizontal="center" vertical="center"/>
    </xf>
    <xf numFmtId="0" fontId="84" fillId="0" borderId="69" xfId="886" applyBorder="1" applyAlignment="1">
      <alignment horizontal="center" vertical="center"/>
    </xf>
    <xf numFmtId="0" fontId="84" fillId="0" borderId="36" xfId="886" applyBorder="1" applyAlignment="1">
      <alignment horizontal="center" vertical="center"/>
    </xf>
    <xf numFmtId="0" fontId="84" fillId="0" borderId="70" xfId="886" applyBorder="1" applyAlignment="1">
      <alignment horizontal="center" vertical="center"/>
    </xf>
    <xf numFmtId="0" fontId="84" fillId="0" borderId="72" xfId="886" applyBorder="1" applyAlignment="1">
      <alignment horizontal="center" vertical="center"/>
    </xf>
    <xf numFmtId="201" fontId="84" fillId="0" borderId="76" xfId="886" applyNumberFormat="1" applyBorder="1" applyAlignment="1">
      <alignment horizontal="right" vertical="center"/>
    </xf>
    <xf numFmtId="0" fontId="91" fillId="2" borderId="3" xfId="210" applyFont="1" applyFill="1" applyBorder="1" applyAlignment="1">
      <alignment horizontal="center" vertical="center"/>
    </xf>
    <xf numFmtId="0" fontId="91" fillId="60" borderId="18" xfId="210" applyFont="1" applyFill="1" applyBorder="1" applyAlignment="1">
      <alignment horizontal="left" vertical="center" wrapText="1"/>
    </xf>
    <xf numFmtId="0" fontId="91" fillId="60" borderId="20" xfId="210" applyFont="1" applyFill="1" applyBorder="1" applyAlignment="1">
      <alignment horizontal="left" vertical="center" wrapText="1"/>
    </xf>
    <xf numFmtId="49" fontId="91" fillId="2" borderId="83" xfId="210" applyNumberFormat="1" applyFont="1" applyFill="1" applyBorder="1" applyAlignment="1">
      <alignment horizontal="center" vertical="center"/>
    </xf>
    <xf numFmtId="49" fontId="91" fillId="2" borderId="17" xfId="210" applyNumberFormat="1" applyFont="1" applyFill="1" applyBorder="1" applyAlignment="1">
      <alignment horizontal="center" vertical="center"/>
    </xf>
    <xf numFmtId="0" fontId="91" fillId="2" borderId="83" xfId="210" applyFont="1" applyFill="1" applyBorder="1" applyAlignment="1">
      <alignment horizontal="center" vertical="center"/>
    </xf>
    <xf numFmtId="0" fontId="91" fillId="2" borderId="17" xfId="210" applyFont="1" applyFill="1" applyBorder="1" applyAlignment="1">
      <alignment horizontal="center" vertical="center"/>
    </xf>
    <xf numFmtId="0" fontId="91" fillId="2" borderId="83" xfId="210" applyFont="1" applyFill="1" applyBorder="1" applyAlignment="1">
      <alignment horizontal="center" vertical="center" wrapText="1"/>
    </xf>
    <xf numFmtId="0" fontId="91" fillId="2" borderId="17" xfId="210" applyFont="1" applyFill="1" applyBorder="1" applyAlignment="1">
      <alignment horizontal="center" vertical="center" wrapText="1"/>
    </xf>
    <xf numFmtId="0" fontId="91" fillId="2" borderId="57" xfId="210" applyFont="1" applyFill="1" applyBorder="1" applyAlignment="1">
      <alignment horizontal="center" vertical="center" wrapText="1"/>
    </xf>
    <xf numFmtId="0" fontId="91" fillId="2" borderId="58" xfId="210" applyFont="1" applyFill="1" applyBorder="1" applyAlignment="1">
      <alignment horizontal="center" vertical="center" wrapText="1"/>
    </xf>
    <xf numFmtId="0" fontId="91" fillId="2" borderId="34" xfId="210" applyFont="1" applyFill="1" applyBorder="1" applyAlignment="1">
      <alignment horizontal="center" vertical="center" wrapText="1"/>
    </xf>
    <xf numFmtId="0" fontId="91" fillId="2" borderId="22" xfId="210" applyFont="1" applyFill="1" applyBorder="1" applyAlignment="1">
      <alignment horizontal="center" vertical="center" wrapText="1"/>
    </xf>
    <xf numFmtId="0" fontId="91" fillId="0" borderId="18" xfId="210" applyFont="1" applyFill="1" applyBorder="1" applyAlignment="1">
      <alignment horizontal="left" vertical="center" wrapText="1"/>
    </xf>
    <xf numFmtId="0" fontId="91" fillId="0" borderId="20" xfId="210" applyFont="1" applyFill="1" applyBorder="1" applyAlignment="1">
      <alignment horizontal="left" vertical="center" wrapText="1"/>
    </xf>
    <xf numFmtId="0" fontId="0" fillId="0" borderId="20" xfId="0" applyBorder="1" applyAlignment="1">
      <alignment horizontal="left" vertical="center" wrapText="1"/>
    </xf>
    <xf numFmtId="0" fontId="91" fillId="59" borderId="3" xfId="210" applyFont="1" applyFill="1" applyBorder="1" applyAlignment="1">
      <alignment horizontal="center" vertical="center"/>
    </xf>
    <xf numFmtId="0" fontId="91" fillId="0" borderId="18" xfId="210" applyFont="1" applyFill="1" applyBorder="1" applyAlignment="1">
      <alignment vertical="center" wrapText="1"/>
    </xf>
    <xf numFmtId="0" fontId="91" fillId="0" borderId="20" xfId="210" applyFont="1" applyFill="1" applyBorder="1" applyAlignment="1">
      <alignment vertical="center" wrapText="1"/>
    </xf>
    <xf numFmtId="0" fontId="91" fillId="60" borderId="18" xfId="210" applyFont="1" applyFill="1" applyBorder="1" applyAlignment="1">
      <alignment vertical="center" wrapText="1"/>
    </xf>
    <xf numFmtId="0" fontId="0" fillId="0" borderId="20" xfId="0" applyBorder="1" applyAlignment="1">
      <alignment vertical="center" wrapText="1"/>
    </xf>
    <xf numFmtId="49" fontId="91" fillId="2" borderId="19" xfId="210" applyNumberFormat="1" applyFont="1" applyFill="1" applyBorder="1" applyAlignment="1">
      <alignment horizontal="center" vertical="center"/>
    </xf>
    <xf numFmtId="0" fontId="91" fillId="2" borderId="19" xfId="210" applyFont="1" applyFill="1" applyBorder="1" applyAlignment="1">
      <alignment horizontal="center" vertical="center"/>
    </xf>
    <xf numFmtId="0" fontId="91" fillId="2" borderId="32" xfId="210" applyFont="1" applyFill="1" applyBorder="1" applyAlignment="1">
      <alignment horizontal="center" vertical="center" wrapText="1"/>
    </xf>
    <xf numFmtId="0" fontId="91" fillId="2" borderId="33" xfId="210" applyFont="1" applyFill="1" applyBorder="1" applyAlignment="1">
      <alignment horizontal="center" vertical="center" wrapText="1"/>
    </xf>
    <xf numFmtId="0" fontId="91" fillId="0" borderId="0" xfId="210" applyFont="1" applyFill="1" applyBorder="1" applyAlignment="1">
      <alignment horizontal="center" vertical="center"/>
    </xf>
    <xf numFmtId="0" fontId="91" fillId="0" borderId="32" xfId="210" applyFont="1" applyFill="1" applyBorder="1" applyAlignment="1">
      <alignment horizontal="left" vertical="center" wrapText="1"/>
    </xf>
    <xf numFmtId="0" fontId="91" fillId="0" borderId="33" xfId="210" applyFont="1" applyFill="1" applyBorder="1" applyAlignment="1">
      <alignment horizontal="left" vertical="center" wrapText="1"/>
    </xf>
    <xf numFmtId="0" fontId="91" fillId="0" borderId="34" xfId="210" applyFont="1" applyFill="1" applyBorder="1" applyAlignment="1">
      <alignment horizontal="left" vertical="center" wrapText="1"/>
    </xf>
    <xf numFmtId="0" fontId="0" fillId="0" borderId="22" xfId="0" applyBorder="1" applyAlignment="1">
      <alignment horizontal="left" vertical="center" wrapText="1"/>
    </xf>
  </cellXfs>
  <cellStyles count="1585">
    <cellStyle name="_x000a_shell=progma" xfId="219"/>
    <cellStyle name="_x000c_" xfId="220"/>
    <cellStyle name="_x000c_ 2" xfId="888"/>
    <cellStyle name="_x000c_ 3" xfId="889"/>
    <cellStyle name="=C:\WINDOWS\SYSTEM32\COMMAND.COM" xfId="1"/>
    <cellStyle name="\¦ÏÝÌnCp[N" xfId="221"/>
    <cellStyle name="nCp[N" xfId="235"/>
    <cellStyle name="W__{_10E§" xfId="107"/>
    <cellStyle name="1" xfId="222"/>
    <cellStyle name="20% - アクセント 1" xfId="2" builtinId="30" customBuiltin="1"/>
    <cellStyle name="20% - アクセント 1 2" xfId="3"/>
    <cellStyle name="20% - アクセント 1 2 2" xfId="282"/>
    <cellStyle name="20% - アクセント 1 2 3" xfId="430"/>
    <cellStyle name="20% - アクセント 1 3" xfId="4"/>
    <cellStyle name="20% - アクセント 1 3 2" xfId="283"/>
    <cellStyle name="20% - アクセント 1 3 3" xfId="431"/>
    <cellStyle name="20% - アクセント 1 4" xfId="890"/>
    <cellStyle name="20% - アクセント 2" xfId="5" builtinId="34" customBuiltin="1"/>
    <cellStyle name="20% - アクセント 2 2" xfId="6"/>
    <cellStyle name="20% - アクセント 2 2 2" xfId="284"/>
    <cellStyle name="20% - アクセント 2 2 3" xfId="432"/>
    <cellStyle name="20% - アクセント 2 3" xfId="7"/>
    <cellStyle name="20% - アクセント 2 3 2" xfId="285"/>
    <cellStyle name="20% - アクセント 2 3 3" xfId="433"/>
    <cellStyle name="20% - アクセント 2 4" xfId="891"/>
    <cellStyle name="20% - アクセント 3" xfId="8" builtinId="38" customBuiltin="1"/>
    <cellStyle name="20% - アクセント 3 2" xfId="9"/>
    <cellStyle name="20% - アクセント 3 2 2" xfId="286"/>
    <cellStyle name="20% - アクセント 3 2 3" xfId="434"/>
    <cellStyle name="20% - アクセント 3 3" xfId="10"/>
    <cellStyle name="20% - アクセント 3 3 2" xfId="287"/>
    <cellStyle name="20% - アクセント 3 3 3" xfId="435"/>
    <cellStyle name="20% - アクセント 3 4" xfId="892"/>
    <cellStyle name="20% - アクセント 4" xfId="11" builtinId="42" customBuiltin="1"/>
    <cellStyle name="20% - アクセント 4 2" xfId="12"/>
    <cellStyle name="20% - アクセント 4 2 2" xfId="288"/>
    <cellStyle name="20% - アクセント 4 2 3" xfId="436"/>
    <cellStyle name="20% - アクセント 4 3" xfId="13"/>
    <cellStyle name="20% - アクセント 4 3 2" xfId="289"/>
    <cellStyle name="20% - アクセント 4 3 3" xfId="437"/>
    <cellStyle name="20% - アクセント 4 4" xfId="893"/>
    <cellStyle name="20% - アクセント 5" xfId="14" builtinId="46" customBuiltin="1"/>
    <cellStyle name="20% - アクセント 5 2" xfId="15"/>
    <cellStyle name="20% - アクセント 5 2 2" xfId="290"/>
    <cellStyle name="20% - アクセント 5 2 3" xfId="438"/>
    <cellStyle name="20% - アクセント 5 3" xfId="16"/>
    <cellStyle name="20% - アクセント 5 3 2" xfId="291"/>
    <cellStyle name="20% - アクセント 5 3 3" xfId="439"/>
    <cellStyle name="20% - アクセント 5 4" xfId="894"/>
    <cellStyle name="20% - アクセント 6" xfId="17" builtinId="50" customBuiltin="1"/>
    <cellStyle name="20% - アクセント 6 2" xfId="18"/>
    <cellStyle name="20% - アクセント 6 2 2" xfId="292"/>
    <cellStyle name="20% - アクセント 6 2 3" xfId="440"/>
    <cellStyle name="20% - アクセント 6 3" xfId="19"/>
    <cellStyle name="20% - アクセント 6 3 2" xfId="293"/>
    <cellStyle name="20% - アクセント 6 3 3" xfId="441"/>
    <cellStyle name="20% - アクセント 6 4" xfId="895"/>
    <cellStyle name="40% - アクセント 1" xfId="20" builtinId="31" customBuiltin="1"/>
    <cellStyle name="40% - アクセント 1 2" xfId="21"/>
    <cellStyle name="40% - アクセント 1 2 2" xfId="294"/>
    <cellStyle name="40% - アクセント 1 2 3" xfId="442"/>
    <cellStyle name="40% - アクセント 1 3" xfId="22"/>
    <cellStyle name="40% - アクセント 1 3 2" xfId="295"/>
    <cellStyle name="40% - アクセント 1 3 3" xfId="443"/>
    <cellStyle name="40% - アクセント 1 4" xfId="896"/>
    <cellStyle name="40% - アクセント 2" xfId="23" builtinId="35" customBuiltin="1"/>
    <cellStyle name="40% - アクセント 2 2" xfId="24"/>
    <cellStyle name="40% - アクセント 2 2 2" xfId="296"/>
    <cellStyle name="40% - アクセント 2 2 3" xfId="444"/>
    <cellStyle name="40% - アクセント 2 3" xfId="25"/>
    <cellStyle name="40% - アクセント 2 3 2" xfId="297"/>
    <cellStyle name="40% - アクセント 2 3 3" xfId="445"/>
    <cellStyle name="40% - アクセント 2 4" xfId="897"/>
    <cellStyle name="40% - アクセント 3" xfId="26" builtinId="39" customBuiltin="1"/>
    <cellStyle name="40% - アクセント 3 2" xfId="27"/>
    <cellStyle name="40% - アクセント 3 2 2" xfId="298"/>
    <cellStyle name="40% - アクセント 3 2 3" xfId="446"/>
    <cellStyle name="40% - アクセント 3 3" xfId="28"/>
    <cellStyle name="40% - アクセント 3 3 2" xfId="299"/>
    <cellStyle name="40% - アクセント 3 3 3" xfId="447"/>
    <cellStyle name="40% - アクセント 3 4" xfId="898"/>
    <cellStyle name="40% - アクセント 4" xfId="29" builtinId="43" customBuiltin="1"/>
    <cellStyle name="40% - アクセント 4 2" xfId="30"/>
    <cellStyle name="40% - アクセント 4 2 2" xfId="300"/>
    <cellStyle name="40% - アクセント 4 2 3" xfId="448"/>
    <cellStyle name="40% - アクセント 4 3" xfId="31"/>
    <cellStyle name="40% - アクセント 4 3 2" xfId="301"/>
    <cellStyle name="40% - アクセント 4 3 3" xfId="449"/>
    <cellStyle name="40% - アクセント 4 4" xfId="899"/>
    <cellStyle name="40% - アクセント 5" xfId="32" builtinId="47" customBuiltin="1"/>
    <cellStyle name="40% - アクセント 5 2" xfId="33"/>
    <cellStyle name="40% - アクセント 5 2 2" xfId="302"/>
    <cellStyle name="40% - アクセント 5 2 3" xfId="450"/>
    <cellStyle name="40% - アクセント 5 3" xfId="34"/>
    <cellStyle name="40% - アクセント 5 3 2" xfId="303"/>
    <cellStyle name="40% - アクセント 5 3 3" xfId="451"/>
    <cellStyle name="40% - アクセント 5 4" xfId="900"/>
    <cellStyle name="40% - アクセント 6" xfId="35" builtinId="51" customBuiltin="1"/>
    <cellStyle name="40% - アクセント 6 2" xfId="36"/>
    <cellStyle name="40% - アクセント 6 2 2" xfId="304"/>
    <cellStyle name="40% - アクセント 6 2 3" xfId="452"/>
    <cellStyle name="40% - アクセント 6 3" xfId="37"/>
    <cellStyle name="40% - アクセント 6 3 2" xfId="305"/>
    <cellStyle name="40% - アクセント 6 3 3" xfId="453"/>
    <cellStyle name="40% - アクセント 6 4" xfId="901"/>
    <cellStyle name="60% - アクセント 1" xfId="38" builtinId="32" customBuiltin="1"/>
    <cellStyle name="60% - アクセント 1 2" xfId="39"/>
    <cellStyle name="60% - アクセント 1 2 2" xfId="306"/>
    <cellStyle name="60% - アクセント 1 2 3" xfId="454"/>
    <cellStyle name="60% - アクセント 1 3" xfId="40"/>
    <cellStyle name="60% - アクセント 1 3 2" xfId="307"/>
    <cellStyle name="60% - アクセント 1 3 3" xfId="455"/>
    <cellStyle name="60% - アクセント 1 4" xfId="902"/>
    <cellStyle name="60% - アクセント 2" xfId="41" builtinId="36" customBuiltin="1"/>
    <cellStyle name="60% - アクセント 2 2" xfId="42"/>
    <cellStyle name="60% - アクセント 2 2 2" xfId="308"/>
    <cellStyle name="60% - アクセント 2 2 3" xfId="456"/>
    <cellStyle name="60% - アクセント 2 3" xfId="43"/>
    <cellStyle name="60% - アクセント 2 3 2" xfId="309"/>
    <cellStyle name="60% - アクセント 2 3 3" xfId="457"/>
    <cellStyle name="60% - アクセント 2 4" xfId="903"/>
    <cellStyle name="60% - アクセント 3" xfId="44" builtinId="40" customBuiltin="1"/>
    <cellStyle name="60% - アクセント 3 2" xfId="45"/>
    <cellStyle name="60% - アクセント 3 2 2" xfId="310"/>
    <cellStyle name="60% - アクセント 3 2 3" xfId="458"/>
    <cellStyle name="60% - アクセント 3 3" xfId="46"/>
    <cellStyle name="60% - アクセント 3 3 2" xfId="311"/>
    <cellStyle name="60% - アクセント 3 3 3" xfId="459"/>
    <cellStyle name="60% - アクセント 3 4" xfId="904"/>
    <cellStyle name="60% - アクセント 4" xfId="47" builtinId="44" customBuiltin="1"/>
    <cellStyle name="60% - アクセント 4 2" xfId="48"/>
    <cellStyle name="60% - アクセント 4 2 2" xfId="312"/>
    <cellStyle name="60% - アクセント 4 2 3" xfId="460"/>
    <cellStyle name="60% - アクセント 4 3" xfId="49"/>
    <cellStyle name="60% - アクセント 4 3 2" xfId="313"/>
    <cellStyle name="60% - アクセント 4 3 3" xfId="461"/>
    <cellStyle name="60% - アクセント 4 4" xfId="905"/>
    <cellStyle name="60% - アクセント 5" xfId="50" builtinId="48" customBuiltin="1"/>
    <cellStyle name="60% - アクセント 5 2" xfId="51"/>
    <cellStyle name="60% - アクセント 5 2 2" xfId="314"/>
    <cellStyle name="60% - アクセント 5 2 3" xfId="462"/>
    <cellStyle name="60% - アクセント 5 3" xfId="52"/>
    <cellStyle name="60% - アクセント 5 3 2" xfId="315"/>
    <cellStyle name="60% - アクセント 5 3 3" xfId="463"/>
    <cellStyle name="60% - アクセント 5 4" xfId="906"/>
    <cellStyle name="60% - アクセント 6" xfId="53" builtinId="52" customBuiltin="1"/>
    <cellStyle name="60% - アクセント 6 2" xfId="54"/>
    <cellStyle name="60% - アクセント 6 2 2" xfId="316"/>
    <cellStyle name="60% - アクセント 6 2 3" xfId="464"/>
    <cellStyle name="60% - アクセント 6 3" xfId="55"/>
    <cellStyle name="60% - アクセント 6 3 2" xfId="317"/>
    <cellStyle name="60% - アクセント 6 3 3" xfId="465"/>
    <cellStyle name="60% - アクセント 6 4" xfId="907"/>
    <cellStyle name="Calc Currency (0)" xfId="56"/>
    <cellStyle name="Calc Currency (2)" xfId="57"/>
    <cellStyle name="Calc Percent (0)" xfId="58"/>
    <cellStyle name="Calc Percent (1)" xfId="59"/>
    <cellStyle name="Calc Percent (1) 2" xfId="466"/>
    <cellStyle name="Calc Percent (2)" xfId="60"/>
    <cellStyle name="Calc Percent (2) 2" xfId="467"/>
    <cellStyle name="Calc Units (0)" xfId="61"/>
    <cellStyle name="Calc Units (0) 2" xfId="468"/>
    <cellStyle name="Calc Units (1)" xfId="62"/>
    <cellStyle name="Calc Units (2)" xfId="63"/>
    <cellStyle name="Comma [0]_#6 Temps &amp; Contractors" xfId="64"/>
    <cellStyle name="Comma [00]" xfId="65"/>
    <cellStyle name="Comma [00] 2" xfId="469"/>
    <cellStyle name="Comma_#6 Temps &amp; Contractors" xfId="66"/>
    <cellStyle name="Comma0" xfId="223"/>
    <cellStyle name="Copied" xfId="224"/>
    <cellStyle name="Currency [0]_#6 Temps &amp; Contractors" xfId="67"/>
    <cellStyle name="Currency [00]" xfId="68"/>
    <cellStyle name="Currency_#6 Temps &amp; Contractors" xfId="69"/>
    <cellStyle name="Currency0" xfId="225"/>
    <cellStyle name="custom" xfId="70"/>
    <cellStyle name="custom 2" xfId="318"/>
    <cellStyle name="Date" xfId="226"/>
    <cellStyle name="Date Short" xfId="71"/>
    <cellStyle name="Enter Currency (0)" xfId="72"/>
    <cellStyle name="Enter Currency (0) 2" xfId="470"/>
    <cellStyle name="Enter Currency (2)" xfId="73"/>
    <cellStyle name="Enter Units (0)" xfId="74"/>
    <cellStyle name="Enter Units (0) 2" xfId="471"/>
    <cellStyle name="Enter Units (1)" xfId="75"/>
    <cellStyle name="Enter Units (2)" xfId="76"/>
    <cellStyle name="Entered" xfId="227"/>
    <cellStyle name="entry" xfId="228"/>
    <cellStyle name="Fixed" xfId="229"/>
    <cellStyle name="Followed Hyperlink" xfId="77"/>
    <cellStyle name="Grey" xfId="78"/>
    <cellStyle name="Grey 2" xfId="319"/>
    <cellStyle name="header" xfId="230"/>
    <cellStyle name="Header1" xfId="79"/>
    <cellStyle name="Header2" xfId="80"/>
    <cellStyle name="Header2 2" xfId="398"/>
    <cellStyle name="Header2 2 2" xfId="384"/>
    <cellStyle name="Header2 2 2 2" xfId="410"/>
    <cellStyle name="Header2 2 2 2 2" xfId="472"/>
    <cellStyle name="Header2 2 2 2 2 2" xfId="732"/>
    <cellStyle name="Header2 2 2 2 2 2 2" xfId="1148"/>
    <cellStyle name="Header2 2 2 2 2 3" xfId="1006"/>
    <cellStyle name="Header2 2 2 2 3" xfId="473"/>
    <cellStyle name="Header2 2 2 2 3 2" xfId="733"/>
    <cellStyle name="Header2 2 2 2 3 2 2" xfId="1149"/>
    <cellStyle name="Header2 2 2 2 3 3" xfId="1007"/>
    <cellStyle name="Header2 2 2 2 4" xfId="474"/>
    <cellStyle name="Header2 2 2 2 4 2" xfId="734"/>
    <cellStyle name="Header2 2 2 2 4 2 2" xfId="1150"/>
    <cellStyle name="Header2 2 2 2 4 3" xfId="1008"/>
    <cellStyle name="Header2 2 2 2 5" xfId="475"/>
    <cellStyle name="Header2 2 2 2 5 2" xfId="735"/>
    <cellStyle name="Header2 2 2 2 5 2 2" xfId="1151"/>
    <cellStyle name="Header2 2 2 2 5 3" xfId="1086"/>
    <cellStyle name="Header2 2 2 2 6" xfId="721"/>
    <cellStyle name="Header2 2 2 2 6 2" xfId="1141"/>
    <cellStyle name="Header2 2 2 2 7" xfId="1005"/>
    <cellStyle name="Header2 2 2 3" xfId="476"/>
    <cellStyle name="Header2 2 2 3 2" xfId="736"/>
    <cellStyle name="Header2 2 2 3 2 2" xfId="1152"/>
    <cellStyle name="Header2 2 2 3 3" xfId="1087"/>
    <cellStyle name="Header2 2 2 4" xfId="702"/>
    <cellStyle name="Header2 2 2 4 2" xfId="1126"/>
    <cellStyle name="Header2 2 2 5" xfId="1004"/>
    <cellStyle name="Header2 2 3" xfId="405"/>
    <cellStyle name="Header2 2 3 2" xfId="477"/>
    <cellStyle name="Header2 2 3 2 2" xfId="737"/>
    <cellStyle name="Header2 2 3 2 2 2" xfId="1153"/>
    <cellStyle name="Header2 2 3 2 3" xfId="1010"/>
    <cellStyle name="Header2 2 3 3" xfId="478"/>
    <cellStyle name="Header2 2 3 3 2" xfId="738"/>
    <cellStyle name="Header2 2 3 3 2 2" xfId="1154"/>
    <cellStyle name="Header2 2 3 3 3" xfId="1011"/>
    <cellStyle name="Header2 2 3 4" xfId="479"/>
    <cellStyle name="Header2 2 3 4 2" xfId="739"/>
    <cellStyle name="Header2 2 3 4 2 2" xfId="1155"/>
    <cellStyle name="Header2 2 3 4 3" xfId="1012"/>
    <cellStyle name="Header2 2 3 5" xfId="480"/>
    <cellStyle name="Header2 2 3 5 2" xfId="740"/>
    <cellStyle name="Header2 2 3 5 2 2" xfId="1156"/>
    <cellStyle name="Header2 2 3 5 3" xfId="1088"/>
    <cellStyle name="Header2 2 3 6" xfId="718"/>
    <cellStyle name="Header2 2 3 6 2" xfId="1138"/>
    <cellStyle name="Header2 2 3 7" xfId="1009"/>
    <cellStyle name="Header2 2 4" xfId="481"/>
    <cellStyle name="Header2 2 4 2" xfId="741"/>
    <cellStyle name="Header2 2 4 2 2" xfId="1157"/>
    <cellStyle name="Header2 2 4 3" xfId="1089"/>
    <cellStyle name="Header2 2 5" xfId="715"/>
    <cellStyle name="Header2 2 5 2" xfId="1135"/>
    <cellStyle name="Header2 2 6" xfId="1003"/>
    <cellStyle name="Header2 3" xfId="394"/>
    <cellStyle name="Header2 3 2" xfId="411"/>
    <cellStyle name="Header2 3 2 2" xfId="482"/>
    <cellStyle name="Header2 3 2 2 2" xfId="742"/>
    <cellStyle name="Header2 3 2 2 2 2" xfId="1158"/>
    <cellStyle name="Header2 3 2 2 3" xfId="1015"/>
    <cellStyle name="Header2 3 2 3" xfId="483"/>
    <cellStyle name="Header2 3 2 3 2" xfId="743"/>
    <cellStyle name="Header2 3 2 3 2 2" xfId="1159"/>
    <cellStyle name="Header2 3 2 3 3" xfId="1016"/>
    <cellStyle name="Header2 3 2 4" xfId="484"/>
    <cellStyle name="Header2 3 2 4 2" xfId="744"/>
    <cellStyle name="Header2 3 2 4 2 2" xfId="1160"/>
    <cellStyle name="Header2 3 2 4 3" xfId="1017"/>
    <cellStyle name="Header2 3 2 5" xfId="485"/>
    <cellStyle name="Header2 3 2 5 2" xfId="745"/>
    <cellStyle name="Header2 3 2 5 2 2" xfId="1161"/>
    <cellStyle name="Header2 3 2 5 3" xfId="1090"/>
    <cellStyle name="Header2 3 2 6" xfId="722"/>
    <cellStyle name="Header2 3 2 6 2" xfId="1142"/>
    <cellStyle name="Header2 3 2 7" xfId="1014"/>
    <cellStyle name="Header2 3 3" xfId="486"/>
    <cellStyle name="Header2 3 3 2" xfId="746"/>
    <cellStyle name="Header2 3 3 2 2" xfId="1162"/>
    <cellStyle name="Header2 3 3 3" xfId="1091"/>
    <cellStyle name="Header2 3 4" xfId="712"/>
    <cellStyle name="Header2 3 4 2" xfId="1132"/>
    <cellStyle name="Header2 3 5" xfId="1013"/>
    <cellStyle name="Header2 4" xfId="396"/>
    <cellStyle name="Header2 4 2" xfId="413"/>
    <cellStyle name="Header2 4 2 2" xfId="487"/>
    <cellStyle name="Header2 4 2 2 2" xfId="747"/>
    <cellStyle name="Header2 4 2 2 2 2" xfId="1163"/>
    <cellStyle name="Header2 4 2 2 3" xfId="1020"/>
    <cellStyle name="Header2 4 2 3" xfId="488"/>
    <cellStyle name="Header2 4 2 3 2" xfId="748"/>
    <cellStyle name="Header2 4 2 3 2 2" xfId="1164"/>
    <cellStyle name="Header2 4 2 3 3" xfId="1021"/>
    <cellStyle name="Header2 4 2 4" xfId="489"/>
    <cellStyle name="Header2 4 2 4 2" xfId="749"/>
    <cellStyle name="Header2 4 2 4 2 2" xfId="1165"/>
    <cellStyle name="Header2 4 2 4 3" xfId="1022"/>
    <cellStyle name="Header2 4 2 5" xfId="490"/>
    <cellStyle name="Header2 4 2 5 2" xfId="750"/>
    <cellStyle name="Header2 4 2 5 2 2" xfId="1166"/>
    <cellStyle name="Header2 4 2 5 3" xfId="1092"/>
    <cellStyle name="Header2 4 2 6" xfId="723"/>
    <cellStyle name="Header2 4 2 6 2" xfId="1143"/>
    <cellStyle name="Header2 4 2 7" xfId="1019"/>
    <cellStyle name="Header2 4 3" xfId="491"/>
    <cellStyle name="Header2 4 3 2" xfId="751"/>
    <cellStyle name="Header2 4 3 2 2" xfId="1167"/>
    <cellStyle name="Header2 4 3 3" xfId="1093"/>
    <cellStyle name="Header2 4 4" xfId="713"/>
    <cellStyle name="Header2 4 4 2" xfId="1133"/>
    <cellStyle name="Header2 4 5" xfId="1018"/>
    <cellStyle name="Header2 5" xfId="401"/>
    <cellStyle name="Header2 5 2" xfId="492"/>
    <cellStyle name="Header2 5 2 2" xfId="752"/>
    <cellStyle name="Header2 5 2 2 2" xfId="1168"/>
    <cellStyle name="Header2 5 2 3" xfId="1024"/>
    <cellStyle name="Header2 5 3" xfId="493"/>
    <cellStyle name="Header2 5 3 2" xfId="753"/>
    <cellStyle name="Header2 5 3 2 2" xfId="1169"/>
    <cellStyle name="Header2 5 3 3" xfId="1025"/>
    <cellStyle name="Header2 5 4" xfId="494"/>
    <cellStyle name="Header2 5 4 2" xfId="754"/>
    <cellStyle name="Header2 5 4 2 2" xfId="1170"/>
    <cellStyle name="Header2 5 4 3" xfId="1026"/>
    <cellStyle name="Header2 5 5" xfId="495"/>
    <cellStyle name="Header2 5 5 2" xfId="755"/>
    <cellStyle name="Header2 5 5 2 2" xfId="1171"/>
    <cellStyle name="Header2 5 5 3" xfId="1094"/>
    <cellStyle name="Header2 5 6" xfId="716"/>
    <cellStyle name="Header2 5 6 2" xfId="1136"/>
    <cellStyle name="Header2 5 7" xfId="1023"/>
    <cellStyle name="Header2 6" xfId="496"/>
    <cellStyle name="Header2 6 2" xfId="756"/>
    <cellStyle name="Header2 6 2 2" xfId="1172"/>
    <cellStyle name="Header2 6 3" xfId="1095"/>
    <cellStyle name="Header2 7" xfId="681"/>
    <cellStyle name="Header2 7 2" xfId="1111"/>
    <cellStyle name="Header2 8" xfId="1002"/>
    <cellStyle name="Heading 1" xfId="231"/>
    <cellStyle name="Heading 2" xfId="232"/>
    <cellStyle name="Hyperlink" xfId="81"/>
    <cellStyle name="Input [yellow]" xfId="82"/>
    <cellStyle name="Input [yellow] 2" xfId="399"/>
    <cellStyle name="Input [yellow] 2 2" xfId="383"/>
    <cellStyle name="Input [yellow] 2 2 2" xfId="409"/>
    <cellStyle name="Input [yellow] 2 3" xfId="414"/>
    <cellStyle name="Input [yellow] 3" xfId="395"/>
    <cellStyle name="Input [yellow] 3 2" xfId="412"/>
    <cellStyle name="Input [yellow] 4" xfId="400"/>
    <cellStyle name="Input [yellow] 4 2" xfId="415"/>
    <cellStyle name="Input [yellow] 5" xfId="402"/>
    <cellStyle name="Input [yellow] 5 2" xfId="416"/>
    <cellStyle name="Input [yellow] 6" xfId="417"/>
    <cellStyle name="Input [yellow] 7" xfId="408"/>
    <cellStyle name="Input [yellow] 8" xfId="320"/>
    <cellStyle name="Link Currency (0)" xfId="83"/>
    <cellStyle name="Link Currency (0) 2" xfId="497"/>
    <cellStyle name="Link Currency (2)" xfId="84"/>
    <cellStyle name="Link Units (0)" xfId="85"/>
    <cellStyle name="Link Units (0) 2" xfId="498"/>
    <cellStyle name="Link Units (1)" xfId="86"/>
    <cellStyle name="Link Units (2)" xfId="87"/>
    <cellStyle name="Migliaia (0)_CALCOLI (3)" xfId="233"/>
    <cellStyle name="Migliaia_CALCOLI (3)" xfId="234"/>
    <cellStyle name="no dec" xfId="88"/>
    <cellStyle name="no dec 2" xfId="321"/>
    <cellStyle name="no dec 2 2" xfId="499"/>
    <cellStyle name="Normal - Style1" xfId="89"/>
    <cellStyle name="Normal - Style1 2" xfId="322"/>
    <cellStyle name="Normal - スタイル1" xfId="236"/>
    <cellStyle name="Normal - スタイル2" xfId="237"/>
    <cellStyle name="Normal - スタイル3" xfId="238"/>
    <cellStyle name="Normal - スタイル4" xfId="239"/>
    <cellStyle name="Normal - スタイル5" xfId="240"/>
    <cellStyle name="Normal - スタイル6" xfId="241"/>
    <cellStyle name="Normal - スタイル7" xfId="242"/>
    <cellStyle name="Normal - スタイル8" xfId="243"/>
    <cellStyle name="Normal_# 41-Market &amp;Trends" xfId="90"/>
    <cellStyle name="Normale_CALCOLI (3)" xfId="244"/>
    <cellStyle name="ParaBirimi [0]_RESULTS" xfId="91"/>
    <cellStyle name="ParaBirimi_RESULTS" xfId="92"/>
    <cellStyle name="Percent [0]" xfId="93"/>
    <cellStyle name="Percent [0] 2" xfId="500"/>
    <cellStyle name="Percent [00]" xfId="94"/>
    <cellStyle name="Percent [00] 2" xfId="501"/>
    <cellStyle name="Percent [2]" xfId="95"/>
    <cellStyle name="Percent [2] 2" xfId="323"/>
    <cellStyle name="Percent_#6 Temps &amp; Contractors" xfId="96"/>
    <cellStyle name="PrePop Currency (0)" xfId="97"/>
    <cellStyle name="PrePop Currency (0) 2" xfId="502"/>
    <cellStyle name="PrePop Currency (2)" xfId="98"/>
    <cellStyle name="PrePop Units (0)" xfId="99"/>
    <cellStyle name="PrePop Units (0) 2" xfId="503"/>
    <cellStyle name="PrePop Units (1)" xfId="100"/>
    <cellStyle name="PrePop Units (2)" xfId="101"/>
    <cellStyle name="price" xfId="245"/>
    <cellStyle name="PSChar" xfId="246"/>
    <cellStyle name="PSHeading" xfId="247"/>
    <cellStyle name="revised" xfId="248"/>
    <cellStyle name="RevList" xfId="249"/>
    <cellStyle name="s]_x000d__x000a_load=nwpopup.exe alpctrl.exe_x000d__x000a_spooler=yes_x000d__x000a_run=_x000d__x000a_Beep=yes_x000d__x000a_NullPort=None_x000d__x000a_BorderWidth=3_x000d__x000a_CursorBlinkRate=557_x000d__x000a_Doubl" xfId="250"/>
    <cellStyle name="section" xfId="251"/>
    <cellStyle name="Standard_FRA" xfId="252"/>
    <cellStyle name="subhead" xfId="253"/>
    <cellStyle name="Subtotal" xfId="254"/>
    <cellStyle name="Text Indent A" xfId="102"/>
    <cellStyle name="Text Indent B" xfId="103"/>
    <cellStyle name="Text Indent B 2" xfId="504"/>
    <cellStyle name="Text Indent C" xfId="104"/>
    <cellStyle name="Text Indent C 2" xfId="505"/>
    <cellStyle name="title" xfId="255"/>
    <cellStyle name="Total" xfId="256"/>
    <cellStyle name="Valuta (0)_2001-2004 KUE PLAN 22-01-01" xfId="257"/>
    <cellStyle name="Valuta_2001-2004 KUE PLAN 22-01-01" xfId="258"/>
    <cellStyle name="Virg・ [0]_RESULTS" xfId="105"/>
    <cellStyle name="Virg・_RESULTS" xfId="106"/>
    <cellStyle name="Worksheet" xfId="259"/>
    <cellStyle name="アクセント 1" xfId="108" builtinId="29" customBuiltin="1"/>
    <cellStyle name="アクセント 1 2" xfId="109"/>
    <cellStyle name="アクセント 1 2 2" xfId="324"/>
    <cellStyle name="アクセント 1 2 3" xfId="506"/>
    <cellStyle name="アクセント 1 3" xfId="110"/>
    <cellStyle name="アクセント 1 3 2" xfId="325"/>
    <cellStyle name="アクセント 1 3 3" xfId="507"/>
    <cellStyle name="アクセント 1 4" xfId="908"/>
    <cellStyle name="アクセント 2" xfId="111" builtinId="33" customBuiltin="1"/>
    <cellStyle name="アクセント 2 2" xfId="112"/>
    <cellStyle name="アクセント 2 2 2" xfId="326"/>
    <cellStyle name="アクセント 2 2 3" xfId="508"/>
    <cellStyle name="アクセント 2 3" xfId="113"/>
    <cellStyle name="アクセント 2 3 2" xfId="327"/>
    <cellStyle name="アクセント 2 3 3" xfId="509"/>
    <cellStyle name="アクセント 2 4" xfId="909"/>
    <cellStyle name="アクセント 3" xfId="114" builtinId="37" customBuiltin="1"/>
    <cellStyle name="アクセント 3 2" xfId="115"/>
    <cellStyle name="アクセント 3 2 2" xfId="328"/>
    <cellStyle name="アクセント 3 2 3" xfId="510"/>
    <cellStyle name="アクセント 3 3" xfId="116"/>
    <cellStyle name="アクセント 3 3 2" xfId="329"/>
    <cellStyle name="アクセント 3 3 3" xfId="511"/>
    <cellStyle name="アクセント 3 4" xfId="910"/>
    <cellStyle name="アクセント 4" xfId="117" builtinId="41" customBuiltin="1"/>
    <cellStyle name="アクセント 4 2" xfId="118"/>
    <cellStyle name="アクセント 4 2 2" xfId="330"/>
    <cellStyle name="アクセント 4 2 3" xfId="512"/>
    <cellStyle name="アクセント 4 3" xfId="119"/>
    <cellStyle name="アクセント 4 3 2" xfId="331"/>
    <cellStyle name="アクセント 4 3 3" xfId="513"/>
    <cellStyle name="アクセント 4 4" xfId="911"/>
    <cellStyle name="アクセント 5" xfId="120" builtinId="45" customBuiltin="1"/>
    <cellStyle name="アクセント 5 2" xfId="121"/>
    <cellStyle name="アクセント 5 2 2" xfId="332"/>
    <cellStyle name="アクセント 5 2 3" xfId="514"/>
    <cellStyle name="アクセント 5 3" xfId="122"/>
    <cellStyle name="アクセント 5 3 2" xfId="333"/>
    <cellStyle name="アクセント 5 3 3" xfId="515"/>
    <cellStyle name="アクセント 5 4" xfId="912"/>
    <cellStyle name="アクセント 6" xfId="123" builtinId="49" customBuiltin="1"/>
    <cellStyle name="アクセント 6 2" xfId="124"/>
    <cellStyle name="アクセント 6 2 2" xfId="334"/>
    <cellStyle name="アクセント 6 2 3" xfId="516"/>
    <cellStyle name="アクセント 6 3" xfId="125"/>
    <cellStyle name="アクセント 6 3 2" xfId="335"/>
    <cellStyle name="アクセント 6 3 3" xfId="517"/>
    <cellStyle name="アクセント 6 4" xfId="913"/>
    <cellStyle name="アンダーライン" xfId="126"/>
    <cellStyle name="イタリック" xfId="127"/>
    <cellStyle name="タイトル" xfId="128" builtinId="15" customBuiltin="1"/>
    <cellStyle name="タイトル 2" xfId="129"/>
    <cellStyle name="タイトル 2 2" xfId="336"/>
    <cellStyle name="タイトル 3" xfId="130"/>
    <cellStyle name="タイトル 3 2" xfId="337"/>
    <cellStyle name="チェック セル" xfId="131" builtinId="23" customBuiltin="1"/>
    <cellStyle name="チェック セル 2" xfId="132"/>
    <cellStyle name="チェック セル 2 2" xfId="338"/>
    <cellStyle name="チェック セル 2 3" xfId="518"/>
    <cellStyle name="チェック セル 3" xfId="133"/>
    <cellStyle name="チェック セル 3 2" xfId="339"/>
    <cellStyle name="チェック セル 3 3" xfId="519"/>
    <cellStyle name="チェック セル 4" xfId="914"/>
    <cellStyle name="どちらでもない" xfId="134" builtinId="28" customBuiltin="1"/>
    <cellStyle name="どちらでもない 2" xfId="135"/>
    <cellStyle name="どちらでもない 2 2" xfId="340"/>
    <cellStyle name="どちらでもない 2 3" xfId="520"/>
    <cellStyle name="どちらでもない 3" xfId="136"/>
    <cellStyle name="どちらでもない 3 2" xfId="341"/>
    <cellStyle name="どちらでもない 3 3" xfId="521"/>
    <cellStyle name="どちらでもない 4" xfId="915"/>
    <cellStyle name="ﾄ褊褂燾・[0]_PERSONAL" xfId="137"/>
    <cellStyle name="ﾄ褊褂燾饑PERSONAL" xfId="138"/>
    <cellStyle name="ハイパーリンク 2" xfId="260"/>
    <cellStyle name="ハイパーリンク 2 2" xfId="342"/>
    <cellStyle name="ハイパーリンク 3" xfId="343"/>
    <cellStyle name="ハイパーリンク 4" xfId="281"/>
    <cellStyle name="パ－セント" xfId="261"/>
    <cellStyle name="ボールド" xfId="139"/>
    <cellStyle name="ﾎ磊隆_PERSONAL" xfId="140"/>
    <cellStyle name="メモ" xfId="141" builtinId="10" customBuiltin="1"/>
    <cellStyle name="メモ 2" xfId="142"/>
    <cellStyle name="メモ 2 2" xfId="397"/>
    <cellStyle name="メモ 2 2 2" xfId="406"/>
    <cellStyle name="メモ 2 2 2 2" xfId="522"/>
    <cellStyle name="メモ 2 2 2 2 2" xfId="757"/>
    <cellStyle name="メモ 2 2 2 2 2 2" xfId="1173"/>
    <cellStyle name="メモ 2 2 2 3" xfId="523"/>
    <cellStyle name="メモ 2 2 2 3 2" xfId="758"/>
    <cellStyle name="メモ 2 2 2 3 2 2" xfId="1174"/>
    <cellStyle name="メモ 2 2 2 4" xfId="524"/>
    <cellStyle name="メモ 2 2 2 4 2" xfId="759"/>
    <cellStyle name="メモ 2 2 2 4 2 2" xfId="1175"/>
    <cellStyle name="メモ 2 2 2 5" xfId="719"/>
    <cellStyle name="メモ 2 2 2 5 2" xfId="1139"/>
    <cellStyle name="メモ 2 2 3" xfId="525"/>
    <cellStyle name="メモ 2 2 3 2" xfId="760"/>
    <cellStyle name="メモ 2 2 3 2 2" xfId="1176"/>
    <cellStyle name="メモ 2 2 4" xfId="526"/>
    <cellStyle name="メモ 2 2 4 2" xfId="761"/>
    <cellStyle name="メモ 2 2 4 2 2" xfId="1177"/>
    <cellStyle name="メモ 2 2 5" xfId="527"/>
    <cellStyle name="メモ 2 2 5 2" xfId="762"/>
    <cellStyle name="メモ 2 2 5 2 2" xfId="1178"/>
    <cellStyle name="メモ 2 2 6" xfId="714"/>
    <cellStyle name="メモ 2 2 6 2" xfId="1134"/>
    <cellStyle name="メモ 2 3" xfId="344"/>
    <cellStyle name="メモ 2 3 2" xfId="528"/>
    <cellStyle name="メモ 2 3 2 2" xfId="763"/>
    <cellStyle name="メモ 2 3 2 2 2" xfId="1179"/>
    <cellStyle name="メモ 2 3 3" xfId="529"/>
    <cellStyle name="メモ 2 3 3 2" xfId="764"/>
    <cellStyle name="メモ 2 3 3 2 2" xfId="1180"/>
    <cellStyle name="メモ 2 3 4" xfId="530"/>
    <cellStyle name="メモ 2 3 4 2" xfId="765"/>
    <cellStyle name="メモ 2 3 4 2 2" xfId="1181"/>
    <cellStyle name="メモ 2 3 5" xfId="689"/>
    <cellStyle name="メモ 2 3 5 2" xfId="1117"/>
    <cellStyle name="メモ 2 4" xfId="531"/>
    <cellStyle name="メモ 2 4 2" xfId="766"/>
    <cellStyle name="メモ 2 4 2 2" xfId="1182"/>
    <cellStyle name="メモ 3" xfId="143"/>
    <cellStyle name="メモ 3 2" xfId="393"/>
    <cellStyle name="メモ 3 2 2" xfId="407"/>
    <cellStyle name="メモ 3 2 2 2" xfId="532"/>
    <cellStyle name="メモ 3 2 2 2 2" xfId="767"/>
    <cellStyle name="メモ 3 2 2 2 2 2" xfId="1183"/>
    <cellStyle name="メモ 3 2 2 3" xfId="533"/>
    <cellStyle name="メモ 3 2 2 3 2" xfId="768"/>
    <cellStyle name="メモ 3 2 2 3 2 2" xfId="1184"/>
    <cellStyle name="メモ 3 2 2 4" xfId="534"/>
    <cellStyle name="メモ 3 2 2 4 2" xfId="769"/>
    <cellStyle name="メモ 3 2 2 4 2 2" xfId="1185"/>
    <cellStyle name="メモ 3 2 2 5" xfId="720"/>
    <cellStyle name="メモ 3 2 2 5 2" xfId="1140"/>
    <cellStyle name="メモ 3 2 3" xfId="535"/>
    <cellStyle name="メモ 3 2 3 2" xfId="770"/>
    <cellStyle name="メモ 3 2 3 2 2" xfId="1186"/>
    <cellStyle name="メモ 3 2 4" xfId="536"/>
    <cellStyle name="メモ 3 2 4 2" xfId="771"/>
    <cellStyle name="メモ 3 2 4 2 2" xfId="1187"/>
    <cellStyle name="メモ 3 2 5" xfId="537"/>
    <cellStyle name="メモ 3 2 5 2" xfId="772"/>
    <cellStyle name="メモ 3 2 5 2 2" xfId="1188"/>
    <cellStyle name="メモ 3 2 6" xfId="711"/>
    <cellStyle name="メモ 3 2 6 2" xfId="1131"/>
    <cellStyle name="メモ 3 3" xfId="345"/>
    <cellStyle name="メモ 3 3 2" xfId="538"/>
    <cellStyle name="メモ 3 3 2 2" xfId="773"/>
    <cellStyle name="メモ 3 3 2 2 2" xfId="1189"/>
    <cellStyle name="メモ 3 3 3" xfId="539"/>
    <cellStyle name="メモ 3 3 3 2" xfId="774"/>
    <cellStyle name="メモ 3 3 3 2 2" xfId="1190"/>
    <cellStyle name="メモ 3 3 4" xfId="540"/>
    <cellStyle name="メモ 3 3 4 2" xfId="775"/>
    <cellStyle name="メモ 3 3 4 2 2" xfId="1191"/>
    <cellStyle name="メモ 3 3 5" xfId="690"/>
    <cellStyle name="メモ 3 3 5 2" xfId="1118"/>
    <cellStyle name="メモ 3 4" xfId="541"/>
    <cellStyle name="メモ 3 4 2" xfId="776"/>
    <cellStyle name="メモ 3 4 2 2" xfId="1192"/>
    <cellStyle name="メモ 4" xfId="542"/>
    <cellStyle name="メモ 4 2" xfId="777"/>
    <cellStyle name="メモ 4 2 2" xfId="1193"/>
    <cellStyle name="メモ 5" xfId="543"/>
    <cellStyle name="メモ 5 2" xfId="778"/>
    <cellStyle name="メモ 5 2 2" xfId="1194"/>
    <cellStyle name="メモ 6" xfId="544"/>
    <cellStyle name="メモ 6 2" xfId="779"/>
    <cellStyle name="メモ 6 2 2" xfId="1195"/>
    <cellStyle name="メモ 7" xfId="682"/>
    <cellStyle name="メモ 7 2" xfId="1112"/>
    <cellStyle name="ﾔ竟瑙糺・[0]_PERSONAL" xfId="144"/>
    <cellStyle name="ﾔ竟瑙糺饑PERSONAL" xfId="145"/>
    <cellStyle name="リンク セル" xfId="146" builtinId="24" customBuiltin="1"/>
    <cellStyle name="リンク セル 2" xfId="147"/>
    <cellStyle name="リンク セル 2 2" xfId="346"/>
    <cellStyle name="リンク セル 2 3" xfId="545"/>
    <cellStyle name="リンク セル 3" xfId="148"/>
    <cellStyle name="リンク セル 3 2" xfId="347"/>
    <cellStyle name="リンク セル 3 3" xfId="546"/>
    <cellStyle name="リンク セル 4" xfId="547"/>
    <cellStyle name="リンク セル 5" xfId="916"/>
    <cellStyle name="悪い" xfId="149" builtinId="27" customBuiltin="1"/>
    <cellStyle name="悪い 2" xfId="150"/>
    <cellStyle name="悪い 2 2" xfId="348"/>
    <cellStyle name="悪い 2 3" xfId="548"/>
    <cellStyle name="悪い 3" xfId="151"/>
    <cellStyle name="悪い 3 2" xfId="349"/>
    <cellStyle name="悪い 3 3" xfId="549"/>
    <cellStyle name="悪い 4" xfId="917"/>
    <cellStyle name="案" xfId="262"/>
    <cellStyle name="案_IPA仕訳(統一会計)" xfId="263"/>
    <cellStyle name="案_IPA仕訳一覧（勘定科目別要件）" xfId="264"/>
    <cellStyle name="型番" xfId="265"/>
    <cellStyle name="計算" xfId="152" builtinId="22" customBuiltin="1"/>
    <cellStyle name="計算 2" xfId="153"/>
    <cellStyle name="計算 2 2" xfId="392"/>
    <cellStyle name="計算 2 2 2" xfId="418"/>
    <cellStyle name="計算 2 2 2 2" xfId="550"/>
    <cellStyle name="計算 2 2 2 2 2" xfId="780"/>
    <cellStyle name="計算 2 2 2 2 2 2" xfId="1196"/>
    <cellStyle name="計算 2 2 2 3" xfId="551"/>
    <cellStyle name="計算 2 2 2 3 2" xfId="781"/>
    <cellStyle name="計算 2 2 2 3 2 2" xfId="1197"/>
    <cellStyle name="計算 2 2 2 4" xfId="552"/>
    <cellStyle name="計算 2 2 2 4 2" xfId="782"/>
    <cellStyle name="計算 2 2 2 4 2 2" xfId="1198"/>
    <cellStyle name="計算 2 2 2 5" xfId="724"/>
    <cellStyle name="計算 2 2 2 5 2" xfId="1144"/>
    <cellStyle name="計算 2 2 3" xfId="553"/>
    <cellStyle name="計算 2 2 3 2" xfId="783"/>
    <cellStyle name="計算 2 2 3 2 2" xfId="1199"/>
    <cellStyle name="計算 2 2 4" xfId="554"/>
    <cellStyle name="計算 2 2 4 2" xfId="784"/>
    <cellStyle name="計算 2 2 4 2 2" xfId="1200"/>
    <cellStyle name="計算 2 2 5" xfId="555"/>
    <cellStyle name="計算 2 2 5 2" xfId="785"/>
    <cellStyle name="計算 2 2 5 2 2" xfId="1201"/>
    <cellStyle name="計算 2 2 6" xfId="710"/>
    <cellStyle name="計算 2 2 6 2" xfId="1130"/>
    <cellStyle name="計算 2 3" xfId="350"/>
    <cellStyle name="計算 2 3 2" xfId="556"/>
    <cellStyle name="計算 2 3 2 2" xfId="786"/>
    <cellStyle name="計算 2 3 2 2 2" xfId="1202"/>
    <cellStyle name="計算 2 3 3" xfId="557"/>
    <cellStyle name="計算 2 3 3 2" xfId="787"/>
    <cellStyle name="計算 2 3 3 2 2" xfId="1203"/>
    <cellStyle name="計算 2 3 4" xfId="558"/>
    <cellStyle name="計算 2 3 4 2" xfId="788"/>
    <cellStyle name="計算 2 3 4 2 2" xfId="1204"/>
    <cellStyle name="計算 2 3 5" xfId="691"/>
    <cellStyle name="計算 2 3 5 2" xfId="1119"/>
    <cellStyle name="計算 2 4" xfId="559"/>
    <cellStyle name="計算 2 4 2" xfId="789"/>
    <cellStyle name="計算 2 4 2 2" xfId="1205"/>
    <cellStyle name="計算 3" xfId="154"/>
    <cellStyle name="計算 3 2" xfId="391"/>
    <cellStyle name="計算 3 2 2" xfId="419"/>
    <cellStyle name="計算 3 2 2 2" xfId="560"/>
    <cellStyle name="計算 3 2 2 2 2" xfId="790"/>
    <cellStyle name="計算 3 2 2 2 2 2" xfId="1206"/>
    <cellStyle name="計算 3 2 2 3" xfId="561"/>
    <cellStyle name="計算 3 2 2 3 2" xfId="791"/>
    <cellStyle name="計算 3 2 2 3 2 2" xfId="1207"/>
    <cellStyle name="計算 3 2 2 4" xfId="562"/>
    <cellStyle name="計算 3 2 2 4 2" xfId="792"/>
    <cellStyle name="計算 3 2 2 4 2 2" xfId="1208"/>
    <cellStyle name="計算 3 2 2 5" xfId="725"/>
    <cellStyle name="計算 3 2 2 5 2" xfId="1145"/>
    <cellStyle name="計算 3 2 3" xfId="563"/>
    <cellStyle name="計算 3 2 3 2" xfId="793"/>
    <cellStyle name="計算 3 2 3 2 2" xfId="1209"/>
    <cellStyle name="計算 3 2 4" xfId="564"/>
    <cellStyle name="計算 3 2 4 2" xfId="794"/>
    <cellStyle name="計算 3 2 4 2 2" xfId="1210"/>
    <cellStyle name="計算 3 2 5" xfId="565"/>
    <cellStyle name="計算 3 2 5 2" xfId="795"/>
    <cellStyle name="計算 3 2 5 2 2" xfId="1211"/>
    <cellStyle name="計算 3 2 6" xfId="709"/>
    <cellStyle name="計算 3 2 6 2" xfId="1129"/>
    <cellStyle name="計算 3 3" xfId="351"/>
    <cellStyle name="計算 3 3 2" xfId="566"/>
    <cellStyle name="計算 3 3 2 2" xfId="796"/>
    <cellStyle name="計算 3 3 2 2 2" xfId="1212"/>
    <cellStyle name="計算 3 3 3" xfId="567"/>
    <cellStyle name="計算 3 3 3 2" xfId="797"/>
    <cellStyle name="計算 3 3 3 2 2" xfId="1213"/>
    <cellStyle name="計算 3 3 4" xfId="568"/>
    <cellStyle name="計算 3 3 4 2" xfId="798"/>
    <cellStyle name="計算 3 3 4 2 2" xfId="1214"/>
    <cellStyle name="計算 3 3 5" xfId="692"/>
    <cellStyle name="計算 3 3 5 2" xfId="1120"/>
    <cellStyle name="計算 3 4" xfId="569"/>
    <cellStyle name="計算 3 4 2" xfId="799"/>
    <cellStyle name="計算 3 4 2 2" xfId="1215"/>
    <cellStyle name="計算 4" xfId="570"/>
    <cellStyle name="計算 4 2" xfId="800"/>
    <cellStyle name="計算 4 2 2" xfId="1216"/>
    <cellStyle name="計算 5" xfId="571"/>
    <cellStyle name="計算 5 2" xfId="801"/>
    <cellStyle name="計算 5 2 2" xfId="1217"/>
    <cellStyle name="計算 6" xfId="572"/>
    <cellStyle name="計算 6 2" xfId="802"/>
    <cellStyle name="計算 6 2 2" xfId="1218"/>
    <cellStyle name="計算 7" xfId="683"/>
    <cellStyle name="計算 7 2" xfId="1113"/>
    <cellStyle name="警告文" xfId="155" builtinId="11" customBuiltin="1"/>
    <cellStyle name="警告文 2" xfId="156"/>
    <cellStyle name="警告文 2 2" xfId="352"/>
    <cellStyle name="警告文 2 3" xfId="573"/>
    <cellStyle name="警告文 3" xfId="157"/>
    <cellStyle name="警告文 3 2" xfId="353"/>
    <cellStyle name="警告文 3 3" xfId="574"/>
    <cellStyle name="警告文 4" xfId="918"/>
    <cellStyle name="桁蟻唇Ｆ [0.00]_laroux" xfId="266"/>
    <cellStyle name="桁蟻唇Ｆ_laroux" xfId="267"/>
    <cellStyle name="桁区切り 2" xfId="382"/>
    <cellStyle name="桁区切り 2 10" xfId="1475"/>
    <cellStyle name="桁区切り 2 2" xfId="575"/>
    <cellStyle name="桁区切り 2 2 2" xfId="803"/>
    <cellStyle name="桁区切り 2 2 2 2" xfId="919"/>
    <cellStyle name="桁区切り 2 2 2 2 2" xfId="1320"/>
    <cellStyle name="桁区切り 2 2 2 2 3" xfId="1430"/>
    <cellStyle name="桁区切り 2 2 2 2 4" xfId="1540"/>
    <cellStyle name="桁区切り 2 2 2 3" xfId="920"/>
    <cellStyle name="桁区切り 2 2 2 3 2" xfId="1353"/>
    <cellStyle name="桁区切り 2 2 2 3 3" xfId="1463"/>
    <cellStyle name="桁区切り 2 2 2 3 4" xfId="1573"/>
    <cellStyle name="桁区切り 2 2 2 4" xfId="1219"/>
    <cellStyle name="桁区切り 2 2 2 5" xfId="1398"/>
    <cellStyle name="桁区切り 2 2 2 6" xfId="1508"/>
    <cellStyle name="桁区切り 2 2 3" xfId="921"/>
    <cellStyle name="桁区切り 2 2 3 2" xfId="1096"/>
    <cellStyle name="桁区切り 2 2 3 3" xfId="1382"/>
    <cellStyle name="桁区切り 2 2 3 4" xfId="1492"/>
    <cellStyle name="桁区切り 2 2 4" xfId="922"/>
    <cellStyle name="桁区切り 2 2 4 2" xfId="1304"/>
    <cellStyle name="桁区切り 2 2 4 3" xfId="1414"/>
    <cellStyle name="桁区切り 2 2 4 4" xfId="1524"/>
    <cellStyle name="桁区切り 2 2 5" xfId="923"/>
    <cellStyle name="桁区切り 2 2 5 2" xfId="1337"/>
    <cellStyle name="桁区切り 2 2 5 3" xfId="1447"/>
    <cellStyle name="桁区切り 2 2 5 4" xfId="1557"/>
    <cellStyle name="桁区切り 2 2 6" xfId="1028"/>
    <cellStyle name="桁区切り 2 2 7" xfId="1366"/>
    <cellStyle name="桁区切り 2 2 8" xfId="1476"/>
    <cellStyle name="桁区切り 2 3" xfId="576"/>
    <cellStyle name="桁区切り 2 3 2" xfId="804"/>
    <cellStyle name="桁区切り 2 3 2 2" xfId="924"/>
    <cellStyle name="桁区切り 2 3 2 2 2" xfId="1321"/>
    <cellStyle name="桁区切り 2 3 2 2 3" xfId="1431"/>
    <cellStyle name="桁区切り 2 3 2 2 4" xfId="1541"/>
    <cellStyle name="桁区切り 2 3 2 3" xfId="925"/>
    <cellStyle name="桁区切り 2 3 2 3 2" xfId="1354"/>
    <cellStyle name="桁区切り 2 3 2 3 3" xfId="1464"/>
    <cellStyle name="桁区切り 2 3 2 3 4" xfId="1574"/>
    <cellStyle name="桁区切り 2 3 2 4" xfId="1220"/>
    <cellStyle name="桁区切り 2 3 2 5" xfId="1399"/>
    <cellStyle name="桁区切り 2 3 2 6" xfId="1509"/>
    <cellStyle name="桁区切り 2 3 3" xfId="926"/>
    <cellStyle name="桁区切り 2 3 3 2" xfId="1305"/>
    <cellStyle name="桁区切り 2 3 3 3" xfId="1415"/>
    <cellStyle name="桁区切り 2 3 3 4" xfId="1525"/>
    <cellStyle name="桁区切り 2 3 4" xfId="927"/>
    <cellStyle name="桁区切り 2 3 4 2" xfId="1338"/>
    <cellStyle name="桁区切り 2 3 4 3" xfId="1448"/>
    <cellStyle name="桁区切り 2 3 4 4" xfId="1558"/>
    <cellStyle name="桁区切り 2 3 5" xfId="1097"/>
    <cellStyle name="桁区切り 2 3 6" xfId="1383"/>
    <cellStyle name="桁区切り 2 3 7" xfId="1493"/>
    <cellStyle name="桁区切り 2 4" xfId="701"/>
    <cellStyle name="桁区切り 2 4 2" xfId="928"/>
    <cellStyle name="桁区切り 2 4 2 2" xfId="1318"/>
    <cellStyle name="桁区切り 2 4 2 3" xfId="1428"/>
    <cellStyle name="桁区切り 2 4 2 4" xfId="1538"/>
    <cellStyle name="桁区切り 2 4 3" xfId="929"/>
    <cellStyle name="桁区切り 2 4 3 2" xfId="1351"/>
    <cellStyle name="桁区切り 2 4 3 3" xfId="1461"/>
    <cellStyle name="桁区切り 2 4 3 4" xfId="1571"/>
    <cellStyle name="桁区切り 2 4 4" xfId="1125"/>
    <cellStyle name="桁区切り 2 4 5" xfId="1396"/>
    <cellStyle name="桁区切り 2 4 6" xfId="1506"/>
    <cellStyle name="桁区切り 2 5" xfId="930"/>
    <cellStyle name="桁区切り 2 5 2" xfId="1084"/>
    <cellStyle name="桁区切り 2 5 3" xfId="1380"/>
    <cellStyle name="桁区切り 2 5 4" xfId="1490"/>
    <cellStyle name="桁区切り 2 6" xfId="931"/>
    <cellStyle name="桁区切り 2 6 2" xfId="1302"/>
    <cellStyle name="桁区切り 2 6 3" xfId="1412"/>
    <cellStyle name="桁区切り 2 6 4" xfId="1522"/>
    <cellStyle name="桁区切り 2 7" xfId="932"/>
    <cellStyle name="桁区切り 2 7 2" xfId="1335"/>
    <cellStyle name="桁区切り 2 7 3" xfId="1445"/>
    <cellStyle name="桁区切り 2 7 4" xfId="1555"/>
    <cellStyle name="桁区切り 2 8" xfId="1027"/>
    <cellStyle name="桁区切り 2 9" xfId="1365"/>
    <cellStyle name="見出し 1" xfId="158" builtinId="16" customBuiltin="1"/>
    <cellStyle name="見出し 1 2" xfId="159"/>
    <cellStyle name="見出し 1 2 2" xfId="354"/>
    <cellStyle name="見出し 1 2 3" xfId="577"/>
    <cellStyle name="見出し 1 3" xfId="160"/>
    <cellStyle name="見出し 1 3 2" xfId="355"/>
    <cellStyle name="見出し 1 3 3" xfId="578"/>
    <cellStyle name="見出し 1 4" xfId="933"/>
    <cellStyle name="見出し 2" xfId="161" builtinId="17" customBuiltin="1"/>
    <cellStyle name="見出し 2 2" xfId="162"/>
    <cellStyle name="見出し 2 2 2" xfId="356"/>
    <cellStyle name="見出し 2 2 3" xfId="579"/>
    <cellStyle name="見出し 2 3" xfId="163"/>
    <cellStyle name="見出し 2 3 2" xfId="357"/>
    <cellStyle name="見出し 2 3 3" xfId="580"/>
    <cellStyle name="見出し 2 4" xfId="934"/>
    <cellStyle name="見出し 3" xfId="164" builtinId="18" customBuiltin="1"/>
    <cellStyle name="見出し 3 2" xfId="165"/>
    <cellStyle name="見出し 3 2 2" xfId="358"/>
    <cellStyle name="見出し 3 2 3" xfId="581"/>
    <cellStyle name="見出し 3 3" xfId="166"/>
    <cellStyle name="見出し 3 3 2" xfId="359"/>
    <cellStyle name="見出し 3 3 3" xfId="582"/>
    <cellStyle name="見出し 3 4" xfId="935"/>
    <cellStyle name="見出し 4" xfId="167" builtinId="19" customBuiltin="1"/>
    <cellStyle name="見出し 4 2" xfId="168"/>
    <cellStyle name="見出し 4 2 2" xfId="360"/>
    <cellStyle name="見出し 4 2 3" xfId="583"/>
    <cellStyle name="見出し 4 3" xfId="169"/>
    <cellStyle name="見出し 4 3 2" xfId="361"/>
    <cellStyle name="見出し 4 3 3" xfId="584"/>
    <cellStyle name="見出し 4 4" xfId="936"/>
    <cellStyle name="取り消し線" xfId="170"/>
    <cellStyle name="集計" xfId="171" builtinId="25" customBuiltin="1"/>
    <cellStyle name="集計 2" xfId="172"/>
    <cellStyle name="集計 2 2" xfId="390"/>
    <cellStyle name="集計 2 2 2" xfId="420"/>
    <cellStyle name="集計 2 2 2 2" xfId="585"/>
    <cellStyle name="集計 2 2 2 2 2" xfId="805"/>
    <cellStyle name="集計 2 2 2 2 2 2" xfId="1221"/>
    <cellStyle name="集計 2 2 2 2 3" xfId="1029"/>
    <cellStyle name="集計 2 2 2 3" xfId="586"/>
    <cellStyle name="集計 2 2 2 3 2" xfId="806"/>
    <cellStyle name="集計 2 2 2 3 2 2" xfId="1222"/>
    <cellStyle name="集計 2 2 2 3 3" xfId="1030"/>
    <cellStyle name="集計 2 2 2 4" xfId="587"/>
    <cellStyle name="集計 2 2 2 4 2" xfId="807"/>
    <cellStyle name="集計 2 2 2 4 2 2" xfId="1223"/>
    <cellStyle name="集計 2 2 2 4 3" xfId="1031"/>
    <cellStyle name="集計 2 2 2 5" xfId="726"/>
    <cellStyle name="集計 2 2 3" xfId="588"/>
    <cellStyle name="集計 2 2 3 2" xfId="808"/>
    <cellStyle name="集計 2 2 3 2 2" xfId="1224"/>
    <cellStyle name="集計 2 2 3 3" xfId="1032"/>
    <cellStyle name="集計 2 2 4" xfId="589"/>
    <cellStyle name="集計 2 2 4 2" xfId="809"/>
    <cellStyle name="集計 2 2 4 2 2" xfId="1225"/>
    <cellStyle name="集計 2 2 4 3" xfId="1033"/>
    <cellStyle name="集計 2 2 5" xfId="590"/>
    <cellStyle name="集計 2 2 5 2" xfId="810"/>
    <cellStyle name="集計 2 2 5 2 2" xfId="1226"/>
    <cellStyle name="集計 2 2 5 3" xfId="1034"/>
    <cellStyle name="集計 2 2 6" xfId="708"/>
    <cellStyle name="集計 2 3" xfId="362"/>
    <cellStyle name="集計 2 3 2" xfId="591"/>
    <cellStyle name="集計 2 3 2 2" xfId="811"/>
    <cellStyle name="集計 2 3 2 2 2" xfId="1227"/>
    <cellStyle name="集計 2 3 2 3" xfId="1035"/>
    <cellStyle name="集計 2 3 3" xfId="592"/>
    <cellStyle name="集計 2 3 3 2" xfId="812"/>
    <cellStyle name="集計 2 3 3 2 2" xfId="1228"/>
    <cellStyle name="集計 2 3 3 3" xfId="1036"/>
    <cellStyle name="集計 2 3 4" xfId="593"/>
    <cellStyle name="集計 2 3 4 2" xfId="813"/>
    <cellStyle name="集計 2 3 4 2 2" xfId="1229"/>
    <cellStyle name="集計 2 3 4 3" xfId="1037"/>
    <cellStyle name="集計 2 3 5" xfId="693"/>
    <cellStyle name="集計 2 4" xfId="594"/>
    <cellStyle name="集計 2 4 2" xfId="814"/>
    <cellStyle name="集計 2 4 2 2" xfId="1230"/>
    <cellStyle name="集計 2 4 3" xfId="1098"/>
    <cellStyle name="集計 3" xfId="173"/>
    <cellStyle name="集計 3 2" xfId="389"/>
    <cellStyle name="集計 3 2 2" xfId="421"/>
    <cellStyle name="集計 3 2 2 2" xfId="595"/>
    <cellStyle name="集計 3 2 2 2 2" xfId="815"/>
    <cellStyle name="集計 3 2 2 2 2 2" xfId="1231"/>
    <cellStyle name="集計 3 2 2 2 3" xfId="1038"/>
    <cellStyle name="集計 3 2 2 3" xfId="596"/>
    <cellStyle name="集計 3 2 2 3 2" xfId="816"/>
    <cellStyle name="集計 3 2 2 3 2 2" xfId="1232"/>
    <cellStyle name="集計 3 2 2 3 3" xfId="1039"/>
    <cellStyle name="集計 3 2 2 4" xfId="597"/>
    <cellStyle name="集計 3 2 2 4 2" xfId="817"/>
    <cellStyle name="集計 3 2 2 4 2 2" xfId="1233"/>
    <cellStyle name="集計 3 2 2 4 3" xfId="1040"/>
    <cellStyle name="集計 3 2 2 5" xfId="727"/>
    <cellStyle name="集計 3 2 3" xfId="598"/>
    <cellStyle name="集計 3 2 3 2" xfId="818"/>
    <cellStyle name="集計 3 2 3 2 2" xfId="1234"/>
    <cellStyle name="集計 3 2 3 3" xfId="1041"/>
    <cellStyle name="集計 3 2 4" xfId="599"/>
    <cellStyle name="集計 3 2 4 2" xfId="819"/>
    <cellStyle name="集計 3 2 4 2 2" xfId="1235"/>
    <cellStyle name="集計 3 2 4 3" xfId="1042"/>
    <cellStyle name="集計 3 2 5" xfId="600"/>
    <cellStyle name="集計 3 2 5 2" xfId="820"/>
    <cellStyle name="集計 3 2 5 2 2" xfId="1236"/>
    <cellStyle name="集計 3 2 5 3" xfId="1043"/>
    <cellStyle name="集計 3 2 6" xfId="707"/>
    <cellStyle name="集計 3 3" xfId="363"/>
    <cellStyle name="集計 3 3 2" xfId="601"/>
    <cellStyle name="集計 3 3 2 2" xfId="821"/>
    <cellStyle name="集計 3 3 2 2 2" xfId="1237"/>
    <cellStyle name="集計 3 3 2 3" xfId="1044"/>
    <cellStyle name="集計 3 3 3" xfId="602"/>
    <cellStyle name="集計 3 3 3 2" xfId="822"/>
    <cellStyle name="集計 3 3 3 2 2" xfId="1238"/>
    <cellStyle name="集計 3 3 3 3" xfId="1045"/>
    <cellStyle name="集計 3 3 4" xfId="603"/>
    <cellStyle name="集計 3 3 4 2" xfId="823"/>
    <cellStyle name="集計 3 3 4 2 2" xfId="1239"/>
    <cellStyle name="集計 3 3 4 3" xfId="1046"/>
    <cellStyle name="集計 3 3 5" xfId="694"/>
    <cellStyle name="集計 3 4" xfId="604"/>
    <cellStyle name="集計 3 4 2" xfId="824"/>
    <cellStyle name="集計 3 4 2 2" xfId="1240"/>
    <cellStyle name="集計 3 4 3" xfId="1099"/>
    <cellStyle name="集計 4" xfId="605"/>
    <cellStyle name="集計 4 2" xfId="825"/>
    <cellStyle name="集計 4 2 2" xfId="1241"/>
    <cellStyle name="集計 4 3" xfId="1047"/>
    <cellStyle name="集計 5" xfId="606"/>
    <cellStyle name="集計 5 2" xfId="826"/>
    <cellStyle name="集計 5 2 2" xfId="1242"/>
    <cellStyle name="集計 5 3" xfId="1048"/>
    <cellStyle name="集計 6" xfId="607"/>
    <cellStyle name="集計 6 2" xfId="827"/>
    <cellStyle name="集計 6 2 2" xfId="1243"/>
    <cellStyle name="集計 6 3" xfId="1049"/>
    <cellStyle name="集計 7" xfId="684"/>
    <cellStyle name="出力" xfId="174" builtinId="21" customBuiltin="1"/>
    <cellStyle name="出力 2" xfId="175"/>
    <cellStyle name="出力 2 2" xfId="388"/>
    <cellStyle name="出力 2 2 2" xfId="422"/>
    <cellStyle name="出力 2 2 2 2" xfId="608"/>
    <cellStyle name="出力 2 2 2 2 2" xfId="828"/>
    <cellStyle name="出力 2 2 2 2 2 2" xfId="1244"/>
    <cellStyle name="出力 2 2 2 2 3" xfId="1050"/>
    <cellStyle name="出力 2 2 2 3" xfId="609"/>
    <cellStyle name="出力 2 2 2 3 2" xfId="829"/>
    <cellStyle name="出力 2 2 2 3 2 2" xfId="1245"/>
    <cellStyle name="出力 2 2 2 3 3" xfId="1051"/>
    <cellStyle name="出力 2 2 2 4" xfId="610"/>
    <cellStyle name="出力 2 2 2 4 2" xfId="830"/>
    <cellStyle name="出力 2 2 2 4 2 2" xfId="1246"/>
    <cellStyle name="出力 2 2 2 4 3" xfId="1052"/>
    <cellStyle name="出力 2 2 2 5" xfId="728"/>
    <cellStyle name="出力 2 2 3" xfId="611"/>
    <cellStyle name="出力 2 2 3 2" xfId="831"/>
    <cellStyle name="出力 2 2 3 2 2" xfId="1247"/>
    <cellStyle name="出力 2 2 3 3" xfId="1053"/>
    <cellStyle name="出力 2 2 4" xfId="612"/>
    <cellStyle name="出力 2 2 4 2" xfId="832"/>
    <cellStyle name="出力 2 2 4 2 2" xfId="1248"/>
    <cellStyle name="出力 2 2 4 3" xfId="1054"/>
    <cellStyle name="出力 2 2 5" xfId="613"/>
    <cellStyle name="出力 2 2 5 2" xfId="833"/>
    <cellStyle name="出力 2 2 5 2 2" xfId="1249"/>
    <cellStyle name="出力 2 2 5 3" xfId="1055"/>
    <cellStyle name="出力 2 2 6" xfId="706"/>
    <cellStyle name="出力 2 3" xfId="364"/>
    <cellStyle name="出力 2 3 2" xfId="614"/>
    <cellStyle name="出力 2 3 2 2" xfId="834"/>
    <cellStyle name="出力 2 3 2 2 2" xfId="1250"/>
    <cellStyle name="出力 2 3 2 3" xfId="1056"/>
    <cellStyle name="出力 2 3 3" xfId="615"/>
    <cellStyle name="出力 2 3 3 2" xfId="835"/>
    <cellStyle name="出力 2 3 3 2 2" xfId="1251"/>
    <cellStyle name="出力 2 3 3 3" xfId="1057"/>
    <cellStyle name="出力 2 3 4" xfId="616"/>
    <cellStyle name="出力 2 3 4 2" xfId="836"/>
    <cellStyle name="出力 2 3 4 2 2" xfId="1252"/>
    <cellStyle name="出力 2 3 4 3" xfId="1058"/>
    <cellStyle name="出力 2 3 5" xfId="695"/>
    <cellStyle name="出力 2 4" xfId="617"/>
    <cellStyle name="出力 2 4 2" xfId="837"/>
    <cellStyle name="出力 2 4 2 2" xfId="1253"/>
    <cellStyle name="出力 2 4 3" xfId="1100"/>
    <cellStyle name="出力 3" xfId="176"/>
    <cellStyle name="出力 3 2" xfId="387"/>
    <cellStyle name="出力 3 2 2" xfId="423"/>
    <cellStyle name="出力 3 2 2 2" xfId="618"/>
    <cellStyle name="出力 3 2 2 2 2" xfId="838"/>
    <cellStyle name="出力 3 2 2 2 2 2" xfId="1254"/>
    <cellStyle name="出力 3 2 2 2 3" xfId="1059"/>
    <cellStyle name="出力 3 2 2 3" xfId="619"/>
    <cellStyle name="出力 3 2 2 3 2" xfId="839"/>
    <cellStyle name="出力 3 2 2 3 2 2" xfId="1255"/>
    <cellStyle name="出力 3 2 2 3 3" xfId="1060"/>
    <cellStyle name="出力 3 2 2 4" xfId="620"/>
    <cellStyle name="出力 3 2 2 4 2" xfId="840"/>
    <cellStyle name="出力 3 2 2 4 2 2" xfId="1256"/>
    <cellStyle name="出力 3 2 2 4 3" xfId="1061"/>
    <cellStyle name="出力 3 2 2 5" xfId="729"/>
    <cellStyle name="出力 3 2 3" xfId="621"/>
    <cellStyle name="出力 3 2 3 2" xfId="841"/>
    <cellStyle name="出力 3 2 3 2 2" xfId="1257"/>
    <cellStyle name="出力 3 2 3 3" xfId="1062"/>
    <cellStyle name="出力 3 2 4" xfId="622"/>
    <cellStyle name="出力 3 2 4 2" xfId="842"/>
    <cellStyle name="出力 3 2 4 2 2" xfId="1258"/>
    <cellStyle name="出力 3 2 4 3" xfId="1063"/>
    <cellStyle name="出力 3 2 5" xfId="623"/>
    <cellStyle name="出力 3 2 5 2" xfId="843"/>
    <cellStyle name="出力 3 2 5 2 2" xfId="1259"/>
    <cellStyle name="出力 3 2 5 3" xfId="1064"/>
    <cellStyle name="出力 3 2 6" xfId="705"/>
    <cellStyle name="出力 3 3" xfId="365"/>
    <cellStyle name="出力 3 3 2" xfId="624"/>
    <cellStyle name="出力 3 3 2 2" xfId="844"/>
    <cellStyle name="出力 3 3 2 2 2" xfId="1260"/>
    <cellStyle name="出力 3 3 2 3" xfId="1065"/>
    <cellStyle name="出力 3 3 3" xfId="625"/>
    <cellStyle name="出力 3 3 3 2" xfId="845"/>
    <cellStyle name="出力 3 3 3 2 2" xfId="1261"/>
    <cellStyle name="出力 3 3 3 3" xfId="1066"/>
    <cellStyle name="出力 3 3 4" xfId="626"/>
    <cellStyle name="出力 3 3 4 2" xfId="846"/>
    <cellStyle name="出力 3 3 4 2 2" xfId="1262"/>
    <cellStyle name="出力 3 3 4 3" xfId="1067"/>
    <cellStyle name="出力 3 3 5" xfId="696"/>
    <cellStyle name="出力 3 4" xfId="627"/>
    <cellStyle name="出力 3 4 2" xfId="847"/>
    <cellStyle name="出力 3 4 2 2" xfId="1263"/>
    <cellStyle name="出力 3 4 3" xfId="1101"/>
    <cellStyle name="出力 4" xfId="628"/>
    <cellStyle name="出力 4 2" xfId="848"/>
    <cellStyle name="出力 4 2 2" xfId="1264"/>
    <cellStyle name="出力 4 3" xfId="1068"/>
    <cellStyle name="出力 5" xfId="629"/>
    <cellStyle name="出力 5 2" xfId="849"/>
    <cellStyle name="出力 5 2 2" xfId="1265"/>
    <cellStyle name="出力 5 3" xfId="1069"/>
    <cellStyle name="出力 6" xfId="630"/>
    <cellStyle name="出力 6 2" xfId="850"/>
    <cellStyle name="出力 6 2 2" xfId="1266"/>
    <cellStyle name="出力 6 3" xfId="1070"/>
    <cellStyle name="出力 7" xfId="685"/>
    <cellStyle name="上詰め" xfId="177"/>
    <cellStyle name="上詰め 2" xfId="631"/>
    <cellStyle name="上詰め＋折返し" xfId="178"/>
    <cellStyle name="上詰め＋折返し 2" xfId="632"/>
    <cellStyle name="上詰め＋折返し 2 2" xfId="851"/>
    <cellStyle name="上詰め＋折返し 3" xfId="633"/>
    <cellStyle name="上詰め＋折返し 3 2" xfId="852"/>
    <cellStyle name="上詰め＋折返し 4" xfId="634"/>
    <cellStyle name="上詰め＋折返し 4 2" xfId="853"/>
    <cellStyle name="上詰め＋折返し 5" xfId="686"/>
    <cellStyle name="上詰め＋折返し 5 2" xfId="1114"/>
    <cellStyle name="常规_TGI-D6611-PrjCode-nn SDP_ENO-R0703-Record of Customer Visiting and Interviewing(中英文对照模板)" xfId="268"/>
    <cellStyle name="水城" xfId="269"/>
    <cellStyle name="説明文" xfId="179" builtinId="53" customBuiltin="1"/>
    <cellStyle name="説明文 2" xfId="180"/>
    <cellStyle name="説明文 2 2" xfId="366"/>
    <cellStyle name="説明文 2 3" xfId="635"/>
    <cellStyle name="説明文 3" xfId="181"/>
    <cellStyle name="説明文 3 2" xfId="367"/>
    <cellStyle name="説明文 3 3" xfId="636"/>
    <cellStyle name="説明文 4" xfId="937"/>
    <cellStyle name="脱浦 [0.00]_，T×I" xfId="270"/>
    <cellStyle name="脱浦_，T×I" xfId="271"/>
    <cellStyle name="中央詰め" xfId="182"/>
    <cellStyle name="中央詰め 2" xfId="637"/>
    <cellStyle name="中央詰め＋折返し" xfId="183"/>
    <cellStyle name="中央詰め＋折返し 2" xfId="638"/>
    <cellStyle name="通浦 [0.00]_laroux" xfId="184"/>
    <cellStyle name="通浦_laroux" xfId="185"/>
    <cellStyle name="通貨 [1.00]_ｵｰﾅｰと共同生産事業所の責任分担_１０月度品質保証会議資料" xfId="273"/>
    <cellStyle name="通貨 [Ȱ.00]_laࡲoux_（様式２）共同生産責任作業分担表" xfId="272"/>
    <cellStyle name="入力" xfId="186" builtinId="20" customBuiltin="1"/>
    <cellStyle name="入力 2" xfId="187"/>
    <cellStyle name="入力 2 2" xfId="386"/>
    <cellStyle name="入力 2 2 2" xfId="424"/>
    <cellStyle name="入力 2 2 2 2" xfId="639"/>
    <cellStyle name="入力 2 2 2 2 2" xfId="854"/>
    <cellStyle name="入力 2 2 2 2 2 2" xfId="1267"/>
    <cellStyle name="入力 2 2 2 3" xfId="640"/>
    <cellStyle name="入力 2 2 2 3 2" xfId="855"/>
    <cellStyle name="入力 2 2 2 3 2 2" xfId="1268"/>
    <cellStyle name="入力 2 2 2 4" xfId="641"/>
    <cellStyle name="入力 2 2 2 4 2" xfId="856"/>
    <cellStyle name="入力 2 2 2 4 2 2" xfId="1269"/>
    <cellStyle name="入力 2 2 2 5" xfId="730"/>
    <cellStyle name="入力 2 2 2 5 2" xfId="1146"/>
    <cellStyle name="入力 2 2 3" xfId="642"/>
    <cellStyle name="入力 2 2 3 2" xfId="857"/>
    <cellStyle name="入力 2 2 3 2 2" xfId="1270"/>
    <cellStyle name="入力 2 2 4" xfId="643"/>
    <cellStyle name="入力 2 2 4 2" xfId="858"/>
    <cellStyle name="入力 2 2 4 2 2" xfId="1271"/>
    <cellStyle name="入力 2 2 5" xfId="644"/>
    <cellStyle name="入力 2 2 5 2" xfId="859"/>
    <cellStyle name="入力 2 2 5 2 2" xfId="1272"/>
    <cellStyle name="入力 2 2 6" xfId="704"/>
    <cellStyle name="入力 2 2 6 2" xfId="1128"/>
    <cellStyle name="入力 2 3" xfId="368"/>
    <cellStyle name="入力 2 3 2" xfId="645"/>
    <cellStyle name="入力 2 3 2 2" xfId="860"/>
    <cellStyle name="入力 2 3 2 2 2" xfId="1273"/>
    <cellStyle name="入力 2 3 3" xfId="646"/>
    <cellStyle name="入力 2 3 3 2" xfId="861"/>
    <cellStyle name="入力 2 3 3 2 2" xfId="1274"/>
    <cellStyle name="入力 2 3 4" xfId="647"/>
    <cellStyle name="入力 2 3 4 2" xfId="862"/>
    <cellStyle name="入力 2 3 4 2 2" xfId="1275"/>
    <cellStyle name="入力 2 3 5" xfId="697"/>
    <cellStyle name="入力 2 3 5 2" xfId="1121"/>
    <cellStyle name="入力 2 4" xfId="648"/>
    <cellStyle name="入力 2 4 2" xfId="863"/>
    <cellStyle name="入力 2 4 2 2" xfId="1276"/>
    <cellStyle name="入力 3" xfId="188"/>
    <cellStyle name="入力 3 2" xfId="385"/>
    <cellStyle name="入力 3 2 2" xfId="425"/>
    <cellStyle name="入力 3 2 2 2" xfId="649"/>
    <cellStyle name="入力 3 2 2 2 2" xfId="864"/>
    <cellStyle name="入力 3 2 2 2 2 2" xfId="1277"/>
    <cellStyle name="入力 3 2 2 3" xfId="650"/>
    <cellStyle name="入力 3 2 2 3 2" xfId="865"/>
    <cellStyle name="入力 3 2 2 3 2 2" xfId="1278"/>
    <cellStyle name="入力 3 2 2 4" xfId="651"/>
    <cellStyle name="入力 3 2 2 4 2" xfId="866"/>
    <cellStyle name="入力 3 2 2 4 2 2" xfId="1279"/>
    <cellStyle name="入力 3 2 2 5" xfId="731"/>
    <cellStyle name="入力 3 2 2 5 2" xfId="1147"/>
    <cellStyle name="入力 3 2 3" xfId="652"/>
    <cellStyle name="入力 3 2 3 2" xfId="867"/>
    <cellStyle name="入力 3 2 3 2 2" xfId="1280"/>
    <cellStyle name="入力 3 2 4" xfId="653"/>
    <cellStyle name="入力 3 2 4 2" xfId="868"/>
    <cellStyle name="入力 3 2 4 2 2" xfId="1281"/>
    <cellStyle name="入力 3 2 5" xfId="654"/>
    <cellStyle name="入力 3 2 5 2" xfId="869"/>
    <cellStyle name="入力 3 2 5 2 2" xfId="1282"/>
    <cellStyle name="入力 3 2 6" xfId="703"/>
    <cellStyle name="入力 3 2 6 2" xfId="1127"/>
    <cellStyle name="入力 3 3" xfId="369"/>
    <cellStyle name="入力 3 3 2" xfId="655"/>
    <cellStyle name="入力 3 3 2 2" xfId="870"/>
    <cellStyle name="入力 3 3 2 2 2" xfId="1283"/>
    <cellStyle name="入力 3 3 3" xfId="656"/>
    <cellStyle name="入力 3 3 3 2" xfId="871"/>
    <cellStyle name="入力 3 3 3 2 2" xfId="1284"/>
    <cellStyle name="入力 3 3 4" xfId="657"/>
    <cellStyle name="入力 3 3 4 2" xfId="872"/>
    <cellStyle name="入力 3 3 4 2 2" xfId="1285"/>
    <cellStyle name="入力 3 3 5" xfId="698"/>
    <cellStyle name="入力 3 3 5 2" xfId="1122"/>
    <cellStyle name="入力 3 4" xfId="658"/>
    <cellStyle name="入力 3 4 2" xfId="873"/>
    <cellStyle name="入力 3 4 2 2" xfId="1286"/>
    <cellStyle name="入力 4" xfId="659"/>
    <cellStyle name="入力 4 2" xfId="874"/>
    <cellStyle name="入力 4 2 2" xfId="1287"/>
    <cellStyle name="入力 5" xfId="660"/>
    <cellStyle name="入力 5 2" xfId="875"/>
    <cellStyle name="入力 5 2 2" xfId="1288"/>
    <cellStyle name="入力 6" xfId="661"/>
    <cellStyle name="入力 6 2" xfId="876"/>
    <cellStyle name="入力 6 2 2" xfId="1289"/>
    <cellStyle name="入力 7" xfId="687"/>
    <cellStyle name="入力 7 2" xfId="1115"/>
    <cellStyle name="標準" xfId="0" builtinId="0"/>
    <cellStyle name="標準 10" xfId="189"/>
    <cellStyle name="標準 10 2" xfId="370"/>
    <cellStyle name="標準 11" xfId="190"/>
    <cellStyle name="標準 11 2" xfId="404"/>
    <cellStyle name="標準 12" xfId="280"/>
    <cellStyle name="標準 12 10" xfId="1477"/>
    <cellStyle name="標準 12 2" xfId="662"/>
    <cellStyle name="標準 12 2 2" xfId="877"/>
    <cellStyle name="標準 12 2 2 2" xfId="938"/>
    <cellStyle name="標準 12 2 2 2 2" xfId="1322"/>
    <cellStyle name="標準 12 2 2 2 3" xfId="1432"/>
    <cellStyle name="標準 12 2 2 2 4" xfId="1542"/>
    <cellStyle name="標準 12 2 2 3" xfId="939"/>
    <cellStyle name="標準 12 2 2 3 2" xfId="1355"/>
    <cellStyle name="標準 12 2 2 3 3" xfId="1465"/>
    <cellStyle name="標準 12 2 2 3 4" xfId="1575"/>
    <cellStyle name="標準 12 2 2 4" xfId="1290"/>
    <cellStyle name="標準 12 2 2 5" xfId="1400"/>
    <cellStyle name="標準 12 2 2 6" xfId="1510"/>
    <cellStyle name="標準 12 2 3" xfId="940"/>
    <cellStyle name="標準 12 2 3 2" xfId="1102"/>
    <cellStyle name="標準 12 2 3 3" xfId="1384"/>
    <cellStyle name="標準 12 2 3 4" xfId="1494"/>
    <cellStyle name="標準 12 2 4" xfId="941"/>
    <cellStyle name="標準 12 2 4 2" xfId="1306"/>
    <cellStyle name="標準 12 2 4 3" xfId="1416"/>
    <cellStyle name="標準 12 2 4 4" xfId="1526"/>
    <cellStyle name="標準 12 2 5" xfId="942"/>
    <cellStyle name="標準 12 2 5 2" xfId="1339"/>
    <cellStyle name="標準 12 2 5 3" xfId="1449"/>
    <cellStyle name="標準 12 2 5 4" xfId="1559"/>
    <cellStyle name="標準 12 2 6" xfId="1072"/>
    <cellStyle name="標準 12 2 7" xfId="1368"/>
    <cellStyle name="標準 12 2 8" xfId="1478"/>
    <cellStyle name="標準 12 3" xfId="663"/>
    <cellStyle name="標準 12 3 2" xfId="878"/>
    <cellStyle name="標準 12 3 2 2" xfId="943"/>
    <cellStyle name="標準 12 3 2 2 2" xfId="1323"/>
    <cellStyle name="標準 12 3 2 2 3" xfId="1433"/>
    <cellStyle name="標準 12 3 2 2 4" xfId="1543"/>
    <cellStyle name="標準 12 3 2 3" xfId="944"/>
    <cellStyle name="標準 12 3 2 3 2" xfId="1356"/>
    <cellStyle name="標準 12 3 2 3 3" xfId="1466"/>
    <cellStyle name="標準 12 3 2 3 4" xfId="1576"/>
    <cellStyle name="標準 12 3 2 4" xfId="1291"/>
    <cellStyle name="標準 12 3 2 5" xfId="1401"/>
    <cellStyle name="標準 12 3 2 6" xfId="1511"/>
    <cellStyle name="標準 12 3 3" xfId="945"/>
    <cellStyle name="標準 12 3 3 2" xfId="1103"/>
    <cellStyle name="標準 12 3 3 3" xfId="1385"/>
    <cellStyle name="標準 12 3 3 4" xfId="1495"/>
    <cellStyle name="標準 12 3 4" xfId="946"/>
    <cellStyle name="標準 12 3 4 2" xfId="1307"/>
    <cellStyle name="標準 12 3 4 3" xfId="1417"/>
    <cellStyle name="標準 12 3 4 4" xfId="1527"/>
    <cellStyle name="標準 12 3 5" xfId="947"/>
    <cellStyle name="標準 12 3 5 2" xfId="1340"/>
    <cellStyle name="標準 12 3 5 3" xfId="1450"/>
    <cellStyle name="標準 12 3 5 4" xfId="1560"/>
    <cellStyle name="標準 12 3 6" xfId="1079"/>
    <cellStyle name="標準 12 3 7" xfId="1375"/>
    <cellStyle name="標準 12 3 8" xfId="1485"/>
    <cellStyle name="標準 12 4" xfId="688"/>
    <cellStyle name="標準 12 4 2" xfId="948"/>
    <cellStyle name="標準 12 4 2 2" xfId="1315"/>
    <cellStyle name="標準 12 4 2 3" xfId="1425"/>
    <cellStyle name="標準 12 4 2 4" xfId="1535"/>
    <cellStyle name="標準 12 4 3" xfId="949"/>
    <cellStyle name="標準 12 4 3 2" xfId="1348"/>
    <cellStyle name="標準 12 4 3 3" xfId="1458"/>
    <cellStyle name="標準 12 4 3 4" xfId="1568"/>
    <cellStyle name="標準 12 4 4" xfId="1116"/>
    <cellStyle name="標準 12 4 5" xfId="1393"/>
    <cellStyle name="標準 12 4 6" xfId="1503"/>
    <cellStyle name="標準 12 5" xfId="950"/>
    <cellStyle name="標準 12 5 2" xfId="1081"/>
    <cellStyle name="標準 12 5 3" xfId="1377"/>
    <cellStyle name="標準 12 5 4" xfId="1487"/>
    <cellStyle name="標準 12 6" xfId="951"/>
    <cellStyle name="標準 12 6 2" xfId="1299"/>
    <cellStyle name="標準 12 6 3" xfId="1409"/>
    <cellStyle name="標準 12 6 4" xfId="1519"/>
    <cellStyle name="標準 12 7" xfId="952"/>
    <cellStyle name="標準 12 7 2" xfId="1332"/>
    <cellStyle name="標準 12 7 3" xfId="1442"/>
    <cellStyle name="標準 12 7 4" xfId="1552"/>
    <cellStyle name="標準 12 8" xfId="1071"/>
    <cellStyle name="標準 12 9" xfId="1367"/>
    <cellStyle name="標準 13" xfId="279"/>
    <cellStyle name="標準 14" xfId="664"/>
    <cellStyle name="標準 14 2" xfId="879"/>
    <cellStyle name="標準 14 2 2" xfId="953"/>
    <cellStyle name="標準 14 2 2 2" xfId="1324"/>
    <cellStyle name="標準 14 2 2 3" xfId="1434"/>
    <cellStyle name="標準 14 2 2 4" xfId="1544"/>
    <cellStyle name="標準 14 2 3" xfId="954"/>
    <cellStyle name="標準 14 2 3 2" xfId="1357"/>
    <cellStyle name="標準 14 2 3 3" xfId="1467"/>
    <cellStyle name="標準 14 2 3 4" xfId="1577"/>
    <cellStyle name="標準 14 2 4" xfId="1292"/>
    <cellStyle name="標準 14 2 5" xfId="1402"/>
    <cellStyle name="標準 14 2 6" xfId="1512"/>
    <cellStyle name="標準 14 3" xfId="955"/>
    <cellStyle name="標準 14 3 2" xfId="1104"/>
    <cellStyle name="標準 14 3 3" xfId="1386"/>
    <cellStyle name="標準 14 3 4" xfId="1496"/>
    <cellStyle name="標準 14 4" xfId="956"/>
    <cellStyle name="標準 14 4 2" xfId="1308"/>
    <cellStyle name="標準 14 4 3" xfId="1418"/>
    <cellStyle name="標準 14 4 4" xfId="1528"/>
    <cellStyle name="標準 14 5" xfId="957"/>
    <cellStyle name="標準 14 5 2" xfId="1341"/>
    <cellStyle name="標準 14 5 3" xfId="1451"/>
    <cellStyle name="標準 14 5 4" xfId="1561"/>
    <cellStyle name="標準 14 6" xfId="1080"/>
    <cellStyle name="標準 14 7" xfId="1376"/>
    <cellStyle name="標準 14 8" xfId="1486"/>
    <cellStyle name="標準 15" xfId="887"/>
    <cellStyle name="標準 15 2" xfId="958"/>
    <cellStyle name="標準 15 2 2" xfId="1364"/>
    <cellStyle name="標準 15 2 3" xfId="1474"/>
    <cellStyle name="標準 15 2 4" xfId="1584"/>
    <cellStyle name="標準 15 3" xfId="1331"/>
    <cellStyle name="標準 15 4" xfId="1441"/>
    <cellStyle name="標準 15 5" xfId="1551"/>
    <cellStyle name="標準 2" xfId="191"/>
    <cellStyle name="標準 2 2" xfId="192"/>
    <cellStyle name="標準 2 2 2" xfId="427"/>
    <cellStyle name="標準 2 2 3" xfId="403"/>
    <cellStyle name="標準 2 2 3 10" xfId="1479"/>
    <cellStyle name="標準 2 2 3 2" xfId="665"/>
    <cellStyle name="標準 2 2 3 2 2" xfId="880"/>
    <cellStyle name="標準 2 2 3 2 2 2" xfId="959"/>
    <cellStyle name="標準 2 2 3 2 2 2 2" xfId="1325"/>
    <cellStyle name="標準 2 2 3 2 2 2 3" xfId="1435"/>
    <cellStyle name="標準 2 2 3 2 2 2 4" xfId="1545"/>
    <cellStyle name="標準 2 2 3 2 2 3" xfId="960"/>
    <cellStyle name="標準 2 2 3 2 2 3 2" xfId="1358"/>
    <cellStyle name="標準 2 2 3 2 2 3 3" xfId="1468"/>
    <cellStyle name="標準 2 2 3 2 2 3 4" xfId="1578"/>
    <cellStyle name="標準 2 2 3 2 2 4" xfId="1293"/>
    <cellStyle name="標準 2 2 3 2 2 5" xfId="1403"/>
    <cellStyle name="標準 2 2 3 2 2 6" xfId="1513"/>
    <cellStyle name="標準 2 2 3 2 3" xfId="961"/>
    <cellStyle name="標準 2 2 3 2 3 2" xfId="1105"/>
    <cellStyle name="標準 2 2 3 2 3 3" xfId="1387"/>
    <cellStyle name="標準 2 2 3 2 3 4" xfId="1497"/>
    <cellStyle name="標準 2 2 3 2 4" xfId="962"/>
    <cellStyle name="標準 2 2 3 2 4 2" xfId="1309"/>
    <cellStyle name="標準 2 2 3 2 4 3" xfId="1419"/>
    <cellStyle name="標準 2 2 3 2 4 4" xfId="1529"/>
    <cellStyle name="標準 2 2 3 2 5" xfId="963"/>
    <cellStyle name="標準 2 2 3 2 5 2" xfId="1342"/>
    <cellStyle name="標準 2 2 3 2 5 3" xfId="1452"/>
    <cellStyle name="標準 2 2 3 2 5 4" xfId="1562"/>
    <cellStyle name="標準 2 2 3 2 6" xfId="1074"/>
    <cellStyle name="標準 2 2 3 2 7" xfId="1370"/>
    <cellStyle name="標準 2 2 3 2 8" xfId="1480"/>
    <cellStyle name="標準 2 2 3 3" xfId="666"/>
    <cellStyle name="標準 2 2 3 3 2" xfId="881"/>
    <cellStyle name="標準 2 2 3 3 2 2" xfId="964"/>
    <cellStyle name="標準 2 2 3 3 2 2 2" xfId="1326"/>
    <cellStyle name="標準 2 2 3 3 2 2 3" xfId="1436"/>
    <cellStyle name="標準 2 2 3 3 2 2 4" xfId="1546"/>
    <cellStyle name="標準 2 2 3 3 2 3" xfId="965"/>
    <cellStyle name="標準 2 2 3 3 2 3 2" xfId="1359"/>
    <cellStyle name="標準 2 2 3 3 2 3 3" xfId="1469"/>
    <cellStyle name="標準 2 2 3 3 2 3 4" xfId="1579"/>
    <cellStyle name="標準 2 2 3 3 2 4" xfId="1294"/>
    <cellStyle name="標準 2 2 3 3 2 5" xfId="1404"/>
    <cellStyle name="標準 2 2 3 3 2 6" xfId="1514"/>
    <cellStyle name="標準 2 2 3 3 3" xfId="966"/>
    <cellStyle name="標準 2 2 3 3 3 2" xfId="1310"/>
    <cellStyle name="標準 2 2 3 3 3 3" xfId="1420"/>
    <cellStyle name="標準 2 2 3 3 3 4" xfId="1530"/>
    <cellStyle name="標準 2 2 3 3 4" xfId="967"/>
    <cellStyle name="標準 2 2 3 3 4 2" xfId="1343"/>
    <cellStyle name="標準 2 2 3 3 4 3" xfId="1453"/>
    <cellStyle name="標準 2 2 3 3 4 4" xfId="1563"/>
    <cellStyle name="標準 2 2 3 3 5" xfId="1106"/>
    <cellStyle name="標準 2 2 3 3 6" xfId="1388"/>
    <cellStyle name="標準 2 2 3 3 7" xfId="1498"/>
    <cellStyle name="標準 2 2 3 4" xfId="717"/>
    <cellStyle name="標準 2 2 3 4 2" xfId="968"/>
    <cellStyle name="標準 2 2 3 4 2 2" xfId="1319"/>
    <cellStyle name="標準 2 2 3 4 2 3" xfId="1429"/>
    <cellStyle name="標準 2 2 3 4 2 4" xfId="1539"/>
    <cellStyle name="標準 2 2 3 4 3" xfId="969"/>
    <cellStyle name="標準 2 2 3 4 3 2" xfId="1352"/>
    <cellStyle name="標準 2 2 3 4 3 3" xfId="1462"/>
    <cellStyle name="標準 2 2 3 4 3 4" xfId="1572"/>
    <cellStyle name="標準 2 2 3 4 4" xfId="1137"/>
    <cellStyle name="標準 2 2 3 4 5" xfId="1397"/>
    <cellStyle name="標準 2 2 3 4 6" xfId="1507"/>
    <cellStyle name="標準 2 2 3 5" xfId="970"/>
    <cellStyle name="標準 2 2 3 5 2" xfId="1085"/>
    <cellStyle name="標準 2 2 3 5 3" xfId="1381"/>
    <cellStyle name="標準 2 2 3 5 4" xfId="1491"/>
    <cellStyle name="標準 2 2 3 6" xfId="971"/>
    <cellStyle name="標準 2 2 3 6 2" xfId="1303"/>
    <cellStyle name="標準 2 2 3 6 3" xfId="1413"/>
    <cellStyle name="標準 2 2 3 6 4" xfId="1523"/>
    <cellStyle name="標準 2 2 3 7" xfId="972"/>
    <cellStyle name="標準 2 2 3 7 2" xfId="1336"/>
    <cellStyle name="標準 2 2 3 7 3" xfId="1446"/>
    <cellStyle name="標準 2 2 3 7 4" xfId="1556"/>
    <cellStyle name="標準 2 2 3 8" xfId="1073"/>
    <cellStyle name="標準 2 2 3 9" xfId="1369"/>
    <cellStyle name="標準 2 3" xfId="193"/>
    <cellStyle name="標準 2 3 2" xfId="426"/>
    <cellStyle name="標準 2 4" xfId="194"/>
    <cellStyle name="標準 2 5" xfId="195"/>
    <cellStyle name="標準 2 6" xfId="196"/>
    <cellStyle name="標準 2 7" xfId="274"/>
    <cellStyle name="標準 2 8" xfId="371"/>
    <cellStyle name="標準 2_【テスト仕様書】Template" xfId="197"/>
    <cellStyle name="標準 3" xfId="198"/>
    <cellStyle name="標準 3 2" xfId="199"/>
    <cellStyle name="標準 3 2 2" xfId="373"/>
    <cellStyle name="標準 3 2 3" xfId="667"/>
    <cellStyle name="標準 3 3" xfId="200"/>
    <cellStyle name="標準 3 3 2" xfId="428"/>
    <cellStyle name="標準 3 3 3" xfId="668"/>
    <cellStyle name="標準 3 4" xfId="201"/>
    <cellStyle name="標準 3 5" xfId="202"/>
    <cellStyle name="標準 3 6" xfId="372"/>
    <cellStyle name="標準 3 6 10" xfId="1481"/>
    <cellStyle name="標準 3 6 2" xfId="669"/>
    <cellStyle name="標準 3 6 2 2" xfId="882"/>
    <cellStyle name="標準 3 6 2 2 2" xfId="973"/>
    <cellStyle name="標準 3 6 2 2 2 2" xfId="1327"/>
    <cellStyle name="標準 3 6 2 2 2 3" xfId="1437"/>
    <cellStyle name="標準 3 6 2 2 2 4" xfId="1547"/>
    <cellStyle name="標準 3 6 2 2 3" xfId="974"/>
    <cellStyle name="標準 3 6 2 2 3 2" xfId="1360"/>
    <cellStyle name="標準 3 6 2 2 3 3" xfId="1470"/>
    <cellStyle name="標準 3 6 2 2 3 4" xfId="1580"/>
    <cellStyle name="標準 3 6 2 2 4" xfId="1295"/>
    <cellStyle name="標準 3 6 2 2 5" xfId="1405"/>
    <cellStyle name="標準 3 6 2 2 6" xfId="1515"/>
    <cellStyle name="標準 3 6 2 3" xfId="975"/>
    <cellStyle name="標準 3 6 2 3 2" xfId="1107"/>
    <cellStyle name="標準 3 6 2 3 3" xfId="1389"/>
    <cellStyle name="標準 3 6 2 3 4" xfId="1499"/>
    <cellStyle name="標準 3 6 2 4" xfId="976"/>
    <cellStyle name="標準 3 6 2 4 2" xfId="1311"/>
    <cellStyle name="標準 3 6 2 4 3" xfId="1421"/>
    <cellStyle name="標準 3 6 2 4 4" xfId="1531"/>
    <cellStyle name="標準 3 6 2 5" xfId="977"/>
    <cellStyle name="標準 3 6 2 5 2" xfId="1344"/>
    <cellStyle name="標準 3 6 2 5 3" xfId="1454"/>
    <cellStyle name="標準 3 6 2 5 4" xfId="1564"/>
    <cellStyle name="標準 3 6 2 6" xfId="1076"/>
    <cellStyle name="標準 3 6 2 7" xfId="1372"/>
    <cellStyle name="標準 3 6 2 8" xfId="1482"/>
    <cellStyle name="標準 3 6 3" xfId="670"/>
    <cellStyle name="標準 3 6 3 2" xfId="883"/>
    <cellStyle name="標準 3 6 3 2 2" xfId="978"/>
    <cellStyle name="標準 3 6 3 2 2 2" xfId="1328"/>
    <cellStyle name="標準 3 6 3 2 2 3" xfId="1438"/>
    <cellStyle name="標準 3 6 3 2 2 4" xfId="1548"/>
    <cellStyle name="標準 3 6 3 2 3" xfId="979"/>
    <cellStyle name="標準 3 6 3 2 3 2" xfId="1361"/>
    <cellStyle name="標準 3 6 3 2 3 3" xfId="1471"/>
    <cellStyle name="標準 3 6 3 2 3 4" xfId="1581"/>
    <cellStyle name="標準 3 6 3 2 4" xfId="1296"/>
    <cellStyle name="標準 3 6 3 2 5" xfId="1406"/>
    <cellStyle name="標準 3 6 3 2 6" xfId="1516"/>
    <cellStyle name="標準 3 6 3 3" xfId="980"/>
    <cellStyle name="標準 3 6 3 3 2" xfId="1312"/>
    <cellStyle name="標準 3 6 3 3 3" xfId="1422"/>
    <cellStyle name="標準 3 6 3 3 4" xfId="1532"/>
    <cellStyle name="標準 3 6 3 4" xfId="981"/>
    <cellStyle name="標準 3 6 3 4 2" xfId="1345"/>
    <cellStyle name="標準 3 6 3 4 3" xfId="1455"/>
    <cellStyle name="標準 3 6 3 4 4" xfId="1565"/>
    <cellStyle name="標準 3 6 3 5" xfId="1108"/>
    <cellStyle name="標準 3 6 3 6" xfId="1390"/>
    <cellStyle name="標準 3 6 3 7" xfId="1500"/>
    <cellStyle name="標準 3 6 4" xfId="699"/>
    <cellStyle name="標準 3 6 4 2" xfId="982"/>
    <cellStyle name="標準 3 6 4 2 2" xfId="1316"/>
    <cellStyle name="標準 3 6 4 2 3" xfId="1426"/>
    <cellStyle name="標準 3 6 4 2 4" xfId="1536"/>
    <cellStyle name="標準 3 6 4 3" xfId="983"/>
    <cellStyle name="標準 3 6 4 3 2" xfId="1349"/>
    <cellStyle name="標準 3 6 4 3 3" xfId="1459"/>
    <cellStyle name="標準 3 6 4 3 4" xfId="1569"/>
    <cellStyle name="標準 3 6 4 4" xfId="1123"/>
    <cellStyle name="標準 3 6 4 5" xfId="1394"/>
    <cellStyle name="標準 3 6 4 6" xfId="1504"/>
    <cellStyle name="標準 3 6 5" xfId="984"/>
    <cellStyle name="標準 3 6 5 2" xfId="1082"/>
    <cellStyle name="標準 3 6 5 3" xfId="1378"/>
    <cellStyle name="標準 3 6 5 4" xfId="1488"/>
    <cellStyle name="標準 3 6 6" xfId="985"/>
    <cellStyle name="標準 3 6 6 2" xfId="1300"/>
    <cellStyle name="標準 3 6 6 3" xfId="1410"/>
    <cellStyle name="標準 3 6 6 4" xfId="1520"/>
    <cellStyle name="標準 3 6 7" xfId="986"/>
    <cellStyle name="標準 3 6 7 2" xfId="1333"/>
    <cellStyle name="標準 3 6 7 3" xfId="1443"/>
    <cellStyle name="標準 3 6 7 4" xfId="1553"/>
    <cellStyle name="標準 3 6 8" xfId="1075"/>
    <cellStyle name="標準 3 6 9" xfId="1371"/>
    <cellStyle name="標準 3_【テスト仕様書】Template" xfId="203"/>
    <cellStyle name="標準 4" xfId="204"/>
    <cellStyle name="標準 4 2" xfId="429"/>
    <cellStyle name="標準 4 2 2" xfId="671"/>
    <cellStyle name="標準 4 3" xfId="374"/>
    <cellStyle name="標準 4 3 10" xfId="1483"/>
    <cellStyle name="標準 4 3 2" xfId="672"/>
    <cellStyle name="標準 4 3 2 2" xfId="884"/>
    <cellStyle name="標準 4 3 2 2 2" xfId="987"/>
    <cellStyle name="標準 4 3 2 2 2 2" xfId="1329"/>
    <cellStyle name="標準 4 3 2 2 2 3" xfId="1439"/>
    <cellStyle name="標準 4 3 2 2 2 4" xfId="1549"/>
    <cellStyle name="標準 4 3 2 2 3" xfId="988"/>
    <cellStyle name="標準 4 3 2 2 3 2" xfId="1362"/>
    <cellStyle name="標準 4 3 2 2 3 3" xfId="1472"/>
    <cellStyle name="標準 4 3 2 2 3 4" xfId="1582"/>
    <cellStyle name="標準 4 3 2 2 4" xfId="1297"/>
    <cellStyle name="標準 4 3 2 2 5" xfId="1407"/>
    <cellStyle name="標準 4 3 2 2 6" xfId="1517"/>
    <cellStyle name="標準 4 3 2 3" xfId="989"/>
    <cellStyle name="標準 4 3 2 3 2" xfId="1109"/>
    <cellStyle name="標準 4 3 2 3 3" xfId="1391"/>
    <cellStyle name="標準 4 3 2 3 4" xfId="1501"/>
    <cellStyle name="標準 4 3 2 4" xfId="990"/>
    <cellStyle name="標準 4 3 2 4 2" xfId="1313"/>
    <cellStyle name="標準 4 3 2 4 3" xfId="1423"/>
    <cellStyle name="標準 4 3 2 4 4" xfId="1533"/>
    <cellStyle name="標準 4 3 2 5" xfId="991"/>
    <cellStyle name="標準 4 3 2 5 2" xfId="1346"/>
    <cellStyle name="標準 4 3 2 5 3" xfId="1456"/>
    <cellStyle name="標準 4 3 2 5 4" xfId="1566"/>
    <cellStyle name="標準 4 3 2 6" xfId="1078"/>
    <cellStyle name="標準 4 3 2 7" xfId="1374"/>
    <cellStyle name="標準 4 3 2 8" xfId="1484"/>
    <cellStyle name="標準 4 3 3" xfId="673"/>
    <cellStyle name="標準 4 3 3 2" xfId="885"/>
    <cellStyle name="標準 4 3 3 2 2" xfId="992"/>
    <cellStyle name="標準 4 3 3 2 2 2" xfId="1330"/>
    <cellStyle name="標準 4 3 3 2 2 3" xfId="1440"/>
    <cellStyle name="標準 4 3 3 2 2 4" xfId="1550"/>
    <cellStyle name="標準 4 3 3 2 3" xfId="993"/>
    <cellStyle name="標準 4 3 3 2 3 2" xfId="1363"/>
    <cellStyle name="標準 4 3 3 2 3 3" xfId="1473"/>
    <cellStyle name="標準 4 3 3 2 3 4" xfId="1583"/>
    <cellStyle name="標準 4 3 3 2 4" xfId="1298"/>
    <cellStyle name="標準 4 3 3 2 5" xfId="1408"/>
    <cellStyle name="標準 4 3 3 2 6" xfId="1518"/>
    <cellStyle name="標準 4 3 3 3" xfId="994"/>
    <cellStyle name="標準 4 3 3 3 2" xfId="1314"/>
    <cellStyle name="標準 4 3 3 3 3" xfId="1424"/>
    <cellStyle name="標準 4 3 3 3 4" xfId="1534"/>
    <cellStyle name="標準 4 3 3 4" xfId="995"/>
    <cellStyle name="標準 4 3 3 4 2" xfId="1347"/>
    <cellStyle name="標準 4 3 3 4 3" xfId="1457"/>
    <cellStyle name="標準 4 3 3 4 4" xfId="1567"/>
    <cellStyle name="標準 4 3 3 5" xfId="1110"/>
    <cellStyle name="標準 4 3 3 6" xfId="1392"/>
    <cellStyle name="標準 4 3 3 7" xfId="1502"/>
    <cellStyle name="標準 4 3 4" xfId="700"/>
    <cellStyle name="標準 4 3 4 2" xfId="996"/>
    <cellStyle name="標準 4 3 4 2 2" xfId="1317"/>
    <cellStyle name="標準 4 3 4 2 3" xfId="1427"/>
    <cellStyle name="標準 4 3 4 2 4" xfId="1537"/>
    <cellStyle name="標準 4 3 4 3" xfId="997"/>
    <cellStyle name="標準 4 3 4 3 2" xfId="1350"/>
    <cellStyle name="標準 4 3 4 3 3" xfId="1460"/>
    <cellStyle name="標準 4 3 4 3 4" xfId="1570"/>
    <cellStyle name="標準 4 3 4 4" xfId="1124"/>
    <cellStyle name="標準 4 3 4 5" xfId="1395"/>
    <cellStyle name="標準 4 3 4 6" xfId="1505"/>
    <cellStyle name="標準 4 3 5" xfId="998"/>
    <cellStyle name="標準 4 3 5 2" xfId="1083"/>
    <cellStyle name="標準 4 3 5 3" xfId="1379"/>
    <cellStyle name="標準 4 3 5 4" xfId="1489"/>
    <cellStyle name="標準 4 3 6" xfId="999"/>
    <cellStyle name="標準 4 3 6 2" xfId="1301"/>
    <cellStyle name="標準 4 3 6 3" xfId="1411"/>
    <cellStyle name="標準 4 3 6 4" xfId="1521"/>
    <cellStyle name="標準 4 3 7" xfId="1000"/>
    <cellStyle name="標準 4 3 7 2" xfId="1334"/>
    <cellStyle name="標準 4 3 7 3" xfId="1444"/>
    <cellStyle name="標準 4 3 7 4" xfId="1554"/>
    <cellStyle name="標準 4 3 8" xfId="1077"/>
    <cellStyle name="標準 4 3 9" xfId="1373"/>
    <cellStyle name="標準 4 4" xfId="674"/>
    <cellStyle name="標準 4_FTPﾌｧｲﾙ転送仕様書v20" xfId="675"/>
    <cellStyle name="標準 5" xfId="205"/>
    <cellStyle name="標準 5 2" xfId="375"/>
    <cellStyle name="標準 5 3" xfId="676"/>
    <cellStyle name="標準 6" xfId="206"/>
    <cellStyle name="標準 6 2" xfId="376"/>
    <cellStyle name="標準 6 3" xfId="677"/>
    <cellStyle name="標準 7" xfId="207"/>
    <cellStyle name="標準 7 2" xfId="377"/>
    <cellStyle name="標準 7 3" xfId="678"/>
    <cellStyle name="標準 8" xfId="208"/>
    <cellStyle name="標準 8 2" xfId="218"/>
    <cellStyle name="標準 8 3" xfId="378"/>
    <cellStyle name="標準 9" xfId="209"/>
    <cellStyle name="標準 9 2" xfId="379"/>
    <cellStyle name="標準_●国内統合確認テスト_国内WEB(ユーザ変更)_福山" xfId="210"/>
    <cellStyle name="標準_B_DWHシステム共通データ構築文書一覧" xfId="886"/>
    <cellStyle name="標準2" xfId="275"/>
    <cellStyle name="標準２" xfId="276"/>
    <cellStyle name="標準3" xfId="277"/>
    <cellStyle name="標準Ａ" xfId="211"/>
    <cellStyle name="標準-UENO" xfId="212"/>
    <cellStyle name="表旨巧・・ハイパーリンク" xfId="278"/>
    <cellStyle name="未定義" xfId="213"/>
    <cellStyle name="良い" xfId="214" builtinId="26" customBuiltin="1"/>
    <cellStyle name="良い 2" xfId="215"/>
    <cellStyle name="良い 2 2" xfId="380"/>
    <cellStyle name="良い 2 3" xfId="679"/>
    <cellStyle name="良い 3" xfId="216"/>
    <cellStyle name="良い 3 2" xfId="381"/>
    <cellStyle name="良い 3 3" xfId="680"/>
    <cellStyle name="良い 4" xfId="1001"/>
    <cellStyle name="樃準_台帳 (2)_1_展開図 (2)" xfId="217"/>
  </cellStyles>
  <dxfs count="0"/>
  <tableStyles count="0" defaultTableStyle="TableStyleMedium9" defaultPivotStyle="PivotStyleLight16"/>
  <colors>
    <mruColors>
      <color rgb="FFFBDFA7"/>
      <color rgb="FF6F6F33"/>
      <color rgb="FF757535"/>
      <color rgb="FFFFFFCC"/>
      <color rgb="FF008000"/>
      <color rgb="FFF2DCDB"/>
      <color rgb="FF0000FF"/>
      <color rgb="FFC5D9F1"/>
      <color rgb="FFFDE9D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externalLink" Target="externalLinks/externalLink1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openxmlformats.org/officeDocument/2006/relationships/externalLink" Target="externalLinks/externalLink12.xml"/><Relationship Id="rId2" Type="http://schemas.openxmlformats.org/officeDocument/2006/relationships/worksheet" Target="worksheets/sheet2.xml"/><Relationship Id="rId16" Type="http://schemas.openxmlformats.org/officeDocument/2006/relationships/externalLink" Target="externalLinks/externalLink1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externalLink" Target="externalLinks/externalLink10.xml"/><Relationship Id="rId10" Type="http://schemas.openxmlformats.org/officeDocument/2006/relationships/externalLink" Target="externalLinks/externalLink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externalLink" Target="externalLinks/externalLink9.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114</xdr:col>
      <xdr:colOff>0</xdr:colOff>
      <xdr:row>29</xdr:row>
      <xdr:rowOff>0</xdr:rowOff>
    </xdr:from>
    <xdr:to>
      <xdr:col>164</xdr:col>
      <xdr:colOff>9525</xdr:colOff>
      <xdr:row>35</xdr:row>
      <xdr:rowOff>73715</xdr:rowOff>
    </xdr:to>
    <xdr:pic>
      <xdr:nvPicPr>
        <xdr:cNvPr id="3" name="Picture 1" descr="System EXE"/>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15100" y="4457700"/>
          <a:ext cx="2867025" cy="99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2871107</xdr:colOff>
      <xdr:row>33</xdr:row>
      <xdr:rowOff>68036</xdr:rowOff>
    </xdr:from>
    <xdr:to>
      <xdr:col>5</xdr:col>
      <xdr:colOff>3075214</xdr:colOff>
      <xdr:row>33</xdr:row>
      <xdr:rowOff>272143</xdr:rowOff>
    </xdr:to>
    <xdr:sp macro="" textlink="">
      <xdr:nvSpPr>
        <xdr:cNvPr id="5" name="正方形/長方形 4"/>
        <xdr:cNvSpPr/>
      </xdr:nvSpPr>
      <xdr:spPr bwMode="auto">
        <a:xfrm>
          <a:off x="12436928" y="13266965"/>
          <a:ext cx="204107" cy="204107"/>
        </a:xfrm>
        <a:prstGeom prst="rect">
          <a:avLst/>
        </a:prstGeom>
        <a:solidFill>
          <a:srgbClr val="FBDFA7">
            <a:alpha val="98824"/>
          </a:srgbClr>
        </a:solidFill>
        <a:ln w="254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xdr:col>
      <xdr:colOff>2871107</xdr:colOff>
      <xdr:row>53</xdr:row>
      <xdr:rowOff>68036</xdr:rowOff>
    </xdr:from>
    <xdr:to>
      <xdr:col>5</xdr:col>
      <xdr:colOff>3075214</xdr:colOff>
      <xdr:row>53</xdr:row>
      <xdr:rowOff>272143</xdr:rowOff>
    </xdr:to>
    <xdr:sp macro="" textlink="">
      <xdr:nvSpPr>
        <xdr:cNvPr id="7" name="正方形/長方形 6"/>
        <xdr:cNvSpPr/>
      </xdr:nvSpPr>
      <xdr:spPr bwMode="auto">
        <a:xfrm>
          <a:off x="12436928" y="12423322"/>
          <a:ext cx="204107" cy="204107"/>
        </a:xfrm>
        <a:prstGeom prst="rect">
          <a:avLst/>
        </a:prstGeom>
        <a:solidFill>
          <a:srgbClr val="FBDFA7">
            <a:alpha val="98824"/>
          </a:srgbClr>
        </a:solidFill>
        <a:ln w="254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5</xdr:col>
      <xdr:colOff>2871107</xdr:colOff>
      <xdr:row>60</xdr:row>
      <xdr:rowOff>68036</xdr:rowOff>
    </xdr:from>
    <xdr:to>
      <xdr:col>5</xdr:col>
      <xdr:colOff>3075214</xdr:colOff>
      <xdr:row>60</xdr:row>
      <xdr:rowOff>272143</xdr:rowOff>
    </xdr:to>
    <xdr:sp macro="" textlink="">
      <xdr:nvSpPr>
        <xdr:cNvPr id="8" name="正方形/長方形 7"/>
        <xdr:cNvSpPr/>
      </xdr:nvSpPr>
      <xdr:spPr bwMode="auto">
        <a:xfrm>
          <a:off x="12436928" y="21444857"/>
          <a:ext cx="204107" cy="204107"/>
        </a:xfrm>
        <a:prstGeom prst="rect">
          <a:avLst/>
        </a:prstGeom>
        <a:solidFill>
          <a:srgbClr val="FBDFA7">
            <a:alpha val="98824"/>
          </a:srgbClr>
        </a:solidFill>
        <a:ln w="25400" cap="flat" cmpd="sng" algn="ctr">
          <a:no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wserv01\VOL1\AWGIHON\K1KAISE\AWSEKKEI\HST&#38651;&#23376;&#21270;&#65420;&#65439;&#65435;&#65404;&#65438;&#65386;&#65400;&#65412;\01&#12288;&#35413;&#20385;&#20250;\01&#12288;&#35413;&#20385;&#20250;&#36039;&#26009;\08&#12288;(c)&#21697;&#30906;&#26908;&#35342;&#20250;&#36039;&#26009;\Ctsune\SM&#26908;&#35342;\&#20849;&#36890;SM\SMSPEC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wserv01\VOL1\AWGIHON\K1KAISE\AWSEKKEI\&#25313;&#36009;&#25903;&#25588;\&#65315;&#65316;\&#21271;&#31859;&#23566;&#20837;\ROP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40.81.5.36\&#24773;&#22577;&#20182;&#20849;\2003&#24180;2&#26376;&#24230;&#32013;&#21697;CD\&#25913;&#21892;&#20381;&#38972;\KST01-W001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92.168.102.80\share\MyDocuments\200508\20050803\Meeting&#36039;&#26009;\KBA_&#12525;&#12483;&#12463;&#34920;&#31034;&#21046;&#24481;2005072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Landisk\KOMTRAX\KOMTRAX\&#12503;&#12525;&#12472;&#12455;&#12463;&#12488;\KOMTRAX%20&#22522;&#30436;&#38283;&#30330;\&#22522;&#26412;&#35373;&#35336;\&#22269;&#20869;KOMTRAX&#12539;&#12471;&#12473;&#12486;&#12512;&#38291;&#36899;&#25658;&#65288;KOMTRAX&#65374;E-&#12467;&#12510;&#12484;&#12493;&#12483;&#12488;&#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A:\GLOBAL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92.168.102.80\share\tier4monitor\05.&#12503;&#12525;&#12472;&#12455;&#12463;&#12488;&#31649;&#29702;\04.&#21508;&#31278;&#36914;&#25431;&#34920;\06.&#12502;&#12523;&#20840;&#33324;\&#38283;&#30330;\&#12525;&#12540;&#12480;\WA&#12511;&#12491;\&#27425;&#65325;&#65315;\&#35336;&#31639;\&#22522;&#26412;&#20181;&#2709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72.30.11.1\project\My%20Documents\3PL\&#20181;&#27096;&#26360;\GLOBAL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BR001&#65288;&#35531;&#27714;&#26360;&#65289;&#65343;.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1026\sapporo&#20849;&#26377;\13.&#12450;&#12489;&#12458;&#12531;\&#12450;&#12489;&#12458;&#12531;&#20181;&#27096;&#26360;\&#65318;&#65314;&#65306;&#20661;&#27177;&#31649;&#29702;\&#23436;&#25104;&#21697;\CA_ZFBC001(&#33258;&#21205;&#20837;&#37329;&#28040;&#36796;&#65306;&#20206;&#21463;&#37329;&#33258;&#21205;&#35336;&#19978;&#37096;&#6528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172.30.15.183\service\Projects\Komtrax\&#35211;&#31309;&#12426;&#12539;&#12381;&#12398;&#20182;\SOL&#20107;\KOMTRAX%20&#65313;&#65332;&#65315;&#25945;&#32946;&#23550;&#31574;%20&#24481;&#35211;&#31309;&#12426;.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My%20Documents\JOB\G-GCPS\Standard\&#21407;&#32025;\GLOBAL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72.30.16.1\komtrax\Projects\&#12522;&#12514;&#12540;&#12488;&#12514;&#12491;&#12479;&#12522;&#12531;&#12464;&#12469;&#12540;&#12496;\Document\DatabaseDesig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粟旋回ﾄﾙｸ､回転数計算"/>
      <sheetName val="大旋回ﾄﾙｸ､回転数計算"/>
      <sheetName val="粟SM共通性"/>
      <sheetName val="Sheet1"/>
      <sheetName val="ﾏｼﾅﾘ強度比較"/>
      <sheetName val="ｷﾞﾔ諸元一段目"/>
      <sheetName val="ｷﾞﾔ諸元二段目"/>
      <sheetName val="B50資料"/>
      <sheetName val="Graph2"/>
      <sheetName val="Ｇ1"/>
      <sheetName val="SN2SC面BG"/>
      <sheetName val="SN2S平面BG"/>
      <sheetName val="ﾍﾞﾝﾁ条件での噛合い回数"/>
      <sheetName val="SNSC面G"/>
      <sheetName val="SNSC曲G"/>
      <sheetName val="SNSP面G"/>
      <sheetName val="SNSP曲G"/>
      <sheetName val="SN2S面G"/>
      <sheetName val="SN2S曲G"/>
      <sheetName val="SN1S面G"/>
      <sheetName val="SN1S曲G"/>
      <sheetName val="台湾鋼材資料"/>
      <sheetName val="アイテム"/>
      <sheetName val="List"/>
    </sheetNames>
    <sheetDataSet>
      <sheetData sheetId="0"/>
      <sheetData sheetId="1"/>
      <sheetData sheetId="2"/>
      <sheetData sheetId="3"/>
      <sheetData sheetId="4">
        <row r="42">
          <cell r="W42">
            <v>201.10771581359813</v>
          </cell>
          <cell r="X42" t="e">
            <v>#DIV/0!</v>
          </cell>
          <cell r="Y42">
            <v>231.05042016806721</v>
          </cell>
          <cell r="Z42">
            <v>140.28157142857143</v>
          </cell>
          <cell r="AA42">
            <v>177.58166666666668</v>
          </cell>
          <cell r="AB42" t="e">
            <v>#DIV/0!</v>
          </cell>
          <cell r="AC42">
            <v>131.62393162393164</v>
          </cell>
          <cell r="AD42" t="e">
            <v>#DIV/0!</v>
          </cell>
          <cell r="AE42" t="e">
            <v>#DIV/0!</v>
          </cell>
          <cell r="AF42" t="e">
            <v>#DIV/0!</v>
          </cell>
          <cell r="AG42" t="e">
            <v>#DIV/0!</v>
          </cell>
          <cell r="AH42">
            <v>188.36190476190478</v>
          </cell>
          <cell r="AI42">
            <v>194.37037037037035</v>
          </cell>
          <cell r="AJ42">
            <v>136.6013071895425</v>
          </cell>
          <cell r="AK42">
            <v>136.6013071895425</v>
          </cell>
          <cell r="AL42">
            <v>136.6013071895425</v>
          </cell>
          <cell r="AM42">
            <v>142.81045751633988</v>
          </cell>
          <cell r="AN42">
            <v>171.28571428571428</v>
          </cell>
          <cell r="AO42">
            <v>186.61363636363635</v>
          </cell>
          <cell r="AP42">
            <v>186.61363636363635</v>
          </cell>
          <cell r="AQ42">
            <v>160.5688429217841</v>
          </cell>
          <cell r="AR42">
            <v>160.5688429217841</v>
          </cell>
          <cell r="AS42">
            <v>160.5688429217841</v>
          </cell>
          <cell r="AT42">
            <v>185.63789152024447</v>
          </cell>
          <cell r="AU42">
            <v>185.63789152024447</v>
          </cell>
          <cell r="BD42">
            <v>195.72960372960375</v>
          </cell>
          <cell r="BE42">
            <v>187.57420357420358</v>
          </cell>
          <cell r="BF42">
            <v>195.72960372960375</v>
          </cell>
          <cell r="BG42">
            <v>216.85950413223139</v>
          </cell>
          <cell r="BH42">
            <v>173.07692307692309</v>
          </cell>
          <cell r="BI42">
            <v>167.99058084772375</v>
          </cell>
          <cell r="BJ42">
            <v>220.53356062220331</v>
          </cell>
          <cell r="BK42">
            <v>230.778947368421</v>
          </cell>
          <cell r="BL42">
            <v>294.7802197802198</v>
          </cell>
          <cell r="BM42">
            <v>376.54592230511957</v>
          </cell>
          <cell r="BN42">
            <v>390.40920716112532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M92SIM"/>
      <sheetName val="横にらみ"/>
      <sheetName val="負荷"/>
      <sheetName val="標準"/>
      <sheetName val="D30系ROPSCAB"/>
      <sheetName val="D30系"/>
      <sheetName val="X220035890"/>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改善依頼書（様式）"/>
      <sheetName val="ﾃﾞｰﾀﾍﾞｰｽ変更点"/>
      <sheetName val="初期案"/>
      <sheetName val="テスト・工場画面"/>
      <sheetName val="テスト・ユーザ画面"/>
    </sheet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変更履歴"/>
      <sheetName val="ロック表示制御"/>
      <sheetName val="最新ロック状況ステイタス"/>
      <sheetName val="TableDesign"/>
      <sheetName val="Tableデータ"/>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概要"/>
      <sheetName val="ユースケース図"/>
      <sheetName val="ユースケース記述"/>
      <sheetName val="データベース設計"/>
      <sheetName val="テーブル設計"/>
      <sheetName val="トリガ設計"/>
      <sheetName val="E-コマツネット・ER図（補足）"/>
      <sheetName val="テーブル設計（補足）"/>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 val="DATA_COMMUNICATION_FORMAT"/>
      <sheetName val="Ｂ29"/>
      <sheetName val="GLOBAL1"/>
      <sheetName val="おねじ･ﾃｰﾊﾟ"/>
      <sheetName val="おねじ･ｽﾄﾚｰﾄ"/>
      <sheetName val="D65EX(L)-15"/>
      <sheetName val="MM利益・原価企画方針書ｶｸ１"/>
      <sheetName val="ﾐﾆｰKYUDO"/>
      <sheetName val="94上中間分岐点"/>
      <sheetName val="README"/>
      <sheetName val="焼ばめ強度"/>
      <sheetName val="W Claim smt2"/>
      <sheetName val="if調査ケンキ"/>
      <sheetName val="TableDesign"/>
      <sheetName val="社員リスト"/>
      <sheetName val="テーブル設計"/>
      <sheetName val="#REF"/>
      <sheetName val="検索･参照"/>
      <sheetName val="TG20M051"/>
      <sheetName val="Dictionary"/>
      <sheetName val="海外版　見積 (工数)"/>
      <sheetName val="ECHO"/>
      <sheetName val="台数"/>
      <sheetName val="KEKKA"/>
      <sheetName val="要目"/>
      <sheetName val="ｺﾏﾝﾄﾞ圧変化"/>
      <sheetName val="外部データ取込"/>
      <sheetName val="I-O FLOW"/>
      <sheetName val="処理定義補足"/>
      <sheetName val="情報定義書"/>
      <sheetName val="(大森さん申請)2010設備予算一覧10-4-1"/>
      <sheetName val="実施スケジュール"/>
      <sheetName val="標準規定書"/>
      <sheetName val="MOVEMENT m74&lt;P&gt; to w156"/>
      <sheetName val="B29ＦＩＴ"/>
      <sheetName val="改善_SO1101"/>
      <sheetName val="工数詳細（ＲＤ・ＥＤ）"/>
      <sheetName val="基礎数字"/>
      <sheetName val="シート情報"/>
      <sheetName val="予算申請"/>
      <sheetName val="量産出図"/>
      <sheetName val="ｼ-ﾄ (2)"/>
      <sheetName val="PC大型全"/>
      <sheetName val="ﾒｰｶ別99-"/>
      <sheetName val="業種"/>
      <sheetName val="&lt;b&gt;品確検討会時(9　21)"/>
      <sheetName val="云南安瑞  (2)"/>
      <sheetName val="多軸ﾋﾟｽﾄﾝ共通部品"/>
      <sheetName val="YOSAN"/>
      <sheetName val="基本仕様１"/>
      <sheetName val="項目一覧"/>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基本仕様１"/>
      <sheetName val="仕様検討１"/>
      <sheetName val="マスタ"/>
    </sheetNames>
    <sheetDataSet>
      <sheetData sheetId="0"/>
      <sheetData sheetId="1"/>
      <sheetData sheetId="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Sheet1"/>
      <sheetName val="Dictionary"/>
      <sheetName val="画面定義書"/>
      <sheetName val="レポートレイアウト(80縦標準)"/>
      <sheetName val="レポートレイアウト(255)"/>
      <sheetName val="BI編集仕様"/>
      <sheetName val="ファイルレイアウト（ファイルＩＤ）"/>
    </sheetNames>
    <sheetDataSet>
      <sheetData sheetId="0"/>
      <sheetData sheetId="1"/>
      <sheetData sheetId="2" refreshError="1">
        <row r="14">
          <cell r="D14" t="str">
            <v>BSID</v>
          </cell>
          <cell r="E14" t="str">
            <v>得意先未決済明細</v>
          </cell>
        </row>
        <row r="15">
          <cell r="D15" t="str">
            <v>BUK</v>
          </cell>
          <cell r="E15" t="str">
            <v>デフォルト会社コード</v>
          </cell>
        </row>
        <row r="16">
          <cell r="D16" t="str">
            <v>会社コード（入力値）</v>
          </cell>
          <cell r="E16" t="str">
            <v>会社コード</v>
          </cell>
        </row>
        <row r="17">
          <cell r="D17" t="str">
            <v>BUKRS</v>
          </cell>
          <cell r="E17" t="str">
            <v>会社コード</v>
          </cell>
        </row>
        <row r="18">
          <cell r="D18" t="str">
            <v>FILKD</v>
          </cell>
          <cell r="E18" t="str">
            <v>支店勘定</v>
          </cell>
        </row>
        <row r="19">
          <cell r="D19" t="str">
            <v>ZFBDT</v>
          </cell>
          <cell r="E19" t="str">
            <v>支払基準日</v>
          </cell>
        </row>
        <row r="20">
          <cell r="D20" t="str">
            <v>HKONT</v>
          </cell>
          <cell r="E20" t="str">
            <v>総勘定元帳勘定</v>
          </cell>
        </row>
        <row r="21">
          <cell r="D21" t="str">
            <v>GJAHR</v>
          </cell>
          <cell r="E21" t="str">
            <v>会計年度</v>
          </cell>
        </row>
        <row r="22">
          <cell r="D22" t="str">
            <v>BELNR</v>
          </cell>
          <cell r="E22" t="str">
            <v>会計伝票番号</v>
          </cell>
        </row>
        <row r="23">
          <cell r="D23" t="str">
            <v>BUZEI</v>
          </cell>
          <cell r="E23" t="str">
            <v>伝票明細番号</v>
          </cell>
        </row>
        <row r="24">
          <cell r="D24" t="str">
            <v>KUNNR</v>
          </cell>
          <cell r="E24" t="str">
            <v>得意先コード</v>
          </cell>
        </row>
        <row r="25">
          <cell r="D25" t="str">
            <v>BLDAT</v>
          </cell>
          <cell r="E25" t="str">
            <v>伝票日付</v>
          </cell>
        </row>
        <row r="26">
          <cell r="D26" t="str">
            <v>BUDAT</v>
          </cell>
          <cell r="E26" t="str">
            <v>転記日付</v>
          </cell>
        </row>
        <row r="27">
          <cell r="D27" t="str">
            <v>BLART</v>
          </cell>
          <cell r="E27" t="str">
            <v>伝票タイプ</v>
          </cell>
        </row>
        <row r="28">
          <cell r="D28" t="str">
            <v>DMBTR</v>
          </cell>
          <cell r="E28" t="str">
            <v>国内通貨額</v>
          </cell>
        </row>
        <row r="29">
          <cell r="D29" t="str">
            <v>GSBER</v>
          </cell>
          <cell r="E29" t="str">
            <v>事業領域</v>
          </cell>
        </row>
        <row r="30">
          <cell r="D30" t="str">
            <v>XREF3</v>
          </cell>
          <cell r="E30" t="str">
            <v>参照キー３</v>
          </cell>
        </row>
        <row r="31">
          <cell r="D31" t="str">
            <v>SGTXT</v>
          </cell>
          <cell r="E31" t="str">
            <v>明細テキスト</v>
          </cell>
        </row>
        <row r="32">
          <cell r="D32" t="str">
            <v>XREF1</v>
          </cell>
          <cell r="E32" t="str">
            <v>参照キー１</v>
          </cell>
        </row>
        <row r="33">
          <cell r="D33" t="str">
            <v>XREF2</v>
          </cell>
          <cell r="E33" t="str">
            <v>参照キー２</v>
          </cell>
        </row>
        <row r="34">
          <cell r="D34" t="str">
            <v>ZUONR</v>
          </cell>
          <cell r="E34" t="str">
            <v>ソートキー</v>
          </cell>
        </row>
        <row r="35">
          <cell r="D35" t="str">
            <v>SAKNR</v>
          </cell>
          <cell r="E35" t="str">
            <v>G/L勘定コード</v>
          </cell>
        </row>
        <row r="36">
          <cell r="D36" t="str">
            <v>KNB1</v>
          </cell>
          <cell r="E36" t="str">
            <v>得意先マスタ（会社コード）</v>
          </cell>
        </row>
        <row r="37">
          <cell r="D37" t="str">
            <v>SKB1</v>
          </cell>
          <cell r="E37" t="str">
            <v>勘定コードマスタ（会社コード）</v>
          </cell>
        </row>
        <row r="38">
          <cell r="D38" t="str">
            <v>KNRZE</v>
          </cell>
          <cell r="E38" t="str">
            <v>本店勘定</v>
          </cell>
        </row>
        <row r="39">
          <cell r="D39" t="str">
            <v>HBKID</v>
          </cell>
          <cell r="E39" t="str">
            <v>取引銀行</v>
          </cell>
        </row>
        <row r="40">
          <cell r="D40" t="str">
            <v>HKTID</v>
          </cell>
          <cell r="E40" t="str">
            <v>口座ID</v>
          </cell>
        </row>
      </sheetData>
      <sheetData sheetId="3"/>
      <sheetData sheetId="4"/>
      <sheetData sheetId="5"/>
      <sheetData sheetId="6"/>
      <sheetData sheetId="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仕様書構成★"/>
      <sheetName val="I-O FLOW"/>
      <sheetName val="処理概要"/>
      <sheetName val="BI編集仕様（仮受金GL計上）"/>
      <sheetName val="BI編集仕様 （仮受金AR計上）"/>
      <sheetName val="レポートレイアウト(80縦標準)"/>
      <sheetName val="ファイルレイアウト（ファイルＩＤ）"/>
      <sheetName val="内部テーブル編集仕様"/>
      <sheetName val="汎用モジュールパラメータ"/>
      <sheetName val="DBレイアウト（債権消込・FBヘッダ部データ）"/>
      <sheetName val="DBレイアウト（債権消込・FBデータ部データ）"/>
      <sheetName val="DBレイアウト（債権消込・コード変換テーブル）"/>
      <sheetName val="DBレイアウト（振込手数料マスタ）"/>
      <sheetName val="補足説明"/>
      <sheetName val="変更履歴"/>
    </sheetNames>
    <sheetDataSet>
      <sheetData sheetId="0"/>
      <sheetData sheetId="1" refreshError="1">
        <row r="11">
          <cell r="AD11" t="str">
            <v>BUKRS</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御見積り 6月3日"/>
      <sheetName val="処置概要"/>
      <sheetName val="御見積り（旧）"/>
    </sheetNames>
    <sheetDataSet>
      <sheetData sheetId="0" refreshError="1"/>
      <sheetData sheetId="1" refreshError="1"/>
      <sheetData sheetId="2"/>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マスタースケジュール"/>
      <sheetName val="ＡＰＰＣ"/>
      <sheetName val="template"/>
      <sheetName val="DATA TRANSFER"/>
      <sheetName val="APPC全体図"/>
      <sheetName val="ｸﾞﾛﾊﾞﾙｼｽﾃﾑ概要"/>
      <sheetName val="MARKING-CODE"/>
      <sheetName val="GP041"/>
      <sheetName val="極間受発注ｼｽﾃﾑ"/>
      <sheetName val="GLOBAL-SYSTEM"/>
      <sheetName val="GLOBAL-ONLINE"/>
      <sheetName val="MQM&amp;APPC"/>
      <sheetName val="GLOBAL-SYSTEM通信ﾌﾟﾛｸﾞﾗﾑ"/>
      <sheetName val="DATA-COMMUNICATION-FORM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ltle"/>
      <sheetName val="コード"/>
      <sheetName val="Relation"/>
      <sheetName val="質問事項（業務編）"/>
      <sheetName val="質問事項（技術編）"/>
      <sheetName val="TableDesign"/>
      <sheetName val="Sequence"/>
      <sheetName val="Security"/>
      <sheetName val="Storage"/>
      <sheetName val="Procedure"/>
      <sheetName val="View Design"/>
      <sheetName val="Data"/>
      <sheetName val="History"/>
      <sheetName val="TTT"/>
    </sheetNames>
    <sheetDataSet>
      <sheetData sheetId="0"/>
      <sheetData sheetId="1"/>
      <sheetData sheetId="2"/>
      <sheetData sheetId="3"/>
      <sheetData sheetId="4"/>
      <sheetData sheetId="5"/>
      <sheetData sheetId="6"/>
      <sheetData sheetId="7"/>
      <sheetData sheetId="8">
        <row r="8">
          <cell r="B8" t="str">
            <v>USERS</v>
          </cell>
        </row>
        <row r="10">
          <cell r="B10" t="str">
            <v>TEMP</v>
          </cell>
        </row>
      </sheetData>
      <sheetData sheetId="9"/>
      <sheetData sheetId="10"/>
      <sheetData sheetId="11"/>
      <sheetData sheetId="12"/>
      <sheetData sheetId="1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noFill/>
        <a:ln w="25400" cap="flat" cmpd="sng" algn="ctr">
          <a:solidFill>
            <a:srgbClr val="FF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L40"/>
  <sheetViews>
    <sheetView showGridLines="0" tabSelected="1" zoomScaleNormal="100" zoomScaleSheetLayoutView="85" workbookViewId="0"/>
  </sheetViews>
  <sheetFormatPr defaultColWidth="0.75" defaultRowHeight="12"/>
  <cols>
    <col min="1" max="16384" width="0.75" style="61"/>
  </cols>
  <sheetData>
    <row r="4" spans="1:168" ht="13.5">
      <c r="EM4" s="163"/>
      <c r="EN4" s="164"/>
      <c r="EO4" s="164"/>
      <c r="EP4" s="164"/>
      <c r="EQ4" s="164"/>
      <c r="ER4" s="164"/>
      <c r="ES4" s="164"/>
      <c r="ET4" s="164"/>
      <c r="EU4" s="164"/>
      <c r="EV4" s="164"/>
      <c r="EW4" s="164"/>
      <c r="EX4" s="164"/>
      <c r="EY4" s="164"/>
      <c r="EZ4" s="164"/>
      <c r="FA4" s="164"/>
      <c r="FB4" s="164"/>
      <c r="FC4" s="164"/>
      <c r="FD4" s="164"/>
      <c r="FE4" s="164"/>
      <c r="FF4" s="164"/>
      <c r="FG4" s="164"/>
      <c r="FH4" s="164"/>
      <c r="FI4" s="164"/>
      <c r="FJ4" s="164"/>
      <c r="FK4" s="164"/>
      <c r="FL4" s="164"/>
    </row>
    <row r="5" spans="1:168">
      <c r="A5" s="62"/>
      <c r="B5" s="62"/>
      <c r="C5" s="62"/>
      <c r="D5" s="62"/>
      <c r="E5" s="62"/>
      <c r="F5" s="62"/>
      <c r="G5" s="62"/>
      <c r="H5" s="62"/>
      <c r="I5" s="165" t="s">
        <v>63</v>
      </c>
      <c r="J5" s="165"/>
      <c r="K5" s="165"/>
      <c r="L5" s="165"/>
      <c r="M5" s="165"/>
      <c r="N5" s="165"/>
      <c r="O5" s="165"/>
      <c r="P5" s="165"/>
      <c r="Q5" s="165"/>
      <c r="R5" s="165"/>
      <c r="S5" s="165"/>
      <c r="T5" s="165"/>
      <c r="U5" s="165"/>
      <c r="V5" s="165"/>
      <c r="W5" s="165"/>
      <c r="X5" s="165"/>
      <c r="Y5" s="165"/>
      <c r="Z5" s="165"/>
      <c r="AA5" s="165"/>
      <c r="AB5" s="165"/>
      <c r="AC5" s="165"/>
      <c r="AD5" s="165"/>
      <c r="AE5" s="165"/>
      <c r="AF5" s="165"/>
      <c r="AG5" s="165"/>
      <c r="AH5" s="165"/>
      <c r="AI5" s="165"/>
      <c r="AJ5" s="165"/>
      <c r="AK5" s="165"/>
      <c r="AL5" s="165"/>
      <c r="AM5" s="165"/>
      <c r="AN5" s="165"/>
      <c r="AO5" s="165"/>
      <c r="AP5" s="165"/>
      <c r="AQ5" s="165"/>
      <c r="AR5" s="165"/>
      <c r="AS5" s="165"/>
      <c r="AT5" s="165"/>
      <c r="AU5" s="165"/>
      <c r="AV5" s="165"/>
      <c r="AW5" s="165"/>
      <c r="AX5" s="165"/>
      <c r="AY5" s="165"/>
      <c r="AZ5" s="165"/>
      <c r="BA5" s="165"/>
      <c r="BB5" s="165"/>
      <c r="BC5" s="165"/>
      <c r="BD5" s="165"/>
      <c r="BE5" s="165"/>
      <c r="BF5" s="165"/>
      <c r="BG5" s="165"/>
      <c r="BH5" s="165"/>
      <c r="BI5" s="165"/>
      <c r="BJ5" s="165"/>
      <c r="BK5" s="165"/>
      <c r="BL5" s="165"/>
      <c r="BM5" s="165"/>
      <c r="BN5" s="165"/>
      <c r="BO5" s="165"/>
      <c r="BP5" s="165"/>
      <c r="BQ5" s="165"/>
      <c r="BR5" s="165"/>
      <c r="BS5" s="165"/>
      <c r="BT5" s="165"/>
      <c r="BU5" s="165"/>
      <c r="BV5" s="165"/>
      <c r="BW5" s="165"/>
      <c r="BX5" s="165"/>
      <c r="BY5" s="165"/>
      <c r="BZ5" s="165"/>
      <c r="CA5" s="165"/>
      <c r="CB5" s="165"/>
      <c r="CC5" s="165"/>
      <c r="CD5" s="165"/>
      <c r="CE5" s="165"/>
      <c r="CF5" s="165"/>
      <c r="CG5" s="165"/>
      <c r="CH5" s="165"/>
      <c r="CI5" s="165"/>
      <c r="CJ5" s="165"/>
      <c r="CK5" s="165"/>
      <c r="CL5" s="165"/>
      <c r="CM5" s="165"/>
      <c r="CN5" s="165"/>
      <c r="CO5" s="165"/>
      <c r="CP5" s="165"/>
      <c r="CQ5" s="165"/>
      <c r="CR5" s="165"/>
      <c r="CS5" s="165"/>
      <c r="CT5" s="165"/>
      <c r="CU5" s="165"/>
      <c r="CV5" s="165"/>
      <c r="CW5" s="165"/>
      <c r="CX5" s="165"/>
      <c r="CY5" s="165"/>
      <c r="CZ5" s="165"/>
      <c r="DA5" s="165"/>
      <c r="DB5" s="165"/>
      <c r="DC5" s="165"/>
      <c r="DD5" s="165"/>
      <c r="DE5" s="165"/>
      <c r="DF5" s="165"/>
      <c r="DG5" s="165"/>
      <c r="DH5" s="165"/>
      <c r="DI5" s="165"/>
      <c r="DJ5" s="165"/>
      <c r="DK5" s="165"/>
      <c r="DL5" s="165"/>
      <c r="DM5" s="165"/>
      <c r="DN5" s="165"/>
      <c r="DO5" s="165"/>
      <c r="DP5" s="165"/>
      <c r="DQ5" s="165"/>
      <c r="DR5" s="165"/>
      <c r="DS5" s="165"/>
      <c r="DT5" s="165"/>
      <c r="DU5" s="165"/>
      <c r="DV5" s="165"/>
      <c r="DW5" s="165"/>
      <c r="DX5" s="165"/>
      <c r="DY5" s="165"/>
      <c r="DZ5" s="165"/>
      <c r="EA5" s="165"/>
      <c r="EB5" s="165"/>
      <c r="EC5" s="165"/>
      <c r="ED5" s="165"/>
      <c r="EE5" s="165"/>
      <c r="EF5" s="165"/>
      <c r="EG5" s="165"/>
      <c r="EH5" s="165"/>
      <c r="EI5" s="165"/>
      <c r="EJ5" s="165"/>
      <c r="EK5" s="165"/>
      <c r="EL5" s="165"/>
      <c r="EM5" s="165"/>
      <c r="EN5" s="165"/>
      <c r="EO5" s="165"/>
      <c r="EP5" s="165"/>
      <c r="EQ5" s="165"/>
      <c r="ER5" s="165"/>
      <c r="ES5" s="165"/>
      <c r="ET5" s="165"/>
      <c r="EU5" s="165"/>
      <c r="EV5" s="165"/>
      <c r="EW5" s="165"/>
      <c r="EX5" s="165"/>
      <c r="EY5" s="165"/>
      <c r="EZ5" s="165"/>
      <c r="FA5" s="165"/>
      <c r="FB5" s="165"/>
      <c r="FC5" s="165"/>
      <c r="FD5" s="165"/>
      <c r="FE5" s="62"/>
      <c r="FF5" s="62"/>
      <c r="FG5" s="62"/>
      <c r="FH5" s="62"/>
      <c r="FI5" s="62"/>
      <c r="FJ5" s="62"/>
      <c r="FK5" s="62"/>
      <c r="FL5" s="62"/>
    </row>
    <row r="6" spans="1:168">
      <c r="A6" s="62"/>
      <c r="B6" s="62"/>
      <c r="C6" s="62"/>
      <c r="D6" s="62"/>
      <c r="E6" s="62"/>
      <c r="F6" s="62"/>
      <c r="G6" s="62"/>
      <c r="H6" s="62"/>
      <c r="I6" s="165"/>
      <c r="J6" s="165"/>
      <c r="K6" s="165"/>
      <c r="L6" s="165"/>
      <c r="M6" s="165"/>
      <c r="N6" s="165"/>
      <c r="O6" s="165"/>
      <c r="P6" s="165"/>
      <c r="Q6" s="16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c r="BF6" s="165"/>
      <c r="BG6" s="165"/>
      <c r="BH6" s="165"/>
      <c r="BI6" s="165"/>
      <c r="BJ6" s="165"/>
      <c r="BK6" s="165"/>
      <c r="BL6" s="165"/>
      <c r="BM6" s="165"/>
      <c r="BN6" s="165"/>
      <c r="BO6" s="165"/>
      <c r="BP6" s="165"/>
      <c r="BQ6" s="165"/>
      <c r="BR6" s="165"/>
      <c r="BS6" s="165"/>
      <c r="BT6" s="165"/>
      <c r="BU6" s="165"/>
      <c r="BV6" s="165"/>
      <c r="BW6" s="165"/>
      <c r="BX6" s="165"/>
      <c r="BY6" s="165"/>
      <c r="BZ6" s="165"/>
      <c r="CA6" s="165"/>
      <c r="CB6" s="165"/>
      <c r="CC6" s="165"/>
      <c r="CD6" s="165"/>
      <c r="CE6" s="165"/>
      <c r="CF6" s="165"/>
      <c r="CG6" s="165"/>
      <c r="CH6" s="165"/>
      <c r="CI6" s="165"/>
      <c r="CJ6" s="165"/>
      <c r="CK6" s="165"/>
      <c r="CL6" s="165"/>
      <c r="CM6" s="165"/>
      <c r="CN6" s="165"/>
      <c r="CO6" s="165"/>
      <c r="CP6" s="165"/>
      <c r="CQ6" s="165"/>
      <c r="CR6" s="165"/>
      <c r="CS6" s="165"/>
      <c r="CT6" s="165"/>
      <c r="CU6" s="165"/>
      <c r="CV6" s="165"/>
      <c r="CW6" s="165"/>
      <c r="CX6" s="165"/>
      <c r="CY6" s="165"/>
      <c r="CZ6" s="165"/>
      <c r="DA6" s="165"/>
      <c r="DB6" s="165"/>
      <c r="DC6" s="165"/>
      <c r="DD6" s="165"/>
      <c r="DE6" s="165"/>
      <c r="DF6" s="165"/>
      <c r="DG6" s="165"/>
      <c r="DH6" s="165"/>
      <c r="DI6" s="165"/>
      <c r="DJ6" s="165"/>
      <c r="DK6" s="165"/>
      <c r="DL6" s="165"/>
      <c r="DM6" s="165"/>
      <c r="DN6" s="165"/>
      <c r="DO6" s="165"/>
      <c r="DP6" s="165"/>
      <c r="DQ6" s="165"/>
      <c r="DR6" s="165"/>
      <c r="DS6" s="165"/>
      <c r="DT6" s="165"/>
      <c r="DU6" s="165"/>
      <c r="DV6" s="165"/>
      <c r="DW6" s="165"/>
      <c r="DX6" s="165"/>
      <c r="DY6" s="165"/>
      <c r="DZ6" s="165"/>
      <c r="EA6" s="165"/>
      <c r="EB6" s="165"/>
      <c r="EC6" s="165"/>
      <c r="ED6" s="165"/>
      <c r="EE6" s="165"/>
      <c r="EF6" s="165"/>
      <c r="EG6" s="165"/>
      <c r="EH6" s="165"/>
      <c r="EI6" s="165"/>
      <c r="EJ6" s="165"/>
      <c r="EK6" s="165"/>
      <c r="EL6" s="165"/>
      <c r="EM6" s="165"/>
      <c r="EN6" s="165"/>
      <c r="EO6" s="165"/>
      <c r="EP6" s="165"/>
      <c r="EQ6" s="165"/>
      <c r="ER6" s="165"/>
      <c r="ES6" s="165"/>
      <c r="ET6" s="165"/>
      <c r="EU6" s="165"/>
      <c r="EV6" s="165"/>
      <c r="EW6" s="165"/>
      <c r="EX6" s="165"/>
      <c r="EY6" s="165"/>
      <c r="EZ6" s="165"/>
      <c r="FA6" s="165"/>
      <c r="FB6" s="165"/>
      <c r="FC6" s="165"/>
      <c r="FD6" s="165"/>
      <c r="FE6" s="62"/>
      <c r="FF6" s="62"/>
      <c r="FG6" s="62"/>
      <c r="FH6" s="62"/>
      <c r="FI6" s="62"/>
      <c r="FJ6" s="62"/>
      <c r="FK6" s="62"/>
      <c r="FL6" s="62"/>
    </row>
    <row r="7" spans="1:168">
      <c r="A7" s="62"/>
      <c r="B7" s="62"/>
      <c r="C7" s="62"/>
      <c r="D7" s="62"/>
      <c r="E7" s="62"/>
      <c r="F7" s="62"/>
      <c r="G7" s="62"/>
      <c r="H7" s="62"/>
      <c r="I7" s="62"/>
      <c r="J7" s="62"/>
      <c r="K7" s="62"/>
      <c r="L7" s="62"/>
      <c r="M7" s="62"/>
      <c r="N7" s="62"/>
      <c r="O7" s="62"/>
      <c r="P7" s="62"/>
      <c r="Q7" s="62"/>
      <c r="R7" s="62"/>
      <c r="S7" s="62"/>
      <c r="T7" s="62"/>
      <c r="U7" s="62"/>
      <c r="V7" s="62"/>
      <c r="W7" s="62"/>
      <c r="X7" s="62"/>
      <c r="Y7" s="62"/>
      <c r="Z7" s="62"/>
      <c r="AA7" s="62"/>
      <c r="AB7" s="62"/>
      <c r="AC7" s="62"/>
      <c r="AD7" s="62"/>
      <c r="AE7" s="62"/>
      <c r="AF7" s="62"/>
      <c r="AG7" s="62"/>
      <c r="AH7" s="62"/>
      <c r="AI7" s="62"/>
      <c r="AJ7" s="62"/>
      <c r="AK7" s="62"/>
      <c r="AL7" s="62"/>
      <c r="AM7" s="62"/>
      <c r="AN7" s="62"/>
      <c r="AO7" s="62"/>
      <c r="AP7" s="62"/>
      <c r="AQ7" s="62"/>
      <c r="AR7" s="62"/>
      <c r="AS7" s="62"/>
      <c r="AT7" s="62"/>
      <c r="AU7" s="62"/>
      <c r="AV7" s="62"/>
      <c r="AW7" s="62"/>
      <c r="AX7" s="62"/>
      <c r="AY7" s="62"/>
      <c r="AZ7" s="62"/>
      <c r="BA7" s="62"/>
      <c r="BB7" s="62"/>
      <c r="BC7" s="62"/>
      <c r="BD7" s="62"/>
      <c r="BE7" s="62"/>
      <c r="BF7" s="62"/>
      <c r="BG7" s="62"/>
      <c r="BH7" s="62"/>
      <c r="BI7" s="62"/>
      <c r="BJ7" s="62"/>
      <c r="BK7" s="62"/>
      <c r="BL7" s="62"/>
      <c r="BM7" s="62"/>
      <c r="BN7" s="62"/>
      <c r="BO7" s="62"/>
      <c r="BP7" s="62"/>
      <c r="BQ7" s="62"/>
      <c r="BR7" s="62"/>
      <c r="BS7" s="62"/>
      <c r="BT7" s="62"/>
      <c r="BU7" s="62"/>
      <c r="BV7" s="62"/>
      <c r="BW7" s="62"/>
      <c r="BX7" s="62"/>
      <c r="BY7" s="62"/>
      <c r="BZ7" s="62"/>
      <c r="CA7" s="62"/>
      <c r="CB7" s="62"/>
      <c r="CC7" s="62"/>
      <c r="CD7" s="62"/>
      <c r="CE7" s="62"/>
      <c r="CF7" s="62"/>
      <c r="CG7" s="62"/>
      <c r="CH7" s="62"/>
      <c r="CI7" s="62"/>
      <c r="CJ7" s="62"/>
      <c r="CK7" s="62"/>
      <c r="CL7" s="62"/>
      <c r="CM7" s="62"/>
      <c r="CN7" s="62"/>
      <c r="CO7" s="62"/>
      <c r="CP7" s="62"/>
      <c r="CQ7" s="62"/>
      <c r="CR7" s="62"/>
      <c r="CS7" s="62"/>
      <c r="CT7" s="62"/>
      <c r="CU7" s="62"/>
      <c r="CV7" s="62"/>
      <c r="CW7" s="62"/>
      <c r="CX7" s="62"/>
      <c r="CY7" s="62"/>
      <c r="CZ7" s="62"/>
      <c r="DA7" s="62"/>
      <c r="DB7" s="62"/>
      <c r="DC7" s="62"/>
      <c r="DD7" s="62"/>
      <c r="DE7" s="62"/>
      <c r="DF7" s="62"/>
      <c r="DG7" s="62"/>
      <c r="DH7" s="62"/>
      <c r="DI7" s="62"/>
      <c r="DJ7" s="62"/>
      <c r="DK7" s="62"/>
      <c r="DL7" s="62"/>
      <c r="DM7" s="62"/>
      <c r="DN7" s="62"/>
      <c r="DO7" s="62"/>
      <c r="DP7" s="62"/>
      <c r="DQ7" s="62"/>
      <c r="DR7" s="62"/>
      <c r="DS7" s="62"/>
      <c r="DT7" s="62"/>
      <c r="DU7" s="62"/>
      <c r="DV7" s="62"/>
      <c r="DW7" s="62"/>
      <c r="DX7" s="62"/>
      <c r="DY7" s="62"/>
      <c r="DZ7" s="62"/>
      <c r="EA7" s="62"/>
      <c r="EB7" s="62"/>
      <c r="EC7" s="62"/>
      <c r="ED7" s="62"/>
      <c r="EE7" s="62"/>
      <c r="EF7" s="62"/>
      <c r="EG7" s="62"/>
      <c r="EH7" s="62"/>
      <c r="EI7" s="62"/>
      <c r="EJ7" s="62"/>
      <c r="EK7" s="62"/>
      <c r="EL7" s="62"/>
      <c r="EM7" s="62"/>
      <c r="EN7" s="62"/>
      <c r="EO7" s="62"/>
      <c r="EP7" s="62"/>
      <c r="EQ7" s="62"/>
      <c r="ER7" s="62"/>
      <c r="ES7" s="62"/>
      <c r="ET7" s="62"/>
      <c r="EU7" s="62"/>
      <c r="EV7" s="62"/>
      <c r="EW7" s="62"/>
      <c r="EX7" s="62"/>
      <c r="EY7" s="62"/>
      <c r="EZ7" s="62"/>
      <c r="FA7" s="62"/>
      <c r="FB7" s="62"/>
      <c r="FC7" s="62"/>
      <c r="FD7" s="62"/>
      <c r="FE7" s="62"/>
      <c r="FF7" s="62"/>
      <c r="FG7" s="62"/>
      <c r="FH7" s="62"/>
      <c r="FI7" s="62"/>
      <c r="FJ7" s="62"/>
      <c r="FK7" s="62"/>
      <c r="FL7" s="62"/>
    </row>
    <row r="8" spans="1:168">
      <c r="A8" s="62"/>
      <c r="B8" s="62"/>
      <c r="C8" s="62"/>
      <c r="D8" s="62"/>
      <c r="E8" s="62"/>
      <c r="F8" s="62"/>
      <c r="G8" s="62"/>
      <c r="H8" s="62"/>
      <c r="I8" s="166" t="s">
        <v>81</v>
      </c>
      <c r="J8" s="166"/>
      <c r="K8" s="166"/>
      <c r="L8" s="166"/>
      <c r="M8" s="166"/>
      <c r="N8" s="166"/>
      <c r="O8" s="166"/>
      <c r="P8" s="166"/>
      <c r="Q8" s="166"/>
      <c r="R8" s="166"/>
      <c r="S8" s="166"/>
      <c r="T8" s="166"/>
      <c r="U8" s="166"/>
      <c r="V8" s="166"/>
      <c r="W8" s="166"/>
      <c r="X8" s="166"/>
      <c r="Y8" s="166"/>
      <c r="Z8" s="166"/>
      <c r="AA8" s="166"/>
      <c r="AB8" s="166"/>
      <c r="AC8" s="166"/>
      <c r="AD8" s="166"/>
      <c r="AE8" s="166"/>
      <c r="AF8" s="166"/>
      <c r="AG8" s="166"/>
      <c r="AH8" s="166"/>
      <c r="AI8" s="166"/>
      <c r="AJ8" s="166"/>
      <c r="AK8" s="166"/>
      <c r="AL8" s="166"/>
      <c r="AM8" s="166"/>
      <c r="AN8" s="166"/>
      <c r="AO8" s="166"/>
      <c r="AP8" s="166"/>
      <c r="AQ8" s="166"/>
      <c r="AR8" s="166"/>
      <c r="AS8" s="166"/>
      <c r="AT8" s="166"/>
      <c r="AU8" s="166"/>
      <c r="AV8" s="166"/>
      <c r="AW8" s="166"/>
      <c r="AX8" s="166"/>
      <c r="AY8" s="166"/>
      <c r="AZ8" s="166"/>
      <c r="BA8" s="166"/>
      <c r="BB8" s="166"/>
      <c r="BC8" s="166"/>
      <c r="BD8" s="166"/>
      <c r="BE8" s="166"/>
      <c r="BF8" s="166"/>
      <c r="BG8" s="166"/>
      <c r="BH8" s="166"/>
      <c r="BI8" s="166"/>
      <c r="BJ8" s="166"/>
      <c r="BK8" s="166"/>
      <c r="BL8" s="166"/>
      <c r="BM8" s="166"/>
      <c r="BN8" s="166"/>
      <c r="BO8" s="166"/>
      <c r="BP8" s="166"/>
      <c r="BQ8" s="166"/>
      <c r="BR8" s="166"/>
      <c r="BS8" s="166"/>
      <c r="BT8" s="166"/>
      <c r="BU8" s="166"/>
      <c r="BV8" s="166"/>
      <c r="BW8" s="166"/>
      <c r="BX8" s="166"/>
      <c r="BY8" s="166"/>
      <c r="BZ8" s="166"/>
      <c r="CA8" s="166"/>
      <c r="CB8" s="166"/>
      <c r="CC8" s="166"/>
      <c r="CD8" s="166"/>
      <c r="CE8" s="166"/>
      <c r="CF8" s="166"/>
      <c r="CG8" s="166"/>
      <c r="CH8" s="166"/>
      <c r="CI8" s="166"/>
      <c r="CJ8" s="166"/>
      <c r="CK8" s="166"/>
      <c r="CL8" s="166"/>
      <c r="CM8" s="166"/>
      <c r="CN8" s="166"/>
      <c r="CO8" s="166"/>
      <c r="CP8" s="166"/>
      <c r="CQ8" s="166"/>
      <c r="CR8" s="166"/>
      <c r="CS8" s="166"/>
      <c r="CT8" s="166"/>
      <c r="CU8" s="166"/>
      <c r="CV8" s="166"/>
      <c r="CW8" s="166"/>
      <c r="CX8" s="166"/>
      <c r="CY8" s="166"/>
      <c r="CZ8" s="166"/>
      <c r="DA8" s="166"/>
      <c r="DB8" s="166"/>
      <c r="DC8" s="166"/>
      <c r="DD8" s="166"/>
      <c r="DE8" s="166"/>
      <c r="DF8" s="166"/>
      <c r="DG8" s="166"/>
      <c r="DH8" s="166"/>
      <c r="DI8" s="166"/>
      <c r="DJ8" s="166"/>
      <c r="DK8" s="166"/>
      <c r="DL8" s="166"/>
      <c r="DM8" s="166"/>
      <c r="DN8" s="166"/>
      <c r="DO8" s="166"/>
      <c r="DP8" s="166"/>
      <c r="DQ8" s="166"/>
      <c r="DR8" s="166"/>
      <c r="DS8" s="166"/>
      <c r="DT8" s="166"/>
      <c r="DU8" s="166"/>
      <c r="DV8" s="166"/>
      <c r="DW8" s="166"/>
      <c r="DX8" s="166"/>
      <c r="DY8" s="166"/>
      <c r="DZ8" s="166"/>
      <c r="EA8" s="166"/>
      <c r="EB8" s="166"/>
      <c r="EC8" s="166"/>
      <c r="ED8" s="166"/>
      <c r="EE8" s="166"/>
      <c r="EF8" s="166"/>
      <c r="EG8" s="166"/>
      <c r="EH8" s="166"/>
      <c r="EI8" s="166"/>
      <c r="EJ8" s="166"/>
      <c r="EK8" s="166"/>
      <c r="EL8" s="166"/>
      <c r="EM8" s="166"/>
      <c r="EN8" s="166"/>
      <c r="EO8" s="166"/>
      <c r="EP8" s="166"/>
      <c r="EQ8" s="166"/>
      <c r="ER8" s="166"/>
      <c r="ES8" s="166"/>
      <c r="ET8" s="166"/>
      <c r="EU8" s="166"/>
      <c r="EV8" s="166"/>
      <c r="EW8" s="166"/>
      <c r="EX8" s="166"/>
      <c r="EY8" s="166"/>
      <c r="EZ8" s="166"/>
      <c r="FA8" s="166"/>
      <c r="FB8" s="166"/>
      <c r="FC8" s="166"/>
      <c r="FD8" s="166"/>
      <c r="FE8" s="62"/>
      <c r="FF8" s="62"/>
      <c r="FG8" s="62"/>
      <c r="FH8" s="62"/>
      <c r="FI8" s="62"/>
      <c r="FJ8" s="62"/>
      <c r="FK8" s="62"/>
      <c r="FL8" s="62"/>
    </row>
    <row r="9" spans="1:168">
      <c r="A9" s="62"/>
      <c r="B9" s="62"/>
      <c r="C9" s="62"/>
      <c r="D9" s="62"/>
      <c r="E9" s="62"/>
      <c r="F9" s="62"/>
      <c r="G9" s="62"/>
      <c r="H9" s="62"/>
      <c r="I9" s="166"/>
      <c r="J9" s="166"/>
      <c r="K9" s="166"/>
      <c r="L9" s="166"/>
      <c r="M9" s="166"/>
      <c r="N9" s="166"/>
      <c r="O9" s="166"/>
      <c r="P9" s="166"/>
      <c r="Q9" s="166"/>
      <c r="R9" s="166"/>
      <c r="S9" s="166"/>
      <c r="T9" s="166"/>
      <c r="U9" s="166"/>
      <c r="V9" s="166"/>
      <c r="W9" s="166"/>
      <c r="X9" s="166"/>
      <c r="Y9" s="166"/>
      <c r="Z9" s="166"/>
      <c r="AA9" s="166"/>
      <c r="AB9" s="166"/>
      <c r="AC9" s="166"/>
      <c r="AD9" s="166"/>
      <c r="AE9" s="166"/>
      <c r="AF9" s="166"/>
      <c r="AG9" s="166"/>
      <c r="AH9" s="166"/>
      <c r="AI9" s="166"/>
      <c r="AJ9" s="166"/>
      <c r="AK9" s="166"/>
      <c r="AL9" s="166"/>
      <c r="AM9" s="166"/>
      <c r="AN9" s="166"/>
      <c r="AO9" s="166"/>
      <c r="AP9" s="166"/>
      <c r="AQ9" s="166"/>
      <c r="AR9" s="166"/>
      <c r="AS9" s="166"/>
      <c r="AT9" s="166"/>
      <c r="AU9" s="166"/>
      <c r="AV9" s="166"/>
      <c r="AW9" s="166"/>
      <c r="AX9" s="166"/>
      <c r="AY9" s="166"/>
      <c r="AZ9" s="166"/>
      <c r="BA9" s="166"/>
      <c r="BB9" s="166"/>
      <c r="BC9" s="166"/>
      <c r="BD9" s="166"/>
      <c r="BE9" s="166"/>
      <c r="BF9" s="166"/>
      <c r="BG9" s="166"/>
      <c r="BH9" s="166"/>
      <c r="BI9" s="166"/>
      <c r="BJ9" s="166"/>
      <c r="BK9" s="166"/>
      <c r="BL9" s="166"/>
      <c r="BM9" s="166"/>
      <c r="BN9" s="166"/>
      <c r="BO9" s="166"/>
      <c r="BP9" s="166"/>
      <c r="BQ9" s="166"/>
      <c r="BR9" s="166"/>
      <c r="BS9" s="166"/>
      <c r="BT9" s="166"/>
      <c r="BU9" s="166"/>
      <c r="BV9" s="166"/>
      <c r="BW9" s="166"/>
      <c r="BX9" s="166"/>
      <c r="BY9" s="166"/>
      <c r="BZ9" s="166"/>
      <c r="CA9" s="166"/>
      <c r="CB9" s="166"/>
      <c r="CC9" s="166"/>
      <c r="CD9" s="166"/>
      <c r="CE9" s="166"/>
      <c r="CF9" s="166"/>
      <c r="CG9" s="166"/>
      <c r="CH9" s="166"/>
      <c r="CI9" s="166"/>
      <c r="CJ9" s="166"/>
      <c r="CK9" s="166"/>
      <c r="CL9" s="166"/>
      <c r="CM9" s="166"/>
      <c r="CN9" s="166"/>
      <c r="CO9" s="166"/>
      <c r="CP9" s="166"/>
      <c r="CQ9" s="166"/>
      <c r="CR9" s="166"/>
      <c r="CS9" s="166"/>
      <c r="CT9" s="166"/>
      <c r="CU9" s="166"/>
      <c r="CV9" s="166"/>
      <c r="CW9" s="166"/>
      <c r="CX9" s="166"/>
      <c r="CY9" s="166"/>
      <c r="CZ9" s="166"/>
      <c r="DA9" s="166"/>
      <c r="DB9" s="166"/>
      <c r="DC9" s="166"/>
      <c r="DD9" s="166"/>
      <c r="DE9" s="166"/>
      <c r="DF9" s="166"/>
      <c r="DG9" s="166"/>
      <c r="DH9" s="166"/>
      <c r="DI9" s="166"/>
      <c r="DJ9" s="166"/>
      <c r="DK9" s="166"/>
      <c r="DL9" s="166"/>
      <c r="DM9" s="166"/>
      <c r="DN9" s="166"/>
      <c r="DO9" s="166"/>
      <c r="DP9" s="166"/>
      <c r="DQ9" s="166"/>
      <c r="DR9" s="166"/>
      <c r="DS9" s="166"/>
      <c r="DT9" s="166"/>
      <c r="DU9" s="166"/>
      <c r="DV9" s="166"/>
      <c r="DW9" s="166"/>
      <c r="DX9" s="166"/>
      <c r="DY9" s="166"/>
      <c r="DZ9" s="166"/>
      <c r="EA9" s="166"/>
      <c r="EB9" s="166"/>
      <c r="EC9" s="166"/>
      <c r="ED9" s="166"/>
      <c r="EE9" s="166"/>
      <c r="EF9" s="166"/>
      <c r="EG9" s="166"/>
      <c r="EH9" s="166"/>
      <c r="EI9" s="166"/>
      <c r="EJ9" s="166"/>
      <c r="EK9" s="166"/>
      <c r="EL9" s="166"/>
      <c r="EM9" s="166"/>
      <c r="EN9" s="166"/>
      <c r="EO9" s="166"/>
      <c r="EP9" s="166"/>
      <c r="EQ9" s="166"/>
      <c r="ER9" s="166"/>
      <c r="ES9" s="166"/>
      <c r="ET9" s="166"/>
      <c r="EU9" s="166"/>
      <c r="EV9" s="166"/>
      <c r="EW9" s="166"/>
      <c r="EX9" s="166"/>
      <c r="EY9" s="166"/>
      <c r="EZ9" s="166"/>
      <c r="FA9" s="166"/>
      <c r="FB9" s="166"/>
      <c r="FC9" s="166"/>
      <c r="FD9" s="166"/>
      <c r="FE9" s="62"/>
      <c r="FF9" s="62"/>
      <c r="FG9" s="62"/>
      <c r="FH9" s="62"/>
      <c r="FI9" s="62"/>
      <c r="FJ9" s="62"/>
      <c r="FK9" s="62"/>
      <c r="FL9" s="62"/>
    </row>
    <row r="10" spans="1:168">
      <c r="A10" s="62"/>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62"/>
      <c r="AC10" s="62"/>
      <c r="AD10" s="62"/>
      <c r="AE10" s="62"/>
      <c r="AF10" s="62"/>
      <c r="AG10" s="62"/>
      <c r="AH10" s="62"/>
      <c r="AI10" s="62"/>
      <c r="AJ10" s="62"/>
      <c r="AK10" s="62"/>
      <c r="AL10" s="62"/>
      <c r="AM10" s="62"/>
      <c r="AN10" s="62"/>
      <c r="AO10" s="62"/>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c r="BP10" s="62"/>
      <c r="BQ10" s="62"/>
      <c r="BR10" s="62"/>
      <c r="BS10" s="62"/>
      <c r="BT10" s="62"/>
      <c r="BU10" s="62"/>
      <c r="BV10" s="62"/>
      <c r="BW10" s="62"/>
      <c r="BX10" s="62"/>
      <c r="BY10" s="62"/>
      <c r="BZ10" s="62"/>
      <c r="CA10" s="62"/>
      <c r="CB10" s="62"/>
      <c r="CC10" s="62"/>
      <c r="CD10" s="62"/>
      <c r="CE10" s="62"/>
      <c r="CF10" s="62"/>
      <c r="CG10" s="62"/>
      <c r="CH10" s="62"/>
      <c r="CI10" s="62"/>
      <c r="CJ10" s="62"/>
      <c r="CK10" s="62"/>
      <c r="CL10" s="62"/>
      <c r="CM10" s="62"/>
      <c r="CN10" s="62"/>
      <c r="CO10" s="62"/>
      <c r="CP10" s="62"/>
      <c r="CQ10" s="62"/>
      <c r="CR10" s="62"/>
      <c r="CS10" s="62"/>
      <c r="CT10" s="62"/>
      <c r="CU10" s="62"/>
      <c r="CV10" s="62"/>
      <c r="CW10" s="62"/>
      <c r="CX10" s="62"/>
      <c r="CY10" s="62"/>
      <c r="CZ10" s="62"/>
      <c r="DA10" s="62"/>
      <c r="DB10" s="62"/>
      <c r="DC10" s="62"/>
      <c r="DD10" s="62"/>
      <c r="DE10" s="62"/>
      <c r="DF10" s="62"/>
      <c r="DG10" s="62"/>
      <c r="DH10" s="62"/>
      <c r="DI10" s="62"/>
      <c r="DJ10" s="62"/>
      <c r="DK10" s="62"/>
      <c r="DL10" s="62"/>
      <c r="DM10" s="62"/>
      <c r="DN10" s="62"/>
      <c r="DO10" s="62"/>
      <c r="DP10" s="62"/>
      <c r="DQ10" s="62"/>
      <c r="DR10" s="62"/>
      <c r="DS10" s="62"/>
      <c r="DT10" s="62"/>
      <c r="DU10" s="62"/>
      <c r="DV10" s="62"/>
      <c r="DW10" s="62"/>
      <c r="DX10" s="62"/>
      <c r="DY10" s="62"/>
      <c r="DZ10" s="62"/>
      <c r="EA10" s="62"/>
      <c r="EB10" s="62"/>
      <c r="EC10" s="62"/>
      <c r="ED10" s="62"/>
      <c r="EE10" s="62"/>
      <c r="EF10" s="62"/>
      <c r="EG10" s="62"/>
      <c r="EH10" s="62"/>
      <c r="EI10" s="62"/>
      <c r="EJ10" s="62"/>
      <c r="EK10" s="62"/>
      <c r="EL10" s="62"/>
      <c r="EM10" s="62"/>
      <c r="EN10" s="62"/>
      <c r="EO10" s="62"/>
      <c r="EP10" s="62"/>
      <c r="EQ10" s="62"/>
      <c r="ER10" s="62"/>
      <c r="ES10" s="62"/>
      <c r="ET10" s="62"/>
      <c r="EU10" s="62"/>
      <c r="EV10" s="62"/>
      <c r="EW10" s="62"/>
      <c r="EX10" s="62"/>
      <c r="EY10" s="62"/>
      <c r="EZ10" s="62"/>
      <c r="FA10" s="62"/>
      <c r="FB10" s="62"/>
      <c r="FC10" s="62"/>
      <c r="FD10" s="62"/>
      <c r="FE10" s="62"/>
      <c r="FF10" s="62"/>
      <c r="FG10" s="62"/>
      <c r="FH10" s="62"/>
      <c r="FI10" s="62"/>
      <c r="FJ10" s="62"/>
      <c r="FK10" s="62"/>
      <c r="FL10" s="62"/>
    </row>
    <row r="11" spans="1:168" ht="12" customHeight="1">
      <c r="A11" s="62"/>
      <c r="B11" s="62"/>
      <c r="C11" s="62"/>
      <c r="D11" s="62"/>
      <c r="E11" s="63"/>
      <c r="F11" s="64"/>
      <c r="G11" s="64"/>
      <c r="H11" s="64"/>
      <c r="I11" s="62"/>
      <c r="J11" s="62"/>
      <c r="K11" s="62"/>
      <c r="L11" s="62"/>
      <c r="M11" s="62"/>
      <c r="N11" s="62"/>
      <c r="O11" s="62"/>
      <c r="P11" s="62"/>
      <c r="Q11" s="167" t="s">
        <v>100</v>
      </c>
      <c r="R11" s="167"/>
      <c r="S11" s="167"/>
      <c r="T11" s="167"/>
      <c r="U11" s="167"/>
      <c r="V11" s="167"/>
      <c r="W11" s="167"/>
      <c r="X11" s="167"/>
      <c r="Y11" s="167"/>
      <c r="Z11" s="167"/>
      <c r="AA11" s="167"/>
      <c r="AB11" s="167"/>
      <c r="AC11" s="167"/>
      <c r="AD11" s="167"/>
      <c r="AE11" s="167"/>
      <c r="AF11" s="167"/>
      <c r="AG11" s="167"/>
      <c r="AH11" s="167"/>
      <c r="AI11" s="167"/>
      <c r="AJ11" s="167"/>
      <c r="AK11" s="167"/>
      <c r="AL11" s="167"/>
      <c r="AM11" s="167"/>
      <c r="AN11" s="167"/>
      <c r="AO11" s="167"/>
      <c r="AP11" s="167"/>
      <c r="AQ11" s="167"/>
      <c r="AR11" s="167"/>
      <c r="AS11" s="167"/>
      <c r="AT11" s="167"/>
      <c r="AU11" s="167"/>
      <c r="AV11" s="167"/>
      <c r="AW11" s="167"/>
      <c r="AX11" s="167"/>
      <c r="AY11" s="167"/>
      <c r="AZ11" s="167"/>
      <c r="BA11" s="167"/>
      <c r="BB11" s="167"/>
      <c r="BC11" s="167"/>
      <c r="BD11" s="167"/>
      <c r="BE11" s="167"/>
      <c r="BF11" s="167"/>
      <c r="BG11" s="167"/>
      <c r="BH11" s="167"/>
      <c r="BI11" s="167"/>
      <c r="BJ11" s="167"/>
      <c r="BK11" s="167"/>
      <c r="BL11" s="167"/>
      <c r="BM11" s="167"/>
      <c r="BN11" s="167"/>
      <c r="BO11" s="167"/>
      <c r="BP11" s="167"/>
      <c r="BQ11" s="167"/>
      <c r="BR11" s="167"/>
      <c r="BS11" s="167"/>
      <c r="BT11" s="167"/>
      <c r="BU11" s="167"/>
      <c r="BV11" s="167"/>
      <c r="BW11" s="167"/>
      <c r="BX11" s="167"/>
      <c r="BY11" s="167"/>
      <c r="BZ11" s="167"/>
      <c r="CA11" s="167"/>
      <c r="CB11" s="167"/>
      <c r="CC11" s="167"/>
      <c r="CD11" s="167"/>
      <c r="CE11" s="167"/>
      <c r="CF11" s="167"/>
      <c r="CG11" s="167"/>
      <c r="CH11" s="167"/>
      <c r="CI11" s="167"/>
      <c r="CJ11" s="167"/>
      <c r="CK11" s="167"/>
      <c r="CL11" s="167"/>
      <c r="CM11" s="167"/>
      <c r="CN11" s="167"/>
      <c r="CO11" s="167"/>
      <c r="CP11" s="167"/>
      <c r="CQ11" s="167"/>
      <c r="CR11" s="167"/>
      <c r="CS11" s="167"/>
      <c r="CT11" s="167"/>
      <c r="CU11" s="167"/>
      <c r="CV11" s="167"/>
      <c r="CW11" s="167"/>
      <c r="CX11" s="167"/>
      <c r="CY11" s="167"/>
      <c r="CZ11" s="167"/>
      <c r="DA11" s="167"/>
      <c r="DB11" s="167"/>
      <c r="DC11" s="167"/>
      <c r="DD11" s="167"/>
      <c r="DE11" s="167"/>
      <c r="DF11" s="167"/>
      <c r="DG11" s="167"/>
      <c r="DH11" s="167"/>
      <c r="DI11" s="167"/>
      <c r="DJ11" s="167"/>
      <c r="DK11" s="167"/>
      <c r="DL11" s="167"/>
      <c r="DM11" s="167"/>
      <c r="DN11" s="167"/>
      <c r="DO11" s="167"/>
      <c r="DP11" s="167"/>
      <c r="DQ11" s="167"/>
      <c r="DR11" s="167"/>
      <c r="DS11" s="167"/>
      <c r="DT11" s="167"/>
      <c r="DU11" s="167"/>
      <c r="DV11" s="167"/>
      <c r="DW11" s="167"/>
      <c r="DX11" s="167"/>
      <c r="DY11" s="167"/>
      <c r="DZ11" s="167"/>
      <c r="EA11" s="167"/>
      <c r="EB11" s="167"/>
      <c r="EC11" s="167"/>
      <c r="ED11" s="167"/>
      <c r="EE11" s="167"/>
      <c r="EF11" s="167"/>
      <c r="EG11" s="167"/>
      <c r="EH11" s="167"/>
      <c r="EI11" s="167"/>
      <c r="EJ11" s="167"/>
      <c r="EK11" s="167"/>
      <c r="EL11" s="167"/>
      <c r="EM11" s="167"/>
      <c r="EN11" s="167"/>
      <c r="EO11" s="167"/>
      <c r="EP11" s="167"/>
      <c r="EQ11" s="167"/>
      <c r="ER11" s="167"/>
      <c r="ES11" s="167"/>
      <c r="ET11" s="167"/>
      <c r="EU11" s="167"/>
      <c r="EV11" s="167"/>
      <c r="EW11" s="167"/>
      <c r="EX11" s="167"/>
      <c r="EY11" s="167"/>
      <c r="EZ11" s="167"/>
      <c r="FA11" s="167"/>
      <c r="FB11" s="167"/>
      <c r="FC11" s="167"/>
      <c r="FD11" s="167"/>
      <c r="FE11" s="62"/>
      <c r="FF11" s="62"/>
      <c r="FG11" s="62"/>
      <c r="FH11" s="62"/>
      <c r="FI11" s="62"/>
      <c r="FJ11" s="62"/>
      <c r="FK11" s="62"/>
      <c r="FL11" s="62"/>
    </row>
    <row r="12" spans="1:168">
      <c r="A12" s="62"/>
      <c r="B12" s="62"/>
      <c r="C12" s="62"/>
      <c r="D12" s="62"/>
      <c r="E12" s="64"/>
      <c r="F12" s="64"/>
      <c r="G12" s="64"/>
      <c r="H12" s="64"/>
      <c r="I12" s="62"/>
      <c r="J12" s="62"/>
      <c r="K12" s="62"/>
      <c r="L12" s="62"/>
      <c r="M12" s="62"/>
      <c r="N12" s="62"/>
      <c r="O12" s="62"/>
      <c r="P12" s="62"/>
      <c r="Q12" s="167"/>
      <c r="R12" s="167"/>
      <c r="S12" s="167"/>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7"/>
      <c r="AV12" s="167"/>
      <c r="AW12" s="167"/>
      <c r="AX12" s="167"/>
      <c r="AY12" s="167"/>
      <c r="AZ12" s="167"/>
      <c r="BA12" s="167"/>
      <c r="BB12" s="167"/>
      <c r="BC12" s="167"/>
      <c r="BD12" s="167"/>
      <c r="BE12" s="167"/>
      <c r="BF12" s="167"/>
      <c r="BG12" s="167"/>
      <c r="BH12" s="167"/>
      <c r="BI12" s="167"/>
      <c r="BJ12" s="167"/>
      <c r="BK12" s="167"/>
      <c r="BL12" s="167"/>
      <c r="BM12" s="167"/>
      <c r="BN12" s="167"/>
      <c r="BO12" s="167"/>
      <c r="BP12" s="167"/>
      <c r="BQ12" s="167"/>
      <c r="BR12" s="167"/>
      <c r="BS12" s="167"/>
      <c r="BT12" s="167"/>
      <c r="BU12" s="167"/>
      <c r="BV12" s="167"/>
      <c r="BW12" s="167"/>
      <c r="BX12" s="167"/>
      <c r="BY12" s="167"/>
      <c r="BZ12" s="167"/>
      <c r="CA12" s="167"/>
      <c r="CB12" s="167"/>
      <c r="CC12" s="167"/>
      <c r="CD12" s="167"/>
      <c r="CE12" s="167"/>
      <c r="CF12" s="167"/>
      <c r="CG12" s="167"/>
      <c r="CH12" s="167"/>
      <c r="CI12" s="167"/>
      <c r="CJ12" s="167"/>
      <c r="CK12" s="167"/>
      <c r="CL12" s="167"/>
      <c r="CM12" s="167"/>
      <c r="CN12" s="167"/>
      <c r="CO12" s="167"/>
      <c r="CP12" s="167"/>
      <c r="CQ12" s="167"/>
      <c r="CR12" s="167"/>
      <c r="CS12" s="167"/>
      <c r="CT12" s="167"/>
      <c r="CU12" s="167"/>
      <c r="CV12" s="167"/>
      <c r="CW12" s="167"/>
      <c r="CX12" s="167"/>
      <c r="CY12" s="167"/>
      <c r="CZ12" s="167"/>
      <c r="DA12" s="167"/>
      <c r="DB12" s="167"/>
      <c r="DC12" s="167"/>
      <c r="DD12" s="167"/>
      <c r="DE12" s="167"/>
      <c r="DF12" s="167"/>
      <c r="DG12" s="167"/>
      <c r="DH12" s="167"/>
      <c r="DI12" s="167"/>
      <c r="DJ12" s="167"/>
      <c r="DK12" s="167"/>
      <c r="DL12" s="167"/>
      <c r="DM12" s="167"/>
      <c r="DN12" s="167"/>
      <c r="DO12" s="167"/>
      <c r="DP12" s="167"/>
      <c r="DQ12" s="167"/>
      <c r="DR12" s="167"/>
      <c r="DS12" s="167"/>
      <c r="DT12" s="167"/>
      <c r="DU12" s="167"/>
      <c r="DV12" s="167"/>
      <c r="DW12" s="167"/>
      <c r="DX12" s="167"/>
      <c r="DY12" s="167"/>
      <c r="DZ12" s="167"/>
      <c r="EA12" s="167"/>
      <c r="EB12" s="167"/>
      <c r="EC12" s="167"/>
      <c r="ED12" s="167"/>
      <c r="EE12" s="167"/>
      <c r="EF12" s="167"/>
      <c r="EG12" s="167"/>
      <c r="EH12" s="167"/>
      <c r="EI12" s="167"/>
      <c r="EJ12" s="167"/>
      <c r="EK12" s="167"/>
      <c r="EL12" s="167"/>
      <c r="EM12" s="167"/>
      <c r="EN12" s="167"/>
      <c r="EO12" s="167"/>
      <c r="EP12" s="167"/>
      <c r="EQ12" s="167"/>
      <c r="ER12" s="167"/>
      <c r="ES12" s="167"/>
      <c r="ET12" s="167"/>
      <c r="EU12" s="167"/>
      <c r="EV12" s="167"/>
      <c r="EW12" s="167"/>
      <c r="EX12" s="167"/>
      <c r="EY12" s="167"/>
      <c r="EZ12" s="167"/>
      <c r="FA12" s="167"/>
      <c r="FB12" s="167"/>
      <c r="FC12" s="167"/>
      <c r="FD12" s="167"/>
      <c r="FE12" s="62"/>
      <c r="FF12" s="62"/>
      <c r="FG12" s="62"/>
      <c r="FH12" s="62"/>
      <c r="FI12" s="62"/>
      <c r="FJ12" s="62"/>
      <c r="FK12" s="62"/>
      <c r="FL12" s="62"/>
    </row>
    <row r="25" spans="3:112" s="92" customFormat="1" ht="12" customHeight="1"/>
    <row r="26" spans="3:112" s="92" customFormat="1" ht="12" customHeight="1"/>
    <row r="27" spans="3:112" s="92" customFormat="1" ht="12.75" thickBot="1"/>
    <row r="28" spans="3:112" s="92" customFormat="1" ht="12" customHeight="1">
      <c r="C28" s="65"/>
      <c r="AG28" s="168" t="s">
        <v>64</v>
      </c>
      <c r="AH28" s="169"/>
      <c r="AI28" s="169"/>
      <c r="AJ28" s="169"/>
      <c r="AK28" s="169"/>
      <c r="AL28" s="169"/>
      <c r="AM28" s="169"/>
      <c r="AN28" s="169"/>
      <c r="AO28" s="169"/>
      <c r="AP28" s="169"/>
      <c r="AQ28" s="169"/>
      <c r="AR28" s="169"/>
      <c r="AS28" s="169"/>
      <c r="AT28" s="169"/>
      <c r="AU28" s="169"/>
      <c r="AV28" s="169"/>
      <c r="AW28" s="169"/>
      <c r="AX28" s="169"/>
      <c r="AY28" s="169"/>
      <c r="AZ28" s="169"/>
      <c r="BA28" s="169"/>
      <c r="BB28" s="169"/>
      <c r="BC28" s="170"/>
      <c r="BD28" s="174" t="s">
        <v>65</v>
      </c>
      <c r="BE28" s="169"/>
      <c r="BF28" s="169"/>
      <c r="BG28" s="169"/>
      <c r="BH28" s="169"/>
      <c r="BI28" s="169"/>
      <c r="BJ28" s="169"/>
      <c r="BK28" s="169"/>
      <c r="BL28" s="169"/>
      <c r="BM28" s="169"/>
      <c r="BN28" s="169"/>
      <c r="BO28" s="169"/>
      <c r="BP28" s="169"/>
      <c r="BQ28" s="169"/>
      <c r="BR28" s="169"/>
      <c r="BS28" s="169"/>
      <c r="BT28" s="169"/>
      <c r="BU28" s="169"/>
      <c r="BV28" s="169"/>
      <c r="BW28" s="169"/>
      <c r="BX28" s="169"/>
      <c r="BY28" s="169"/>
      <c r="BZ28" s="170"/>
      <c r="CA28" s="174" t="s">
        <v>66</v>
      </c>
      <c r="CB28" s="169"/>
      <c r="CC28" s="169"/>
      <c r="CD28" s="169"/>
      <c r="CE28" s="169"/>
      <c r="CF28" s="169"/>
      <c r="CG28" s="169"/>
      <c r="CH28" s="169"/>
      <c r="CI28" s="169"/>
      <c r="CJ28" s="169"/>
      <c r="CK28" s="169"/>
      <c r="CL28" s="169"/>
      <c r="CM28" s="169"/>
      <c r="CN28" s="169"/>
      <c r="CO28" s="169"/>
      <c r="CP28" s="169"/>
      <c r="CQ28" s="169"/>
      <c r="CR28" s="169"/>
      <c r="CS28" s="169"/>
      <c r="CT28" s="169"/>
      <c r="CU28" s="169"/>
      <c r="CV28" s="169"/>
      <c r="CW28" s="176"/>
      <c r="CX28" s="65"/>
      <c r="CY28" s="65"/>
      <c r="CZ28" s="65"/>
      <c r="DA28" s="65"/>
      <c r="DB28" s="65"/>
      <c r="DC28" s="65"/>
      <c r="DD28" s="65"/>
      <c r="DE28" s="65"/>
      <c r="DF28" s="65"/>
      <c r="DG28" s="65"/>
      <c r="DH28" s="65"/>
    </row>
    <row r="29" spans="3:112" s="92" customFormat="1" ht="12.75" customHeight="1" thickBot="1">
      <c r="C29" s="66"/>
      <c r="AG29" s="171"/>
      <c r="AH29" s="172"/>
      <c r="AI29" s="172"/>
      <c r="AJ29" s="172"/>
      <c r="AK29" s="172"/>
      <c r="AL29" s="172"/>
      <c r="AM29" s="172"/>
      <c r="AN29" s="172"/>
      <c r="AO29" s="172"/>
      <c r="AP29" s="172"/>
      <c r="AQ29" s="172"/>
      <c r="AR29" s="172"/>
      <c r="AS29" s="172"/>
      <c r="AT29" s="172"/>
      <c r="AU29" s="172"/>
      <c r="AV29" s="172"/>
      <c r="AW29" s="172"/>
      <c r="AX29" s="172"/>
      <c r="AY29" s="172"/>
      <c r="AZ29" s="172"/>
      <c r="BA29" s="172"/>
      <c r="BB29" s="172"/>
      <c r="BC29" s="173"/>
      <c r="BD29" s="175"/>
      <c r="BE29" s="172"/>
      <c r="BF29" s="172"/>
      <c r="BG29" s="172"/>
      <c r="BH29" s="172"/>
      <c r="BI29" s="172"/>
      <c r="BJ29" s="172"/>
      <c r="BK29" s="172"/>
      <c r="BL29" s="172"/>
      <c r="BM29" s="172"/>
      <c r="BN29" s="172"/>
      <c r="BO29" s="172"/>
      <c r="BP29" s="172"/>
      <c r="BQ29" s="172"/>
      <c r="BR29" s="172"/>
      <c r="BS29" s="172"/>
      <c r="BT29" s="172"/>
      <c r="BU29" s="172"/>
      <c r="BV29" s="172"/>
      <c r="BW29" s="172"/>
      <c r="BX29" s="172"/>
      <c r="BY29" s="172"/>
      <c r="BZ29" s="173"/>
      <c r="CA29" s="175"/>
      <c r="CB29" s="172"/>
      <c r="CC29" s="172"/>
      <c r="CD29" s="172"/>
      <c r="CE29" s="172"/>
      <c r="CF29" s="172"/>
      <c r="CG29" s="172"/>
      <c r="CH29" s="172"/>
      <c r="CI29" s="172"/>
      <c r="CJ29" s="172"/>
      <c r="CK29" s="172"/>
      <c r="CL29" s="172"/>
      <c r="CM29" s="172"/>
      <c r="CN29" s="172"/>
      <c r="CO29" s="172"/>
      <c r="CP29" s="172"/>
      <c r="CQ29" s="172"/>
      <c r="CR29" s="172"/>
      <c r="CS29" s="172"/>
      <c r="CT29" s="172"/>
      <c r="CU29" s="172"/>
      <c r="CV29" s="172"/>
      <c r="CW29" s="177"/>
      <c r="CX29" s="66"/>
      <c r="CY29" s="66"/>
      <c r="CZ29" s="65"/>
      <c r="DA29" s="65"/>
      <c r="DB29" s="65"/>
      <c r="DC29" s="65"/>
      <c r="DD29" s="65"/>
      <c r="DE29" s="65"/>
      <c r="DF29" s="65"/>
      <c r="DG29" s="65"/>
      <c r="DH29" s="65"/>
    </row>
    <row r="30" spans="3:112" s="92" customFormat="1" ht="12.75" customHeight="1" thickTop="1">
      <c r="C30" s="66"/>
      <c r="AG30" s="150" t="s">
        <v>287</v>
      </c>
      <c r="AH30" s="151"/>
      <c r="AI30" s="151"/>
      <c r="AJ30" s="151"/>
      <c r="AK30" s="151"/>
      <c r="AL30" s="151"/>
      <c r="AM30" s="151"/>
      <c r="AN30" s="151"/>
      <c r="AO30" s="151"/>
      <c r="AP30" s="151"/>
      <c r="AQ30" s="151"/>
      <c r="AR30" s="151"/>
      <c r="AS30" s="151"/>
      <c r="AT30" s="151"/>
      <c r="AU30" s="151"/>
      <c r="AV30" s="151"/>
      <c r="AW30" s="151"/>
      <c r="AX30" s="151"/>
      <c r="AY30" s="151"/>
      <c r="AZ30" s="151"/>
      <c r="BA30" s="151"/>
      <c r="BB30" s="151"/>
      <c r="BC30" s="152"/>
      <c r="BD30" s="159" t="s">
        <v>286</v>
      </c>
      <c r="BE30" s="151"/>
      <c r="BF30" s="151"/>
      <c r="BG30" s="151"/>
      <c r="BH30" s="151"/>
      <c r="BI30" s="151"/>
      <c r="BJ30" s="151"/>
      <c r="BK30" s="151"/>
      <c r="BL30" s="151"/>
      <c r="BM30" s="151"/>
      <c r="BN30" s="151"/>
      <c r="BO30" s="151"/>
      <c r="BP30" s="151"/>
      <c r="BQ30" s="151"/>
      <c r="BR30" s="151"/>
      <c r="BS30" s="151"/>
      <c r="BT30" s="151"/>
      <c r="BU30" s="151"/>
      <c r="BV30" s="151"/>
      <c r="BW30" s="151"/>
      <c r="BX30" s="151"/>
      <c r="BY30" s="151"/>
      <c r="BZ30" s="152"/>
      <c r="CA30" s="159" t="s">
        <v>285</v>
      </c>
      <c r="CB30" s="151"/>
      <c r="CC30" s="151"/>
      <c r="CD30" s="151"/>
      <c r="CE30" s="151"/>
      <c r="CF30" s="151"/>
      <c r="CG30" s="151"/>
      <c r="CH30" s="151"/>
      <c r="CI30" s="151"/>
      <c r="CJ30" s="151"/>
      <c r="CK30" s="151"/>
      <c r="CL30" s="151"/>
      <c r="CM30" s="151"/>
      <c r="CN30" s="151"/>
      <c r="CO30" s="151"/>
      <c r="CP30" s="151"/>
      <c r="CQ30" s="151"/>
      <c r="CR30" s="151"/>
      <c r="CS30" s="151"/>
      <c r="CT30" s="151"/>
      <c r="CU30" s="151"/>
      <c r="CV30" s="151"/>
      <c r="CW30" s="161"/>
      <c r="CX30" s="66"/>
      <c r="CY30" s="66"/>
      <c r="CZ30" s="65"/>
      <c r="DA30" s="65"/>
      <c r="DB30" s="65"/>
      <c r="DC30" s="65"/>
      <c r="DD30" s="65"/>
      <c r="DE30" s="65"/>
      <c r="DF30" s="65"/>
      <c r="DG30" s="65"/>
      <c r="DH30" s="65"/>
    </row>
    <row r="31" spans="3:112" s="92" customFormat="1" ht="12" customHeight="1">
      <c r="C31" s="65"/>
      <c r="AG31" s="153"/>
      <c r="AH31" s="154"/>
      <c r="AI31" s="154"/>
      <c r="AJ31" s="154"/>
      <c r="AK31" s="154"/>
      <c r="AL31" s="154"/>
      <c r="AM31" s="154"/>
      <c r="AN31" s="154"/>
      <c r="AO31" s="154"/>
      <c r="AP31" s="154"/>
      <c r="AQ31" s="154"/>
      <c r="AR31" s="154"/>
      <c r="AS31" s="154"/>
      <c r="AT31" s="154"/>
      <c r="AU31" s="154"/>
      <c r="AV31" s="154"/>
      <c r="AW31" s="154"/>
      <c r="AX31" s="154"/>
      <c r="AY31" s="154"/>
      <c r="AZ31" s="154"/>
      <c r="BA31" s="154"/>
      <c r="BB31" s="154"/>
      <c r="BC31" s="155"/>
      <c r="BD31" s="160"/>
      <c r="BE31" s="154"/>
      <c r="BF31" s="154"/>
      <c r="BG31" s="154"/>
      <c r="BH31" s="154"/>
      <c r="BI31" s="154"/>
      <c r="BJ31" s="154"/>
      <c r="BK31" s="154"/>
      <c r="BL31" s="154"/>
      <c r="BM31" s="154"/>
      <c r="BN31" s="154"/>
      <c r="BO31" s="154"/>
      <c r="BP31" s="154"/>
      <c r="BQ31" s="154"/>
      <c r="BR31" s="154"/>
      <c r="BS31" s="154"/>
      <c r="BT31" s="154"/>
      <c r="BU31" s="154"/>
      <c r="BV31" s="154"/>
      <c r="BW31" s="154"/>
      <c r="BX31" s="154"/>
      <c r="BY31" s="154"/>
      <c r="BZ31" s="155"/>
      <c r="CA31" s="160"/>
      <c r="CB31" s="154"/>
      <c r="CC31" s="154"/>
      <c r="CD31" s="154"/>
      <c r="CE31" s="154"/>
      <c r="CF31" s="154"/>
      <c r="CG31" s="154"/>
      <c r="CH31" s="154"/>
      <c r="CI31" s="154"/>
      <c r="CJ31" s="154"/>
      <c r="CK31" s="154"/>
      <c r="CL31" s="154"/>
      <c r="CM31" s="154"/>
      <c r="CN31" s="154"/>
      <c r="CO31" s="154"/>
      <c r="CP31" s="154"/>
      <c r="CQ31" s="154"/>
      <c r="CR31" s="154"/>
      <c r="CS31" s="154"/>
      <c r="CT31" s="154"/>
      <c r="CU31" s="154"/>
      <c r="CV31" s="154"/>
      <c r="CW31" s="162"/>
      <c r="CX31" s="65"/>
      <c r="CY31" s="65"/>
      <c r="CZ31" s="65"/>
      <c r="DA31" s="65"/>
      <c r="DB31" s="65"/>
      <c r="DC31" s="65"/>
      <c r="DD31" s="65"/>
      <c r="DE31" s="65"/>
      <c r="DF31" s="65"/>
      <c r="DG31" s="65"/>
      <c r="DH31" s="65"/>
    </row>
    <row r="32" spans="3:112" s="92" customFormat="1" ht="12" customHeight="1">
      <c r="C32" s="65"/>
      <c r="AG32" s="153"/>
      <c r="AH32" s="154"/>
      <c r="AI32" s="154"/>
      <c r="AJ32" s="154"/>
      <c r="AK32" s="154"/>
      <c r="AL32" s="154"/>
      <c r="AM32" s="154"/>
      <c r="AN32" s="154"/>
      <c r="AO32" s="154"/>
      <c r="AP32" s="154"/>
      <c r="AQ32" s="154"/>
      <c r="AR32" s="154"/>
      <c r="AS32" s="154"/>
      <c r="AT32" s="154"/>
      <c r="AU32" s="154"/>
      <c r="AV32" s="154"/>
      <c r="AW32" s="154"/>
      <c r="AX32" s="154"/>
      <c r="AY32" s="154"/>
      <c r="AZ32" s="154"/>
      <c r="BA32" s="154"/>
      <c r="BB32" s="154"/>
      <c r="BC32" s="155"/>
      <c r="BD32" s="160"/>
      <c r="BE32" s="154"/>
      <c r="BF32" s="154"/>
      <c r="BG32" s="154"/>
      <c r="BH32" s="154"/>
      <c r="BI32" s="154"/>
      <c r="BJ32" s="154"/>
      <c r="BK32" s="154"/>
      <c r="BL32" s="154"/>
      <c r="BM32" s="154"/>
      <c r="BN32" s="154"/>
      <c r="BO32" s="154"/>
      <c r="BP32" s="154"/>
      <c r="BQ32" s="154"/>
      <c r="BR32" s="154"/>
      <c r="BS32" s="154"/>
      <c r="BT32" s="154"/>
      <c r="BU32" s="154"/>
      <c r="BV32" s="154"/>
      <c r="BW32" s="154"/>
      <c r="BX32" s="154"/>
      <c r="BY32" s="154"/>
      <c r="BZ32" s="155"/>
      <c r="CA32" s="160"/>
      <c r="CB32" s="154"/>
      <c r="CC32" s="154"/>
      <c r="CD32" s="154"/>
      <c r="CE32" s="154"/>
      <c r="CF32" s="154"/>
      <c r="CG32" s="154"/>
      <c r="CH32" s="154"/>
      <c r="CI32" s="154"/>
      <c r="CJ32" s="154"/>
      <c r="CK32" s="154"/>
      <c r="CL32" s="154"/>
      <c r="CM32" s="154"/>
      <c r="CN32" s="154"/>
      <c r="CO32" s="154"/>
      <c r="CP32" s="154"/>
      <c r="CQ32" s="154"/>
      <c r="CR32" s="154"/>
      <c r="CS32" s="154"/>
      <c r="CT32" s="154"/>
      <c r="CU32" s="154"/>
      <c r="CV32" s="154"/>
      <c r="CW32" s="162"/>
      <c r="CX32" s="65"/>
      <c r="CY32" s="65"/>
      <c r="CZ32" s="65"/>
      <c r="DA32" s="65"/>
      <c r="DB32" s="65"/>
      <c r="DC32" s="65"/>
      <c r="DD32" s="65"/>
      <c r="DE32" s="65"/>
      <c r="DF32" s="65"/>
      <c r="DG32" s="65"/>
      <c r="DH32" s="65"/>
    </row>
    <row r="33" spans="3:164" s="92" customFormat="1" ht="12" customHeight="1" thickBot="1">
      <c r="C33" s="65"/>
      <c r="AG33" s="178">
        <v>42955</v>
      </c>
      <c r="AH33" s="146"/>
      <c r="AI33" s="146"/>
      <c r="AJ33" s="146"/>
      <c r="AK33" s="146"/>
      <c r="AL33" s="146"/>
      <c r="AM33" s="146"/>
      <c r="AN33" s="146"/>
      <c r="AO33" s="146"/>
      <c r="AP33" s="146"/>
      <c r="AQ33" s="146"/>
      <c r="AR33" s="146"/>
      <c r="AS33" s="146"/>
      <c r="AT33" s="146"/>
      <c r="AU33" s="146"/>
      <c r="AV33" s="146"/>
      <c r="AW33" s="146"/>
      <c r="AX33" s="146"/>
      <c r="AY33" s="146"/>
      <c r="AZ33" s="146"/>
      <c r="BA33" s="146"/>
      <c r="BB33" s="146"/>
      <c r="BC33" s="146"/>
      <c r="BD33" s="146">
        <v>42955</v>
      </c>
      <c r="BE33" s="146"/>
      <c r="BF33" s="146"/>
      <c r="BG33" s="146"/>
      <c r="BH33" s="146"/>
      <c r="BI33" s="146"/>
      <c r="BJ33" s="146"/>
      <c r="BK33" s="146"/>
      <c r="BL33" s="146"/>
      <c r="BM33" s="146"/>
      <c r="BN33" s="146"/>
      <c r="BO33" s="146"/>
      <c r="BP33" s="146"/>
      <c r="BQ33" s="146"/>
      <c r="BR33" s="146"/>
      <c r="BS33" s="146"/>
      <c r="BT33" s="146"/>
      <c r="BU33" s="146"/>
      <c r="BV33" s="146"/>
      <c r="BW33" s="146"/>
      <c r="BX33" s="146"/>
      <c r="BY33" s="146"/>
      <c r="BZ33" s="146"/>
      <c r="CA33" s="146">
        <v>42955</v>
      </c>
      <c r="CB33" s="148"/>
      <c r="CC33" s="148"/>
      <c r="CD33" s="148"/>
      <c r="CE33" s="148"/>
      <c r="CF33" s="148"/>
      <c r="CG33" s="148"/>
      <c r="CH33" s="148"/>
      <c r="CI33" s="148"/>
      <c r="CJ33" s="148"/>
      <c r="CK33" s="148"/>
      <c r="CL33" s="148"/>
      <c r="CM33" s="148"/>
      <c r="CN33" s="148"/>
      <c r="CO33" s="148"/>
      <c r="CP33" s="148"/>
      <c r="CQ33" s="148"/>
      <c r="CR33" s="148"/>
      <c r="CS33" s="148"/>
      <c r="CT33" s="148"/>
      <c r="CU33" s="148"/>
      <c r="CV33" s="148"/>
      <c r="CW33" s="149"/>
      <c r="CX33" s="65"/>
      <c r="CY33" s="65"/>
      <c r="CZ33" s="65"/>
      <c r="DA33" s="65"/>
      <c r="DB33" s="65"/>
      <c r="DC33" s="65"/>
      <c r="DD33" s="65"/>
      <c r="DE33" s="65"/>
      <c r="DF33" s="65"/>
      <c r="DG33" s="65"/>
      <c r="DH33" s="65"/>
    </row>
    <row r="34" spans="3:164" s="92" customFormat="1" ht="12" customHeight="1" thickBot="1">
      <c r="C34" s="65"/>
      <c r="CX34" s="65"/>
      <c r="CY34" s="65"/>
      <c r="CZ34" s="65"/>
      <c r="DA34" s="65"/>
      <c r="DB34" s="65"/>
      <c r="DC34" s="65"/>
      <c r="DD34" s="65"/>
      <c r="DE34" s="65"/>
      <c r="DF34" s="65"/>
      <c r="DG34" s="65"/>
      <c r="DH34" s="65"/>
    </row>
    <row r="35" spans="3:164" s="92" customFormat="1" ht="12" customHeight="1">
      <c r="C35" s="65"/>
      <c r="J35" s="168" t="s">
        <v>74</v>
      </c>
      <c r="K35" s="169"/>
      <c r="L35" s="169"/>
      <c r="M35" s="169"/>
      <c r="N35" s="169"/>
      <c r="O35" s="169"/>
      <c r="P35" s="169"/>
      <c r="Q35" s="169"/>
      <c r="R35" s="169"/>
      <c r="S35" s="169"/>
      <c r="T35" s="169"/>
      <c r="U35" s="169"/>
      <c r="V35" s="169"/>
      <c r="W35" s="169"/>
      <c r="X35" s="169"/>
      <c r="Y35" s="169"/>
      <c r="Z35" s="169"/>
      <c r="AA35" s="169"/>
      <c r="AB35" s="169"/>
      <c r="AC35" s="169"/>
      <c r="AD35" s="169"/>
      <c r="AE35" s="169"/>
      <c r="AF35" s="170"/>
      <c r="AG35" s="174" t="s">
        <v>75</v>
      </c>
      <c r="AH35" s="169"/>
      <c r="AI35" s="169"/>
      <c r="AJ35" s="169"/>
      <c r="AK35" s="169"/>
      <c r="AL35" s="169"/>
      <c r="AM35" s="169"/>
      <c r="AN35" s="169"/>
      <c r="AO35" s="169"/>
      <c r="AP35" s="169"/>
      <c r="AQ35" s="169"/>
      <c r="AR35" s="169"/>
      <c r="AS35" s="169"/>
      <c r="AT35" s="169"/>
      <c r="AU35" s="169"/>
      <c r="AV35" s="169"/>
      <c r="AW35" s="169"/>
      <c r="AX35" s="169"/>
      <c r="AY35" s="169"/>
      <c r="AZ35" s="169"/>
      <c r="BA35" s="169"/>
      <c r="BB35" s="169"/>
      <c r="BC35" s="170"/>
      <c r="BD35" s="174" t="s">
        <v>76</v>
      </c>
      <c r="BE35" s="169"/>
      <c r="BF35" s="169"/>
      <c r="BG35" s="169"/>
      <c r="BH35" s="169"/>
      <c r="BI35" s="169"/>
      <c r="BJ35" s="169"/>
      <c r="BK35" s="169"/>
      <c r="BL35" s="169"/>
      <c r="BM35" s="169"/>
      <c r="BN35" s="169"/>
      <c r="BO35" s="169"/>
      <c r="BP35" s="169"/>
      <c r="BQ35" s="169"/>
      <c r="BR35" s="169"/>
      <c r="BS35" s="169"/>
      <c r="BT35" s="169"/>
      <c r="BU35" s="169"/>
      <c r="BV35" s="169"/>
      <c r="BW35" s="169"/>
      <c r="BX35" s="169"/>
      <c r="BY35" s="169"/>
      <c r="BZ35" s="170"/>
      <c r="CA35" s="174" t="s">
        <v>77</v>
      </c>
      <c r="CB35" s="169"/>
      <c r="CC35" s="169"/>
      <c r="CD35" s="169"/>
      <c r="CE35" s="169"/>
      <c r="CF35" s="169"/>
      <c r="CG35" s="169"/>
      <c r="CH35" s="169"/>
      <c r="CI35" s="169"/>
      <c r="CJ35" s="169"/>
      <c r="CK35" s="169"/>
      <c r="CL35" s="169"/>
      <c r="CM35" s="169"/>
      <c r="CN35" s="169"/>
      <c r="CO35" s="169"/>
      <c r="CP35" s="169"/>
      <c r="CQ35" s="169"/>
      <c r="CR35" s="169"/>
      <c r="CS35" s="169"/>
      <c r="CT35" s="169"/>
      <c r="CU35" s="169"/>
      <c r="CV35" s="169"/>
      <c r="CW35" s="176"/>
      <c r="CX35" s="65"/>
      <c r="CY35" s="65"/>
      <c r="CZ35" s="65"/>
      <c r="DA35" s="65"/>
      <c r="DB35" s="65"/>
      <c r="DC35" s="65"/>
      <c r="DD35" s="65"/>
      <c r="DE35" s="65"/>
      <c r="DF35" s="65"/>
      <c r="DG35" s="65"/>
      <c r="DH35" s="65"/>
    </row>
    <row r="36" spans="3:164" s="92" customFormat="1" ht="12" customHeight="1" thickBot="1">
      <c r="C36" s="65"/>
      <c r="J36" s="171"/>
      <c r="K36" s="172"/>
      <c r="L36" s="172"/>
      <c r="M36" s="172"/>
      <c r="N36" s="172"/>
      <c r="O36" s="172"/>
      <c r="P36" s="172"/>
      <c r="Q36" s="172"/>
      <c r="R36" s="172"/>
      <c r="S36" s="172"/>
      <c r="T36" s="172"/>
      <c r="U36" s="172"/>
      <c r="V36" s="172"/>
      <c r="W36" s="172"/>
      <c r="X36" s="172"/>
      <c r="Y36" s="172"/>
      <c r="Z36" s="172"/>
      <c r="AA36" s="172"/>
      <c r="AB36" s="172"/>
      <c r="AC36" s="172"/>
      <c r="AD36" s="172"/>
      <c r="AE36" s="172"/>
      <c r="AF36" s="173"/>
      <c r="AG36" s="175"/>
      <c r="AH36" s="172"/>
      <c r="AI36" s="172"/>
      <c r="AJ36" s="172"/>
      <c r="AK36" s="172"/>
      <c r="AL36" s="172"/>
      <c r="AM36" s="172"/>
      <c r="AN36" s="172"/>
      <c r="AO36" s="172"/>
      <c r="AP36" s="172"/>
      <c r="AQ36" s="172"/>
      <c r="AR36" s="172"/>
      <c r="AS36" s="172"/>
      <c r="AT36" s="172"/>
      <c r="AU36" s="172"/>
      <c r="AV36" s="172"/>
      <c r="AW36" s="172"/>
      <c r="AX36" s="172"/>
      <c r="AY36" s="172"/>
      <c r="AZ36" s="172"/>
      <c r="BA36" s="172"/>
      <c r="BB36" s="172"/>
      <c r="BC36" s="173"/>
      <c r="BD36" s="175"/>
      <c r="BE36" s="172"/>
      <c r="BF36" s="172"/>
      <c r="BG36" s="172"/>
      <c r="BH36" s="172"/>
      <c r="BI36" s="172"/>
      <c r="BJ36" s="172"/>
      <c r="BK36" s="172"/>
      <c r="BL36" s="172"/>
      <c r="BM36" s="172"/>
      <c r="BN36" s="172"/>
      <c r="BO36" s="172"/>
      <c r="BP36" s="172"/>
      <c r="BQ36" s="172"/>
      <c r="BR36" s="172"/>
      <c r="BS36" s="172"/>
      <c r="BT36" s="172"/>
      <c r="BU36" s="172"/>
      <c r="BV36" s="172"/>
      <c r="BW36" s="172"/>
      <c r="BX36" s="172"/>
      <c r="BY36" s="172"/>
      <c r="BZ36" s="173"/>
      <c r="CA36" s="175"/>
      <c r="CB36" s="172"/>
      <c r="CC36" s="172"/>
      <c r="CD36" s="172"/>
      <c r="CE36" s="172"/>
      <c r="CF36" s="172"/>
      <c r="CG36" s="172"/>
      <c r="CH36" s="172"/>
      <c r="CI36" s="172"/>
      <c r="CJ36" s="172"/>
      <c r="CK36" s="172"/>
      <c r="CL36" s="172"/>
      <c r="CM36" s="172"/>
      <c r="CN36" s="172"/>
      <c r="CO36" s="172"/>
      <c r="CP36" s="172"/>
      <c r="CQ36" s="172"/>
      <c r="CR36" s="172"/>
      <c r="CS36" s="172"/>
      <c r="CT36" s="172"/>
      <c r="CU36" s="172"/>
      <c r="CV36" s="172"/>
      <c r="CW36" s="177"/>
      <c r="CX36" s="65"/>
      <c r="CY36" s="65"/>
      <c r="CZ36" s="65"/>
      <c r="DA36" s="65"/>
      <c r="DB36" s="65"/>
      <c r="DC36" s="65"/>
      <c r="DD36" s="65"/>
      <c r="DE36" s="65"/>
      <c r="DF36" s="65"/>
      <c r="DG36" s="65"/>
      <c r="DH36" s="65"/>
    </row>
    <row r="37" spans="3:164" s="92" customFormat="1" ht="12" customHeight="1" thickTop="1">
      <c r="C37" s="65"/>
      <c r="J37" s="150"/>
      <c r="K37" s="151"/>
      <c r="L37" s="151"/>
      <c r="M37" s="151"/>
      <c r="N37" s="151"/>
      <c r="O37" s="151"/>
      <c r="P37" s="151"/>
      <c r="Q37" s="151"/>
      <c r="R37" s="151"/>
      <c r="S37" s="151"/>
      <c r="T37" s="151"/>
      <c r="U37" s="151"/>
      <c r="V37" s="151"/>
      <c r="W37" s="151"/>
      <c r="X37" s="151"/>
      <c r="Y37" s="151"/>
      <c r="Z37" s="151"/>
      <c r="AA37" s="151"/>
      <c r="AB37" s="151"/>
      <c r="AC37" s="151"/>
      <c r="AD37" s="151"/>
      <c r="AE37" s="151"/>
      <c r="AF37" s="152"/>
      <c r="AG37" s="159"/>
      <c r="AH37" s="151"/>
      <c r="AI37" s="151"/>
      <c r="AJ37" s="151"/>
      <c r="AK37" s="151"/>
      <c r="AL37" s="151"/>
      <c r="AM37" s="151"/>
      <c r="AN37" s="151"/>
      <c r="AO37" s="151"/>
      <c r="AP37" s="151"/>
      <c r="AQ37" s="151"/>
      <c r="AR37" s="151"/>
      <c r="AS37" s="151"/>
      <c r="AT37" s="151"/>
      <c r="AU37" s="151"/>
      <c r="AV37" s="151"/>
      <c r="AW37" s="151"/>
      <c r="AX37" s="151"/>
      <c r="AY37" s="151"/>
      <c r="AZ37" s="151"/>
      <c r="BA37" s="151"/>
      <c r="BB37" s="151"/>
      <c r="BC37" s="152"/>
      <c r="BD37" s="159"/>
      <c r="BE37" s="151"/>
      <c r="BF37" s="151"/>
      <c r="BG37" s="151"/>
      <c r="BH37" s="151"/>
      <c r="BI37" s="151"/>
      <c r="BJ37" s="151"/>
      <c r="BK37" s="151"/>
      <c r="BL37" s="151"/>
      <c r="BM37" s="151"/>
      <c r="BN37" s="151"/>
      <c r="BO37" s="151"/>
      <c r="BP37" s="151"/>
      <c r="BQ37" s="151"/>
      <c r="BR37" s="151"/>
      <c r="BS37" s="151"/>
      <c r="BT37" s="151"/>
      <c r="BU37" s="151"/>
      <c r="BV37" s="151"/>
      <c r="BW37" s="151"/>
      <c r="BX37" s="151"/>
      <c r="BY37" s="151"/>
      <c r="BZ37" s="152"/>
      <c r="CA37" s="159"/>
      <c r="CB37" s="151"/>
      <c r="CC37" s="151"/>
      <c r="CD37" s="151"/>
      <c r="CE37" s="151"/>
      <c r="CF37" s="151"/>
      <c r="CG37" s="151"/>
      <c r="CH37" s="151"/>
      <c r="CI37" s="151"/>
      <c r="CJ37" s="151"/>
      <c r="CK37" s="151"/>
      <c r="CL37" s="151"/>
      <c r="CM37" s="151"/>
      <c r="CN37" s="151"/>
      <c r="CO37" s="151"/>
      <c r="CP37" s="151"/>
      <c r="CQ37" s="151"/>
      <c r="CR37" s="151"/>
      <c r="CS37" s="151"/>
      <c r="CT37" s="151"/>
      <c r="CU37" s="151"/>
      <c r="CV37" s="151"/>
      <c r="CW37" s="161"/>
      <c r="CX37" s="65"/>
      <c r="CY37" s="65"/>
      <c r="CZ37" s="65"/>
      <c r="DA37" s="65"/>
      <c r="DB37" s="65"/>
      <c r="DC37" s="65"/>
      <c r="DD37" s="65"/>
      <c r="DE37" s="65"/>
      <c r="DF37" s="65"/>
      <c r="DG37" s="65"/>
      <c r="DH37" s="65"/>
      <c r="DK37" s="141" t="s">
        <v>67</v>
      </c>
      <c r="DL37" s="141"/>
      <c r="DM37" s="141"/>
      <c r="DN37" s="141"/>
      <c r="DO37" s="141"/>
      <c r="DP37" s="141"/>
      <c r="DQ37" s="141"/>
      <c r="DR37" s="141"/>
      <c r="DS37" s="141"/>
      <c r="DT37" s="141"/>
      <c r="DU37" s="141"/>
      <c r="DV37" s="141"/>
      <c r="DW37" s="141"/>
      <c r="DX37" s="141"/>
      <c r="DY37" s="141"/>
      <c r="DZ37" s="141"/>
      <c r="EA37" s="141"/>
      <c r="EB37" s="141"/>
      <c r="EC37" s="141"/>
      <c r="ED37" s="141"/>
      <c r="EE37" s="141"/>
      <c r="EF37" s="141"/>
      <c r="EG37" s="141"/>
      <c r="EH37" s="141"/>
      <c r="EI37" s="141"/>
      <c r="EJ37" s="141"/>
      <c r="EK37" s="141"/>
      <c r="EL37" s="141"/>
      <c r="EM37" s="141"/>
      <c r="EN37" s="141"/>
      <c r="EO37" s="141"/>
      <c r="EP37" s="141"/>
      <c r="EQ37" s="141"/>
      <c r="ER37" s="141"/>
      <c r="ES37" s="141"/>
      <c r="ET37" s="141"/>
      <c r="EU37" s="141"/>
      <c r="EV37" s="141"/>
      <c r="EW37" s="141"/>
      <c r="EX37" s="141"/>
      <c r="EY37" s="141"/>
      <c r="EZ37" s="141"/>
      <c r="FA37" s="141"/>
      <c r="FB37" s="141"/>
      <c r="FC37" s="141"/>
      <c r="FD37" s="141"/>
      <c r="FE37" s="141"/>
      <c r="FF37" s="141"/>
      <c r="FG37" s="141"/>
      <c r="FH37" s="141"/>
    </row>
    <row r="38" spans="3:164" s="92" customFormat="1">
      <c r="C38" s="65"/>
      <c r="J38" s="153"/>
      <c r="K38" s="154"/>
      <c r="L38" s="154"/>
      <c r="M38" s="154"/>
      <c r="N38" s="154"/>
      <c r="O38" s="154"/>
      <c r="P38" s="154"/>
      <c r="Q38" s="154"/>
      <c r="R38" s="154"/>
      <c r="S38" s="154"/>
      <c r="T38" s="154"/>
      <c r="U38" s="154"/>
      <c r="V38" s="154"/>
      <c r="W38" s="154"/>
      <c r="X38" s="154"/>
      <c r="Y38" s="154"/>
      <c r="Z38" s="154"/>
      <c r="AA38" s="154"/>
      <c r="AB38" s="154"/>
      <c r="AC38" s="154"/>
      <c r="AD38" s="154"/>
      <c r="AE38" s="154"/>
      <c r="AF38" s="155"/>
      <c r="AG38" s="160"/>
      <c r="AH38" s="154"/>
      <c r="AI38" s="154"/>
      <c r="AJ38" s="154"/>
      <c r="AK38" s="154"/>
      <c r="AL38" s="154"/>
      <c r="AM38" s="154"/>
      <c r="AN38" s="154"/>
      <c r="AO38" s="154"/>
      <c r="AP38" s="154"/>
      <c r="AQ38" s="154"/>
      <c r="AR38" s="154"/>
      <c r="AS38" s="154"/>
      <c r="AT38" s="154"/>
      <c r="AU38" s="154"/>
      <c r="AV38" s="154"/>
      <c r="AW38" s="154"/>
      <c r="AX38" s="154"/>
      <c r="AY38" s="154"/>
      <c r="AZ38" s="154"/>
      <c r="BA38" s="154"/>
      <c r="BB38" s="154"/>
      <c r="BC38" s="155"/>
      <c r="BD38" s="160"/>
      <c r="BE38" s="154"/>
      <c r="BF38" s="154"/>
      <c r="BG38" s="154"/>
      <c r="BH38" s="154"/>
      <c r="BI38" s="154"/>
      <c r="BJ38" s="154"/>
      <c r="BK38" s="154"/>
      <c r="BL38" s="154"/>
      <c r="BM38" s="154"/>
      <c r="BN38" s="154"/>
      <c r="BO38" s="154"/>
      <c r="BP38" s="154"/>
      <c r="BQ38" s="154"/>
      <c r="BR38" s="154"/>
      <c r="BS38" s="154"/>
      <c r="BT38" s="154"/>
      <c r="BU38" s="154"/>
      <c r="BV38" s="154"/>
      <c r="BW38" s="154"/>
      <c r="BX38" s="154"/>
      <c r="BY38" s="154"/>
      <c r="BZ38" s="155"/>
      <c r="CA38" s="160"/>
      <c r="CB38" s="154"/>
      <c r="CC38" s="154"/>
      <c r="CD38" s="154"/>
      <c r="CE38" s="154"/>
      <c r="CF38" s="154"/>
      <c r="CG38" s="154"/>
      <c r="CH38" s="154"/>
      <c r="CI38" s="154"/>
      <c r="CJ38" s="154"/>
      <c r="CK38" s="154"/>
      <c r="CL38" s="154"/>
      <c r="CM38" s="154"/>
      <c r="CN38" s="154"/>
      <c r="CO38" s="154"/>
      <c r="CP38" s="154"/>
      <c r="CQ38" s="154"/>
      <c r="CR38" s="154"/>
      <c r="CS38" s="154"/>
      <c r="CT38" s="154"/>
      <c r="CU38" s="154"/>
      <c r="CV38" s="154"/>
      <c r="CW38" s="162"/>
      <c r="CX38" s="65"/>
      <c r="CY38" s="65"/>
      <c r="CZ38" s="65"/>
      <c r="DA38" s="65"/>
      <c r="DB38" s="65"/>
      <c r="DC38" s="65"/>
      <c r="DD38" s="65"/>
      <c r="DE38" s="65"/>
      <c r="DF38" s="65"/>
      <c r="DG38" s="65"/>
      <c r="DH38" s="65"/>
      <c r="DK38" s="141"/>
      <c r="DL38" s="141"/>
      <c r="DM38" s="141"/>
      <c r="DN38" s="141"/>
      <c r="DO38" s="141"/>
      <c r="DP38" s="141"/>
      <c r="DQ38" s="141"/>
      <c r="DR38" s="141"/>
      <c r="DS38" s="141"/>
      <c r="DT38" s="141"/>
      <c r="DU38" s="141"/>
      <c r="DV38" s="141"/>
      <c r="DW38" s="141"/>
      <c r="DX38" s="141"/>
      <c r="DY38" s="141"/>
      <c r="DZ38" s="141"/>
      <c r="EA38" s="141"/>
      <c r="EB38" s="141"/>
      <c r="EC38" s="141"/>
      <c r="ED38" s="141"/>
      <c r="EE38" s="141"/>
      <c r="EF38" s="141"/>
      <c r="EG38" s="141"/>
      <c r="EH38" s="141"/>
      <c r="EI38" s="141"/>
      <c r="EJ38" s="141"/>
      <c r="EK38" s="141"/>
      <c r="EL38" s="141"/>
      <c r="EM38" s="141"/>
      <c r="EN38" s="141"/>
      <c r="EO38" s="141"/>
      <c r="EP38" s="141"/>
      <c r="EQ38" s="141"/>
      <c r="ER38" s="141"/>
      <c r="ES38" s="141"/>
      <c r="ET38" s="141"/>
      <c r="EU38" s="141"/>
      <c r="EV38" s="141"/>
      <c r="EW38" s="141"/>
      <c r="EX38" s="141"/>
      <c r="EY38" s="141"/>
      <c r="EZ38" s="141"/>
      <c r="FA38" s="141"/>
      <c r="FB38" s="141"/>
      <c r="FC38" s="141"/>
      <c r="FD38" s="141"/>
      <c r="FE38" s="141"/>
      <c r="FF38" s="141"/>
      <c r="FG38" s="141"/>
      <c r="FH38" s="141"/>
    </row>
    <row r="39" spans="3:164" s="92" customFormat="1">
      <c r="J39" s="156"/>
      <c r="K39" s="157"/>
      <c r="L39" s="157"/>
      <c r="M39" s="157"/>
      <c r="N39" s="157"/>
      <c r="O39" s="157"/>
      <c r="P39" s="157"/>
      <c r="Q39" s="157"/>
      <c r="R39" s="157"/>
      <c r="S39" s="157"/>
      <c r="T39" s="157"/>
      <c r="U39" s="157"/>
      <c r="V39" s="157"/>
      <c r="W39" s="157"/>
      <c r="X39" s="157"/>
      <c r="Y39" s="157"/>
      <c r="Z39" s="157"/>
      <c r="AA39" s="157"/>
      <c r="AB39" s="157"/>
      <c r="AC39" s="157"/>
      <c r="AD39" s="157"/>
      <c r="AE39" s="157"/>
      <c r="AF39" s="158"/>
      <c r="AG39" s="160"/>
      <c r="AH39" s="154"/>
      <c r="AI39" s="154"/>
      <c r="AJ39" s="154"/>
      <c r="AK39" s="154"/>
      <c r="AL39" s="154"/>
      <c r="AM39" s="154"/>
      <c r="AN39" s="154"/>
      <c r="AO39" s="154"/>
      <c r="AP39" s="154"/>
      <c r="AQ39" s="154"/>
      <c r="AR39" s="154"/>
      <c r="AS39" s="154"/>
      <c r="AT39" s="154"/>
      <c r="AU39" s="154"/>
      <c r="AV39" s="154"/>
      <c r="AW39" s="154"/>
      <c r="AX39" s="154"/>
      <c r="AY39" s="154"/>
      <c r="AZ39" s="154"/>
      <c r="BA39" s="154"/>
      <c r="BB39" s="154"/>
      <c r="BC39" s="155"/>
      <c r="BD39" s="160"/>
      <c r="BE39" s="154"/>
      <c r="BF39" s="154"/>
      <c r="BG39" s="154"/>
      <c r="BH39" s="154"/>
      <c r="BI39" s="154"/>
      <c r="BJ39" s="154"/>
      <c r="BK39" s="154"/>
      <c r="BL39" s="154"/>
      <c r="BM39" s="154"/>
      <c r="BN39" s="154"/>
      <c r="BO39" s="154"/>
      <c r="BP39" s="154"/>
      <c r="BQ39" s="154"/>
      <c r="BR39" s="154"/>
      <c r="BS39" s="154"/>
      <c r="BT39" s="154"/>
      <c r="BU39" s="154"/>
      <c r="BV39" s="154"/>
      <c r="BW39" s="154"/>
      <c r="BX39" s="154"/>
      <c r="BY39" s="154"/>
      <c r="BZ39" s="155"/>
      <c r="CA39" s="160"/>
      <c r="CB39" s="154"/>
      <c r="CC39" s="154"/>
      <c r="CD39" s="154"/>
      <c r="CE39" s="154"/>
      <c r="CF39" s="154"/>
      <c r="CG39" s="154"/>
      <c r="CH39" s="154"/>
      <c r="CI39" s="154"/>
      <c r="CJ39" s="154"/>
      <c r="CK39" s="154"/>
      <c r="CL39" s="154"/>
      <c r="CM39" s="154"/>
      <c r="CN39" s="154"/>
      <c r="CO39" s="154"/>
      <c r="CP39" s="154"/>
      <c r="CQ39" s="154"/>
      <c r="CR39" s="154"/>
      <c r="CS39" s="154"/>
      <c r="CT39" s="154"/>
      <c r="CU39" s="154"/>
      <c r="CV39" s="154"/>
      <c r="CW39" s="162"/>
      <c r="DK39" s="142"/>
      <c r="DL39" s="142"/>
      <c r="DM39" s="142"/>
      <c r="DN39" s="142"/>
      <c r="DO39" s="142"/>
      <c r="DP39" s="142"/>
      <c r="DQ39" s="142"/>
      <c r="DR39" s="142"/>
      <c r="DS39" s="142"/>
      <c r="DT39" s="142"/>
      <c r="DU39" s="142"/>
      <c r="DV39" s="142"/>
      <c r="DW39" s="142"/>
      <c r="DX39" s="142"/>
      <c r="DY39" s="142"/>
      <c r="DZ39" s="142"/>
      <c r="EA39" s="142"/>
      <c r="EB39" s="142"/>
      <c r="EC39" s="142"/>
      <c r="ED39" s="142"/>
      <c r="EE39" s="142"/>
      <c r="EF39" s="142"/>
      <c r="EG39" s="142"/>
      <c r="EH39" s="142"/>
      <c r="EI39" s="142"/>
      <c r="EJ39" s="142"/>
      <c r="EK39" s="142"/>
      <c r="EL39" s="142"/>
      <c r="EM39" s="142"/>
      <c r="EN39" s="142"/>
      <c r="EO39" s="142"/>
      <c r="EP39" s="142"/>
      <c r="EQ39" s="142"/>
      <c r="ER39" s="142"/>
      <c r="ES39" s="142"/>
      <c r="ET39" s="142"/>
      <c r="EU39" s="142"/>
      <c r="EV39" s="142"/>
      <c r="EW39" s="142"/>
      <c r="EX39" s="142"/>
      <c r="EY39" s="142"/>
      <c r="EZ39" s="142"/>
      <c r="FA39" s="142"/>
      <c r="FB39" s="142"/>
      <c r="FC39" s="142"/>
      <c r="FD39" s="142"/>
      <c r="FE39" s="142"/>
      <c r="FF39" s="142"/>
      <c r="FG39" s="142"/>
      <c r="FH39" s="142"/>
    </row>
    <row r="40" spans="3:164" s="92" customFormat="1" ht="12.75" thickBot="1">
      <c r="J40" s="143"/>
      <c r="K40" s="144"/>
      <c r="L40" s="144"/>
      <c r="M40" s="144"/>
      <c r="N40" s="144"/>
      <c r="O40" s="144"/>
      <c r="P40" s="144"/>
      <c r="Q40" s="144"/>
      <c r="R40" s="144"/>
      <c r="S40" s="144"/>
      <c r="T40" s="144"/>
      <c r="U40" s="144"/>
      <c r="V40" s="144"/>
      <c r="W40" s="144"/>
      <c r="X40" s="144"/>
      <c r="Y40" s="144"/>
      <c r="Z40" s="144"/>
      <c r="AA40" s="144"/>
      <c r="AB40" s="144"/>
      <c r="AC40" s="144"/>
      <c r="AD40" s="144"/>
      <c r="AE40" s="144"/>
      <c r="AF40" s="145"/>
      <c r="AG40" s="146"/>
      <c r="AH40" s="146"/>
      <c r="AI40" s="146"/>
      <c r="AJ40" s="146"/>
      <c r="AK40" s="146"/>
      <c r="AL40" s="146"/>
      <c r="AM40" s="146"/>
      <c r="AN40" s="146"/>
      <c r="AO40" s="146"/>
      <c r="AP40" s="146"/>
      <c r="AQ40" s="146"/>
      <c r="AR40" s="146"/>
      <c r="AS40" s="146"/>
      <c r="AT40" s="146"/>
      <c r="AU40" s="146"/>
      <c r="AV40" s="146"/>
      <c r="AW40" s="146"/>
      <c r="AX40" s="146"/>
      <c r="AY40" s="146"/>
      <c r="AZ40" s="146"/>
      <c r="BA40" s="146"/>
      <c r="BB40" s="146"/>
      <c r="BC40" s="146"/>
      <c r="BD40" s="146"/>
      <c r="BE40" s="146"/>
      <c r="BF40" s="146"/>
      <c r="BG40" s="146"/>
      <c r="BH40" s="146"/>
      <c r="BI40" s="146"/>
      <c r="BJ40" s="146"/>
      <c r="BK40" s="146"/>
      <c r="BL40" s="146"/>
      <c r="BM40" s="146"/>
      <c r="BN40" s="146"/>
      <c r="BO40" s="146"/>
      <c r="BP40" s="146"/>
      <c r="BQ40" s="146"/>
      <c r="BR40" s="146"/>
      <c r="BS40" s="146"/>
      <c r="BT40" s="146"/>
      <c r="BU40" s="146"/>
      <c r="BV40" s="146"/>
      <c r="BW40" s="146"/>
      <c r="BX40" s="146"/>
      <c r="BY40" s="146"/>
      <c r="BZ40" s="146"/>
      <c r="CA40" s="146"/>
      <c r="CB40" s="146"/>
      <c r="CC40" s="146"/>
      <c r="CD40" s="146"/>
      <c r="CE40" s="146"/>
      <c r="CF40" s="146"/>
      <c r="CG40" s="146"/>
      <c r="CH40" s="146"/>
      <c r="CI40" s="146"/>
      <c r="CJ40" s="146"/>
      <c r="CK40" s="146"/>
      <c r="CL40" s="146"/>
      <c r="CM40" s="146"/>
      <c r="CN40" s="146"/>
      <c r="CO40" s="146"/>
      <c r="CP40" s="146"/>
      <c r="CQ40" s="146"/>
      <c r="CR40" s="146"/>
      <c r="CS40" s="146"/>
      <c r="CT40" s="146"/>
      <c r="CU40" s="146"/>
      <c r="CV40" s="146"/>
      <c r="CW40" s="147"/>
      <c r="DK40" s="142"/>
      <c r="DL40" s="142"/>
      <c r="DM40" s="142"/>
      <c r="DN40" s="142"/>
      <c r="DO40" s="142"/>
      <c r="DP40" s="142"/>
      <c r="DQ40" s="142"/>
      <c r="DR40" s="142"/>
      <c r="DS40" s="142"/>
      <c r="DT40" s="142"/>
      <c r="DU40" s="142"/>
      <c r="DV40" s="142"/>
      <c r="DW40" s="142"/>
      <c r="DX40" s="142"/>
      <c r="DY40" s="142"/>
      <c r="DZ40" s="142"/>
      <c r="EA40" s="142"/>
      <c r="EB40" s="142"/>
      <c r="EC40" s="142"/>
      <c r="ED40" s="142"/>
      <c r="EE40" s="142"/>
      <c r="EF40" s="142"/>
      <c r="EG40" s="142"/>
      <c r="EH40" s="142"/>
      <c r="EI40" s="142"/>
      <c r="EJ40" s="142"/>
      <c r="EK40" s="142"/>
      <c r="EL40" s="142"/>
      <c r="EM40" s="142"/>
      <c r="EN40" s="142"/>
      <c r="EO40" s="142"/>
      <c r="EP40" s="142"/>
      <c r="EQ40" s="142"/>
      <c r="ER40" s="142"/>
      <c r="ES40" s="142"/>
      <c r="ET40" s="142"/>
      <c r="EU40" s="142"/>
      <c r="EV40" s="142"/>
      <c r="EW40" s="142"/>
      <c r="EX40" s="142"/>
      <c r="EY40" s="142"/>
      <c r="EZ40" s="142"/>
      <c r="FA40" s="142"/>
      <c r="FB40" s="142"/>
      <c r="FC40" s="142"/>
      <c r="FD40" s="142"/>
      <c r="FE40" s="142"/>
      <c r="FF40" s="142"/>
      <c r="FG40" s="142"/>
      <c r="FH40" s="142"/>
    </row>
  </sheetData>
  <mergeCells count="27">
    <mergeCell ref="EM4:FL4"/>
    <mergeCell ref="I5:FD6"/>
    <mergeCell ref="I8:FD9"/>
    <mergeCell ref="Q11:FD12"/>
    <mergeCell ref="J35:AF36"/>
    <mergeCell ref="AG35:BC36"/>
    <mergeCell ref="BD35:BZ36"/>
    <mergeCell ref="CA35:CW36"/>
    <mergeCell ref="AG28:BC29"/>
    <mergeCell ref="BD28:BZ29"/>
    <mergeCell ref="CA28:CW29"/>
    <mergeCell ref="AG30:BC32"/>
    <mergeCell ref="BD30:BZ32"/>
    <mergeCell ref="CA30:CW32"/>
    <mergeCell ref="AG33:BC33"/>
    <mergeCell ref="BD33:BZ33"/>
    <mergeCell ref="CA33:CW33"/>
    <mergeCell ref="J37:AF39"/>
    <mergeCell ref="AG37:BC39"/>
    <mergeCell ref="BD37:BZ39"/>
    <mergeCell ref="CA37:CW39"/>
    <mergeCell ref="DK37:FH38"/>
    <mergeCell ref="DK39:FH40"/>
    <mergeCell ref="J40:AF40"/>
    <mergeCell ref="AG40:BC40"/>
    <mergeCell ref="BD40:BZ40"/>
    <mergeCell ref="CA40:CW40"/>
  </mergeCells>
  <phoneticPr fontId="28"/>
  <pageMargins left="0.78740157480314965" right="0.78740157480314965" top="0.98425196850393704" bottom="0.98425196850393704" header="0.51181102362204722" footer="0.51181102362204722"/>
  <pageSetup paperSize="9" orientation="landscape" r:id="rId1"/>
  <headerFooter alignWithMargins="0">
    <oddFooter>&amp;RCopyright © 2017 System EXE Inc. All rights reserved.</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
  <sheetViews>
    <sheetView view="pageBreakPreview" zoomScale="85" zoomScaleNormal="100" zoomScaleSheetLayoutView="85" workbookViewId="0">
      <selection activeCell="A5" sqref="A5"/>
    </sheetView>
  </sheetViews>
  <sheetFormatPr defaultColWidth="9" defaultRowHeight="13.5"/>
  <cols>
    <col min="1" max="1" width="12.125" style="89" bestFit="1" customWidth="1"/>
    <col min="2" max="2" width="36.125" style="68" customWidth="1"/>
    <col min="3" max="3" width="70.875" style="69" customWidth="1"/>
    <col min="4" max="4" width="13.875" style="70" customWidth="1"/>
    <col min="5" max="5" width="9" style="71"/>
    <col min="6" max="7" width="9" style="72"/>
    <col min="8" max="8" width="9" style="73"/>
    <col min="9" max="16384" width="9" style="71"/>
  </cols>
  <sheetData>
    <row r="1" spans="1:8">
      <c r="A1" s="67"/>
    </row>
    <row r="3" spans="1:8">
      <c r="A3" s="74" t="s">
        <v>68</v>
      </c>
      <c r="B3" s="75" t="s">
        <v>69</v>
      </c>
      <c r="C3" s="75" t="s">
        <v>70</v>
      </c>
      <c r="D3" s="75" t="s">
        <v>71</v>
      </c>
    </row>
    <row r="4" spans="1:8">
      <c r="A4" s="76">
        <v>42955</v>
      </c>
      <c r="B4" s="77" t="s">
        <v>72</v>
      </c>
      <c r="C4" s="78" t="s">
        <v>73</v>
      </c>
      <c r="D4" s="90" t="s">
        <v>284</v>
      </c>
    </row>
    <row r="5" spans="1:8" s="87" customFormat="1">
      <c r="A5" s="80"/>
      <c r="B5" s="91"/>
      <c r="C5" s="82"/>
      <c r="D5" s="90"/>
      <c r="E5" s="84"/>
      <c r="F5" s="85"/>
      <c r="G5" s="85"/>
      <c r="H5" s="86"/>
    </row>
    <row r="6" spans="1:8">
      <c r="A6" s="80"/>
      <c r="B6" s="91"/>
      <c r="C6" s="82"/>
      <c r="D6" s="90"/>
    </row>
    <row r="7" spans="1:8">
      <c r="A7" s="80"/>
      <c r="B7" s="81"/>
      <c r="C7" s="82"/>
      <c r="D7" s="83"/>
    </row>
    <row r="8" spans="1:8">
      <c r="A8" s="80"/>
      <c r="B8" s="81"/>
      <c r="C8" s="82"/>
      <c r="D8" s="83"/>
    </row>
    <row r="9" spans="1:8">
      <c r="A9" s="76"/>
      <c r="B9" s="77"/>
      <c r="C9" s="78"/>
      <c r="D9" s="79"/>
    </row>
    <row r="10" spans="1:8">
      <c r="A10" s="76"/>
      <c r="B10" s="77"/>
      <c r="C10" s="78"/>
      <c r="D10" s="79"/>
    </row>
    <row r="11" spans="1:8">
      <c r="A11" s="76"/>
      <c r="B11" s="77"/>
      <c r="C11" s="88"/>
      <c r="D11" s="79"/>
    </row>
    <row r="12" spans="1:8">
      <c r="A12" s="76"/>
      <c r="B12" s="77"/>
      <c r="C12" s="78"/>
      <c r="D12" s="79"/>
    </row>
    <row r="13" spans="1:8">
      <c r="A13" s="76"/>
      <c r="B13" s="77"/>
      <c r="C13" s="78"/>
      <c r="D13" s="79"/>
    </row>
    <row r="14" spans="1:8">
      <c r="A14" s="76"/>
      <c r="B14" s="77"/>
      <c r="C14" s="78"/>
      <c r="D14" s="79"/>
    </row>
    <row r="15" spans="1:8">
      <c r="A15" s="76"/>
      <c r="B15" s="77"/>
      <c r="C15" s="78"/>
      <c r="D15" s="79"/>
    </row>
    <row r="16" spans="1:8">
      <c r="A16" s="76"/>
      <c r="B16" s="77"/>
      <c r="C16" s="78"/>
      <c r="D16" s="79"/>
    </row>
    <row r="17" spans="1:4">
      <c r="A17" s="76"/>
      <c r="B17" s="77"/>
      <c r="C17" s="78"/>
      <c r="D17" s="79"/>
    </row>
    <row r="18" spans="1:4">
      <c r="A18" s="76"/>
      <c r="B18" s="77"/>
      <c r="C18" s="78"/>
      <c r="D18" s="79"/>
    </row>
    <row r="19" spans="1:4">
      <c r="A19" s="76"/>
      <c r="B19" s="77"/>
      <c r="C19" s="78"/>
      <c r="D19" s="79"/>
    </row>
    <row r="20" spans="1:4">
      <c r="A20" s="76"/>
      <c r="B20" s="77"/>
      <c r="C20" s="78"/>
      <c r="D20" s="79"/>
    </row>
    <row r="21" spans="1:4">
      <c r="A21" s="76"/>
      <c r="B21" s="77"/>
      <c r="C21" s="78"/>
      <c r="D21" s="79"/>
    </row>
    <row r="22" spans="1:4">
      <c r="A22" s="76"/>
      <c r="B22" s="77"/>
      <c r="C22" s="78"/>
      <c r="D22" s="79"/>
    </row>
    <row r="23" spans="1:4">
      <c r="A23" s="76"/>
      <c r="B23" s="77"/>
      <c r="C23" s="78"/>
      <c r="D23" s="79"/>
    </row>
    <row r="24" spans="1:4">
      <c r="A24" s="76"/>
      <c r="B24" s="77"/>
      <c r="C24" s="78"/>
      <c r="D24" s="79"/>
    </row>
    <row r="25" spans="1:4">
      <c r="A25" s="76"/>
      <c r="B25" s="77"/>
      <c r="C25" s="78"/>
      <c r="D25" s="79"/>
    </row>
    <row r="26" spans="1:4">
      <c r="A26" s="76"/>
      <c r="B26" s="77"/>
      <c r="C26" s="78"/>
      <c r="D26" s="79"/>
    </row>
    <row r="27" spans="1:4">
      <c r="A27" s="76"/>
      <c r="B27" s="77"/>
      <c r="C27" s="78"/>
      <c r="D27" s="79"/>
    </row>
    <row r="28" spans="1:4">
      <c r="A28" s="76"/>
      <c r="B28" s="77"/>
      <c r="C28" s="78"/>
      <c r="D28" s="79"/>
    </row>
    <row r="29" spans="1:4">
      <c r="A29" s="76"/>
      <c r="B29" s="77"/>
      <c r="C29" s="78"/>
      <c r="D29" s="79"/>
    </row>
    <row r="30" spans="1:4">
      <c r="A30" s="76"/>
      <c r="B30" s="77"/>
      <c r="C30" s="78"/>
      <c r="D30" s="79"/>
    </row>
    <row r="31" spans="1:4">
      <c r="A31" s="76"/>
      <c r="B31" s="77"/>
      <c r="C31" s="78"/>
      <c r="D31" s="79"/>
    </row>
    <row r="32" spans="1:4">
      <c r="A32" s="76"/>
      <c r="B32" s="77"/>
      <c r="C32" s="78"/>
      <c r="D32" s="79"/>
    </row>
    <row r="33" spans="1:4">
      <c r="A33" s="76"/>
      <c r="B33" s="77"/>
      <c r="C33" s="78"/>
      <c r="D33" s="79"/>
    </row>
    <row r="34" spans="1:4">
      <c r="A34" s="76"/>
      <c r="B34" s="77"/>
      <c r="C34" s="78"/>
      <c r="D34" s="79"/>
    </row>
  </sheetData>
  <phoneticPr fontId="28"/>
  <pageMargins left="0.75" right="0.75" top="1" bottom="1" header="0.51200000000000001" footer="0.51200000000000001"/>
  <pageSetup paperSize="9" scale="86" orientation="landscape" r:id="rId1"/>
  <headerFooter alignWithMargins="0">
    <oddHeader>&amp;L&amp;F　&amp;A</oddHeader>
    <oddFooter>&amp;P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87"/>
  <sheetViews>
    <sheetView zoomScale="70" zoomScaleNormal="70" workbookViewId="0">
      <pane ySplit="8" topLeftCell="A9" activePane="bottomLeft" state="frozen"/>
      <selection pane="bottomLeft"/>
    </sheetView>
  </sheetViews>
  <sheetFormatPr defaultColWidth="6.875" defaultRowHeight="13.5"/>
  <cols>
    <col min="1" max="1" width="4.5" style="99" bestFit="1" customWidth="1"/>
    <col min="2" max="2" width="9" style="2" customWidth="1"/>
    <col min="3" max="3" width="38.25" style="99" customWidth="1"/>
    <col min="4" max="4" width="38.25" style="127" customWidth="1"/>
    <col min="5" max="5" width="38.375" style="127" customWidth="1"/>
    <col min="6" max="6" width="60.25" style="5" customWidth="1"/>
    <col min="7" max="7" width="8.75" style="14" customWidth="1"/>
    <col min="8" max="8" width="8.75" style="4" customWidth="1"/>
    <col min="9" max="9" width="11.625" style="4" customWidth="1"/>
    <col min="10" max="10" width="8.75" style="4" customWidth="1"/>
    <col min="11" max="11" width="11.25" style="4" customWidth="1"/>
    <col min="12" max="12" width="13.125" style="8" customWidth="1"/>
    <col min="13" max="13" width="12.375" style="99" customWidth="1"/>
    <col min="14" max="14" width="11.25" style="99" customWidth="1"/>
    <col min="15" max="15" width="13" style="99" customWidth="1"/>
    <col min="16" max="16" width="13.25" style="99" customWidth="1"/>
    <col min="17" max="18" width="35.875" style="99" customWidth="1"/>
    <col min="19" max="19" width="16.75" style="99" customWidth="1"/>
    <col min="20" max="20" width="20" style="99" customWidth="1"/>
    <col min="21" max="21" width="18" style="99" customWidth="1"/>
    <col min="22" max="16384" width="6.875" style="99"/>
  </cols>
  <sheetData>
    <row r="1" spans="1:24">
      <c r="M1" s="99" t="s">
        <v>1</v>
      </c>
      <c r="N1" s="99" t="s">
        <v>0</v>
      </c>
      <c r="O1" s="99" t="s">
        <v>86</v>
      </c>
      <c r="P1" s="99" t="s">
        <v>87</v>
      </c>
      <c r="Q1" s="99" t="s">
        <v>236</v>
      </c>
    </row>
    <row r="2" spans="1:24">
      <c r="A2" s="98"/>
      <c r="G2" s="6" t="s">
        <v>1</v>
      </c>
      <c r="H2" s="7" t="s">
        <v>0</v>
      </c>
      <c r="I2" s="7" t="s">
        <v>17</v>
      </c>
      <c r="J2" s="7" t="s">
        <v>21</v>
      </c>
      <c r="K2" s="96"/>
      <c r="L2" s="108" t="s">
        <v>88</v>
      </c>
      <c r="M2" s="12">
        <f>COUNTA(B8:B134)</f>
        <v>72</v>
      </c>
      <c r="N2" s="99">
        <f>COUNTIF($H$9:$H$995,"OK")+COUNTIF($H$9:$H995,"－")</f>
        <v>0</v>
      </c>
      <c r="O2" s="99">
        <f>COUNTIF($H$9:$H$995,"NG")</f>
        <v>0</v>
      </c>
      <c r="P2" s="99">
        <f>COUNTIF($H$9:$H$995,"NG（済）")</f>
        <v>0</v>
      </c>
      <c r="Q2" s="99">
        <f>COUNTIF($H$9:$H$995,"未実施")</f>
        <v>0</v>
      </c>
    </row>
    <row r="3" spans="1:24">
      <c r="A3" s="98" t="s">
        <v>2</v>
      </c>
      <c r="B3" s="9" t="s">
        <v>80</v>
      </c>
      <c r="G3" s="10">
        <f>SUM(M2:M5)</f>
        <v>216</v>
      </c>
      <c r="H3" s="10">
        <f>SUM(N2:N5)</f>
        <v>0</v>
      </c>
      <c r="I3" s="10">
        <f>SUM(O2:O5)</f>
        <v>0</v>
      </c>
      <c r="J3" s="10">
        <f>SUM(P2:P5)</f>
        <v>0</v>
      </c>
      <c r="K3" s="96"/>
      <c r="L3" s="109" t="s">
        <v>89</v>
      </c>
      <c r="M3" s="12">
        <f>COUNTA(B8:B134)</f>
        <v>72</v>
      </c>
      <c r="N3" s="99">
        <f>COUNTIF($K$9:$K$995,"OK")+COUNTIF($K$9:$K$995,"－")</f>
        <v>0</v>
      </c>
      <c r="O3" s="99">
        <f>COUNTIF($K$9:$K$995,"NG")</f>
        <v>0</v>
      </c>
      <c r="P3" s="99">
        <f>COUNTIF($K$9:$K$995,"NG（済）")</f>
        <v>0</v>
      </c>
      <c r="Q3" s="99">
        <f>COUNTIF($K$9:$K$995,"未実施")</f>
        <v>0</v>
      </c>
    </row>
    <row r="4" spans="1:24">
      <c r="A4" s="13"/>
      <c r="B4" s="99" t="s">
        <v>219</v>
      </c>
      <c r="L4" s="109" t="s">
        <v>90</v>
      </c>
      <c r="M4" s="99">
        <f>COUNTA(B8:B134)</f>
        <v>72</v>
      </c>
      <c r="N4" s="99">
        <f>COUNTIF($N$9:$N$995,"OK")+COUNTIF($N$9:$N$995,"－")</f>
        <v>0</v>
      </c>
      <c r="O4" s="99">
        <f>COUNTIF($N$9:$N$995,"NG")</f>
        <v>0</v>
      </c>
      <c r="P4" s="99">
        <f>COUNTIF($N$9:$N$995,"NG（済）")</f>
        <v>0</v>
      </c>
      <c r="Q4" s="99">
        <f>COUNTIF($N$9:$N$995,"未実施")</f>
        <v>0</v>
      </c>
    </row>
    <row r="5" spans="1:24">
      <c r="A5" s="13" t="s">
        <v>3</v>
      </c>
      <c r="B5" s="98" t="s">
        <v>13</v>
      </c>
      <c r="C5" s="97" t="s">
        <v>103</v>
      </c>
      <c r="D5" s="128"/>
      <c r="L5" s="109"/>
      <c r="M5" s="12"/>
      <c r="Q5" s="13"/>
      <c r="R5" s="13"/>
    </row>
    <row r="6" spans="1:24">
      <c r="A6" s="13"/>
      <c r="B6" s="98"/>
      <c r="L6" s="109"/>
      <c r="Q6" s="13"/>
      <c r="R6" s="13"/>
    </row>
    <row r="7" spans="1:24">
      <c r="B7" s="182" t="s">
        <v>4</v>
      </c>
      <c r="C7" s="184" t="s">
        <v>5</v>
      </c>
      <c r="D7" s="186" t="s">
        <v>79</v>
      </c>
      <c r="E7" s="186" t="s">
        <v>6</v>
      </c>
      <c r="F7" s="188" t="s">
        <v>7</v>
      </c>
      <c r="G7" s="189"/>
      <c r="H7" s="179" t="s">
        <v>91</v>
      </c>
      <c r="I7" s="179"/>
      <c r="J7" s="179"/>
      <c r="K7" s="179" t="s">
        <v>84</v>
      </c>
      <c r="L7" s="179"/>
      <c r="M7" s="179"/>
      <c r="N7" s="179" t="s">
        <v>85</v>
      </c>
      <c r="O7" s="179"/>
      <c r="P7" s="179"/>
      <c r="Q7" s="186" t="s">
        <v>237</v>
      </c>
      <c r="R7" s="186" t="s">
        <v>78</v>
      </c>
      <c r="S7" s="195" t="s">
        <v>14</v>
      </c>
      <c r="T7" s="195"/>
      <c r="U7" s="195"/>
      <c r="V7" s="104"/>
    </row>
    <row r="8" spans="1:24">
      <c r="B8" s="183"/>
      <c r="C8" s="185"/>
      <c r="D8" s="187"/>
      <c r="E8" s="187"/>
      <c r="F8" s="190"/>
      <c r="G8" s="191"/>
      <c r="H8" s="103" t="s">
        <v>8</v>
      </c>
      <c r="I8" s="103" t="s">
        <v>9</v>
      </c>
      <c r="J8" s="103" t="s">
        <v>10</v>
      </c>
      <c r="K8" s="105" t="s">
        <v>8</v>
      </c>
      <c r="L8" s="105" t="s">
        <v>9</v>
      </c>
      <c r="M8" s="105" t="s">
        <v>10</v>
      </c>
      <c r="N8" s="105" t="s">
        <v>8</v>
      </c>
      <c r="O8" s="105" t="s">
        <v>9</v>
      </c>
      <c r="P8" s="105" t="s">
        <v>10</v>
      </c>
      <c r="Q8" s="185"/>
      <c r="R8" s="185"/>
      <c r="S8" s="93"/>
      <c r="T8" s="94"/>
      <c r="U8" s="95"/>
      <c r="V8" s="104"/>
    </row>
    <row r="9" spans="1:24" ht="75" customHeight="1">
      <c r="B9" s="126" t="str">
        <f t="shared" ref="B9:B71" si="0">"1-"&amp;ROW()-8</f>
        <v>1-1</v>
      </c>
      <c r="C9" s="100" t="s">
        <v>95</v>
      </c>
      <c r="D9" s="42" t="s">
        <v>221</v>
      </c>
      <c r="E9" s="42" t="s">
        <v>209</v>
      </c>
      <c r="F9" s="192" t="s">
        <v>210</v>
      </c>
      <c r="G9" s="193"/>
      <c r="H9" s="101"/>
      <c r="I9" s="20"/>
      <c r="J9" s="101"/>
      <c r="K9" s="101"/>
      <c r="L9" s="20"/>
      <c r="M9" s="101"/>
      <c r="N9" s="101"/>
      <c r="O9" s="20"/>
      <c r="P9" s="101"/>
      <c r="Q9" s="136"/>
      <c r="R9" s="101"/>
      <c r="S9" s="100"/>
      <c r="T9" s="102"/>
      <c r="U9" s="102"/>
      <c r="V9" s="140"/>
      <c r="W9" s="15"/>
    </row>
    <row r="10" spans="1:24" ht="34.5" customHeight="1">
      <c r="B10" s="126" t="str">
        <f t="shared" si="0"/>
        <v>1-2</v>
      </c>
      <c r="C10" s="100"/>
      <c r="D10" s="42" t="s">
        <v>83</v>
      </c>
      <c r="E10" s="42" t="s">
        <v>213</v>
      </c>
      <c r="F10" s="192" t="s">
        <v>214</v>
      </c>
      <c r="G10" s="193"/>
      <c r="H10" s="101"/>
      <c r="I10" s="20"/>
      <c r="J10" s="101"/>
      <c r="K10" s="101"/>
      <c r="L10" s="20"/>
      <c r="M10" s="101"/>
      <c r="N10" s="101"/>
      <c r="O10" s="20"/>
      <c r="P10" s="101"/>
      <c r="Q10" s="101"/>
      <c r="R10" s="101"/>
      <c r="S10" s="100"/>
      <c r="T10" s="102"/>
      <c r="U10" s="102"/>
      <c r="V10" s="140"/>
      <c r="W10" s="15"/>
    </row>
    <row r="11" spans="1:24" ht="75" customHeight="1">
      <c r="B11" s="126" t="str">
        <f t="shared" si="0"/>
        <v>1-3</v>
      </c>
      <c r="C11" s="100"/>
      <c r="D11" s="42" t="s">
        <v>83</v>
      </c>
      <c r="E11" s="42" t="s">
        <v>211</v>
      </c>
      <c r="F11" s="192" t="s">
        <v>212</v>
      </c>
      <c r="G11" s="193"/>
      <c r="H11" s="101"/>
      <c r="I11" s="20"/>
      <c r="J11" s="101"/>
      <c r="K11" s="101"/>
      <c r="L11" s="20"/>
      <c r="M11" s="101"/>
      <c r="N11" s="101"/>
      <c r="O11" s="20"/>
      <c r="P11" s="101"/>
      <c r="Q11" s="101"/>
      <c r="R11" s="101"/>
      <c r="S11" s="100"/>
      <c r="T11" s="102"/>
      <c r="U11" s="102"/>
      <c r="V11" s="140"/>
      <c r="W11" s="15"/>
    </row>
    <row r="12" spans="1:24" ht="34.5" customHeight="1">
      <c r="B12" s="126" t="str">
        <f t="shared" si="0"/>
        <v>1-4</v>
      </c>
      <c r="C12" s="100"/>
      <c r="D12" s="42" t="s">
        <v>83</v>
      </c>
      <c r="E12" s="42" t="s">
        <v>62</v>
      </c>
      <c r="F12" s="192" t="s">
        <v>96</v>
      </c>
      <c r="G12" s="193"/>
      <c r="H12" s="101"/>
      <c r="I12" s="20"/>
      <c r="J12" s="101"/>
      <c r="K12" s="101"/>
      <c r="L12" s="20"/>
      <c r="M12" s="101"/>
      <c r="N12" s="101"/>
      <c r="O12" s="20"/>
      <c r="P12" s="101"/>
      <c r="Q12" s="101"/>
      <c r="R12" s="101"/>
      <c r="S12" s="100"/>
      <c r="T12" s="102"/>
      <c r="U12" s="102"/>
      <c r="V12" s="140"/>
      <c r="W12" s="15"/>
    </row>
    <row r="13" spans="1:24" ht="34.5" customHeight="1">
      <c r="B13" s="126" t="str">
        <f t="shared" si="0"/>
        <v>1-5</v>
      </c>
      <c r="C13" s="100"/>
      <c r="D13" s="42" t="s">
        <v>83</v>
      </c>
      <c r="E13" s="42" t="s">
        <v>62</v>
      </c>
      <c r="F13" s="192" t="s">
        <v>82</v>
      </c>
      <c r="G13" s="193"/>
      <c r="H13" s="101"/>
      <c r="I13" s="20"/>
      <c r="J13" s="101"/>
      <c r="K13" s="101"/>
      <c r="L13" s="20"/>
      <c r="M13" s="101"/>
      <c r="N13" s="101"/>
      <c r="O13" s="20"/>
      <c r="P13" s="101"/>
      <c r="Q13" s="101"/>
      <c r="R13" s="101"/>
      <c r="S13" s="100"/>
      <c r="T13" s="102"/>
      <c r="U13" s="102"/>
      <c r="V13" s="140"/>
      <c r="W13" s="140"/>
      <c r="X13" s="104"/>
    </row>
    <row r="14" spans="1:24" ht="34.5" customHeight="1">
      <c r="B14" s="126" t="str">
        <f t="shared" si="0"/>
        <v>1-6</v>
      </c>
      <c r="C14" s="100"/>
      <c r="D14" s="42" t="s">
        <v>83</v>
      </c>
      <c r="E14" s="42" t="s">
        <v>62</v>
      </c>
      <c r="F14" s="192" t="s">
        <v>92</v>
      </c>
      <c r="G14" s="193"/>
      <c r="H14" s="101"/>
      <c r="I14" s="20"/>
      <c r="J14" s="101"/>
      <c r="K14" s="101"/>
      <c r="L14" s="20"/>
      <c r="M14" s="101"/>
      <c r="N14" s="101"/>
      <c r="O14" s="20"/>
      <c r="P14" s="101"/>
      <c r="Q14" s="101"/>
      <c r="R14" s="101"/>
      <c r="S14" s="100"/>
      <c r="T14" s="102"/>
      <c r="U14" s="102"/>
      <c r="V14" s="140"/>
      <c r="W14" s="140"/>
      <c r="X14" s="106"/>
    </row>
    <row r="15" spans="1:24" ht="34.5" customHeight="1">
      <c r="B15" s="126" t="str">
        <f t="shared" si="0"/>
        <v>1-7</v>
      </c>
      <c r="C15" s="100"/>
      <c r="D15" s="42" t="s">
        <v>83</v>
      </c>
      <c r="E15" s="42" t="s">
        <v>62</v>
      </c>
      <c r="F15" s="192" t="s">
        <v>94</v>
      </c>
      <c r="G15" s="193"/>
      <c r="H15" s="101"/>
      <c r="I15" s="20"/>
      <c r="J15" s="101"/>
      <c r="K15" s="101"/>
      <c r="L15" s="20"/>
      <c r="M15" s="101"/>
      <c r="N15" s="101"/>
      <c r="O15" s="20"/>
      <c r="P15" s="101"/>
      <c r="Q15" s="101"/>
      <c r="R15" s="101"/>
      <c r="S15" s="100"/>
      <c r="T15" s="102"/>
      <c r="U15" s="102"/>
      <c r="V15" s="140"/>
      <c r="W15" s="140"/>
      <c r="X15" s="106"/>
    </row>
    <row r="16" spans="1:24" ht="34.5" customHeight="1">
      <c r="B16" s="126" t="str">
        <f t="shared" si="0"/>
        <v>1-8</v>
      </c>
      <c r="C16" s="100"/>
      <c r="D16" s="42" t="s">
        <v>83</v>
      </c>
      <c r="E16" s="42" t="s">
        <v>101</v>
      </c>
      <c r="F16" s="180" t="s">
        <v>238</v>
      </c>
      <c r="G16" s="181"/>
      <c r="H16" s="101"/>
      <c r="I16" s="20"/>
      <c r="J16" s="101"/>
      <c r="K16" s="101"/>
      <c r="L16" s="20"/>
      <c r="M16" s="101"/>
      <c r="N16" s="101"/>
      <c r="O16" s="20"/>
      <c r="P16" s="101"/>
      <c r="Q16" s="136"/>
      <c r="R16" s="101"/>
      <c r="S16" s="100"/>
      <c r="T16" s="102"/>
      <c r="U16" s="102"/>
      <c r="V16" s="140"/>
      <c r="W16" s="140"/>
      <c r="X16" s="110"/>
    </row>
    <row r="17" spans="2:24" ht="34.5" customHeight="1">
      <c r="B17" s="126" t="str">
        <f t="shared" si="0"/>
        <v>1-9</v>
      </c>
      <c r="C17" s="100"/>
      <c r="D17" s="42" t="s">
        <v>83</v>
      </c>
      <c r="E17" s="42" t="s">
        <v>93</v>
      </c>
      <c r="F17" s="192" t="s">
        <v>162</v>
      </c>
      <c r="G17" s="193"/>
      <c r="H17" s="101"/>
      <c r="I17" s="20"/>
      <c r="J17" s="101"/>
      <c r="K17" s="101"/>
      <c r="L17" s="20"/>
      <c r="M17" s="101"/>
      <c r="N17" s="101"/>
      <c r="O17" s="20"/>
      <c r="P17" s="101"/>
      <c r="Q17" s="136"/>
      <c r="R17" s="101"/>
      <c r="S17" s="100"/>
      <c r="T17" s="102"/>
      <c r="U17" s="102"/>
      <c r="V17" s="140"/>
      <c r="W17" s="140"/>
      <c r="X17" s="106"/>
    </row>
    <row r="18" spans="2:24" ht="35.450000000000003" customHeight="1">
      <c r="B18" s="126" t="str">
        <f t="shared" si="0"/>
        <v>1-10</v>
      </c>
      <c r="C18" s="100"/>
      <c r="D18" s="42" t="s">
        <v>83</v>
      </c>
      <c r="E18" s="42" t="s">
        <v>93</v>
      </c>
      <c r="F18" s="192" t="s">
        <v>92</v>
      </c>
      <c r="G18" s="193"/>
      <c r="H18" s="101"/>
      <c r="I18" s="20"/>
      <c r="J18" s="101"/>
      <c r="K18" s="101"/>
      <c r="L18" s="20"/>
      <c r="M18" s="101"/>
      <c r="N18" s="101"/>
      <c r="O18" s="20"/>
      <c r="P18" s="101"/>
      <c r="Q18" s="101"/>
      <c r="R18" s="101"/>
      <c r="S18" s="100"/>
      <c r="T18" s="102"/>
      <c r="U18" s="102"/>
      <c r="V18" s="140"/>
      <c r="W18" s="140"/>
      <c r="X18" s="106"/>
    </row>
    <row r="19" spans="2:24" ht="35.450000000000003" customHeight="1">
      <c r="B19" s="126" t="str">
        <f t="shared" si="0"/>
        <v>1-11</v>
      </c>
      <c r="C19" s="100"/>
      <c r="D19" s="42" t="s">
        <v>83</v>
      </c>
      <c r="E19" s="42" t="s">
        <v>93</v>
      </c>
      <c r="F19" s="192" t="s">
        <v>94</v>
      </c>
      <c r="G19" s="193"/>
      <c r="H19" s="101"/>
      <c r="I19" s="20"/>
      <c r="J19" s="101"/>
      <c r="K19" s="101"/>
      <c r="L19" s="20"/>
      <c r="M19" s="101"/>
      <c r="N19" s="101"/>
      <c r="O19" s="20"/>
      <c r="P19" s="101"/>
      <c r="Q19" s="101"/>
      <c r="R19" s="101"/>
      <c r="S19" s="100"/>
      <c r="T19" s="102"/>
      <c r="U19" s="102"/>
      <c r="V19" s="140"/>
      <c r="W19" s="140"/>
      <c r="X19" s="106"/>
    </row>
    <row r="20" spans="2:24" ht="35.450000000000003" customHeight="1">
      <c r="B20" s="126" t="str">
        <f t="shared" si="0"/>
        <v>1-12</v>
      </c>
      <c r="C20" s="100"/>
      <c r="D20" s="42" t="s">
        <v>119</v>
      </c>
      <c r="E20" s="42" t="s">
        <v>120</v>
      </c>
      <c r="F20" s="192" t="s">
        <v>121</v>
      </c>
      <c r="G20" s="193"/>
      <c r="H20" s="101"/>
      <c r="I20" s="20"/>
      <c r="J20" s="101"/>
      <c r="K20" s="101"/>
      <c r="L20" s="20"/>
      <c r="M20" s="101"/>
      <c r="N20" s="101"/>
      <c r="O20" s="20"/>
      <c r="P20" s="101"/>
      <c r="Q20" s="101"/>
      <c r="R20" s="101"/>
      <c r="S20" s="100"/>
      <c r="T20" s="102"/>
      <c r="U20" s="102"/>
      <c r="V20" s="140"/>
      <c r="W20" s="140"/>
      <c r="X20" s="118"/>
    </row>
    <row r="21" spans="2:24" ht="35.450000000000003" customHeight="1">
      <c r="B21" s="126" t="str">
        <f t="shared" si="0"/>
        <v>1-13</v>
      </c>
      <c r="C21" s="100"/>
      <c r="D21" s="42" t="s">
        <v>123</v>
      </c>
      <c r="E21" s="42" t="s">
        <v>220</v>
      </c>
      <c r="F21" s="192" t="s">
        <v>121</v>
      </c>
      <c r="G21" s="194"/>
      <c r="H21" s="101"/>
      <c r="I21" s="20"/>
      <c r="J21" s="101"/>
      <c r="K21" s="101"/>
      <c r="L21" s="20"/>
      <c r="M21" s="101"/>
      <c r="N21" s="101"/>
      <c r="O21" s="20"/>
      <c r="P21" s="101"/>
      <c r="Q21" s="101"/>
      <c r="R21" s="101"/>
      <c r="S21" s="100"/>
      <c r="T21" s="102"/>
      <c r="U21" s="102"/>
      <c r="V21" s="140"/>
      <c r="W21" s="140"/>
      <c r="X21" s="118"/>
    </row>
    <row r="22" spans="2:24" ht="35.450000000000003" customHeight="1">
      <c r="B22" s="126" t="str">
        <f t="shared" si="0"/>
        <v>1-14</v>
      </c>
      <c r="C22" s="100"/>
      <c r="D22" s="42" t="s">
        <v>102</v>
      </c>
      <c r="E22" s="42" t="s">
        <v>104</v>
      </c>
      <c r="F22" s="192" t="s">
        <v>105</v>
      </c>
      <c r="G22" s="193"/>
      <c r="H22" s="101"/>
      <c r="I22" s="20"/>
      <c r="J22" s="101"/>
      <c r="K22" s="101"/>
      <c r="L22" s="20"/>
      <c r="M22" s="101"/>
      <c r="N22" s="101"/>
      <c r="O22" s="20"/>
      <c r="P22" s="101"/>
      <c r="Q22" s="136"/>
      <c r="R22" s="101"/>
      <c r="S22" s="100"/>
      <c r="T22" s="102"/>
      <c r="U22" s="102"/>
      <c r="V22" s="140"/>
      <c r="W22" s="15"/>
    </row>
    <row r="23" spans="2:24" ht="35.450000000000003" customHeight="1">
      <c r="B23" s="126" t="str">
        <f t="shared" si="0"/>
        <v>1-15</v>
      </c>
      <c r="C23" s="100"/>
      <c r="D23" s="42" t="s">
        <v>83</v>
      </c>
      <c r="E23" s="42" t="s">
        <v>106</v>
      </c>
      <c r="F23" s="192" t="s">
        <v>107</v>
      </c>
      <c r="G23" s="193"/>
      <c r="H23" s="101"/>
      <c r="I23" s="20"/>
      <c r="J23" s="101"/>
      <c r="K23" s="101"/>
      <c r="L23" s="20"/>
      <c r="M23" s="101"/>
      <c r="N23" s="101"/>
      <c r="O23" s="20"/>
      <c r="P23" s="101"/>
      <c r="Q23" s="136"/>
      <c r="R23" s="101"/>
      <c r="S23" s="100"/>
      <c r="T23" s="102"/>
      <c r="U23" s="102"/>
      <c r="V23" s="140"/>
      <c r="W23" s="15"/>
    </row>
    <row r="24" spans="2:24" ht="35.450000000000003" customHeight="1">
      <c r="B24" s="126" t="str">
        <f t="shared" si="0"/>
        <v>1-16</v>
      </c>
      <c r="C24" s="100"/>
      <c r="D24" s="42" t="s">
        <v>108</v>
      </c>
      <c r="E24" s="42" t="s">
        <v>104</v>
      </c>
      <c r="F24" s="192" t="s">
        <v>105</v>
      </c>
      <c r="G24" s="193"/>
      <c r="H24" s="101"/>
      <c r="I24" s="20"/>
      <c r="J24" s="101"/>
      <c r="K24" s="101"/>
      <c r="L24" s="20"/>
      <c r="M24" s="101"/>
      <c r="N24" s="101"/>
      <c r="O24" s="20"/>
      <c r="P24" s="101"/>
      <c r="Q24" s="136"/>
      <c r="R24" s="101"/>
      <c r="S24" s="100"/>
      <c r="T24" s="102"/>
      <c r="U24" s="102"/>
      <c r="V24" s="140"/>
      <c r="W24" s="15"/>
    </row>
    <row r="25" spans="2:24" ht="35.450000000000003" customHeight="1">
      <c r="B25" s="126" t="str">
        <f t="shared" si="0"/>
        <v>1-17</v>
      </c>
      <c r="C25" s="100"/>
      <c r="D25" s="42" t="s">
        <v>83</v>
      </c>
      <c r="E25" s="42" t="s">
        <v>106</v>
      </c>
      <c r="F25" s="192" t="s">
        <v>107</v>
      </c>
      <c r="G25" s="193"/>
      <c r="H25" s="101"/>
      <c r="I25" s="20"/>
      <c r="J25" s="101"/>
      <c r="K25" s="101"/>
      <c r="L25" s="20"/>
      <c r="M25" s="101"/>
      <c r="N25" s="101"/>
      <c r="O25" s="20"/>
      <c r="P25" s="101"/>
      <c r="Q25" s="136"/>
      <c r="R25" s="101"/>
      <c r="S25" s="100"/>
      <c r="T25" s="102"/>
      <c r="U25" s="102"/>
      <c r="V25" s="140"/>
      <c r="W25" s="15"/>
    </row>
    <row r="26" spans="2:24" ht="35.450000000000003" customHeight="1">
      <c r="B26" s="126" t="str">
        <f t="shared" si="0"/>
        <v>1-18</v>
      </c>
      <c r="C26" s="100"/>
      <c r="D26" s="42" t="s">
        <v>113</v>
      </c>
      <c r="E26" s="42" t="s">
        <v>109</v>
      </c>
      <c r="F26" s="180" t="s">
        <v>110</v>
      </c>
      <c r="G26" s="181"/>
      <c r="H26" s="101"/>
      <c r="I26" s="20"/>
      <c r="J26" s="101"/>
      <c r="K26" s="101"/>
      <c r="L26" s="20"/>
      <c r="M26" s="101"/>
      <c r="N26" s="101"/>
      <c r="O26" s="20"/>
      <c r="P26" s="101"/>
      <c r="Q26" s="101"/>
      <c r="R26" s="101"/>
      <c r="S26" s="100"/>
      <c r="T26" s="102"/>
      <c r="U26" s="102"/>
      <c r="V26" s="140"/>
      <c r="W26" s="15"/>
    </row>
    <row r="27" spans="2:24" ht="35.450000000000003" customHeight="1">
      <c r="B27" s="126" t="str">
        <f t="shared" si="0"/>
        <v>1-19</v>
      </c>
      <c r="C27" s="100"/>
      <c r="D27" s="42" t="s">
        <v>83</v>
      </c>
      <c r="E27" s="42" t="s">
        <v>111</v>
      </c>
      <c r="F27" s="180" t="s">
        <v>282</v>
      </c>
      <c r="G27" s="181"/>
      <c r="H27" s="101"/>
      <c r="I27" s="20"/>
      <c r="J27" s="101"/>
      <c r="K27" s="101"/>
      <c r="L27" s="20"/>
      <c r="M27" s="101"/>
      <c r="N27" s="101"/>
      <c r="O27" s="20"/>
      <c r="P27" s="101"/>
      <c r="Q27" s="101"/>
      <c r="R27" s="101"/>
      <c r="S27" s="100"/>
      <c r="T27" s="102"/>
      <c r="U27" s="102"/>
      <c r="V27" s="140"/>
      <c r="W27" s="15"/>
    </row>
    <row r="28" spans="2:24" ht="35.450000000000003" customHeight="1">
      <c r="B28" s="126" t="str">
        <f t="shared" si="0"/>
        <v>1-20</v>
      </c>
      <c r="C28" s="100"/>
      <c r="D28" s="42" t="s">
        <v>83</v>
      </c>
      <c r="E28" s="42" t="s">
        <v>114</v>
      </c>
      <c r="F28" s="180" t="s">
        <v>230</v>
      </c>
      <c r="G28" s="194"/>
      <c r="H28" s="101"/>
      <c r="I28" s="20"/>
      <c r="J28" s="101"/>
      <c r="K28" s="101"/>
      <c r="L28" s="20"/>
      <c r="M28" s="101"/>
      <c r="N28" s="101"/>
      <c r="O28" s="20"/>
      <c r="P28" s="101"/>
      <c r="Q28" s="101"/>
      <c r="R28" s="101"/>
      <c r="S28" s="100"/>
      <c r="T28" s="102"/>
      <c r="U28" s="102"/>
      <c r="V28" s="140"/>
      <c r="W28" s="15"/>
    </row>
    <row r="29" spans="2:24" ht="35.450000000000003" customHeight="1">
      <c r="B29" s="126" t="str">
        <f t="shared" si="0"/>
        <v>1-21</v>
      </c>
      <c r="C29" s="100"/>
      <c r="D29" s="42" t="s">
        <v>222</v>
      </c>
      <c r="E29" s="42" t="s">
        <v>112</v>
      </c>
      <c r="F29" s="180" t="s">
        <v>208</v>
      </c>
      <c r="G29" s="194"/>
      <c r="H29" s="101"/>
      <c r="I29" s="20"/>
      <c r="J29" s="101"/>
      <c r="K29" s="101"/>
      <c r="L29" s="20"/>
      <c r="M29" s="101"/>
      <c r="N29" s="101"/>
      <c r="O29" s="20"/>
      <c r="P29" s="101"/>
      <c r="Q29" s="101"/>
      <c r="R29" s="101"/>
      <c r="S29" s="100"/>
      <c r="T29" s="102"/>
      <c r="U29" s="102"/>
      <c r="V29" s="140"/>
      <c r="W29" s="15"/>
    </row>
    <row r="30" spans="2:24" ht="35.450000000000003" customHeight="1">
      <c r="B30" s="126" t="str">
        <f t="shared" si="0"/>
        <v>1-22</v>
      </c>
      <c r="C30" s="100" t="s">
        <v>115</v>
      </c>
      <c r="D30" s="42" t="s">
        <v>122</v>
      </c>
      <c r="E30" s="42" t="s">
        <v>117</v>
      </c>
      <c r="F30" s="180" t="s">
        <v>118</v>
      </c>
      <c r="G30" s="194"/>
      <c r="H30" s="101"/>
      <c r="I30" s="20"/>
      <c r="J30" s="101"/>
      <c r="K30" s="101"/>
      <c r="L30" s="20"/>
      <c r="M30" s="101"/>
      <c r="N30" s="101"/>
      <c r="O30" s="20"/>
      <c r="P30" s="101"/>
      <c r="Q30" s="136"/>
      <c r="R30" s="101"/>
      <c r="S30" s="100"/>
      <c r="T30" s="102"/>
      <c r="U30" s="102"/>
      <c r="V30" s="140"/>
      <c r="W30" s="15"/>
    </row>
    <row r="31" spans="2:24" ht="35.450000000000003" customHeight="1">
      <c r="B31" s="126" t="str">
        <f t="shared" si="0"/>
        <v>1-23</v>
      </c>
      <c r="C31" s="100"/>
      <c r="D31" s="42" t="s">
        <v>124</v>
      </c>
      <c r="E31" s="42" t="s">
        <v>116</v>
      </c>
      <c r="F31" s="180" t="s">
        <v>146</v>
      </c>
      <c r="G31" s="181"/>
      <c r="H31" s="101"/>
      <c r="I31" s="20"/>
      <c r="J31" s="101"/>
      <c r="K31" s="101"/>
      <c r="L31" s="20"/>
      <c r="M31" s="101"/>
      <c r="N31" s="101"/>
      <c r="O31" s="20"/>
      <c r="P31" s="101"/>
      <c r="Q31" s="136"/>
      <c r="R31" s="107"/>
      <c r="S31" s="100"/>
      <c r="T31" s="102"/>
      <c r="U31" s="102"/>
      <c r="V31" s="140"/>
      <c r="W31" s="15"/>
    </row>
    <row r="32" spans="2:24" ht="48" customHeight="1">
      <c r="B32" s="126" t="str">
        <f t="shared" si="0"/>
        <v>1-24</v>
      </c>
      <c r="C32" s="100"/>
      <c r="D32" s="42" t="s">
        <v>125</v>
      </c>
      <c r="E32" s="42" t="s">
        <v>127</v>
      </c>
      <c r="F32" s="180" t="s">
        <v>128</v>
      </c>
      <c r="G32" s="181"/>
      <c r="H32" s="101"/>
      <c r="I32" s="20"/>
      <c r="J32" s="101"/>
      <c r="K32" s="101"/>
      <c r="L32" s="20"/>
      <c r="M32" s="101"/>
      <c r="N32" s="101"/>
      <c r="O32" s="20"/>
      <c r="P32" s="101"/>
      <c r="Q32" s="136"/>
      <c r="R32" s="101"/>
      <c r="S32" s="100"/>
      <c r="T32" s="102"/>
      <c r="U32" s="102"/>
      <c r="V32" s="140"/>
      <c r="W32" s="15"/>
    </row>
    <row r="33" spans="2:23" ht="35.450000000000003" customHeight="1">
      <c r="B33" s="126" t="str">
        <f t="shared" si="0"/>
        <v>1-25</v>
      </c>
      <c r="C33" s="100"/>
      <c r="D33" s="42" t="s">
        <v>83</v>
      </c>
      <c r="E33" s="42" t="s">
        <v>136</v>
      </c>
      <c r="F33" s="180" t="s">
        <v>129</v>
      </c>
      <c r="G33" s="194"/>
      <c r="H33" s="101"/>
      <c r="I33" s="20"/>
      <c r="J33" s="101"/>
      <c r="K33" s="101"/>
      <c r="L33" s="20"/>
      <c r="M33" s="101"/>
      <c r="N33" s="101"/>
      <c r="O33" s="20"/>
      <c r="P33" s="101"/>
      <c r="Q33" s="101"/>
      <c r="R33" s="101"/>
      <c r="S33" s="100"/>
      <c r="T33" s="102"/>
      <c r="U33" s="102"/>
      <c r="V33" s="140"/>
      <c r="W33" s="15"/>
    </row>
    <row r="34" spans="2:23" ht="39" customHeight="1">
      <c r="B34" s="126" t="str">
        <f t="shared" si="0"/>
        <v>1-26</v>
      </c>
      <c r="C34" s="100"/>
      <c r="D34" s="42" t="s">
        <v>83</v>
      </c>
      <c r="E34" s="42" t="s">
        <v>83</v>
      </c>
      <c r="F34" s="192" t="s">
        <v>130</v>
      </c>
      <c r="G34" s="193"/>
      <c r="H34" s="101"/>
      <c r="I34" s="20"/>
      <c r="J34" s="101"/>
      <c r="K34" s="101"/>
      <c r="L34" s="20"/>
      <c r="M34" s="101"/>
      <c r="N34" s="101"/>
      <c r="O34" s="20"/>
      <c r="P34" s="101"/>
      <c r="Q34" s="101"/>
      <c r="R34" s="101"/>
      <c r="S34" s="100"/>
      <c r="T34" s="102"/>
      <c r="U34" s="102"/>
      <c r="V34" s="140"/>
      <c r="W34" s="15"/>
    </row>
    <row r="35" spans="2:23" ht="35.450000000000003" customHeight="1">
      <c r="B35" s="126" t="str">
        <f t="shared" si="0"/>
        <v>1-27</v>
      </c>
      <c r="C35" s="100"/>
      <c r="D35" s="42" t="s">
        <v>83</v>
      </c>
      <c r="E35" s="42" t="s">
        <v>137</v>
      </c>
      <c r="F35" s="180" t="s">
        <v>131</v>
      </c>
      <c r="G35" s="194"/>
      <c r="H35" s="101"/>
      <c r="I35" s="20"/>
      <c r="J35" s="101"/>
      <c r="K35" s="101"/>
      <c r="L35" s="20"/>
      <c r="M35" s="101"/>
      <c r="N35" s="101"/>
      <c r="O35" s="20"/>
      <c r="P35" s="101"/>
      <c r="Q35" s="101"/>
      <c r="R35" s="101"/>
      <c r="S35" s="100"/>
      <c r="T35" s="102"/>
      <c r="U35" s="102"/>
      <c r="V35" s="140"/>
      <c r="W35" s="15"/>
    </row>
    <row r="36" spans="2:23" ht="35.450000000000003" customHeight="1">
      <c r="B36" s="126" t="str">
        <f t="shared" si="0"/>
        <v>1-28</v>
      </c>
      <c r="C36" s="100"/>
      <c r="D36" s="42" t="s">
        <v>83</v>
      </c>
      <c r="E36" s="42" t="s">
        <v>83</v>
      </c>
      <c r="F36" s="192" t="s">
        <v>157</v>
      </c>
      <c r="G36" s="193"/>
      <c r="H36" s="101"/>
      <c r="I36" s="20"/>
      <c r="J36" s="101"/>
      <c r="K36" s="101"/>
      <c r="L36" s="20"/>
      <c r="M36" s="101"/>
      <c r="N36" s="101"/>
      <c r="O36" s="20"/>
      <c r="P36" s="101"/>
      <c r="Q36" s="101"/>
      <c r="R36" s="101"/>
      <c r="S36" s="100"/>
      <c r="T36" s="102"/>
      <c r="U36" s="102"/>
      <c r="V36" s="140"/>
      <c r="W36" s="15"/>
    </row>
    <row r="37" spans="2:23" ht="35.450000000000003" customHeight="1">
      <c r="B37" s="126" t="str">
        <f t="shared" si="0"/>
        <v>1-29</v>
      </c>
      <c r="C37" s="100"/>
      <c r="D37" s="42" t="s">
        <v>83</v>
      </c>
      <c r="E37" s="42" t="s">
        <v>138</v>
      </c>
      <c r="F37" s="192" t="s">
        <v>139</v>
      </c>
      <c r="G37" s="193"/>
      <c r="H37" s="101"/>
      <c r="I37" s="20"/>
      <c r="J37" s="101"/>
      <c r="K37" s="101"/>
      <c r="L37" s="20"/>
      <c r="M37" s="101"/>
      <c r="N37" s="101"/>
      <c r="O37" s="20"/>
      <c r="P37" s="101"/>
      <c r="Q37" s="136"/>
      <c r="R37" s="101"/>
      <c r="S37" s="100"/>
      <c r="T37" s="102"/>
      <c r="U37" s="102"/>
      <c r="V37" s="140"/>
      <c r="W37" s="15"/>
    </row>
    <row r="38" spans="2:23" ht="35.450000000000003" customHeight="1">
      <c r="B38" s="126" t="str">
        <f t="shared" si="0"/>
        <v>1-30</v>
      </c>
      <c r="C38" s="100"/>
      <c r="D38" s="42" t="s">
        <v>132</v>
      </c>
      <c r="E38" s="42" t="s">
        <v>126</v>
      </c>
      <c r="F38" s="180" t="s">
        <v>134</v>
      </c>
      <c r="G38" s="181"/>
      <c r="H38" s="101"/>
      <c r="I38" s="20"/>
      <c r="J38" s="101"/>
      <c r="K38" s="101"/>
      <c r="L38" s="20"/>
      <c r="M38" s="101"/>
      <c r="N38" s="101"/>
      <c r="O38" s="20"/>
      <c r="P38" s="101"/>
      <c r="Q38" s="136"/>
      <c r="R38" s="101"/>
      <c r="S38" s="100"/>
      <c r="T38" s="102"/>
      <c r="U38" s="102"/>
      <c r="V38" s="140"/>
      <c r="W38" s="15"/>
    </row>
    <row r="39" spans="2:23" ht="45" customHeight="1">
      <c r="B39" s="126" t="str">
        <f t="shared" si="0"/>
        <v>1-31</v>
      </c>
      <c r="C39" s="100"/>
      <c r="D39" s="42" t="s">
        <v>133</v>
      </c>
      <c r="E39" s="42" t="s">
        <v>135</v>
      </c>
      <c r="F39" s="192" t="s">
        <v>128</v>
      </c>
      <c r="G39" s="194"/>
      <c r="H39" s="101"/>
      <c r="I39" s="20"/>
      <c r="J39" s="101"/>
      <c r="K39" s="101"/>
      <c r="L39" s="20"/>
      <c r="M39" s="101"/>
      <c r="N39" s="101"/>
      <c r="O39" s="20"/>
      <c r="P39" s="101"/>
      <c r="Q39" s="136"/>
      <c r="R39" s="107"/>
      <c r="S39" s="100"/>
      <c r="T39" s="102"/>
      <c r="U39" s="102"/>
      <c r="V39" s="140"/>
      <c r="W39" s="15"/>
    </row>
    <row r="40" spans="2:23" ht="35.450000000000003" customHeight="1">
      <c r="B40" s="126" t="str">
        <f t="shared" si="0"/>
        <v>1-32</v>
      </c>
      <c r="C40" s="100"/>
      <c r="D40" s="42" t="s">
        <v>135</v>
      </c>
      <c r="E40" s="42" t="s">
        <v>140</v>
      </c>
      <c r="F40" s="192" t="s">
        <v>142</v>
      </c>
      <c r="G40" s="193"/>
      <c r="H40" s="101"/>
      <c r="I40" s="20"/>
      <c r="J40" s="101"/>
      <c r="K40" s="101"/>
      <c r="L40" s="20"/>
      <c r="M40" s="101"/>
      <c r="N40" s="101"/>
      <c r="O40" s="20"/>
      <c r="P40" s="101"/>
      <c r="Q40" s="136"/>
      <c r="R40" s="107"/>
      <c r="S40" s="100"/>
      <c r="T40" s="102"/>
      <c r="U40" s="102"/>
      <c r="V40" s="140"/>
      <c r="W40" s="15"/>
    </row>
    <row r="41" spans="2:23" ht="35.450000000000003" customHeight="1">
      <c r="B41" s="126" t="str">
        <f t="shared" si="0"/>
        <v>1-33</v>
      </c>
      <c r="C41" s="100"/>
      <c r="D41" s="42" t="s">
        <v>135</v>
      </c>
      <c r="E41" s="42" t="s">
        <v>141</v>
      </c>
      <c r="F41" s="192" t="s">
        <v>143</v>
      </c>
      <c r="G41" s="193"/>
      <c r="H41" s="101"/>
      <c r="I41" s="20"/>
      <c r="J41" s="101"/>
      <c r="K41" s="101"/>
      <c r="L41" s="20"/>
      <c r="M41" s="101"/>
      <c r="N41" s="101"/>
      <c r="O41" s="20"/>
      <c r="P41" s="101"/>
      <c r="Q41" s="136"/>
      <c r="R41" s="101"/>
      <c r="S41" s="100"/>
      <c r="T41" s="102"/>
      <c r="U41" s="102"/>
      <c r="V41" s="140"/>
      <c r="W41" s="15"/>
    </row>
    <row r="42" spans="2:23" ht="35.450000000000003" customHeight="1">
      <c r="B42" s="126" t="str">
        <f t="shared" si="0"/>
        <v>1-34</v>
      </c>
      <c r="C42" s="100"/>
      <c r="D42" s="42" t="s">
        <v>223</v>
      </c>
      <c r="E42" s="42" t="s">
        <v>144</v>
      </c>
      <c r="F42" s="180" t="s">
        <v>150</v>
      </c>
      <c r="G42" s="194"/>
      <c r="H42" s="101"/>
      <c r="I42" s="20"/>
      <c r="J42" s="101"/>
      <c r="K42" s="101"/>
      <c r="L42" s="20"/>
      <c r="M42" s="101"/>
      <c r="N42" s="101"/>
      <c r="O42" s="20"/>
      <c r="P42" s="101"/>
      <c r="Q42" s="136"/>
      <c r="R42" s="101"/>
      <c r="S42" s="100"/>
      <c r="T42" s="102"/>
      <c r="U42" s="102"/>
      <c r="V42" s="140"/>
      <c r="W42" s="15"/>
    </row>
    <row r="43" spans="2:23" ht="35.450000000000003" customHeight="1">
      <c r="B43" s="126" t="str">
        <f t="shared" si="0"/>
        <v>1-35</v>
      </c>
      <c r="C43" s="100"/>
      <c r="D43" s="42" t="s">
        <v>135</v>
      </c>
      <c r="E43" s="42" t="s">
        <v>145</v>
      </c>
      <c r="F43" s="180" t="s">
        <v>152</v>
      </c>
      <c r="G43" s="194"/>
      <c r="H43" s="101"/>
      <c r="I43" s="20"/>
      <c r="J43" s="101"/>
      <c r="K43" s="101"/>
      <c r="L43" s="20"/>
      <c r="M43" s="101"/>
      <c r="N43" s="101"/>
      <c r="O43" s="20"/>
      <c r="P43" s="101"/>
      <c r="Q43" s="136"/>
      <c r="R43" s="101"/>
      <c r="S43" s="100"/>
      <c r="T43" s="102"/>
      <c r="U43" s="102"/>
      <c r="V43" s="140"/>
      <c r="W43" s="15"/>
    </row>
    <row r="44" spans="2:23" ht="35.450000000000003" customHeight="1">
      <c r="B44" s="126" t="str">
        <f t="shared" si="0"/>
        <v>1-36</v>
      </c>
      <c r="C44" s="100"/>
      <c r="D44" s="42" t="s">
        <v>135</v>
      </c>
      <c r="E44" s="42" t="s">
        <v>147</v>
      </c>
      <c r="F44" s="180" t="s">
        <v>121</v>
      </c>
      <c r="G44" s="194"/>
      <c r="H44" s="101"/>
      <c r="I44" s="20"/>
      <c r="J44" s="101"/>
      <c r="K44" s="101"/>
      <c r="L44" s="20"/>
      <c r="M44" s="101"/>
      <c r="N44" s="101"/>
      <c r="O44" s="20"/>
      <c r="P44" s="101"/>
      <c r="Q44" s="101"/>
      <c r="R44" s="101"/>
      <c r="S44" s="100"/>
      <c r="T44" s="102"/>
      <c r="U44" s="102"/>
      <c r="V44" s="140"/>
      <c r="W44" s="15"/>
    </row>
    <row r="45" spans="2:23" ht="35.450000000000003" customHeight="1">
      <c r="B45" s="126" t="str">
        <f t="shared" si="0"/>
        <v>1-37</v>
      </c>
      <c r="C45" s="100"/>
      <c r="D45" s="42" t="s">
        <v>135</v>
      </c>
      <c r="E45" s="42" t="s">
        <v>148</v>
      </c>
      <c r="F45" s="180" t="s">
        <v>164</v>
      </c>
      <c r="G45" s="194"/>
      <c r="H45" s="101"/>
      <c r="I45" s="20"/>
      <c r="J45" s="101"/>
      <c r="K45" s="101"/>
      <c r="L45" s="20"/>
      <c r="M45" s="101"/>
      <c r="N45" s="101"/>
      <c r="O45" s="20"/>
      <c r="P45" s="101"/>
      <c r="Q45" s="101"/>
      <c r="R45" s="101"/>
      <c r="S45" s="100"/>
      <c r="T45" s="102"/>
      <c r="U45" s="102"/>
      <c r="V45" s="140"/>
      <c r="W45" s="15"/>
    </row>
    <row r="46" spans="2:23" ht="35.450000000000003" customHeight="1">
      <c r="B46" s="126" t="str">
        <f t="shared" si="0"/>
        <v>1-38</v>
      </c>
      <c r="C46" s="100"/>
      <c r="D46" s="42" t="s">
        <v>224</v>
      </c>
      <c r="E46" s="42" t="s">
        <v>149</v>
      </c>
      <c r="F46" s="180" t="s">
        <v>151</v>
      </c>
      <c r="G46" s="194"/>
      <c r="H46" s="101"/>
      <c r="I46" s="20"/>
      <c r="J46" s="101"/>
      <c r="K46" s="101"/>
      <c r="L46" s="20"/>
      <c r="M46" s="101"/>
      <c r="N46" s="101"/>
      <c r="O46" s="20"/>
      <c r="P46" s="101"/>
      <c r="Q46" s="136"/>
      <c r="R46" s="101"/>
      <c r="S46" s="100"/>
      <c r="T46" s="102"/>
      <c r="U46" s="102"/>
      <c r="V46" s="140"/>
      <c r="W46" s="15"/>
    </row>
    <row r="47" spans="2:23" ht="35.450000000000003" customHeight="1">
      <c r="B47" s="126" t="str">
        <f t="shared" si="0"/>
        <v>1-39</v>
      </c>
      <c r="C47" s="100"/>
      <c r="D47" s="42" t="s">
        <v>135</v>
      </c>
      <c r="E47" s="42" t="s">
        <v>145</v>
      </c>
      <c r="F47" s="180" t="s">
        <v>152</v>
      </c>
      <c r="G47" s="194"/>
      <c r="H47" s="101"/>
      <c r="I47" s="20"/>
      <c r="J47" s="101"/>
      <c r="K47" s="101"/>
      <c r="L47" s="20"/>
      <c r="M47" s="101"/>
      <c r="N47" s="101"/>
      <c r="O47" s="20"/>
      <c r="P47" s="101"/>
      <c r="Q47" s="136"/>
      <c r="R47" s="107"/>
      <c r="S47" s="100"/>
      <c r="T47" s="102"/>
      <c r="U47" s="102"/>
      <c r="V47" s="140"/>
      <c r="W47" s="15"/>
    </row>
    <row r="48" spans="2:23" ht="35.450000000000003" customHeight="1">
      <c r="B48" s="126" t="str">
        <f t="shared" si="0"/>
        <v>1-40</v>
      </c>
      <c r="C48" s="100"/>
      <c r="D48" s="42" t="s">
        <v>135</v>
      </c>
      <c r="E48" s="42" t="s">
        <v>147</v>
      </c>
      <c r="F48" s="180" t="s">
        <v>121</v>
      </c>
      <c r="G48" s="194"/>
      <c r="H48" s="101"/>
      <c r="I48" s="20"/>
      <c r="J48" s="101"/>
      <c r="K48" s="101"/>
      <c r="L48" s="20"/>
      <c r="M48" s="101"/>
      <c r="N48" s="101"/>
      <c r="O48" s="20"/>
      <c r="P48" s="101"/>
      <c r="Q48" s="101"/>
      <c r="R48" s="107"/>
      <c r="S48" s="100"/>
      <c r="T48" s="102"/>
      <c r="U48" s="102"/>
      <c r="V48" s="140"/>
      <c r="W48" s="15"/>
    </row>
    <row r="49" spans="2:23" ht="35.450000000000003" customHeight="1">
      <c r="B49" s="126" t="str">
        <f t="shared" si="0"/>
        <v>1-41</v>
      </c>
      <c r="C49" s="100"/>
      <c r="D49" s="42" t="s">
        <v>135</v>
      </c>
      <c r="E49" s="42" t="s">
        <v>148</v>
      </c>
      <c r="F49" s="180" t="s">
        <v>164</v>
      </c>
      <c r="G49" s="194"/>
      <c r="H49" s="101"/>
      <c r="I49" s="20"/>
      <c r="J49" s="101"/>
      <c r="K49" s="101"/>
      <c r="L49" s="20"/>
      <c r="M49" s="101"/>
      <c r="N49" s="101"/>
      <c r="O49" s="20"/>
      <c r="P49" s="101"/>
      <c r="Q49" s="101"/>
      <c r="R49" s="101"/>
      <c r="S49" s="100"/>
      <c r="T49" s="102"/>
      <c r="U49" s="102"/>
      <c r="V49" s="140"/>
      <c r="W49" s="15"/>
    </row>
    <row r="50" spans="2:23" ht="35.450000000000003" customHeight="1">
      <c r="B50" s="126" t="str">
        <f t="shared" si="0"/>
        <v>1-42</v>
      </c>
      <c r="C50" s="100" t="s">
        <v>153</v>
      </c>
      <c r="D50" s="42" t="s">
        <v>154</v>
      </c>
      <c r="E50" s="42" t="s">
        <v>117</v>
      </c>
      <c r="F50" s="116" t="s">
        <v>118</v>
      </c>
      <c r="G50" s="117"/>
      <c r="H50" s="101"/>
      <c r="I50" s="20"/>
      <c r="J50" s="101"/>
      <c r="K50" s="101"/>
      <c r="L50" s="20"/>
      <c r="M50" s="101"/>
      <c r="N50" s="101"/>
      <c r="O50" s="20"/>
      <c r="P50" s="101"/>
      <c r="Q50" s="101"/>
      <c r="R50" s="101"/>
      <c r="S50" s="100"/>
      <c r="T50" s="102"/>
      <c r="U50" s="102"/>
      <c r="V50" s="140"/>
      <c r="W50" s="15"/>
    </row>
    <row r="51" spans="2:23" ht="35.450000000000003" customHeight="1">
      <c r="B51" s="126" t="str">
        <f t="shared" si="0"/>
        <v>1-43</v>
      </c>
      <c r="C51" s="100"/>
      <c r="D51" s="42" t="s">
        <v>155</v>
      </c>
      <c r="E51" s="42" t="s">
        <v>135</v>
      </c>
      <c r="F51" s="180" t="s">
        <v>146</v>
      </c>
      <c r="G51" s="181"/>
      <c r="H51" s="101"/>
      <c r="I51" s="20"/>
      <c r="J51" s="101"/>
      <c r="K51" s="101"/>
      <c r="L51" s="20"/>
      <c r="M51" s="101"/>
      <c r="N51" s="101"/>
      <c r="O51" s="20"/>
      <c r="P51" s="101"/>
      <c r="Q51" s="101"/>
      <c r="R51" s="101"/>
      <c r="S51" s="100"/>
      <c r="T51" s="102"/>
      <c r="U51" s="102"/>
      <c r="V51" s="140"/>
      <c r="W51" s="15"/>
    </row>
    <row r="52" spans="2:23" ht="54.75" customHeight="1">
      <c r="B52" s="126" t="str">
        <f t="shared" si="0"/>
        <v>1-44</v>
      </c>
      <c r="C52" s="100"/>
      <c r="D52" s="42" t="s">
        <v>125</v>
      </c>
      <c r="E52" s="42" t="s">
        <v>127</v>
      </c>
      <c r="F52" s="180" t="s">
        <v>128</v>
      </c>
      <c r="G52" s="181"/>
      <c r="H52" s="101"/>
      <c r="I52" s="20"/>
      <c r="J52" s="101"/>
      <c r="K52" s="101"/>
      <c r="L52" s="20"/>
      <c r="M52" s="101"/>
      <c r="N52" s="101"/>
      <c r="O52" s="20"/>
      <c r="P52" s="101"/>
      <c r="Q52" s="136"/>
      <c r="R52" s="101"/>
      <c r="S52" s="100"/>
      <c r="T52" s="102"/>
      <c r="U52" s="102"/>
      <c r="V52" s="140"/>
      <c r="W52" s="15"/>
    </row>
    <row r="53" spans="2:23" ht="33.75" customHeight="1">
      <c r="B53" s="126" t="str">
        <f t="shared" si="0"/>
        <v>1-45</v>
      </c>
      <c r="C53" s="100"/>
      <c r="D53" s="42" t="s">
        <v>83</v>
      </c>
      <c r="E53" s="42" t="s">
        <v>136</v>
      </c>
      <c r="F53" s="180" t="s">
        <v>165</v>
      </c>
      <c r="G53" s="194"/>
      <c r="H53" s="101"/>
      <c r="I53" s="20"/>
      <c r="J53" s="101"/>
      <c r="K53" s="101"/>
      <c r="L53" s="20"/>
      <c r="M53" s="101"/>
      <c r="N53" s="101"/>
      <c r="O53" s="20"/>
      <c r="P53" s="101"/>
      <c r="Q53" s="136"/>
      <c r="R53" s="101"/>
      <c r="S53" s="100"/>
      <c r="T53" s="102"/>
      <c r="U53" s="102"/>
      <c r="V53" s="140"/>
      <c r="W53" s="15"/>
    </row>
    <row r="54" spans="2:23" ht="35.450000000000003" customHeight="1">
      <c r="B54" s="126" t="str">
        <f t="shared" si="0"/>
        <v>1-46</v>
      </c>
      <c r="C54" s="100"/>
      <c r="D54" s="42" t="s">
        <v>83</v>
      </c>
      <c r="E54" s="42" t="s">
        <v>83</v>
      </c>
      <c r="F54" s="192" t="s">
        <v>130</v>
      </c>
      <c r="G54" s="193"/>
      <c r="H54" s="101"/>
      <c r="I54" s="20"/>
      <c r="J54" s="101"/>
      <c r="K54" s="101"/>
      <c r="L54" s="20"/>
      <c r="M54" s="101"/>
      <c r="N54" s="101"/>
      <c r="O54" s="20"/>
      <c r="P54" s="101"/>
      <c r="Q54" s="136"/>
      <c r="R54" s="101"/>
      <c r="S54" s="100"/>
      <c r="T54" s="102"/>
      <c r="U54" s="102"/>
      <c r="V54" s="140"/>
      <c r="W54" s="15"/>
    </row>
    <row r="55" spans="2:23" ht="35.450000000000003" customHeight="1">
      <c r="B55" s="126" t="str">
        <f t="shared" si="0"/>
        <v>1-47</v>
      </c>
      <c r="C55" s="100"/>
      <c r="D55" s="42" t="s">
        <v>83</v>
      </c>
      <c r="E55" s="42" t="s">
        <v>137</v>
      </c>
      <c r="F55" s="180" t="s">
        <v>166</v>
      </c>
      <c r="G55" s="194"/>
      <c r="H55" s="101"/>
      <c r="I55" s="20"/>
      <c r="J55" s="101"/>
      <c r="K55" s="101"/>
      <c r="L55" s="20"/>
      <c r="M55" s="101"/>
      <c r="N55" s="101"/>
      <c r="O55" s="20"/>
      <c r="P55" s="101"/>
      <c r="Q55" s="136"/>
      <c r="R55" s="101"/>
      <c r="S55" s="100"/>
      <c r="T55" s="102"/>
      <c r="U55" s="102"/>
      <c r="V55" s="140"/>
      <c r="W55" s="15"/>
    </row>
    <row r="56" spans="2:23" ht="35.450000000000003" customHeight="1">
      <c r="B56" s="126" t="str">
        <f t="shared" si="0"/>
        <v>1-48</v>
      </c>
      <c r="C56" s="100"/>
      <c r="D56" s="42" t="s">
        <v>83</v>
      </c>
      <c r="E56" s="42" t="s">
        <v>83</v>
      </c>
      <c r="F56" s="192" t="s">
        <v>157</v>
      </c>
      <c r="G56" s="193"/>
      <c r="H56" s="101"/>
      <c r="I56" s="20"/>
      <c r="J56" s="101"/>
      <c r="K56" s="101"/>
      <c r="L56" s="20"/>
      <c r="M56" s="101"/>
      <c r="N56" s="101"/>
      <c r="O56" s="20"/>
      <c r="P56" s="101"/>
      <c r="Q56" s="136"/>
      <c r="R56" s="101"/>
      <c r="S56" s="100"/>
      <c r="T56" s="102"/>
      <c r="U56" s="102"/>
      <c r="V56" s="140"/>
      <c r="W56" s="15"/>
    </row>
    <row r="57" spans="2:23" ht="35.450000000000003" customHeight="1">
      <c r="B57" s="126" t="str">
        <f t="shared" si="0"/>
        <v>1-49</v>
      </c>
      <c r="C57" s="100" t="s">
        <v>156</v>
      </c>
      <c r="D57" s="42" t="s">
        <v>154</v>
      </c>
      <c r="E57" s="42" t="s">
        <v>117</v>
      </c>
      <c r="F57" s="116" t="s">
        <v>118</v>
      </c>
      <c r="G57" s="117"/>
      <c r="H57" s="101"/>
      <c r="I57" s="20"/>
      <c r="J57" s="101"/>
      <c r="K57" s="101"/>
      <c r="L57" s="20"/>
      <c r="M57" s="101"/>
      <c r="N57" s="101"/>
      <c r="O57" s="20"/>
      <c r="P57" s="101"/>
      <c r="Q57" s="101"/>
      <c r="R57" s="101"/>
      <c r="S57" s="100"/>
      <c r="T57" s="102"/>
      <c r="U57" s="102"/>
      <c r="V57" s="140"/>
      <c r="W57" s="15"/>
    </row>
    <row r="58" spans="2:23" ht="35.450000000000003" customHeight="1">
      <c r="B58" s="126" t="str">
        <f t="shared" si="0"/>
        <v>1-50</v>
      </c>
      <c r="C58" s="100"/>
      <c r="D58" s="42" t="s">
        <v>155</v>
      </c>
      <c r="E58" s="42" t="s">
        <v>135</v>
      </c>
      <c r="F58" s="180" t="s">
        <v>146</v>
      </c>
      <c r="G58" s="181"/>
      <c r="H58" s="101"/>
      <c r="I58" s="20"/>
      <c r="J58" s="101"/>
      <c r="K58" s="101"/>
      <c r="L58" s="20"/>
      <c r="M58" s="101"/>
      <c r="N58" s="101"/>
      <c r="O58" s="20"/>
      <c r="P58" s="101"/>
      <c r="Q58" s="101"/>
      <c r="R58" s="101"/>
      <c r="S58" s="100"/>
      <c r="T58" s="102"/>
      <c r="U58" s="102"/>
      <c r="V58" s="140"/>
      <c r="W58" s="15"/>
    </row>
    <row r="59" spans="2:23" ht="54.75" customHeight="1">
      <c r="B59" s="126" t="str">
        <f t="shared" si="0"/>
        <v>1-51</v>
      </c>
      <c r="C59" s="100"/>
      <c r="D59" s="42" t="s">
        <v>125</v>
      </c>
      <c r="E59" s="42" t="s">
        <v>127</v>
      </c>
      <c r="F59" s="180" t="s">
        <v>128</v>
      </c>
      <c r="G59" s="181"/>
      <c r="H59" s="101"/>
      <c r="I59" s="20"/>
      <c r="J59" s="101"/>
      <c r="K59" s="101"/>
      <c r="L59" s="20"/>
      <c r="M59" s="101"/>
      <c r="N59" s="101"/>
      <c r="O59" s="20"/>
      <c r="P59" s="101"/>
      <c r="Q59" s="136"/>
      <c r="R59" s="101"/>
      <c r="S59" s="100"/>
      <c r="T59" s="102"/>
      <c r="U59" s="102"/>
      <c r="V59" s="140"/>
      <c r="W59" s="15"/>
    </row>
    <row r="60" spans="2:23" ht="35.450000000000003" customHeight="1">
      <c r="B60" s="126" t="str">
        <f t="shared" si="0"/>
        <v>1-52</v>
      </c>
      <c r="C60" s="100"/>
      <c r="D60" s="42" t="s">
        <v>83</v>
      </c>
      <c r="E60" s="42" t="s">
        <v>136</v>
      </c>
      <c r="F60" s="180" t="s">
        <v>167</v>
      </c>
      <c r="G60" s="194"/>
      <c r="H60" s="101"/>
      <c r="I60" s="20"/>
      <c r="J60" s="101"/>
      <c r="K60" s="101"/>
      <c r="L60" s="20"/>
      <c r="M60" s="101"/>
      <c r="N60" s="101"/>
      <c r="O60" s="20"/>
      <c r="P60" s="101"/>
      <c r="Q60" s="136"/>
      <c r="R60" s="101"/>
      <c r="S60" s="100"/>
      <c r="T60" s="102"/>
      <c r="U60" s="102"/>
      <c r="V60" s="140"/>
      <c r="W60" s="15"/>
    </row>
    <row r="61" spans="2:23" ht="35.450000000000003" customHeight="1">
      <c r="B61" s="126" t="str">
        <f t="shared" si="0"/>
        <v>1-53</v>
      </c>
      <c r="C61" s="100"/>
      <c r="D61" s="42" t="s">
        <v>83</v>
      </c>
      <c r="E61" s="42" t="s">
        <v>83</v>
      </c>
      <c r="F61" s="192" t="s">
        <v>130</v>
      </c>
      <c r="G61" s="193"/>
      <c r="H61" s="101"/>
      <c r="I61" s="20"/>
      <c r="J61" s="101"/>
      <c r="K61" s="101"/>
      <c r="L61" s="20"/>
      <c r="M61" s="101"/>
      <c r="N61" s="101"/>
      <c r="O61" s="20"/>
      <c r="P61" s="101"/>
      <c r="Q61" s="136"/>
      <c r="R61" s="101"/>
      <c r="S61" s="100"/>
      <c r="T61" s="102"/>
      <c r="U61" s="102"/>
      <c r="V61" s="140"/>
      <c r="W61" s="15"/>
    </row>
    <row r="62" spans="2:23" ht="35.450000000000003" customHeight="1">
      <c r="B62" s="126" t="str">
        <f t="shared" si="0"/>
        <v>1-54</v>
      </c>
      <c r="C62" s="100"/>
      <c r="D62" s="42" t="s">
        <v>83</v>
      </c>
      <c r="E62" s="42" t="s">
        <v>137</v>
      </c>
      <c r="F62" s="180" t="s">
        <v>168</v>
      </c>
      <c r="G62" s="181"/>
      <c r="H62" s="101"/>
      <c r="I62" s="20"/>
      <c r="J62" s="101"/>
      <c r="K62" s="101"/>
      <c r="L62" s="20"/>
      <c r="M62" s="101"/>
      <c r="N62" s="101"/>
      <c r="O62" s="20"/>
      <c r="P62" s="101"/>
      <c r="Q62" s="136"/>
      <c r="R62" s="101"/>
      <c r="S62" s="100"/>
      <c r="T62" s="102"/>
      <c r="U62" s="102"/>
      <c r="V62" s="140"/>
      <c r="W62" s="15"/>
    </row>
    <row r="63" spans="2:23" ht="35.450000000000003" customHeight="1">
      <c r="B63" s="126" t="str">
        <f t="shared" si="0"/>
        <v>1-55</v>
      </c>
      <c r="C63" s="100"/>
      <c r="D63" s="42" t="s">
        <v>83</v>
      </c>
      <c r="E63" s="42" t="s">
        <v>83</v>
      </c>
      <c r="F63" s="192" t="s">
        <v>157</v>
      </c>
      <c r="G63" s="193"/>
      <c r="H63" s="101"/>
      <c r="I63" s="20"/>
      <c r="J63" s="101"/>
      <c r="K63" s="101"/>
      <c r="L63" s="20"/>
      <c r="M63" s="101"/>
      <c r="N63" s="101"/>
      <c r="O63" s="20"/>
      <c r="P63" s="101"/>
      <c r="Q63" s="136"/>
      <c r="R63" s="101"/>
      <c r="S63" s="100"/>
      <c r="T63" s="102"/>
      <c r="U63" s="102"/>
      <c r="V63" s="140"/>
      <c r="W63" s="15"/>
    </row>
    <row r="64" spans="2:23" ht="35.450000000000003" customHeight="1">
      <c r="B64" s="126" t="str">
        <f t="shared" si="0"/>
        <v>1-56</v>
      </c>
      <c r="C64" s="100" t="s">
        <v>169</v>
      </c>
      <c r="D64" s="42" t="s">
        <v>158</v>
      </c>
      <c r="E64" s="42" t="s">
        <v>123</v>
      </c>
      <c r="F64" s="192" t="s">
        <v>121</v>
      </c>
      <c r="G64" s="193"/>
      <c r="H64" s="101"/>
      <c r="I64" s="20"/>
      <c r="J64" s="101"/>
      <c r="K64" s="101"/>
      <c r="L64" s="20"/>
      <c r="M64" s="101"/>
      <c r="N64" s="101"/>
      <c r="O64" s="20"/>
      <c r="P64" s="101"/>
      <c r="Q64" s="101"/>
      <c r="R64" s="101"/>
      <c r="S64" s="100"/>
      <c r="T64" s="102"/>
      <c r="U64" s="102"/>
      <c r="V64" s="140"/>
      <c r="W64" s="15"/>
    </row>
    <row r="65" spans="1:23" ht="35.450000000000003" customHeight="1">
      <c r="B65" s="126" t="str">
        <f t="shared" si="0"/>
        <v>1-57</v>
      </c>
      <c r="C65" s="100"/>
      <c r="D65" s="42" t="s">
        <v>159</v>
      </c>
      <c r="E65" s="42" t="s">
        <v>83</v>
      </c>
      <c r="F65" s="196" t="s">
        <v>160</v>
      </c>
      <c r="G65" s="197"/>
      <c r="H65" s="101"/>
      <c r="I65" s="20"/>
      <c r="J65" s="101"/>
      <c r="K65" s="101"/>
      <c r="L65" s="20"/>
      <c r="M65" s="101"/>
      <c r="N65" s="101"/>
      <c r="O65" s="20"/>
      <c r="P65" s="101"/>
      <c r="Q65" s="101"/>
      <c r="R65" s="101"/>
      <c r="S65" s="100"/>
      <c r="T65" s="102"/>
      <c r="U65" s="102"/>
      <c r="V65" s="140"/>
      <c r="W65" s="15"/>
    </row>
    <row r="66" spans="1:23" ht="57.75" customHeight="1">
      <c r="B66" s="126" t="str">
        <f t="shared" si="0"/>
        <v>1-58</v>
      </c>
      <c r="C66" s="100"/>
      <c r="D66" s="42" t="s">
        <v>225</v>
      </c>
      <c r="E66" s="42" t="s">
        <v>161</v>
      </c>
      <c r="F66" s="196" t="s">
        <v>226</v>
      </c>
      <c r="G66" s="199"/>
      <c r="H66" s="101"/>
      <c r="I66" s="20"/>
      <c r="J66" s="101"/>
      <c r="K66" s="101"/>
      <c r="L66" s="20"/>
      <c r="M66" s="101"/>
      <c r="N66" s="101"/>
      <c r="O66" s="20"/>
      <c r="P66" s="101"/>
      <c r="Q66" s="136"/>
      <c r="R66" s="101"/>
      <c r="S66" s="100"/>
      <c r="T66" s="102"/>
      <c r="U66" s="102"/>
      <c r="V66" s="140"/>
      <c r="W66" s="15"/>
    </row>
    <row r="67" spans="1:23" ht="35.450000000000003" customHeight="1">
      <c r="B67" s="126" t="str">
        <f t="shared" si="0"/>
        <v>1-59</v>
      </c>
      <c r="C67" s="100"/>
      <c r="D67" s="42" t="s">
        <v>83</v>
      </c>
      <c r="E67" s="42" t="s">
        <v>62</v>
      </c>
      <c r="F67" s="196" t="s">
        <v>163</v>
      </c>
      <c r="G67" s="199"/>
      <c r="H67" s="101"/>
      <c r="I67" s="20"/>
      <c r="J67" s="101"/>
      <c r="K67" s="101"/>
      <c r="L67" s="20"/>
      <c r="M67" s="101"/>
      <c r="N67" s="101"/>
      <c r="O67" s="20"/>
      <c r="P67" s="101"/>
      <c r="Q67" s="136"/>
      <c r="R67" s="101"/>
      <c r="S67" s="100"/>
      <c r="T67" s="102"/>
      <c r="U67" s="102"/>
      <c r="V67" s="140"/>
      <c r="W67" s="15"/>
    </row>
    <row r="68" spans="1:23" ht="34.5" customHeight="1">
      <c r="B68" s="126" t="str">
        <f t="shared" si="0"/>
        <v>1-60</v>
      </c>
      <c r="C68" s="100" t="s">
        <v>170</v>
      </c>
      <c r="D68" s="42" t="s">
        <v>275</v>
      </c>
      <c r="E68" s="42" t="s">
        <v>171</v>
      </c>
      <c r="F68" s="198" t="s">
        <v>278</v>
      </c>
      <c r="G68" s="199"/>
      <c r="H68" s="101"/>
      <c r="I68" s="20"/>
      <c r="J68" s="101"/>
      <c r="K68" s="101"/>
      <c r="L68" s="20"/>
      <c r="M68" s="101"/>
      <c r="N68" s="101"/>
      <c r="O68" s="20"/>
      <c r="P68" s="101"/>
      <c r="Q68" s="136"/>
      <c r="R68" s="101"/>
      <c r="S68" s="100"/>
      <c r="T68" s="102"/>
      <c r="U68" s="102"/>
      <c r="V68" s="140"/>
      <c r="W68" s="15"/>
    </row>
    <row r="69" spans="1:23" ht="34.5" customHeight="1">
      <c r="B69" s="126" t="str">
        <f t="shared" si="0"/>
        <v>1-61</v>
      </c>
      <c r="C69" s="100"/>
      <c r="D69" s="42" t="s">
        <v>276</v>
      </c>
      <c r="E69" s="42" t="s">
        <v>172</v>
      </c>
      <c r="F69" s="198" t="s">
        <v>173</v>
      </c>
      <c r="G69" s="199"/>
      <c r="H69" s="101"/>
      <c r="I69" s="20"/>
      <c r="J69" s="101"/>
      <c r="K69" s="101"/>
      <c r="L69" s="20"/>
      <c r="M69" s="101"/>
      <c r="N69" s="101"/>
      <c r="O69" s="20"/>
      <c r="P69" s="101"/>
      <c r="Q69" s="136"/>
      <c r="R69" s="101"/>
      <c r="S69" s="100"/>
      <c r="T69" s="102"/>
      <c r="U69" s="102"/>
      <c r="V69" s="140"/>
      <c r="W69" s="15"/>
    </row>
    <row r="70" spans="1:23" ht="34.5" customHeight="1">
      <c r="B70" s="126" t="str">
        <f t="shared" si="0"/>
        <v>1-62</v>
      </c>
      <c r="C70" s="100"/>
      <c r="D70" s="42" t="s">
        <v>277</v>
      </c>
      <c r="E70" s="42" t="s">
        <v>174</v>
      </c>
      <c r="F70" s="198" t="s">
        <v>279</v>
      </c>
      <c r="G70" s="199"/>
      <c r="H70" s="101"/>
      <c r="I70" s="20"/>
      <c r="J70" s="101"/>
      <c r="K70" s="101"/>
      <c r="L70" s="20"/>
      <c r="M70" s="101"/>
      <c r="N70" s="101"/>
      <c r="O70" s="20"/>
      <c r="P70" s="101"/>
      <c r="Q70" s="136"/>
      <c r="R70" s="101"/>
      <c r="S70" s="100"/>
      <c r="T70" s="102"/>
      <c r="U70" s="102"/>
      <c r="V70" s="140"/>
      <c r="W70" s="15"/>
    </row>
    <row r="71" spans="1:23" ht="64.5" customHeight="1">
      <c r="B71" s="126" t="str">
        <f t="shared" si="0"/>
        <v>1-63</v>
      </c>
      <c r="C71" s="100" t="s">
        <v>175</v>
      </c>
      <c r="D71" s="42" t="s">
        <v>227</v>
      </c>
      <c r="E71" s="42" t="s">
        <v>176</v>
      </c>
      <c r="F71" s="198" t="s">
        <v>177</v>
      </c>
      <c r="G71" s="199"/>
      <c r="H71" s="101"/>
      <c r="I71" s="20"/>
      <c r="J71" s="101"/>
      <c r="K71" s="101"/>
      <c r="L71" s="20"/>
      <c r="M71" s="101"/>
      <c r="N71" s="101"/>
      <c r="O71" s="20"/>
      <c r="P71" s="101"/>
      <c r="Q71" s="136"/>
      <c r="R71" s="101"/>
      <c r="S71" s="100"/>
      <c r="T71" s="102"/>
      <c r="U71" s="102"/>
      <c r="V71" s="140"/>
      <c r="W71" s="15"/>
    </row>
    <row r="72" spans="1:23" ht="34.5" customHeight="1">
      <c r="B72" s="126" t="str">
        <f t="shared" ref="B72:B80" si="1">"1-"&amp;ROW()-8</f>
        <v>1-64</v>
      </c>
      <c r="C72" s="18" t="s">
        <v>182</v>
      </c>
      <c r="D72" s="18" t="s">
        <v>280</v>
      </c>
      <c r="E72" s="42" t="s">
        <v>171</v>
      </c>
      <c r="F72" s="180" t="s">
        <v>281</v>
      </c>
      <c r="G72" s="181"/>
      <c r="H72" s="101"/>
      <c r="I72" s="20"/>
      <c r="J72" s="101"/>
      <c r="K72" s="101"/>
      <c r="L72" s="20"/>
      <c r="M72" s="101"/>
      <c r="N72" s="101"/>
      <c r="O72" s="20"/>
      <c r="P72" s="101"/>
      <c r="Q72" s="101"/>
      <c r="R72" s="101"/>
      <c r="S72" s="100"/>
      <c r="T72" s="102"/>
      <c r="U72" s="102"/>
      <c r="V72" s="140"/>
      <c r="W72" s="15"/>
    </row>
    <row r="73" spans="1:23" ht="34.5" customHeight="1">
      <c r="B73" s="126" t="str">
        <f t="shared" si="1"/>
        <v>1-65</v>
      </c>
      <c r="C73" s="18"/>
      <c r="D73" s="18"/>
      <c r="E73" s="42" t="s">
        <v>171</v>
      </c>
      <c r="F73" s="180" t="s">
        <v>185</v>
      </c>
      <c r="G73" s="181"/>
      <c r="H73" s="101"/>
      <c r="I73" s="20"/>
      <c r="J73" s="101"/>
      <c r="K73" s="101"/>
      <c r="L73" s="20"/>
      <c r="M73" s="101"/>
      <c r="N73" s="101"/>
      <c r="O73" s="20"/>
      <c r="P73" s="101"/>
      <c r="Q73" s="101"/>
      <c r="R73" s="101"/>
      <c r="S73" s="100"/>
      <c r="T73" s="102"/>
      <c r="U73" s="102"/>
      <c r="V73" s="140"/>
      <c r="W73" s="15"/>
    </row>
    <row r="74" spans="1:23" ht="34.5" customHeight="1">
      <c r="B74" s="126" t="str">
        <f t="shared" si="1"/>
        <v>1-66</v>
      </c>
      <c r="C74" s="18"/>
      <c r="D74" s="18" t="s">
        <v>183</v>
      </c>
      <c r="E74" s="42" t="s">
        <v>171</v>
      </c>
      <c r="F74" s="180" t="s">
        <v>184</v>
      </c>
      <c r="G74" s="181"/>
      <c r="H74" s="101"/>
      <c r="I74" s="20"/>
      <c r="J74" s="101"/>
      <c r="K74" s="101"/>
      <c r="L74" s="20"/>
      <c r="M74" s="101"/>
      <c r="N74" s="101"/>
      <c r="O74" s="20"/>
      <c r="P74" s="101"/>
      <c r="Q74" s="101"/>
      <c r="R74" s="101"/>
      <c r="S74" s="100"/>
      <c r="T74" s="102"/>
      <c r="U74" s="102"/>
      <c r="V74" s="140"/>
      <c r="W74" s="15"/>
    </row>
    <row r="75" spans="1:23" ht="34.5" customHeight="1">
      <c r="B75" s="126" t="str">
        <f t="shared" si="1"/>
        <v>1-67</v>
      </c>
      <c r="C75" s="18"/>
      <c r="D75" s="42" t="s">
        <v>215</v>
      </c>
      <c r="E75" s="42" t="s">
        <v>216</v>
      </c>
      <c r="F75" s="180" t="s">
        <v>185</v>
      </c>
      <c r="G75" s="181"/>
      <c r="H75" s="101"/>
      <c r="I75" s="20"/>
      <c r="J75" s="101"/>
      <c r="K75" s="101"/>
      <c r="L75" s="20"/>
      <c r="M75" s="101"/>
      <c r="N75" s="101"/>
      <c r="O75" s="20"/>
      <c r="P75" s="101"/>
      <c r="Q75" s="101"/>
      <c r="R75" s="101"/>
      <c r="S75" s="100"/>
      <c r="T75" s="102"/>
      <c r="U75" s="102"/>
      <c r="V75" s="140"/>
      <c r="W75" s="15"/>
    </row>
    <row r="76" spans="1:23" ht="34.5" customHeight="1">
      <c r="B76" s="126" t="str">
        <f t="shared" si="1"/>
        <v>1-68</v>
      </c>
      <c r="C76" s="18"/>
      <c r="D76" s="18" t="s">
        <v>217</v>
      </c>
      <c r="E76" s="42" t="s">
        <v>171</v>
      </c>
      <c r="F76" s="180" t="s">
        <v>218</v>
      </c>
      <c r="G76" s="181"/>
      <c r="H76" s="101"/>
      <c r="I76" s="20"/>
      <c r="J76" s="101"/>
      <c r="K76" s="101"/>
      <c r="L76" s="20"/>
      <c r="M76" s="101"/>
      <c r="N76" s="101"/>
      <c r="O76" s="20"/>
      <c r="P76" s="101"/>
      <c r="Q76" s="101"/>
      <c r="R76" s="101"/>
      <c r="S76" s="100"/>
      <c r="T76" s="102"/>
      <c r="U76" s="102"/>
      <c r="V76" s="140"/>
      <c r="W76" s="15"/>
    </row>
    <row r="77" spans="1:23" ht="34.5" customHeight="1">
      <c r="B77" s="126" t="str">
        <f t="shared" si="1"/>
        <v>1-69</v>
      </c>
      <c r="C77" s="18"/>
      <c r="D77" s="42" t="s">
        <v>215</v>
      </c>
      <c r="E77" s="42" t="s">
        <v>216</v>
      </c>
      <c r="F77" s="180" t="s">
        <v>185</v>
      </c>
      <c r="G77" s="181"/>
      <c r="H77" s="101"/>
      <c r="I77" s="20"/>
      <c r="J77" s="101"/>
      <c r="K77" s="101"/>
      <c r="L77" s="20"/>
      <c r="M77" s="101"/>
      <c r="N77" s="101"/>
      <c r="O77" s="20"/>
      <c r="P77" s="101"/>
      <c r="Q77" s="101"/>
      <c r="R77" s="101"/>
      <c r="S77" s="100"/>
      <c r="T77" s="102"/>
      <c r="U77" s="102"/>
      <c r="V77" s="140"/>
      <c r="W77" s="15"/>
    </row>
    <row r="78" spans="1:23" ht="34.5" customHeight="1">
      <c r="A78" s="15"/>
      <c r="B78" s="126" t="str">
        <f t="shared" si="1"/>
        <v>1-70</v>
      </c>
      <c r="C78" s="18" t="s">
        <v>232</v>
      </c>
      <c r="D78" s="18" t="s">
        <v>233</v>
      </c>
      <c r="E78" s="18" t="s">
        <v>234</v>
      </c>
      <c r="F78" s="192" t="s">
        <v>235</v>
      </c>
      <c r="G78" s="193"/>
      <c r="H78" s="101"/>
      <c r="I78" s="20"/>
      <c r="J78" s="101"/>
      <c r="K78" s="101"/>
      <c r="L78" s="20"/>
      <c r="M78" s="101"/>
      <c r="N78" s="101"/>
      <c r="O78" s="20"/>
      <c r="P78" s="101"/>
      <c r="Q78" s="107"/>
      <c r="R78" s="107"/>
      <c r="S78" s="100"/>
      <c r="T78" s="102"/>
      <c r="U78" s="102"/>
      <c r="V78" s="140"/>
      <c r="W78" s="15"/>
    </row>
    <row r="79" spans="1:23" ht="34.5" customHeight="1">
      <c r="B79" s="135" t="str">
        <f t="shared" si="1"/>
        <v>1-71</v>
      </c>
      <c r="C79" s="100" t="s">
        <v>178</v>
      </c>
      <c r="D79" s="42" t="s">
        <v>179</v>
      </c>
      <c r="E79" s="42" t="s">
        <v>228</v>
      </c>
      <c r="F79" s="180" t="s">
        <v>283</v>
      </c>
      <c r="G79" s="181"/>
      <c r="H79" s="101"/>
      <c r="I79" s="20"/>
      <c r="J79" s="101"/>
      <c r="K79" s="101"/>
      <c r="L79" s="20"/>
      <c r="M79" s="101"/>
      <c r="N79" s="101"/>
      <c r="O79" s="20"/>
      <c r="P79" s="101"/>
      <c r="Q79" s="136"/>
      <c r="R79" s="101"/>
      <c r="S79" s="100"/>
      <c r="T79" s="102"/>
      <c r="U79" s="102"/>
      <c r="V79" s="140"/>
      <c r="W79" s="15"/>
    </row>
    <row r="80" spans="1:23" ht="34.5" customHeight="1">
      <c r="B80" s="135" t="str">
        <f t="shared" si="1"/>
        <v>1-72</v>
      </c>
      <c r="C80" s="100"/>
      <c r="D80" s="42" t="s">
        <v>181</v>
      </c>
      <c r="E80" s="42" t="s">
        <v>229</v>
      </c>
      <c r="F80" s="196" t="s">
        <v>180</v>
      </c>
      <c r="G80" s="197"/>
      <c r="H80" s="101"/>
      <c r="I80" s="20"/>
      <c r="J80" s="101"/>
      <c r="K80" s="101"/>
      <c r="L80" s="20"/>
      <c r="M80" s="101"/>
      <c r="N80" s="101"/>
      <c r="O80" s="20"/>
      <c r="P80" s="101"/>
      <c r="Q80" s="136"/>
      <c r="R80" s="101"/>
      <c r="S80" s="100"/>
      <c r="T80" s="102"/>
      <c r="U80" s="102"/>
      <c r="V80" s="140"/>
      <c r="W80" s="15"/>
    </row>
    <row r="81" spans="6:7">
      <c r="F81" s="99"/>
      <c r="G81" s="99"/>
    </row>
    <row r="82" spans="6:7">
      <c r="F82" s="99"/>
      <c r="G82" s="99"/>
    </row>
    <row r="83" spans="6:7">
      <c r="F83" s="99"/>
      <c r="G83" s="99"/>
    </row>
    <row r="84" spans="6:7">
      <c r="F84" s="99"/>
      <c r="G84" s="99"/>
    </row>
    <row r="85" spans="6:7">
      <c r="F85" s="99"/>
      <c r="G85" s="99"/>
    </row>
    <row r="86" spans="6:7">
      <c r="F86" s="99"/>
      <c r="G86" s="99"/>
    </row>
    <row r="87" spans="6:7">
      <c r="F87" s="99"/>
      <c r="G87" s="99"/>
    </row>
  </sheetData>
  <autoFilter ref="B7:U80">
    <filterColumn colId="4" showButton="0"/>
    <filterColumn colId="6" showButton="0"/>
    <filterColumn colId="7" showButton="0"/>
    <filterColumn colId="9" showButton="0"/>
    <filterColumn colId="10" showButton="0"/>
    <filterColumn colId="12" showButton="0"/>
    <filterColumn colId="13" showButton="0"/>
    <filterColumn colId="17" showButton="0"/>
    <filterColumn colId="18" showButton="0"/>
  </autoFilter>
  <mergeCells count="81">
    <mergeCell ref="Q7:Q8"/>
    <mergeCell ref="F78:G78"/>
    <mergeCell ref="F56:G56"/>
    <mergeCell ref="F58:G58"/>
    <mergeCell ref="F59:G59"/>
    <mergeCell ref="F60:G60"/>
    <mergeCell ref="F66:G66"/>
    <mergeCell ref="F67:G67"/>
    <mergeCell ref="F61:G61"/>
    <mergeCell ref="F62:G62"/>
    <mergeCell ref="F63:G63"/>
    <mergeCell ref="F64:G64"/>
    <mergeCell ref="F65:G65"/>
    <mergeCell ref="F11:G11"/>
    <mergeCell ref="F51:G51"/>
    <mergeCell ref="F52:G52"/>
    <mergeCell ref="F53:G53"/>
    <mergeCell ref="F40:G40"/>
    <mergeCell ref="F30:G30"/>
    <mergeCell ref="F31:G31"/>
    <mergeCell ref="F32:G32"/>
    <mergeCell ref="F36:G36"/>
    <mergeCell ref="F28:G28"/>
    <mergeCell ref="F54:G54"/>
    <mergeCell ref="F55:G55"/>
    <mergeCell ref="F34:G34"/>
    <mergeCell ref="F42:G42"/>
    <mergeCell ref="F44:G44"/>
    <mergeCell ref="F46:G46"/>
    <mergeCell ref="F49:G49"/>
    <mergeCell ref="F35:G35"/>
    <mergeCell ref="F47:G47"/>
    <mergeCell ref="F48:G48"/>
    <mergeCell ref="F45:G45"/>
    <mergeCell ref="F43:G43"/>
    <mergeCell ref="F37:G37"/>
    <mergeCell ref="F41:G41"/>
    <mergeCell ref="F38:G38"/>
    <mergeCell ref="F80:G80"/>
    <mergeCell ref="F68:G68"/>
    <mergeCell ref="F69:G69"/>
    <mergeCell ref="F70:G70"/>
    <mergeCell ref="F71:G71"/>
    <mergeCell ref="F72:G72"/>
    <mergeCell ref="F73:G73"/>
    <mergeCell ref="F79:G79"/>
    <mergeCell ref="F74:G74"/>
    <mergeCell ref="F75:G75"/>
    <mergeCell ref="F76:G76"/>
    <mergeCell ref="F77:G77"/>
    <mergeCell ref="S7:U7"/>
    <mergeCell ref="R7:R8"/>
    <mergeCell ref="N7:P7"/>
    <mergeCell ref="F39:G39"/>
    <mergeCell ref="D7:D8"/>
    <mergeCell ref="F22:G22"/>
    <mergeCell ref="F12:G12"/>
    <mergeCell ref="F13:G13"/>
    <mergeCell ref="F14:G14"/>
    <mergeCell ref="F15:G15"/>
    <mergeCell ref="F17:G17"/>
    <mergeCell ref="F18:G18"/>
    <mergeCell ref="F19:G19"/>
    <mergeCell ref="F33:G33"/>
    <mergeCell ref="F29:G29"/>
    <mergeCell ref="F26:G26"/>
    <mergeCell ref="H7:J7"/>
    <mergeCell ref="F16:G16"/>
    <mergeCell ref="K7:M7"/>
    <mergeCell ref="F27:G27"/>
    <mergeCell ref="B7:B8"/>
    <mergeCell ref="C7:C8"/>
    <mergeCell ref="E7:E8"/>
    <mergeCell ref="F7:G8"/>
    <mergeCell ref="F25:G25"/>
    <mergeCell ref="F20:G20"/>
    <mergeCell ref="F21:G21"/>
    <mergeCell ref="F9:G9"/>
    <mergeCell ref="F23:G23"/>
    <mergeCell ref="F24:G24"/>
    <mergeCell ref="F10:G10"/>
  </mergeCells>
  <phoneticPr fontId="28"/>
  <dataValidations count="1">
    <dataValidation type="list" allowBlank="1" showInputMessage="1" showErrorMessage="1" sqref="H9:H80 N9:N80 K9:K80">
      <formula1>"OK,NG,NG（済）,－,未実施"</formula1>
    </dataValidation>
  </dataValidations>
  <pageMargins left="0.55118110236220474" right="0.35433070866141736" top="0.70866141732283472" bottom="0.70866141732283472" header="0.39370078740157483" footer="0.35433070866141736"/>
  <pageSetup paperSize="9" scale="61" fitToHeight="0"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3"/>
  <sheetViews>
    <sheetView zoomScale="70" zoomScaleNormal="70" workbookViewId="0"/>
  </sheetViews>
  <sheetFormatPr defaultColWidth="9" defaultRowHeight="11.25"/>
  <cols>
    <col min="1" max="1" width="3.75" style="119" customWidth="1"/>
    <col min="2" max="2" width="24" style="119" customWidth="1"/>
    <col min="3" max="3" width="30.5" style="119" customWidth="1"/>
    <col min="4" max="4" width="62.375" style="119" bestFit="1" customWidth="1"/>
    <col min="5" max="5" width="9.875" style="119" bestFit="1" customWidth="1"/>
    <col min="6" max="16384" width="9" style="119"/>
  </cols>
  <sheetData>
    <row r="1" spans="1:6" ht="13.5">
      <c r="A1" t="s">
        <v>186</v>
      </c>
      <c r="B1"/>
      <c r="C1" s="120"/>
      <c r="D1" s="120"/>
      <c r="E1" s="120"/>
    </row>
    <row r="2" spans="1:6" ht="13.5">
      <c r="A2"/>
      <c r="B2"/>
      <c r="C2" s="120"/>
      <c r="D2" s="120"/>
      <c r="E2" s="120"/>
    </row>
    <row r="4" spans="1:6" ht="13.5">
      <c r="A4" s="111" t="s">
        <v>207</v>
      </c>
      <c r="C4" s="121"/>
      <c r="D4" s="122"/>
      <c r="E4" s="121"/>
    </row>
    <row r="5" spans="1:6" ht="13.5">
      <c r="B5" s="111" t="s">
        <v>187</v>
      </c>
      <c r="C5" s="123"/>
      <c r="D5" s="124"/>
      <c r="E5" s="123"/>
    </row>
    <row r="6" spans="1:6" ht="13.5">
      <c r="B6" s="112" t="s">
        <v>97</v>
      </c>
      <c r="C6" s="112" t="s">
        <v>98</v>
      </c>
      <c r="D6" s="112" t="s">
        <v>99</v>
      </c>
      <c r="E6" s="138" t="s">
        <v>274</v>
      </c>
    </row>
    <row r="7" spans="1:6" s="137" customFormat="1" ht="13.5">
      <c r="A7" s="130"/>
      <c r="B7" s="131" t="s">
        <v>239</v>
      </c>
      <c r="C7" s="132" t="s">
        <v>240</v>
      </c>
      <c r="D7" s="133"/>
      <c r="E7" s="133"/>
      <c r="F7" s="119"/>
    </row>
    <row r="8" spans="1:6" s="137" customFormat="1" ht="13.5">
      <c r="A8" s="130"/>
      <c r="B8" s="131" t="s">
        <v>241</v>
      </c>
      <c r="C8" s="132" t="s">
        <v>242</v>
      </c>
      <c r="D8" s="133"/>
      <c r="E8" s="133"/>
      <c r="F8" s="119"/>
    </row>
    <row r="9" spans="1:6" s="137" customFormat="1" ht="13.5">
      <c r="A9" s="130"/>
      <c r="B9" s="131" t="s">
        <v>243</v>
      </c>
      <c r="C9" s="132" t="s">
        <v>244</v>
      </c>
      <c r="D9" s="133"/>
      <c r="E9" s="133"/>
      <c r="F9" s="119"/>
    </row>
    <row r="10" spans="1:6" s="137" customFormat="1" ht="13.5">
      <c r="A10" s="130"/>
      <c r="B10" s="131" t="s">
        <v>245</v>
      </c>
      <c r="C10" s="132" t="s">
        <v>246</v>
      </c>
      <c r="D10" s="133"/>
      <c r="E10" s="133"/>
      <c r="F10" s="119"/>
    </row>
    <row r="11" spans="1:6" s="137" customFormat="1" ht="13.5">
      <c r="A11" s="130"/>
      <c r="B11" s="131" t="s">
        <v>247</v>
      </c>
      <c r="C11" s="132" t="s">
        <v>248</v>
      </c>
      <c r="D11" s="133"/>
      <c r="E11" s="133"/>
      <c r="F11" s="119"/>
    </row>
    <row r="12" spans="1:6" s="137" customFormat="1" ht="13.5">
      <c r="A12" s="130"/>
      <c r="B12" s="131" t="s">
        <v>249</v>
      </c>
      <c r="C12" s="132" t="s">
        <v>250</v>
      </c>
      <c r="D12" s="133"/>
      <c r="E12" s="133"/>
      <c r="F12" s="119"/>
    </row>
    <row r="13" spans="1:6" s="137" customFormat="1" ht="13.5">
      <c r="A13" s="130"/>
      <c r="B13" s="131" t="s">
        <v>251</v>
      </c>
      <c r="C13" s="132" t="s">
        <v>252</v>
      </c>
      <c r="D13" s="133"/>
      <c r="E13" s="133"/>
      <c r="F13" s="119"/>
    </row>
    <row r="14" spans="1:6" s="137" customFormat="1" ht="13.5">
      <c r="A14" s="130"/>
      <c r="B14" s="131" t="s">
        <v>253</v>
      </c>
      <c r="C14" s="132" t="s">
        <v>254</v>
      </c>
      <c r="D14" s="133"/>
      <c r="E14" s="133"/>
      <c r="F14" s="119"/>
    </row>
    <row r="15" spans="1:6" s="137" customFormat="1" ht="13.5">
      <c r="A15" s="130"/>
      <c r="B15" s="131" t="s">
        <v>255</v>
      </c>
      <c r="C15" s="132" t="s">
        <v>256</v>
      </c>
      <c r="D15" s="133"/>
      <c r="E15" s="133"/>
      <c r="F15" s="119"/>
    </row>
    <row r="16" spans="1:6" s="137" customFormat="1" ht="13.5">
      <c r="A16" s="130"/>
      <c r="B16" s="132" t="s">
        <v>257</v>
      </c>
      <c r="C16" s="132" t="s">
        <v>231</v>
      </c>
      <c r="D16" s="133"/>
      <c r="E16" s="133"/>
      <c r="F16" s="119"/>
    </row>
    <row r="17" spans="1:6" s="137" customFormat="1" ht="13.5">
      <c r="A17" s="129"/>
      <c r="B17" s="131" t="s">
        <v>258</v>
      </c>
      <c r="C17" s="131" t="s">
        <v>259</v>
      </c>
      <c r="D17" s="134"/>
      <c r="E17" s="133"/>
      <c r="F17" s="119"/>
    </row>
    <row r="18" spans="1:6" s="137" customFormat="1" ht="13.5">
      <c r="A18" s="129"/>
      <c r="B18" s="131" t="s">
        <v>260</v>
      </c>
      <c r="C18" s="131" t="s">
        <v>261</v>
      </c>
      <c r="D18" s="134"/>
      <c r="E18" s="133"/>
      <c r="F18" s="119"/>
    </row>
    <row r="19" spans="1:6" s="137" customFormat="1" ht="13.5">
      <c r="A19" s="129"/>
      <c r="B19" s="131" t="s">
        <v>262</v>
      </c>
      <c r="C19" s="131" t="s">
        <v>263</v>
      </c>
      <c r="D19" s="134"/>
      <c r="E19" s="133"/>
      <c r="F19" s="119"/>
    </row>
    <row r="20" spans="1:6" s="137" customFormat="1" ht="13.5">
      <c r="A20" s="129"/>
      <c r="B20" s="131" t="s">
        <v>264</v>
      </c>
      <c r="C20" s="131" t="s">
        <v>265</v>
      </c>
      <c r="D20" s="134"/>
      <c r="E20" s="133"/>
      <c r="F20" s="119"/>
    </row>
    <row r="21" spans="1:6" s="137" customFormat="1" ht="13.5">
      <c r="A21" s="129"/>
      <c r="B21" s="131" t="s">
        <v>266</v>
      </c>
      <c r="C21" s="131" t="s">
        <v>267</v>
      </c>
      <c r="D21" s="134"/>
      <c r="E21" s="133"/>
      <c r="F21" s="119"/>
    </row>
    <row r="22" spans="1:6" ht="13.5">
      <c r="B22" s="113" t="s">
        <v>268</v>
      </c>
      <c r="C22" s="113" t="s">
        <v>269</v>
      </c>
      <c r="D22" s="114"/>
      <c r="E22" s="133"/>
    </row>
    <row r="23" spans="1:6" ht="13.5">
      <c r="B23" s="113" t="s">
        <v>270</v>
      </c>
      <c r="C23" s="113" t="s">
        <v>271</v>
      </c>
      <c r="D23" s="114"/>
      <c r="E23" s="133"/>
    </row>
    <row r="24" spans="1:6" ht="13.5">
      <c r="B24" s="113" t="s">
        <v>272</v>
      </c>
      <c r="C24" s="113" t="s">
        <v>273</v>
      </c>
      <c r="D24" s="114"/>
      <c r="E24" s="133"/>
    </row>
    <row r="25" spans="1:6" ht="13.5">
      <c r="B25" s="111"/>
      <c r="C25"/>
      <c r="D25"/>
      <c r="E25" s="124"/>
    </row>
    <row r="26" spans="1:6" ht="13.5">
      <c r="B26" s="115" t="s">
        <v>188</v>
      </c>
      <c r="C26"/>
      <c r="D26"/>
      <c r="E26" s="124"/>
    </row>
    <row r="27" spans="1:6" ht="13.5">
      <c r="B27" s="112" t="s">
        <v>97</v>
      </c>
      <c r="C27" s="112" t="s">
        <v>98</v>
      </c>
      <c r="D27" s="112" t="s">
        <v>99</v>
      </c>
      <c r="E27" s="138" t="s">
        <v>274</v>
      </c>
    </row>
    <row r="28" spans="1:6" ht="13.5">
      <c r="B28" s="113" t="s">
        <v>189</v>
      </c>
      <c r="C28" s="113" t="s">
        <v>190</v>
      </c>
      <c r="D28" s="114" t="s">
        <v>201</v>
      </c>
      <c r="E28" s="133"/>
    </row>
    <row r="29" spans="1:6" ht="13.5">
      <c r="B29" s="113" t="s">
        <v>191</v>
      </c>
      <c r="C29" s="113" t="s">
        <v>192</v>
      </c>
      <c r="D29" s="114" t="s">
        <v>202</v>
      </c>
      <c r="E29" s="133"/>
    </row>
    <row r="30" spans="1:6" ht="13.5">
      <c r="B30" s="113" t="s">
        <v>193</v>
      </c>
      <c r="C30" s="113" t="s">
        <v>194</v>
      </c>
      <c r="D30" s="114" t="s">
        <v>203</v>
      </c>
      <c r="E30" s="133"/>
    </row>
    <row r="31" spans="1:6" ht="13.5">
      <c r="B31" s="113" t="s">
        <v>195</v>
      </c>
      <c r="C31" s="113" t="s">
        <v>196</v>
      </c>
      <c r="D31" s="114" t="s">
        <v>204</v>
      </c>
      <c r="E31" s="133"/>
    </row>
    <row r="32" spans="1:6" ht="40.5">
      <c r="B32" s="113" t="s">
        <v>199</v>
      </c>
      <c r="C32" s="113" t="s">
        <v>197</v>
      </c>
      <c r="D32" s="125" t="s">
        <v>205</v>
      </c>
      <c r="E32" s="139"/>
    </row>
    <row r="33" spans="2:5" ht="40.5">
      <c r="B33" s="113" t="s">
        <v>200</v>
      </c>
      <c r="C33" s="113" t="s">
        <v>198</v>
      </c>
      <c r="D33" s="125" t="s">
        <v>206</v>
      </c>
      <c r="E33" s="133"/>
    </row>
  </sheetData>
  <phoneticPr fontId="28"/>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Q32"/>
  <sheetViews>
    <sheetView zoomScale="70" zoomScaleNormal="70" workbookViewId="0">
      <selection activeCell="C12" sqref="C12"/>
    </sheetView>
  </sheetViews>
  <sheetFormatPr defaultColWidth="6.875" defaultRowHeight="13.5"/>
  <cols>
    <col min="1" max="1" width="3.625" style="3" bestFit="1" customWidth="1"/>
    <col min="2" max="2" width="9" style="2" customWidth="1"/>
    <col min="3" max="3" width="38.25" style="3" customWidth="1"/>
    <col min="4" max="4" width="57.5" style="3" customWidth="1"/>
    <col min="5" max="5" width="45.75" style="3" customWidth="1"/>
    <col min="6" max="6" width="60.25" style="5" customWidth="1"/>
    <col min="7" max="7" width="8.75" style="14" customWidth="1"/>
    <col min="8" max="8" width="8.75" style="4" customWidth="1"/>
    <col min="9" max="9" width="11.625" style="4" bestFit="1" customWidth="1"/>
    <col min="10" max="10" width="8.75" style="4" customWidth="1"/>
    <col min="11" max="11" width="7.125" style="8" customWidth="1"/>
    <col min="12" max="14" width="7.125" style="3" customWidth="1"/>
    <col min="15" max="16" width="6.75" style="3" customWidth="1"/>
    <col min="17" max="16384" width="6.875" style="3"/>
  </cols>
  <sheetData>
    <row r="2" spans="1:17">
      <c r="A2" s="1"/>
      <c r="G2" s="6" t="s">
        <v>1</v>
      </c>
      <c r="H2" s="7" t="s">
        <v>0</v>
      </c>
      <c r="I2" s="7" t="s">
        <v>17</v>
      </c>
      <c r="J2" s="7" t="s">
        <v>21</v>
      </c>
    </row>
    <row r="3" spans="1:17">
      <c r="A3" s="1" t="s">
        <v>2</v>
      </c>
      <c r="B3" s="9" t="s">
        <v>11</v>
      </c>
      <c r="G3" s="10">
        <f>K3</f>
        <v>5</v>
      </c>
      <c r="H3" s="11">
        <f>L3</f>
        <v>0</v>
      </c>
      <c r="I3" s="11">
        <f>M3</f>
        <v>0</v>
      </c>
      <c r="J3" s="11">
        <f>N3</f>
        <v>0</v>
      </c>
      <c r="K3" s="12">
        <f>SUM(K4:K19)</f>
        <v>5</v>
      </c>
      <c r="L3" s="12">
        <f>SUM(L4:L19)</f>
        <v>0</v>
      </c>
      <c r="M3" s="12">
        <f>SUM(M4:M19)</f>
        <v>0</v>
      </c>
      <c r="N3" s="12">
        <f>SUM(N4:N18)</f>
        <v>0</v>
      </c>
    </row>
    <row r="4" spans="1:17">
      <c r="A4" s="13" t="s">
        <v>3</v>
      </c>
      <c r="B4" s="1" t="s">
        <v>13</v>
      </c>
      <c r="C4" s="5" t="s">
        <v>22</v>
      </c>
      <c r="H4" s="4" t="str">
        <f>(COUNTIF(H8:H17,"OK")+COUNTIF(H8:H17,"－")+COUNTIF(H8:H17,"NG（済）"))&amp;" / "&amp;K4</f>
        <v>0 / 5</v>
      </c>
      <c r="K4" s="12">
        <f>COUNTA(B8:B17)-COUNTIF(B8:B17,"修正確認")</f>
        <v>5</v>
      </c>
      <c r="L4" s="3">
        <f>COUNTIF(H8:H17,"OK")+COUNTIF(H8:H17,"－")</f>
        <v>0</v>
      </c>
      <c r="M4" s="3">
        <f>COUNTIF(H8:H17,"NG")</f>
        <v>0</v>
      </c>
      <c r="N4" s="3">
        <f>COUNTIF(H8:H17,"NG（済）")</f>
        <v>0</v>
      </c>
    </row>
    <row r="5" spans="1:17">
      <c r="A5" s="13"/>
      <c r="B5" s="1"/>
      <c r="K5" s="12"/>
    </row>
    <row r="6" spans="1:17">
      <c r="B6" s="200" t="s">
        <v>4</v>
      </c>
      <c r="C6" s="201" t="s">
        <v>30</v>
      </c>
      <c r="D6" s="201" t="s">
        <v>56</v>
      </c>
      <c r="E6" s="57"/>
      <c r="F6" s="202" t="s">
        <v>7</v>
      </c>
      <c r="G6" s="203"/>
      <c r="H6" s="179" t="s">
        <v>12</v>
      </c>
      <c r="I6" s="179"/>
      <c r="J6" s="179"/>
      <c r="K6" s="195" t="s">
        <v>14</v>
      </c>
      <c r="L6" s="195"/>
      <c r="M6" s="195"/>
      <c r="N6" s="204"/>
      <c r="O6" s="204"/>
      <c r="P6" s="204"/>
    </row>
    <row r="7" spans="1:17">
      <c r="B7" s="183"/>
      <c r="C7" s="185"/>
      <c r="D7" s="185"/>
      <c r="E7" s="58"/>
      <c r="F7" s="190"/>
      <c r="G7" s="191"/>
      <c r="H7" s="45" t="s">
        <v>8</v>
      </c>
      <c r="I7" s="45" t="s">
        <v>9</v>
      </c>
      <c r="J7" s="45" t="s">
        <v>10</v>
      </c>
      <c r="K7" s="30"/>
      <c r="L7" s="32"/>
      <c r="M7" s="33"/>
      <c r="N7" s="44"/>
      <c r="O7" s="44"/>
      <c r="P7" s="44"/>
      <c r="Q7" s="3" t="s">
        <v>23</v>
      </c>
    </row>
    <row r="8" spans="1:17">
      <c r="B8" s="38" t="s">
        <v>15</v>
      </c>
      <c r="C8" s="29" t="s">
        <v>31</v>
      </c>
      <c r="D8" s="28" t="s">
        <v>33</v>
      </c>
      <c r="E8" s="39"/>
      <c r="F8" s="192" t="s">
        <v>28</v>
      </c>
      <c r="G8" s="193"/>
      <c r="H8" s="53"/>
      <c r="I8" s="54"/>
      <c r="J8" s="53"/>
      <c r="K8" s="39"/>
      <c r="L8" s="34"/>
      <c r="M8" s="35"/>
      <c r="N8" s="44"/>
      <c r="O8" s="44"/>
      <c r="P8" s="44"/>
      <c r="Q8" s="3" t="s">
        <v>24</v>
      </c>
    </row>
    <row r="9" spans="1:17">
      <c r="B9" s="16"/>
      <c r="C9" s="40"/>
      <c r="D9" s="29" t="s">
        <v>33</v>
      </c>
      <c r="E9" s="49"/>
      <c r="F9" s="205" t="s">
        <v>29</v>
      </c>
      <c r="G9" s="206"/>
      <c r="H9" s="47"/>
      <c r="I9" s="48"/>
      <c r="J9" s="47"/>
      <c r="K9" s="49"/>
      <c r="L9" s="55"/>
      <c r="M9" s="56"/>
      <c r="N9" s="44"/>
      <c r="O9" s="44"/>
      <c r="P9" s="44"/>
      <c r="Q9" s="3" t="s">
        <v>25</v>
      </c>
    </row>
    <row r="10" spans="1:17" s="15" customFormat="1">
      <c r="B10" s="38" t="s">
        <v>16</v>
      </c>
      <c r="C10" s="46" t="s">
        <v>32</v>
      </c>
      <c r="D10" s="18" t="s">
        <v>35</v>
      </c>
      <c r="E10" s="59"/>
      <c r="F10" s="192" t="s">
        <v>36</v>
      </c>
      <c r="G10" s="194"/>
      <c r="H10" s="53"/>
      <c r="I10" s="54"/>
      <c r="J10" s="53"/>
      <c r="K10" s="31"/>
      <c r="L10" s="36"/>
      <c r="M10" s="37"/>
      <c r="N10" s="1"/>
      <c r="O10" s="1"/>
      <c r="P10" s="1"/>
      <c r="Q10" s="3" t="s">
        <v>26</v>
      </c>
    </row>
    <row r="11" spans="1:17" s="15" customFormat="1">
      <c r="B11" s="16"/>
      <c r="C11" s="17"/>
      <c r="D11" s="18" t="s">
        <v>37</v>
      </c>
      <c r="E11" s="59"/>
      <c r="F11" s="192" t="s">
        <v>38</v>
      </c>
      <c r="G11" s="194"/>
      <c r="H11" s="19"/>
      <c r="I11" s="20"/>
      <c r="J11" s="19"/>
      <c r="K11" s="31"/>
      <c r="L11" s="36"/>
      <c r="M11" s="37"/>
      <c r="N11" s="1"/>
      <c r="O11" s="1"/>
      <c r="P11" s="1"/>
      <c r="Q11" s="3" t="s">
        <v>27</v>
      </c>
    </row>
    <row r="12" spans="1:17" s="15" customFormat="1" ht="27" customHeight="1">
      <c r="B12" s="16"/>
      <c r="C12" s="17"/>
      <c r="D12" s="18" t="s">
        <v>39</v>
      </c>
      <c r="E12" s="59"/>
      <c r="F12" s="192" t="s">
        <v>40</v>
      </c>
      <c r="G12" s="193"/>
      <c r="H12" s="19"/>
      <c r="I12" s="20"/>
      <c r="J12" s="19"/>
      <c r="K12" s="31"/>
      <c r="L12" s="36"/>
      <c r="M12" s="37"/>
      <c r="N12" s="1"/>
      <c r="O12" s="1"/>
      <c r="P12" s="1"/>
      <c r="Q12" s="15" t="s">
        <v>61</v>
      </c>
    </row>
    <row r="13" spans="1:17" s="15" customFormat="1" ht="27" customHeight="1">
      <c r="B13" s="16"/>
      <c r="C13" s="17"/>
      <c r="D13" s="18" t="s">
        <v>41</v>
      </c>
      <c r="E13" s="59"/>
      <c r="F13" s="192" t="s">
        <v>44</v>
      </c>
      <c r="G13" s="193"/>
      <c r="H13" s="19"/>
      <c r="I13" s="20"/>
      <c r="J13" s="19"/>
      <c r="K13" s="39"/>
      <c r="L13" s="36"/>
      <c r="M13" s="37"/>
      <c r="N13" s="1"/>
      <c r="O13" s="1"/>
      <c r="P13" s="1"/>
    </row>
    <row r="14" spans="1:17" s="15" customFormat="1" ht="27" customHeight="1">
      <c r="B14" s="21"/>
      <c r="C14" s="22"/>
      <c r="D14" s="18" t="s">
        <v>42</v>
      </c>
      <c r="E14" s="59"/>
      <c r="F14" s="192" t="s">
        <v>43</v>
      </c>
      <c r="G14" s="193"/>
      <c r="H14" s="19"/>
      <c r="I14" s="20"/>
      <c r="J14" s="19"/>
      <c r="K14" s="31"/>
      <c r="L14" s="36"/>
      <c r="M14" s="37"/>
      <c r="N14" s="1"/>
      <c r="O14" s="1"/>
      <c r="P14" s="1"/>
    </row>
    <row r="15" spans="1:17" s="15" customFormat="1" ht="27" customHeight="1">
      <c r="B15" s="41" t="s">
        <v>18</v>
      </c>
      <c r="C15" s="18" t="s">
        <v>45</v>
      </c>
      <c r="D15" s="18" t="s">
        <v>46</v>
      </c>
      <c r="E15" s="59"/>
      <c r="F15" s="192" t="s">
        <v>47</v>
      </c>
      <c r="G15" s="194"/>
      <c r="H15" s="53"/>
      <c r="I15" s="54"/>
      <c r="J15" s="53"/>
      <c r="K15" s="31"/>
      <c r="L15" s="36"/>
      <c r="M15" s="37"/>
      <c r="N15" s="1"/>
      <c r="O15" s="1"/>
      <c r="P15" s="1"/>
    </row>
    <row r="16" spans="1:17" s="15" customFormat="1" ht="27" customHeight="1">
      <c r="B16" s="41" t="s">
        <v>19</v>
      </c>
      <c r="C16" s="18" t="s">
        <v>48</v>
      </c>
      <c r="D16" s="18" t="s">
        <v>49</v>
      </c>
      <c r="E16" s="59"/>
      <c r="F16" s="192" t="s">
        <v>50</v>
      </c>
      <c r="G16" s="194"/>
      <c r="H16" s="54"/>
      <c r="I16" s="54"/>
      <c r="J16" s="53"/>
      <c r="K16" s="31"/>
      <c r="L16" s="36"/>
      <c r="M16" s="37"/>
      <c r="N16" s="1"/>
      <c r="O16" s="1"/>
      <c r="P16" s="1"/>
    </row>
    <row r="17" spans="2:16" s="15" customFormat="1" ht="27" customHeight="1">
      <c r="B17" s="21" t="s">
        <v>20</v>
      </c>
      <c r="C17" s="18" t="s">
        <v>51</v>
      </c>
      <c r="D17" s="18" t="s">
        <v>52</v>
      </c>
      <c r="E17" s="60"/>
      <c r="F17" s="207" t="s">
        <v>53</v>
      </c>
      <c r="G17" s="208"/>
      <c r="H17" s="19"/>
      <c r="I17" s="20"/>
      <c r="J17" s="19"/>
      <c r="K17" s="50"/>
      <c r="L17" s="51"/>
      <c r="M17" s="52"/>
      <c r="N17" s="1"/>
      <c r="O17" s="1"/>
      <c r="P17" s="1"/>
    </row>
    <row r="18" spans="2:16" s="15" customFormat="1">
      <c r="B18" s="23"/>
      <c r="C18" s="24"/>
      <c r="D18" s="24"/>
      <c r="E18" s="24"/>
      <c r="F18" s="24"/>
      <c r="G18" s="25"/>
      <c r="H18" s="44"/>
      <c r="I18" s="26"/>
      <c r="J18" s="44"/>
      <c r="K18" s="27"/>
    </row>
    <row r="19" spans="2:16">
      <c r="B19" s="3"/>
    </row>
    <row r="20" spans="2:16" ht="13.5" customHeight="1">
      <c r="B20" s="1" t="s">
        <v>13</v>
      </c>
      <c r="C20" s="5" t="s">
        <v>54</v>
      </c>
      <c r="H20" s="4" t="str">
        <f>(COUNTIF(H24:H32,"OK")+COUNTIF(H24:H32,"－")+COUNTIF(H24:H32,"NG（済）"))&amp;" / "&amp;K20</f>
        <v>0 / 5</v>
      </c>
      <c r="K20" s="12">
        <f>COUNTA(B24:B32)-COUNTIF(B24:B32,"修正確認")</f>
        <v>5</v>
      </c>
      <c r="L20" s="3">
        <f>COUNTIF(H24:H32,"OK")+COUNTIF(H24:H32,"－")</f>
        <v>0</v>
      </c>
      <c r="M20" s="3">
        <f>COUNTIF(H24:H32,"NG")</f>
        <v>0</v>
      </c>
    </row>
    <row r="21" spans="2:16">
      <c r="B21" s="1"/>
      <c r="K21" s="12"/>
    </row>
    <row r="22" spans="2:16" ht="13.5" customHeight="1">
      <c r="B22" s="200" t="s">
        <v>4</v>
      </c>
      <c r="C22" s="201" t="s">
        <v>30</v>
      </c>
      <c r="D22" s="201" t="s">
        <v>34</v>
      </c>
      <c r="E22" s="201" t="s">
        <v>58</v>
      </c>
      <c r="F22" s="202" t="s">
        <v>7</v>
      </c>
      <c r="G22" s="203"/>
      <c r="H22" s="179" t="s">
        <v>12</v>
      </c>
      <c r="I22" s="179"/>
      <c r="J22" s="179"/>
      <c r="K22" s="195" t="s">
        <v>14</v>
      </c>
      <c r="L22" s="195"/>
      <c r="M22" s="195"/>
    </row>
    <row r="23" spans="2:16">
      <c r="B23" s="183"/>
      <c r="C23" s="185"/>
      <c r="D23" s="185"/>
      <c r="E23" s="185"/>
      <c r="F23" s="190"/>
      <c r="G23" s="191"/>
      <c r="H23" s="45" t="s">
        <v>8</v>
      </c>
      <c r="I23" s="45" t="s">
        <v>9</v>
      </c>
      <c r="J23" s="45" t="s">
        <v>10</v>
      </c>
      <c r="K23" s="30"/>
      <c r="L23" s="32"/>
      <c r="M23" s="33"/>
    </row>
    <row r="24" spans="2:16" ht="40.5">
      <c r="B24" s="38" t="s">
        <v>15</v>
      </c>
      <c r="C24" s="29" t="s">
        <v>55</v>
      </c>
      <c r="D24" s="42" t="s">
        <v>57</v>
      </c>
      <c r="E24" s="43" t="s">
        <v>59</v>
      </c>
      <c r="F24" s="192" t="s">
        <v>60</v>
      </c>
      <c r="G24" s="193"/>
      <c r="H24" s="53"/>
      <c r="I24" s="54"/>
      <c r="J24" s="53"/>
      <c r="K24" s="39"/>
      <c r="L24" s="34"/>
      <c r="M24" s="35"/>
    </row>
    <row r="25" spans="2:16">
      <c r="B25" s="41" t="s">
        <v>16</v>
      </c>
      <c r="C25" s="18"/>
      <c r="D25" s="18"/>
      <c r="E25" s="59"/>
      <c r="F25" s="192"/>
      <c r="G25" s="194"/>
      <c r="H25" s="53"/>
      <c r="I25" s="54"/>
      <c r="J25" s="53"/>
      <c r="K25" s="31"/>
      <c r="L25" s="36"/>
      <c r="M25" s="37"/>
    </row>
    <row r="26" spans="2:16">
      <c r="B26" s="41"/>
      <c r="C26" s="18"/>
      <c r="D26" s="18"/>
      <c r="E26" s="59"/>
      <c r="F26" s="192"/>
      <c r="G26" s="194"/>
      <c r="H26" s="19"/>
      <c r="I26" s="20"/>
      <c r="J26" s="19"/>
      <c r="K26" s="31"/>
      <c r="L26" s="36"/>
      <c r="M26" s="37"/>
    </row>
    <row r="27" spans="2:16">
      <c r="B27" s="41"/>
      <c r="C27" s="18"/>
      <c r="D27" s="18"/>
      <c r="E27" s="59"/>
      <c r="F27" s="192"/>
      <c r="G27" s="193"/>
      <c r="H27" s="19"/>
      <c r="I27" s="20"/>
      <c r="J27" s="19"/>
      <c r="K27" s="31"/>
      <c r="L27" s="36"/>
      <c r="M27" s="37"/>
    </row>
    <row r="28" spans="2:16">
      <c r="B28" s="41"/>
      <c r="C28" s="18"/>
      <c r="D28" s="18"/>
      <c r="E28" s="59"/>
      <c r="F28" s="192"/>
      <c r="G28" s="193"/>
      <c r="H28" s="19"/>
      <c r="I28" s="20"/>
      <c r="J28" s="19"/>
      <c r="K28" s="39"/>
      <c r="L28" s="36"/>
      <c r="M28" s="37"/>
    </row>
    <row r="29" spans="2:16">
      <c r="B29" s="41"/>
      <c r="C29" s="18"/>
      <c r="D29" s="18"/>
      <c r="E29" s="59"/>
      <c r="F29" s="192"/>
      <c r="G29" s="193"/>
      <c r="H29" s="19"/>
      <c r="I29" s="20"/>
      <c r="J29" s="19"/>
      <c r="K29" s="31"/>
      <c r="L29" s="36"/>
      <c r="M29" s="37"/>
    </row>
    <row r="30" spans="2:16">
      <c r="B30" s="41" t="s">
        <v>18</v>
      </c>
      <c r="C30" s="18"/>
      <c r="D30" s="18"/>
      <c r="E30" s="59"/>
      <c r="F30" s="192"/>
      <c r="G30" s="194"/>
      <c r="H30" s="53"/>
      <c r="I30" s="54"/>
      <c r="J30" s="53"/>
      <c r="K30" s="31"/>
      <c r="L30" s="36"/>
      <c r="M30" s="37"/>
    </row>
    <row r="31" spans="2:16">
      <c r="B31" s="41" t="s">
        <v>19</v>
      </c>
      <c r="C31" s="18"/>
      <c r="D31" s="18"/>
      <c r="E31" s="59"/>
      <c r="F31" s="192"/>
      <c r="G31" s="194"/>
      <c r="H31" s="54"/>
      <c r="I31" s="54"/>
      <c r="J31" s="53"/>
      <c r="K31" s="31"/>
      <c r="L31" s="36"/>
      <c r="M31" s="37"/>
    </row>
    <row r="32" spans="2:16">
      <c r="B32" s="21" t="s">
        <v>20</v>
      </c>
      <c r="C32" s="18"/>
      <c r="D32" s="18"/>
      <c r="E32" s="60"/>
      <c r="F32" s="207"/>
      <c r="G32" s="208"/>
      <c r="H32" s="19"/>
      <c r="I32" s="20"/>
      <c r="J32" s="19"/>
      <c r="K32" s="50"/>
      <c r="L32" s="51"/>
      <c r="M32" s="52"/>
    </row>
  </sheetData>
  <mergeCells count="33">
    <mergeCell ref="E22:E23"/>
    <mergeCell ref="F15:G15"/>
    <mergeCell ref="F16:G16"/>
    <mergeCell ref="F17:G17"/>
    <mergeCell ref="B22:B23"/>
    <mergeCell ref="C22:C23"/>
    <mergeCell ref="D22:D23"/>
    <mergeCell ref="F22:G23"/>
    <mergeCell ref="F24:G24"/>
    <mergeCell ref="F28:G28"/>
    <mergeCell ref="F29:G29"/>
    <mergeCell ref="F30:G30"/>
    <mergeCell ref="K22:M22"/>
    <mergeCell ref="H22:J22"/>
    <mergeCell ref="F31:G31"/>
    <mergeCell ref="F32:G32"/>
    <mergeCell ref="F25:G25"/>
    <mergeCell ref="F26:G26"/>
    <mergeCell ref="F27:G27"/>
    <mergeCell ref="F13:G13"/>
    <mergeCell ref="F14:G14"/>
    <mergeCell ref="N6:P6"/>
    <mergeCell ref="F8:G8"/>
    <mergeCell ref="F9:G9"/>
    <mergeCell ref="F10:G10"/>
    <mergeCell ref="F11:G11"/>
    <mergeCell ref="F12:G12"/>
    <mergeCell ref="K6:M6"/>
    <mergeCell ref="B6:B7"/>
    <mergeCell ref="C6:C7"/>
    <mergeCell ref="D6:D7"/>
    <mergeCell ref="F6:G7"/>
    <mergeCell ref="H6:J6"/>
  </mergeCells>
  <phoneticPr fontId="28"/>
  <pageMargins left="0.55118110236220474" right="0.35433070866141736" top="0.70866141732283472" bottom="0.70866141732283472" header="0.39370078740157483" footer="0.35433070866141736"/>
  <pageSetup paperSize="9" scale="37" fitToHeight="0"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2</vt:i4>
      </vt:variant>
    </vt:vector>
  </HeadingPairs>
  <TitlesOfParts>
    <vt:vector size="7" baseType="lpstr">
      <vt:lpstr>表紙</vt:lpstr>
      <vt:lpstr>変更履歴</vt:lpstr>
      <vt:lpstr>テスト項目</vt:lpstr>
      <vt:lpstr>リクエストパラメータチェックシート</vt:lpstr>
      <vt:lpstr>IT、ST（案）テスト項目</vt:lpstr>
      <vt:lpstr>'IT、ST（案）テスト項目'!Print_Area</vt:lpstr>
      <vt:lpstr>テスト項目!Print_Area</vt:lpstr>
    </vt:vector>
  </TitlesOfParts>
  <Company>komatsu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Takemoto</dc:creator>
  <cp:lastModifiedBy>k-karakama</cp:lastModifiedBy>
  <cp:lastPrinted>2009-06-17T05:18:22Z</cp:lastPrinted>
  <dcterms:created xsi:type="dcterms:W3CDTF">2007-07-02T06:58:50Z</dcterms:created>
  <dcterms:modified xsi:type="dcterms:W3CDTF">2019-01-09T07:13:07Z</dcterms:modified>
</cp:coreProperties>
</file>