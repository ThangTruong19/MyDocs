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テスト項目!$B$7:$U$71</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テスト項目!$A$1:$J$58</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M4" i="19" l="1"/>
  <c r="N4" i="19" l="1"/>
  <c r="Q4" i="19"/>
  <c r="Q3" i="19"/>
  <c r="Q2" i="19"/>
  <c r="P4" i="19" l="1"/>
  <c r="O4" i="19"/>
  <c r="P3" i="19"/>
  <c r="O3" i="19"/>
  <c r="N3" i="19"/>
  <c r="P2" i="19"/>
  <c r="O2" i="19"/>
  <c r="N2" i="19"/>
  <c r="B69" i="19" l="1"/>
  <c r="B53" i="19"/>
  <c r="B54" i="19"/>
  <c r="B55" i="19"/>
  <c r="B56" i="19"/>
  <c r="B57" i="19"/>
  <c r="B58" i="19"/>
  <c r="B59" i="19"/>
  <c r="B60" i="19"/>
  <c r="B61" i="19"/>
  <c r="B62" i="19"/>
  <c r="B63" i="19"/>
  <c r="B64" i="19"/>
  <c r="B65" i="19"/>
  <c r="B66" i="19"/>
  <c r="B67" i="19"/>
  <c r="B68" i="19"/>
  <c r="B70" i="19"/>
  <c r="B71" i="19"/>
  <c r="B49" i="19"/>
  <c r="B50" i="19"/>
  <c r="B51" i="19"/>
  <c r="B52" i="19"/>
  <c r="B27" i="19"/>
  <c r="B28" i="19"/>
  <c r="B29" i="19"/>
  <c r="B30" i="19"/>
  <c r="B31" i="19"/>
  <c r="B32" i="19"/>
  <c r="B33" i="19"/>
  <c r="B34" i="19"/>
  <c r="B35" i="19"/>
  <c r="B36" i="19"/>
  <c r="B37" i="19"/>
  <c r="B38" i="19"/>
  <c r="B39" i="19"/>
  <c r="B40" i="19"/>
  <c r="B41" i="19"/>
  <c r="B42" i="19"/>
  <c r="B43" i="19"/>
  <c r="B44" i="19"/>
  <c r="B45" i="19"/>
  <c r="B46" i="19"/>
  <c r="B47" i="19"/>
  <c r="B48" i="19"/>
  <c r="B22" i="19"/>
  <c r="B23" i="19"/>
  <c r="B24" i="19"/>
  <c r="B25" i="19"/>
  <c r="B26" i="19"/>
  <c r="B10" i="19"/>
  <c r="B11" i="19"/>
  <c r="B12" i="19"/>
  <c r="B13" i="19"/>
  <c r="B14" i="19"/>
  <c r="B15" i="19"/>
  <c r="B16" i="19"/>
  <c r="B17" i="19"/>
  <c r="B18" i="19"/>
  <c r="B19" i="19"/>
  <c r="B20" i="19"/>
  <c r="B21" i="19"/>
  <c r="B9" i="19"/>
  <c r="M3" i="19" l="1"/>
  <c r="M2" i="19"/>
  <c r="J3" i="19" l="1"/>
  <c r="G3" i="19"/>
  <c r="I3" i="19"/>
  <c r="H3" i="19"/>
  <c r="M20" i="14"/>
  <c r="L20" i="14"/>
  <c r="K20" i="14"/>
  <c r="H20" i="14"/>
  <c r="N4" i="14"/>
  <c r="N3" i="14"/>
  <c r="J3" i="14" s="1"/>
  <c r="M4" i="14"/>
  <c r="M3" i="14" s="1"/>
  <c r="I3" i="14" s="1"/>
  <c r="L4" i="14"/>
  <c r="L3" i="14" s="1"/>
  <c r="H3" i="14" s="1"/>
  <c r="K4" i="14"/>
  <c r="K3" i="14" s="1"/>
  <c r="G3" i="14" s="1"/>
  <c r="H4" i="14" l="1"/>
</calcChain>
</file>

<file path=xl/sharedStrings.xml><?xml version="1.0" encoding="utf-8"?>
<sst xmlns="http://schemas.openxmlformats.org/spreadsheetml/2006/main" count="397" uniqueCount="279">
  <si>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</si>
  <si>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</si>
  <si>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</si>
  <si>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</si>
  <si>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</si>
  <si>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</si>
  <si>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</si>
  <si>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</si>
  <si>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</si>
  <si>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</si>
  <si>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</si>
  <si>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</si>
  <si>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</si>
  <si>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</si>
  <si>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</si>
  <si>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</si>
  <si>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</si>
  <si>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</si>
  <si>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</si>
  <si>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</si>
  <si>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</si>
  <si>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</si>
  <si>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</si>
  <si>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</si>
  <si>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</si>
  <si>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</si>
  <si>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</si>
  <si>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</si>
  <si>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</si>
  <si>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</si>
  <si>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</si>
  <si>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</si>
  <si>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</si>
  <si>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</si>
  <si>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</si>
  <si>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</si>
  <si>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</si>
  <si>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</si>
  <si>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</si>
  <si>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</si>
  <si>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</si>
  <si>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</si>
  <si>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</si>
  <si>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</si>
  <si>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</si>
  <si>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</si>
  <si>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</si>
  <si>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</si>
  <si>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</si>
  <si>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</si>
  <si>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</si>
  <si>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</si>
  <si>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</si>
  <si>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</si>
  <si>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</si>
  <si>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</si>
  <si>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</si>
  <si>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</si>
  <si>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</si>
  <si>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</si>
  <si>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</si>
  <si>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</si>
  <si>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</si>
  <si>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</si>
  <si>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</si>
  <si>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</si>
  <si>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</si>
  <si>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</si>
  <si>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</si>
  <si>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</si>
  <si>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</si>
  <si>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</si>
  <si>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</si>
  <si>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</si>
  <si>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</si>
  <si>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</si>
  <si>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</si>
  <si>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</si>
  <si>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</si>
  <si>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</si>
  <si>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</si>
  <si>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</si>
  <si>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</si>
  <si>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</si>
  <si>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</si>
  <si>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</si>
  <si>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</si>
  <si>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</si>
  <si>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</si>
  <si>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</si>
  <si>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</si>
  <si>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</si>
  <si>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</si>
  <si>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</si>
  <si>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</si>
  <si>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</si>
  <si>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</si>
  <si>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</si>
  <si>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</si>
  <si>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</si>
  <si>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</si>
  <si>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メイン画面上部の名称（フリータイミング）</t>
    <rPh sb="3" eb="5">
      <t>ガメン</t>
    </rPh>
    <rPh sb="5" eb="7">
      <t>ジョウブ</t>
    </rPh>
    <rPh sb="8" eb="10">
      <t>メイショウ</t>
    </rPh>
    <phoneticPr fontId="47"/>
  </si>
  <si>
    <t>初期表示</t>
    <rPh sb="0" eb="2">
      <t>ショキ</t>
    </rPh>
    <rPh sb="2" eb="4">
      <t>ヒョウジ</t>
    </rPh>
    <phoneticPr fontId="28"/>
  </si>
  <si>
    <t>初期値が表示されること(初期値は取得順で最初のものを表示）</t>
    <rPh sb="0" eb="2">
      <t>ショキ</t>
    </rPh>
    <rPh sb="2" eb="3">
      <t>アタイ</t>
    </rPh>
    <rPh sb="4" eb="6">
      <t>ヒョウジ</t>
    </rPh>
    <rPh sb="12" eb="14">
      <t>ショキ</t>
    </rPh>
    <rPh sb="14" eb="15">
      <t>アタイ</t>
    </rPh>
    <rPh sb="16" eb="18">
      <t>シュトク</t>
    </rPh>
    <rPh sb="18" eb="19">
      <t>ジュン</t>
    </rPh>
    <rPh sb="20" eb="22">
      <t>サイショ</t>
    </rPh>
    <rPh sb="26" eb="28">
      <t>ヒョウジ</t>
    </rPh>
    <phoneticPr fontId="28"/>
  </si>
  <si>
    <t>プルダウンリスト</t>
    <phoneticPr fontId="28"/>
  </si>
  <si>
    <t>プルダウンリストで表示されること</t>
    <rPh sb="9" eb="11">
      <t>ヒョウジ</t>
    </rPh>
    <phoneticPr fontId="28"/>
  </si>
  <si>
    <t>初期表示</t>
    <rPh sb="0" eb="2">
      <t>ショキ</t>
    </rPh>
    <rPh sb="2" eb="4">
      <t>ヒョウジ</t>
    </rPh>
    <phoneticPr fontId="47"/>
  </si>
  <si>
    <t>テキストボックスが空白で表示されること</t>
    <rPh sb="9" eb="11">
      <t>クウハク</t>
    </rPh>
    <rPh sb="12" eb="14">
      <t>ヒョウジ</t>
    </rPh>
    <phoneticPr fontId="28"/>
  </si>
  <si>
    <t>文字数制御</t>
    <rPh sb="0" eb="3">
      <t>モジスウ</t>
    </rPh>
    <rPh sb="3" eb="5">
      <t>セイギョ</t>
    </rPh>
    <phoneticPr fontId="28"/>
  </si>
  <si>
    <t>リクエストパラメータ確認</t>
    <rPh sb="10" eb="12">
      <t>カクニン</t>
    </rPh>
    <phoneticPr fontId="28"/>
  </si>
  <si>
    <t>禁則文字「#%&amp;&lt;&gt;'"」を入力の場合、エラーとなること</t>
    <rPh sb="0" eb="2">
      <t>キンソク</t>
    </rPh>
    <rPh sb="2" eb="4">
      <t>モジ</t>
    </rPh>
    <rPh sb="14" eb="16">
      <t>ニュウリョク</t>
    </rPh>
    <rPh sb="17" eb="19">
      <t>バアイ</t>
    </rPh>
    <phoneticPr fontId="28"/>
  </si>
  <si>
    <t>禁則文字チェック</t>
    <rPh sb="0" eb="2">
      <t>キンソク</t>
    </rPh>
    <rPh sb="2" eb="4">
      <t>モジ</t>
    </rPh>
    <phoneticPr fontId="28"/>
  </si>
  <si>
    <t>空欄となっていること</t>
    <rPh sb="0" eb="2">
      <t>クウラン</t>
    </rPh>
    <phoneticPr fontId="28"/>
  </si>
  <si>
    <t>［＞］、［＜］矢印ボタン</t>
    <rPh sb="7" eb="9">
      <t>ヤジルシ</t>
    </rPh>
    <phoneticPr fontId="28"/>
  </si>
  <si>
    <t>ボタンステータス</t>
    <phoneticPr fontId="28"/>
  </si>
  <si>
    <t>非活性となっていること</t>
    <rPh sb="0" eb="1">
      <t>ヒ</t>
    </rPh>
    <rPh sb="1" eb="3">
      <t>カッセイ</t>
    </rPh>
    <phoneticPr fontId="28"/>
  </si>
  <si>
    <t>［確定］ボタン</t>
    <rPh sb="1" eb="3">
      <t>カクテイ</t>
    </rPh>
    <phoneticPr fontId="28"/>
  </si>
  <si>
    <t>Check Box</t>
    <phoneticPr fontId="28"/>
  </si>
  <si>
    <t>ヘッダ部</t>
    <rPh sb="3" eb="4">
      <t>ブ</t>
    </rPh>
    <phoneticPr fontId="28"/>
  </si>
  <si>
    <t>明細部</t>
    <rPh sb="0" eb="2">
      <t>メイサイ</t>
    </rPh>
    <rPh sb="2" eb="3">
      <t>ブ</t>
    </rPh>
    <phoneticPr fontId="28"/>
  </si>
  <si>
    <t>チェックボックスのON / OFFが切り替えられること</t>
    <rPh sb="18" eb="19">
      <t>キ</t>
    </rPh>
    <rPh sb="20" eb="21">
      <t>カ</t>
    </rPh>
    <phoneticPr fontId="28"/>
  </si>
  <si>
    <t>チェックボックスが非活性となること</t>
    <rPh sb="9" eb="10">
      <t>ヒ</t>
    </rPh>
    <rPh sb="10" eb="12">
      <t>カッセイ</t>
    </rPh>
    <phoneticPr fontId="28"/>
  </si>
  <si>
    <t>－</t>
    <phoneticPr fontId="47"/>
  </si>
  <si>
    <t>明細部（ON時）</t>
    <rPh sb="6" eb="7">
      <t>ジ</t>
    </rPh>
    <phoneticPr fontId="28"/>
  </si>
  <si>
    <t>明細部（OFF時）</t>
    <rPh sb="7" eb="8">
      <t>ジ</t>
    </rPh>
    <phoneticPr fontId="28"/>
  </si>
  <si>
    <t>明細部（全件ON時）</t>
    <rPh sb="4" eb="6">
      <t>ゼンケン</t>
    </rPh>
    <rPh sb="8" eb="9">
      <t>ジ</t>
    </rPh>
    <phoneticPr fontId="28"/>
  </si>
  <si>
    <t>ヘッダ部のチェックボックスもONとなること</t>
    <rPh sb="3" eb="4">
      <t>ブ</t>
    </rPh>
    <phoneticPr fontId="28"/>
  </si>
  <si>
    <t>ヘッダ部（ON時）</t>
    <rPh sb="3" eb="4">
      <t>ブ</t>
    </rPh>
    <rPh sb="7" eb="8">
      <t>ジ</t>
    </rPh>
    <phoneticPr fontId="28"/>
  </si>
  <si>
    <t>ヘッダ部（OFF時）</t>
    <rPh sb="3" eb="4">
      <t>ブ</t>
    </rPh>
    <rPh sb="8" eb="9">
      <t>ジ</t>
    </rPh>
    <phoneticPr fontId="28"/>
  </si>
  <si>
    <t>明細部のチェックボックスが全件ONとなること</t>
    <rPh sb="0" eb="2">
      <t>メイサイ</t>
    </rPh>
    <rPh sb="2" eb="3">
      <t>ブ</t>
    </rPh>
    <rPh sb="13" eb="15">
      <t>ゼンケン</t>
    </rPh>
    <phoneticPr fontId="28"/>
  </si>
  <si>
    <t>明細部のチェックボックスが全件OFFとなること</t>
    <rPh sb="0" eb="2">
      <t>メイサイ</t>
    </rPh>
    <rPh sb="2" eb="3">
      <t>ブ</t>
    </rPh>
    <rPh sb="13" eb="15">
      <t>ゼンケン</t>
    </rPh>
    <phoneticPr fontId="28"/>
  </si>
  <si>
    <t>Toリスト明細部</t>
    <rPh sb="5" eb="7">
      <t>メイサイ</t>
    </rPh>
    <rPh sb="7" eb="8">
      <t>ブ</t>
    </rPh>
    <phoneticPr fontId="28"/>
  </si>
  <si>
    <t>移動ボタン［＞］</t>
    <rPh sb="0" eb="2">
      <t>イドウ</t>
    </rPh>
    <phoneticPr fontId="28"/>
  </si>
  <si>
    <t>チェックボックス</t>
    <phoneticPr fontId="28"/>
  </si>
  <si>
    <t>すべてのチェックボックスがOFFとなっていること</t>
    <phoneticPr fontId="28"/>
  </si>
  <si>
    <t>一覧（To）</t>
    <rPh sb="0" eb="2">
      <t>イチラン</t>
    </rPh>
    <phoneticPr fontId="28"/>
  </si>
  <si>
    <t>活性化すること</t>
    <rPh sb="0" eb="3">
      <t>カッセイカ</t>
    </rPh>
    <phoneticPr fontId="28"/>
  </si>
  <si>
    <t>［メッセージ］タブ内の入力チェック</t>
    <rPh sb="9" eb="10">
      <t>ナイ</t>
    </rPh>
    <rPh sb="11" eb="13">
      <t>ニュウリョク</t>
    </rPh>
    <phoneticPr fontId="28"/>
  </si>
  <si>
    <t>画面サイズを変更して表示した際、JSエラーなく表示されること</t>
    <rPh sb="0" eb="2">
      <t>ガメン</t>
    </rPh>
    <rPh sb="6" eb="8">
      <t>ヘンコウ</t>
    </rPh>
    <rPh sb="10" eb="12">
      <t>ヒョウジ</t>
    </rPh>
    <rPh sb="14" eb="15">
      <t>サイ</t>
    </rPh>
    <phoneticPr fontId="47"/>
  </si>
  <si>
    <t>確認画面へと遷移すること</t>
    <rPh sb="0" eb="2">
      <t>カクニン</t>
    </rPh>
    <rPh sb="2" eb="4">
      <t>ガメン</t>
    </rPh>
    <rPh sb="6" eb="8">
      <t>センイ</t>
    </rPh>
    <phoneticPr fontId="28"/>
  </si>
  <si>
    <t>［タブ］ヘッダメニュー、［言語］セレクトボックス、［受信者名］入力フォーム、
［モバイル番号検索］セレクトボックス、［検索番号］入力フォーム、［検索］ボタン、
［受信者一覧］、［To］リストテーブル、移動ボタン［＞］、［＜］、［確定］ボタンが表示された［SMS受信者］タブ画面に遷移すること</t>
    <rPh sb="13" eb="15">
      <t>ゲンゴ</t>
    </rPh>
    <rPh sb="26" eb="29">
      <t>ジュシンシャ</t>
    </rPh>
    <rPh sb="29" eb="30">
      <t>メイ</t>
    </rPh>
    <rPh sb="31" eb="33">
      <t>ニュウリョク</t>
    </rPh>
    <rPh sb="44" eb="46">
      <t>バンゴウ</t>
    </rPh>
    <rPh sb="46" eb="48">
      <t>ケンサク</t>
    </rPh>
    <rPh sb="59" eb="61">
      <t>ケンサク</t>
    </rPh>
    <rPh sb="61" eb="63">
      <t>バンゴウ</t>
    </rPh>
    <rPh sb="64" eb="66">
      <t>ニュウリョク</t>
    </rPh>
    <rPh sb="72" eb="74">
      <t>ケンサク</t>
    </rPh>
    <rPh sb="81" eb="84">
      <t>ジュシンシャ</t>
    </rPh>
    <rPh sb="84" eb="86">
      <t>イチラン</t>
    </rPh>
    <rPh sb="100" eb="102">
      <t>イドウ</t>
    </rPh>
    <rPh sb="114" eb="116">
      <t>カクテイ</t>
    </rPh>
    <rPh sb="121" eb="123">
      <t>ヒョウジ</t>
    </rPh>
    <rPh sb="130" eb="133">
      <t>ジュシンシャ</t>
    </rPh>
    <rPh sb="136" eb="138">
      <t>ガメン</t>
    </rPh>
    <rPh sb="139" eb="141">
      <t>センイ</t>
    </rPh>
    <phoneticPr fontId="28"/>
  </si>
  <si>
    <t>［言語］セレクトボックス</t>
    <rPh sb="1" eb="3">
      <t>ゲンゴ</t>
    </rPh>
    <phoneticPr fontId="28"/>
  </si>
  <si>
    <t>［受信者名］入力フォーム</t>
    <rPh sb="1" eb="4">
      <t>ジュシンシャ</t>
    </rPh>
    <rPh sb="4" eb="5">
      <t>メイ</t>
    </rPh>
    <rPh sb="6" eb="8">
      <t>ニュウリョク</t>
    </rPh>
    <phoneticPr fontId="28"/>
  </si>
  <si>
    <t>最大入力文字数が「２４Byte」であること</t>
    <rPh sb="0" eb="2">
      <t>サイダイ</t>
    </rPh>
    <rPh sb="2" eb="4">
      <t>ニュウリョク</t>
    </rPh>
    <rPh sb="4" eb="7">
      <t>モジスウ</t>
    </rPh>
    <phoneticPr fontId="28"/>
  </si>
  <si>
    <t>［モバイル番号の検索］セレクトボックス</t>
    <rPh sb="5" eb="7">
      <t>バンゴウ</t>
    </rPh>
    <rPh sb="8" eb="10">
      <t>ケンサク</t>
    </rPh>
    <phoneticPr fontId="28"/>
  </si>
  <si>
    <t>［検索番号］入力フォーム</t>
    <rPh sb="1" eb="3">
      <t>ケンサク</t>
    </rPh>
    <rPh sb="3" eb="5">
      <t>バンゴウ</t>
    </rPh>
    <rPh sb="6" eb="8">
      <t>ニュウリョク</t>
    </rPh>
    <phoneticPr fontId="28"/>
  </si>
  <si>
    <t>最大入力文字数が「２０Byte」であること</t>
    <rPh sb="0" eb="2">
      <t>サイダイ</t>
    </rPh>
    <rPh sb="2" eb="4">
      <t>ニュウリョク</t>
    </rPh>
    <rPh sb="4" eb="7">
      <t>モジスウ</t>
    </rPh>
    <phoneticPr fontId="28"/>
  </si>
  <si>
    <t>一覧（受信者一覧）</t>
    <rPh sb="0" eb="2">
      <t>イチラン</t>
    </rPh>
    <rPh sb="3" eb="6">
      <t>ジュシンシャ</t>
    </rPh>
    <rPh sb="6" eb="8">
      <t>イチラン</t>
    </rPh>
    <phoneticPr fontId="28"/>
  </si>
  <si>
    <t>モバイル番号取得結果が０件</t>
    <rPh sb="4" eb="6">
      <t>バンゴウ</t>
    </rPh>
    <rPh sb="6" eb="8">
      <t>シュトク</t>
    </rPh>
    <rPh sb="8" eb="10">
      <t>ケッカ</t>
    </rPh>
    <rPh sb="12" eb="13">
      <t>ケン</t>
    </rPh>
    <phoneticPr fontId="28"/>
  </si>
  <si>
    <t>受信者一覧</t>
    <rPh sb="0" eb="3">
      <t>ジュシンシャ</t>
    </rPh>
    <rPh sb="3" eb="5">
      <t>イチラン</t>
    </rPh>
    <phoneticPr fontId="28"/>
  </si>
  <si>
    <t>モバイル番号取得結果が１件以上</t>
    <rPh sb="6" eb="8">
      <t>シュトク</t>
    </rPh>
    <rPh sb="8" eb="10">
      <t>ケッカ</t>
    </rPh>
    <rPh sb="12" eb="13">
      <t>ケン</t>
    </rPh>
    <rPh sb="13" eb="15">
      <t>イジョウ</t>
    </rPh>
    <phoneticPr fontId="28"/>
  </si>
  <si>
    <t>モバイル番号データが表示されること</t>
    <rPh sb="4" eb="6">
      <t>バンゴウ</t>
    </rPh>
    <rPh sb="10" eb="12">
      <t>ヒョウジ</t>
    </rPh>
    <phoneticPr fontId="28"/>
  </si>
  <si>
    <t>Toリストへの移動ボタン［＞］が活性化すること</t>
    <rPh sb="7" eb="9">
      <t>イドウ</t>
    </rPh>
    <rPh sb="16" eb="19">
      <t>カッセイカ</t>
    </rPh>
    <phoneticPr fontId="28"/>
  </si>
  <si>
    <t>Toリストへの移動ボタン［＞］が非活性となること</t>
    <rPh sb="7" eb="9">
      <t>イドウ</t>
    </rPh>
    <rPh sb="16" eb="17">
      <t>ヒ</t>
    </rPh>
    <rPh sb="17" eb="19">
      <t>カッセイ</t>
    </rPh>
    <phoneticPr fontId="28"/>
  </si>
  <si>
    <t>チェックボックスONのモバイル番号背景が白から　　 へ切り替わること
※hsl(43, 95%, 85%)</t>
    <rPh sb="17" eb="19">
      <t>ハイケイ</t>
    </rPh>
    <rPh sb="20" eb="21">
      <t>シロ</t>
    </rPh>
    <rPh sb="27" eb="28">
      <t>キ</t>
    </rPh>
    <rPh sb="29" eb="30">
      <t>カ</t>
    </rPh>
    <phoneticPr fontId="28"/>
  </si>
  <si>
    <t>チェックボックスOFFのモバイル番号背景が白へ切り替わること</t>
    <rPh sb="18" eb="20">
      <t>ハイケイ</t>
    </rPh>
    <rPh sb="21" eb="22">
      <t>シロ</t>
    </rPh>
    <rPh sb="23" eb="24">
      <t>キ</t>
    </rPh>
    <rPh sb="25" eb="26">
      <t>カ</t>
    </rPh>
    <phoneticPr fontId="28"/>
  </si>
  <si>
    <t>Check Box（モバイル番号取得結果が0件）</t>
    <rPh sb="22" eb="23">
      <t>ケン</t>
    </rPh>
    <phoneticPr fontId="28"/>
  </si>
  <si>
    <t>Check Box（モバイル番号取得結果が１件以上）</t>
  </si>
  <si>
    <t>モバイル番号</t>
  </si>
  <si>
    <t>モバイル番号リストへの移動ボタン［＜］が活性化すること</t>
    <rPh sb="11" eb="13">
      <t>イドウ</t>
    </rPh>
    <rPh sb="20" eb="23">
      <t>カッセイカ</t>
    </rPh>
    <phoneticPr fontId="28"/>
  </si>
  <si>
    <t>モバイル番号リストへの移動ボタン［＜］が非活性となること</t>
    <rPh sb="11" eb="13">
      <t>イドウ</t>
    </rPh>
    <rPh sb="20" eb="21">
      <t>ヒ</t>
    </rPh>
    <rPh sb="21" eb="23">
      <t>カッセイ</t>
    </rPh>
    <phoneticPr fontId="28"/>
  </si>
  <si>
    <t>選択したモバイル番号データがToリストに表示されること</t>
    <rPh sb="0" eb="2">
      <t>センタク</t>
    </rPh>
    <rPh sb="20" eb="22">
      <t>ヒョウジ</t>
    </rPh>
    <phoneticPr fontId="28"/>
  </si>
  <si>
    <t>選択したモバイル番号データがモバイル番号リストから削除されていること</t>
    <rPh sb="0" eb="2">
      <t>センタク</t>
    </rPh>
    <rPh sb="25" eb="27">
      <t>サクジョ</t>
    </rPh>
    <phoneticPr fontId="28"/>
  </si>
  <si>
    <t>表示モバイル番号データ0件</t>
    <rPh sb="0" eb="2">
      <t>ヒョウジ</t>
    </rPh>
    <rPh sb="12" eb="13">
      <t>ケン</t>
    </rPh>
    <phoneticPr fontId="28"/>
  </si>
  <si>
    <t>表示モバイル番号データ1件以上</t>
    <rPh sb="0" eb="2">
      <t>ヒョウジ</t>
    </rPh>
    <rPh sb="12" eb="15">
      <t>ケンイジョウ</t>
    </rPh>
    <phoneticPr fontId="28"/>
  </si>
  <si>
    <t>モバイル番号データが表示されること</t>
    <rPh sb="10" eb="12">
      <t>ヒョウジ</t>
    </rPh>
    <phoneticPr fontId="28"/>
  </si>
  <si>
    <t>Toリスト（表示モバイル番号データ0件）</t>
    <rPh sb="6" eb="8">
      <t>ヒョウジ</t>
    </rPh>
    <rPh sb="18" eb="19">
      <t>ケン</t>
    </rPh>
    <phoneticPr fontId="28"/>
  </si>
  <si>
    <t>Toリスト（表示モバイル番号データ1件以上）</t>
    <rPh sb="6" eb="8">
      <t>ヒョウジ</t>
    </rPh>
    <rPh sb="18" eb="19">
      <t>ケン</t>
    </rPh>
    <rPh sb="19" eb="21">
      <t>イジョウ</t>
    </rPh>
    <phoneticPr fontId="28"/>
  </si>
  <si>
    <t>受信者一覧リスト</t>
    <rPh sb="0" eb="3">
      <t>ジュシンシャ</t>
    </rPh>
    <rPh sb="3" eb="5">
      <t>イチラン</t>
    </rPh>
    <phoneticPr fontId="28"/>
  </si>
  <si>
    <t>ヘッダメニュー［SMS受信者］タブ</t>
    <rPh sb="11" eb="14">
      <t>ジュシンシャ</t>
    </rPh>
    <phoneticPr fontId="28"/>
  </si>
  <si>
    <t>表示モバイル番号データ件数が表示されていること</t>
    <rPh sb="0" eb="2">
      <t>ヒョウジ</t>
    </rPh>
    <rPh sb="6" eb="8">
      <t>バンゴウ</t>
    </rPh>
    <rPh sb="11" eb="13">
      <t>ケンスウ</t>
    </rPh>
    <rPh sb="14" eb="16">
      <t>ヒョウジ</t>
    </rPh>
    <phoneticPr fontId="28"/>
  </si>
  <si>
    <t>ヘッダタブメニュー</t>
    <phoneticPr fontId="28"/>
  </si>
  <si>
    <t>画面表示</t>
    <rPh sb="0" eb="2">
      <t>ガメン</t>
    </rPh>
    <rPh sb="2" eb="4">
      <t>ヒョウジ</t>
    </rPh>
    <phoneticPr fontId="28"/>
  </si>
  <si>
    <t>［車両］タブへ画面遷移</t>
    <rPh sb="1" eb="3">
      <t>シャリョウ</t>
    </rPh>
    <rPh sb="7" eb="9">
      <t>ガメン</t>
    </rPh>
    <rPh sb="9" eb="11">
      <t>センイ</t>
    </rPh>
    <phoneticPr fontId="28"/>
  </si>
  <si>
    <t>［受信者］タブへ画面遷移</t>
    <rPh sb="1" eb="4">
      <t>ジュシンシャ</t>
    </rPh>
    <rPh sb="8" eb="10">
      <t>ガメン</t>
    </rPh>
    <rPh sb="10" eb="12">
      <t>センイ</t>
    </rPh>
    <phoneticPr fontId="28"/>
  </si>
  <si>
    <t>左メニュー</t>
    <rPh sb="0" eb="1">
      <t>ヒダリ</t>
    </rPh>
    <phoneticPr fontId="28"/>
  </si>
  <si>
    <t>－</t>
    <phoneticPr fontId="47"/>
  </si>
  <si>
    <t>確認ダイアログが表示された後、該当画面に遷移すること</t>
    <rPh sb="0" eb="2">
      <t>カクニン</t>
    </rPh>
    <rPh sb="8" eb="10">
      <t>ヒョウジ</t>
    </rPh>
    <rPh sb="13" eb="14">
      <t>ノチ</t>
    </rPh>
    <rPh sb="15" eb="17">
      <t>ガイトウ</t>
    </rPh>
    <rPh sb="17" eb="19">
      <t>ガメン</t>
    </rPh>
    <rPh sb="20" eb="22">
      <t>センイ</t>
    </rPh>
    <phoneticPr fontId="28"/>
  </si>
  <si>
    <t>多言語確認</t>
  </si>
  <si>
    <t>環境設定の言語をロシア語に変更</t>
    <rPh sb="0" eb="2">
      <t>カンキョウ</t>
    </rPh>
    <rPh sb="2" eb="4">
      <t>セッテイ</t>
    </rPh>
    <rPh sb="5" eb="7">
      <t>ゲンゴ</t>
    </rPh>
    <rPh sb="11" eb="12">
      <t>ゴ</t>
    </rPh>
    <rPh sb="13" eb="15">
      <t>ヘンコウ</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</si>
  <si>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</si>
  <si>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</si>
  <si>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想定外操作</t>
    <rPh sb="0" eb="2">
      <t>ソウテイ</t>
    </rPh>
    <rPh sb="2" eb="3">
      <t>ガイ</t>
    </rPh>
    <rPh sb="3" eb="5">
      <t>ソウサ</t>
    </rPh>
    <phoneticPr fontId="28"/>
  </si>
  <si>
    <t>戻るボタン操作</t>
    <rPh sb="0" eb="1">
      <t>モド</t>
    </rPh>
    <rPh sb="5" eb="7">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</si>
  <si>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</si>
  <si>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</si>
  <si>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別シート"リクエストパラメータチェックシート:受信者情報一覧取得API"参照</t>
    <rPh sb="36" eb="38">
      <t>サンショウ</t>
    </rPh>
    <phoneticPr fontId="28"/>
  </si>
  <si>
    <t>X-GroupId</t>
    <phoneticPr fontId="28"/>
  </si>
  <si>
    <t>日付形式</t>
    <phoneticPr fontId="28"/>
  </si>
  <si>
    <t>query</t>
    <phoneticPr fontId="28"/>
  </si>
  <si>
    <t>0:Email, 1:SMS</t>
    <phoneticPr fontId="28"/>
  </si>
  <si>
    <t>0:PC, 1:携帯</t>
    <phoneticPr fontId="28"/>
  </si>
  <si>
    <t>－</t>
    <phoneticPr fontId="47"/>
  </si>
  <si>
    <t>レイアウト</t>
    <phoneticPr fontId="47"/>
  </si>
  <si>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</si>
  <si>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</si>
  <si>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</si>
  <si>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</si>
  <si>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</si>
  <si>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</si>
  <si>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</si>
  <si>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車種</t>
    <rPh sb="0" eb="2">
      <t>シャシュ</t>
    </rPh>
    <phoneticPr fontId="28"/>
  </si>
  <si>
    <t>１.メインメニュー［プロファイル］項目より［フリータイミング］ボタンをクリック
２.［SMS受信者］タブをクリック</t>
    <rPh sb="17" eb="19">
      <t>コウモク</t>
    </rPh>
    <rPh sb="46" eb="49">
      <t>ジュシンシャ</t>
    </rPh>
    <phoneticPr fontId="28"/>
  </si>
  <si>
    <t>［検索］ボタンクリック</t>
    <rPh sb="1" eb="3">
      <t>ケンサク</t>
    </rPh>
    <phoneticPr fontId="28"/>
  </si>
  <si>
    <t>Toリストへの移動ボタン［＞］クリック</t>
    <rPh sb="7" eb="9">
      <t>イドウ</t>
    </rPh>
    <phoneticPr fontId="28"/>
  </si>
  <si>
    <t>［確定］ボタンクリック</t>
    <rPh sb="1" eb="3">
      <t>カクテイ</t>
    </rPh>
    <phoneticPr fontId="28"/>
  </si>
  <si>
    <t>［確定］クリック時の［メッセージ］タブ内［タイトル］、［メッセージ］入力フォームの入力済みであること</t>
    <rPh sb="1" eb="3">
      <t>カクテイ</t>
    </rPh>
    <rPh sb="8" eb="9">
      <t>ジ</t>
    </rPh>
    <rPh sb="19" eb="20">
      <t>ナイ</t>
    </rPh>
    <rPh sb="34" eb="36">
      <t>ニュウリョク</t>
    </rPh>
    <rPh sb="41" eb="43">
      <t>ニュウリョク</t>
    </rPh>
    <rPh sb="43" eb="44">
      <t>ズ</t>
    </rPh>
    <phoneticPr fontId="28"/>
  </si>
  <si>
    <t>［受信者］ボタンクリック</t>
    <rPh sb="1" eb="4">
      <t>ジュシンシャ</t>
    </rPh>
    <phoneticPr fontId="28"/>
  </si>
  <si>
    <t>別セクションの任意メニューボタンクリック</t>
    <rPh sb="0" eb="1">
      <t>ベツ</t>
    </rPh>
    <rPh sb="7" eb="9">
      <t>ニンイ</t>
    </rPh>
    <phoneticPr fontId="28"/>
  </si>
  <si>
    <t>戻るボタンクリック時</t>
    <rPh sb="0" eb="1">
      <t>モド</t>
    </rPh>
    <rPh sb="9" eb="10">
      <t>ジ</t>
    </rPh>
    <phoneticPr fontId="28"/>
  </si>
  <si>
    <t>F5ボタンクリック時</t>
    <rPh sb="9" eb="10">
      <t>ジ</t>
    </rPh>
    <phoneticPr fontId="47"/>
  </si>
  <si>
    <t>検索時、禁則文字「#%&amp;&lt;&gt;'"」を入力の場合、エラーとなること</t>
    <rPh sb="0" eb="2">
      <t>ケンサク</t>
    </rPh>
    <rPh sb="2" eb="3">
      <t>ジ</t>
    </rPh>
    <rPh sb="4" eb="6">
      <t>キンソク</t>
    </rPh>
    <rPh sb="6" eb="8">
      <t>モジ</t>
    </rPh>
    <rPh sb="18" eb="20">
      <t>ニュウリョク</t>
    </rPh>
    <rPh sb="21" eb="23">
      <t>バアイ</t>
    </rPh>
    <phoneticPr fontId="28"/>
  </si>
  <si>
    <t>フリータイミング - SMS受信者</t>
    <rPh sb="14" eb="17">
      <t>ジュシンシャ</t>
    </rPh>
    <phoneticPr fontId="28"/>
  </si>
  <si>
    <t>未実施</t>
    <rPh sb="0" eb="3">
      <t>ミジッシ</t>
    </rPh>
    <phoneticPr fontId="28"/>
  </si>
  <si>
    <t>エビデンス</t>
    <phoneticPr fontId="28"/>
  </si>
  <si>
    <t>表示名称はラベル情報取得ＡＰＩからのレスポンス値を使用していること</t>
    <rPh sb="0" eb="2">
      <t>ヒョウジ</t>
    </rPh>
    <rPh sb="2" eb="4">
      <t>メイショウ</t>
    </rPh>
    <rPh sb="8" eb="10">
      <t>ジョウホウ</t>
    </rPh>
    <rPh sb="10" eb="12">
      <t>シュトク</t>
    </rPh>
    <rPh sb="23" eb="24">
      <t>アタイ</t>
    </rPh>
    <rPh sb="25" eb="27">
      <t>シヨウ</t>
    </rPh>
    <phoneticPr fontId="28"/>
  </si>
  <si>
    <t>受信者情報一覧取得API (GET：/emn/receivers)</t>
    <phoneticPr fontId="28"/>
  </si>
  <si>
    <t>Header</t>
    <phoneticPr fontId="28"/>
  </si>
  <si>
    <t>①</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</si>
  <si>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</si>
  <si>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</si>
  <si>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</si>
  <si>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</si>
  <si>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</si>
  <si>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</si>
  <si>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</si>
  <si>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</si>
  <si>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</si>
  <si>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</si>
  <si>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X-GroupId</t>
  </si>
  <si>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</si>
  <si>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</si>
  <si>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</si>
  <si>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</si>
  <si>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</si>
  <si>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</si>
  <si>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</si>
  <si>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X-CarDivision</t>
  </si>
  <si>
    <t>X-Lang</t>
    <phoneticPr fontId="28"/>
  </si>
  <si>
    <t>言語タグ</t>
    <phoneticPr fontId="28"/>
  </si>
  <si>
    <t>X-AppCode</t>
    <phoneticPr fontId="28"/>
  </si>
  <si>
    <t>アプリケーションコード</t>
    <phoneticPr fontId="28"/>
  </si>
  <si>
    <t>グループID</t>
    <phoneticPr fontId="28"/>
  </si>
  <si>
    <t>X-CarDivision</t>
    <phoneticPr fontId="28"/>
  </si>
  <si>
    <t>車種</t>
    <phoneticPr fontId="28"/>
  </si>
  <si>
    <t>X-From</t>
    <phoneticPr fontId="28"/>
  </si>
  <si>
    <t>取得開始位置</t>
    <phoneticPr fontId="28"/>
  </si>
  <si>
    <t>X-Count</t>
    <phoneticPr fontId="28"/>
  </si>
  <si>
    <t>取得件数</t>
    <phoneticPr fontId="28"/>
  </si>
  <si>
    <t>X-Sort</t>
    <phoneticPr fontId="28"/>
  </si>
  <si>
    <t>ソート</t>
    <phoneticPr fontId="28"/>
  </si>
  <si>
    <t>①</t>
    <phoneticPr fontId="28"/>
  </si>
  <si>
    <t>receive_method</t>
    <phoneticPr fontId="28"/>
  </si>
  <si>
    <t>受信方法</t>
    <phoneticPr fontId="28"/>
  </si>
  <si>
    <t>registration_status</t>
    <phoneticPr fontId="28"/>
  </si>
  <si>
    <t>登録状態</t>
    <phoneticPr fontId="28"/>
  </si>
  <si>
    <t>0:仮登録,1:本登録</t>
    <phoneticPr fontId="28"/>
  </si>
  <si>
    <t>lang_code</t>
    <phoneticPr fontId="28"/>
  </si>
  <si>
    <t>言語コード</t>
    <phoneticPr fontId="28"/>
  </si>
  <si>
    <t>{言語}-{地域}(IETF言語タグ)</t>
    <phoneticPr fontId="28"/>
  </si>
  <si>
    <t>email_format</t>
    <phoneticPr fontId="28"/>
  </si>
  <si>
    <t>Eメール形式</t>
    <phoneticPr fontId="28"/>
  </si>
  <si>
    <t>receiver_search_keyword</t>
    <phoneticPr fontId="28"/>
  </si>
  <si>
    <t>受信者検索キーワード</t>
    <phoneticPr fontId="28"/>
  </si>
  <si>
    <t>受信者名、受信者名(英語)から部分一致にて検索する。
receive_methodが0のときは受信者ニックネームも検索対象とする。
ワイルドカード使用可能</t>
    <phoneticPr fontId="28"/>
  </si>
  <si>
    <t>contact_search_keyword</t>
    <phoneticPr fontId="28"/>
  </si>
  <si>
    <t>連絡先検索キーワード</t>
    <phoneticPr fontId="28"/>
  </si>
  <si>
    <t>部分一致にて検索する。
receive_methodが0の時はメールアドレスが検索対象
receive_methodが1の時は電話番号が検索対象</t>
    <phoneticPr fontId="28"/>
  </si>
  <si>
    <t>［メッセージ］タブクリック</t>
    <phoneticPr fontId="28"/>
  </si>
  <si>
    <t>［メッセージ］タブへ画面遷移</t>
    <rPh sb="10" eb="12">
      <t>ガメン</t>
    </rPh>
    <rPh sb="12" eb="14">
      <t>センイ</t>
    </rPh>
    <phoneticPr fontId="28"/>
  </si>
  <si>
    <t>［車両］タブクリック</t>
    <rPh sb="1" eb="3">
      <t>シャリョウ</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</si>
  <si>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</si>
  <si>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 ※表示項目全てを確認すること</t>
    <rPh sb="0" eb="2">
      <t>ヒョウジ</t>
    </rPh>
    <rPh sb="2" eb="4">
      <t>コウモク</t>
    </rPh>
    <rPh sb="5" eb="7">
      <t>エイゴ</t>
    </rPh>
    <rPh sb="14" eb="16">
      <t>ヒョウジ</t>
    </rPh>
    <rPh sb="16" eb="18">
      <t>コウモク</t>
    </rPh>
    <rPh sb="18" eb="19">
      <t>スベ</t>
    </rPh>
    <rPh sb="21" eb="23">
      <t>カクニン</t>
    </rPh>
    <phoneticPr fontId="28"/>
  </si>
  <si>
    <t>ホーム画面(前ページ）に戻ること</t>
    <rPh sb="3" eb="5">
      <t>ガメン</t>
    </rPh>
    <rPh sb="6" eb="7">
      <t>マエ</t>
    </rPh>
    <rPh sb="12" eb="13">
      <t>モド</t>
    </rPh>
    <phoneticPr fontId="28"/>
  </si>
  <si>
    <t>（EXE）塚田</t>
    <rPh sb="5" eb="7">
      <t>ツカダ</t>
    </rPh>
    <phoneticPr fontId="147"/>
  </si>
  <si>
    <t>塚田</t>
    <rPh sb="0" eb="2">
      <t>ツカダ</t>
    </rPh>
    <phoneticPr fontId="28"/>
  </si>
  <si>
    <t>唐鎌</t>
    <rPh sb="0" eb="2">
      <t>カラカマ</t>
    </rPh>
    <phoneticPr fontId="28"/>
  </si>
  <si>
    <t>増田</t>
    <rPh sb="0" eb="2">
      <t>マスダ</t>
    </rPh>
    <phoneticPr fontId="28"/>
  </si>
  <si>
    <t>結合テスト仕様書 フリータイミング - SMS受信者</t>
    <rPh sb="0" eb="2">
      <t>ケツゴウ</t>
    </rPh>
    <rPh sb="5" eb="7">
      <t>シヨウ</t>
    </rPh>
    <rPh sb="7" eb="8">
      <t>ショ</t>
    </rPh>
    <rPh sb="23" eb="26">
      <t>ジュシンシャ</t>
    </rPh>
    <phoneticPr fontId="14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</si>
</sst>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9"/>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17">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18" xfId="210" applyFont="1" applyFill="1" applyBorder="1" applyAlignment="1">
      <alignment horizontal="left" vertical="center" wrapText="1"/>
    </xf>
    <xf numFmtId="0" fontId="0" fillId="0" borderId="20" xfId="0" applyBorder="1" applyAlignment="1">
      <alignment horizontal="left" vertical="center" wrapText="1"/>
    </xf>
    <xf numFmtId="0" fontId="91" fillId="0" borderId="0" xfId="210" applyFont="1" applyFill="1" applyBorder="1" applyAlignment="1">
      <alignment horizontal="center"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148" fillId="0" borderId="0" xfId="0" applyFont="1"/>
    <xf numFmtId="0" fontId="148" fillId="0" borderId="0" xfId="0" applyFont="1" applyFill="1"/>
    <xf numFmtId="0" fontId="91" fillId="0" borderId="0" xfId="210" applyFont="1" applyFill="1" applyBorder="1" applyAlignment="1">
      <alignment horizontal="center" vertical="center"/>
    </xf>
    <xf numFmtId="0" fontId="91" fillId="0" borderId="0" xfId="210" applyFont="1" applyAlignment="1">
      <alignment vertical="center" wrapText="1"/>
    </xf>
    <xf numFmtId="0" fontId="91" fillId="60" borderId="3" xfId="210" applyFont="1" applyFill="1" applyBorder="1" applyAlignment="1">
      <alignment horizontal="left" vertical="center" wrapText="1"/>
    </xf>
    <xf numFmtId="0" fontId="91" fillId="0" borderId="3" xfId="210" applyNumberFormat="1" applyFont="1" applyFill="1" applyBorder="1" applyAlignment="1">
      <alignment horizontal="center" vertical="center"/>
    </xf>
    <xf numFmtId="0" fontId="91" fillId="0" borderId="0" xfId="210" applyFont="1" applyFill="1" applyBorder="1" applyAlignment="1">
      <alignment horizontal="left" vertical="center" wrapText="1"/>
    </xf>
    <xf numFmtId="0" fontId="91" fillId="60" borderId="3" xfId="210" applyNumberFormat="1" applyFont="1" applyFill="1" applyBorder="1" applyAlignment="1">
      <alignment horizontal="center" vertical="center"/>
    </xf>
    <xf numFmtId="0" fontId="23" fillId="0" borderId="0" xfId="0" applyFont="1" applyAlignment="1">
      <alignment vertical="center" wrapText="1"/>
    </xf>
    <xf numFmtId="0" fontId="0" fillId="0" borderId="3" xfId="0" applyFont="1" applyBorder="1" applyAlignment="1">
      <alignment vertical="center" wrapText="1"/>
    </xf>
    <xf numFmtId="0" fontId="0" fillId="60" borderId="3" xfId="0" applyFont="1" applyFill="1" applyBorder="1" applyAlignment="1">
      <alignment vertical="center" wrapText="1"/>
    </xf>
    <xf numFmtId="0" fontId="0" fillId="60" borderId="3" xfId="0" applyFill="1" applyBorder="1" applyAlignment="1">
      <alignment vertical="center"/>
    </xf>
    <xf numFmtId="0" fontId="0" fillId="0" borderId="0" xfId="0" applyAlignment="1">
      <alignment vertical="center"/>
    </xf>
    <xf numFmtId="0" fontId="0" fillId="0" borderId="3" xfId="0" applyBorder="1" applyAlignment="1">
      <alignment vertical="center"/>
    </xf>
    <xf numFmtId="0" fontId="0" fillId="0" borderId="3" xfId="0" applyBorder="1" applyAlignment="1">
      <alignment vertical="center" wrapText="1"/>
    </xf>
    <xf numFmtId="0" fontId="91" fillId="0" borderId="17" xfId="210" applyFont="1" applyFill="1" applyBorder="1" applyAlignment="1">
      <alignment horizontal="center" vertical="center" wrapText="1"/>
    </xf>
    <xf numFmtId="0" fontId="0" fillId="0" borderId="0" xfId="0" applyAlignment="1"/>
    <xf numFmtId="0" fontId="0" fillId="0" borderId="0" xfId="0" applyFill="1" applyBorder="1"/>
    <xf numFmtId="0" fontId="0" fillId="0" borderId="0" xfId="0" applyFill="1" applyBorder="1" applyAlignment="1">
      <alignment horizontal="center"/>
    </xf>
    <xf numFmtId="0" fontId="0" fillId="0" borderId="0" xfId="0" applyBorder="1"/>
    <xf numFmtId="0" fontId="0" fillId="0" borderId="0" xfId="0" applyBorder="1" applyAlignment="1">
      <alignment horizontal="center"/>
    </xf>
    <xf numFmtId="0" fontId="0" fillId="61" borderId="3" xfId="0" applyFill="1" applyBorder="1"/>
    <xf numFmtId="0" fontId="0" fillId="62" borderId="3" xfId="0" applyFill="1" applyBorder="1" applyAlignment="1">
      <alignment horizontal="center" vertical="center"/>
    </xf>
    <xf numFmtId="0" fontId="148" fillId="0" borderId="0" xfId="0" applyFont="1" applyAlignment="1">
      <alignment vertical="center"/>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0" fillId="63" borderId="3" xfId="0" applyFill="1" applyBorder="1"/>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91" fillId="60" borderId="18" xfId="210" applyFont="1" applyFill="1" applyBorder="1" applyAlignment="1">
      <alignment vertical="center" wrapText="1"/>
    </xf>
    <xf numFmtId="0" fontId="0" fillId="0" borderId="20" xfId="0" applyBorder="1" applyAlignment="1">
      <alignment vertical="center" wrapText="1"/>
    </xf>
    <xf numFmtId="0" fontId="0" fillId="0" borderId="20" xfId="0"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17"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wrapText="1"/>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59"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2" borderId="19" xfId="210" applyFont="1" applyFill="1" applyBorder="1" applyAlignment="1">
      <alignment horizontal="center" vertical="center"/>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2871107</xdr:colOff>
      <xdr:row>34</xdr:row>
      <xdr:rowOff>68036</xdr:rowOff>
    </xdr:from>
    <xdr:to>
      <xdr:col>5</xdr:col>
      <xdr:colOff>3075214</xdr:colOff>
      <xdr:row>34</xdr:row>
      <xdr:rowOff>272143</xdr:rowOff>
    </xdr:to>
    <xdr:sp macro="" textlink="">
      <xdr:nvSpPr>
        <xdr:cNvPr id="5" name="正方形/長方形 4"/>
        <xdr:cNvSpPr/>
      </xdr:nvSpPr>
      <xdr:spPr bwMode="auto">
        <a:xfrm>
          <a:off x="12436928" y="13266965"/>
          <a:ext cx="204107" cy="204107"/>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2816679</xdr:colOff>
      <xdr:row>51</xdr:row>
      <xdr:rowOff>68036</xdr:rowOff>
    </xdr:from>
    <xdr:to>
      <xdr:col>5</xdr:col>
      <xdr:colOff>3020786</xdr:colOff>
      <xdr:row>51</xdr:row>
      <xdr:rowOff>272143</xdr:rowOff>
    </xdr:to>
    <xdr:sp macro="" textlink="">
      <xdr:nvSpPr>
        <xdr:cNvPr id="7" name="正方形/長方形 6"/>
        <xdr:cNvSpPr/>
      </xdr:nvSpPr>
      <xdr:spPr bwMode="auto">
        <a:xfrm>
          <a:off x="12382500" y="20995822"/>
          <a:ext cx="204107" cy="204107"/>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C1" sqref="C1"/>
    </sheetView>
  </sheetViews>
  <sheetFormatPr defaultColWidth="0.75" defaultRowHeight="12"/>
  <cols>
    <col min="1" max="16384" width="0.75" style="61"/>
  </cols>
  <sheetData>
    <row r="4" spans="1:168" ht="13.5">
      <c r="EM4" s="149"/>
      <c r="EN4" s="150"/>
      <c r="EO4" s="150"/>
      <c r="EP4" s="150"/>
      <c r="EQ4" s="150"/>
      <c r="ER4" s="150"/>
      <c r="ES4" s="150"/>
      <c r="ET4" s="150"/>
      <c r="EU4" s="150"/>
      <c r="EV4" s="150"/>
      <c r="EW4" s="150"/>
      <c r="EX4" s="150"/>
      <c r="EY4" s="150"/>
      <c r="EZ4" s="150"/>
      <c r="FA4" s="150"/>
      <c r="FB4" s="150"/>
      <c r="FC4" s="150"/>
      <c r="FD4" s="150"/>
      <c r="FE4" s="150"/>
      <c r="FF4" s="150"/>
      <c r="FG4" s="150"/>
      <c r="FH4" s="150"/>
      <c r="FI4" s="150"/>
      <c r="FJ4" s="150"/>
      <c r="FK4" s="150"/>
      <c r="FL4" s="150"/>
    </row>
    <row r="5" spans="1:168">
      <c r="A5" s="62"/>
      <c r="B5" s="62"/>
      <c r="C5" s="62"/>
      <c r="D5" s="62"/>
      <c r="E5" s="62"/>
      <c r="F5" s="62"/>
      <c r="G5" s="62"/>
      <c r="H5" s="62"/>
      <c r="I5" s="151" t="s">
        <v>63</v>
      </c>
      <c r="J5" s="151"/>
      <c r="K5" s="151"/>
      <c r="L5" s="151"/>
      <c r="M5" s="151"/>
      <c r="N5" s="151"/>
      <c r="O5" s="151"/>
      <c r="P5" s="151"/>
      <c r="Q5" s="151"/>
      <c r="R5" s="151"/>
      <c r="S5" s="151"/>
      <c r="T5" s="151"/>
      <c r="U5" s="151"/>
      <c r="V5" s="151"/>
      <c r="W5" s="151"/>
      <c r="X5" s="151"/>
      <c r="Y5" s="151"/>
      <c r="Z5" s="151"/>
      <c r="AA5" s="151"/>
      <c r="AB5" s="151"/>
      <c r="AC5" s="151"/>
      <c r="AD5" s="151"/>
      <c r="AE5" s="151"/>
      <c r="AF5" s="151"/>
      <c r="AG5" s="151"/>
      <c r="AH5" s="151"/>
      <c r="AI5" s="151"/>
      <c r="AJ5" s="151"/>
      <c r="AK5" s="151"/>
      <c r="AL5" s="151"/>
      <c r="AM5" s="151"/>
      <c r="AN5" s="151"/>
      <c r="AO5" s="151"/>
      <c r="AP5" s="151"/>
      <c r="AQ5" s="151"/>
      <c r="AR5" s="151"/>
      <c r="AS5" s="151"/>
      <c r="AT5" s="151"/>
      <c r="AU5" s="151"/>
      <c r="AV5" s="151"/>
      <c r="AW5" s="151"/>
      <c r="AX5" s="151"/>
      <c r="AY5" s="151"/>
      <c r="AZ5" s="151"/>
      <c r="BA5" s="151"/>
      <c r="BB5" s="151"/>
      <c r="BC5" s="151"/>
      <c r="BD5" s="151"/>
      <c r="BE5" s="151"/>
      <c r="BF5" s="151"/>
      <c r="BG5" s="151"/>
      <c r="BH5" s="151"/>
      <c r="BI5" s="151"/>
      <c r="BJ5" s="151"/>
      <c r="BK5" s="151"/>
      <c r="BL5" s="151"/>
      <c r="BM5" s="151"/>
      <c r="BN5" s="151"/>
      <c r="BO5" s="151"/>
      <c r="BP5" s="151"/>
      <c r="BQ5" s="151"/>
      <c r="BR5" s="151"/>
      <c r="BS5" s="151"/>
      <c r="BT5" s="151"/>
      <c r="BU5" s="151"/>
      <c r="BV5" s="151"/>
      <c r="BW5" s="151"/>
      <c r="BX5" s="151"/>
      <c r="BY5" s="151"/>
      <c r="BZ5" s="151"/>
      <c r="CA5" s="151"/>
      <c r="CB5" s="151"/>
      <c r="CC5" s="151"/>
      <c r="CD5" s="151"/>
      <c r="CE5" s="151"/>
      <c r="CF5" s="151"/>
      <c r="CG5" s="151"/>
      <c r="CH5" s="151"/>
      <c r="CI5" s="151"/>
      <c r="CJ5" s="151"/>
      <c r="CK5" s="151"/>
      <c r="CL5" s="151"/>
      <c r="CM5" s="151"/>
      <c r="CN5" s="151"/>
      <c r="CO5" s="151"/>
      <c r="CP5" s="151"/>
      <c r="CQ5" s="151"/>
      <c r="CR5" s="151"/>
      <c r="CS5" s="151"/>
      <c r="CT5" s="151"/>
      <c r="CU5" s="151"/>
      <c r="CV5" s="151"/>
      <c r="CW5" s="151"/>
      <c r="CX5" s="151"/>
      <c r="CY5" s="151"/>
      <c r="CZ5" s="151"/>
      <c r="DA5" s="151"/>
      <c r="DB5" s="151"/>
      <c r="DC5" s="151"/>
      <c r="DD5" s="151"/>
      <c r="DE5" s="151"/>
      <c r="DF5" s="151"/>
      <c r="DG5" s="151"/>
      <c r="DH5" s="151"/>
      <c r="DI5" s="151"/>
      <c r="DJ5" s="151"/>
      <c r="DK5" s="151"/>
      <c r="DL5" s="151"/>
      <c r="DM5" s="151"/>
      <c r="DN5" s="151"/>
      <c r="DO5" s="151"/>
      <c r="DP5" s="151"/>
      <c r="DQ5" s="151"/>
      <c r="DR5" s="151"/>
      <c r="DS5" s="151"/>
      <c r="DT5" s="151"/>
      <c r="DU5" s="151"/>
      <c r="DV5" s="151"/>
      <c r="DW5" s="151"/>
      <c r="DX5" s="151"/>
      <c r="DY5" s="151"/>
      <c r="DZ5" s="151"/>
      <c r="EA5" s="151"/>
      <c r="EB5" s="151"/>
      <c r="EC5" s="151"/>
      <c r="ED5" s="151"/>
      <c r="EE5" s="151"/>
      <c r="EF5" s="151"/>
      <c r="EG5" s="151"/>
      <c r="EH5" s="151"/>
      <c r="EI5" s="151"/>
      <c r="EJ5" s="151"/>
      <c r="EK5" s="151"/>
      <c r="EL5" s="151"/>
      <c r="EM5" s="151"/>
      <c r="EN5" s="151"/>
      <c r="EO5" s="151"/>
      <c r="EP5" s="151"/>
      <c r="EQ5" s="151"/>
      <c r="ER5" s="151"/>
      <c r="ES5" s="151"/>
      <c r="ET5" s="151"/>
      <c r="EU5" s="151"/>
      <c r="EV5" s="151"/>
      <c r="EW5" s="151"/>
      <c r="EX5" s="151"/>
      <c r="EY5" s="151"/>
      <c r="EZ5" s="151"/>
      <c r="FA5" s="151"/>
      <c r="FB5" s="151"/>
      <c r="FC5" s="151"/>
      <c r="FD5" s="151"/>
      <c r="FE5" s="62"/>
      <c r="FF5" s="62"/>
      <c r="FG5" s="62"/>
      <c r="FH5" s="62"/>
      <c r="FI5" s="62"/>
      <c r="FJ5" s="62"/>
      <c r="FK5" s="62"/>
      <c r="FL5" s="62"/>
    </row>
    <row r="6" spans="1:168">
      <c r="A6" s="62"/>
      <c r="B6" s="62"/>
      <c r="C6" s="62"/>
      <c r="D6" s="62"/>
      <c r="E6" s="62"/>
      <c r="F6" s="62"/>
      <c r="G6" s="62"/>
      <c r="H6" s="62"/>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51"/>
      <c r="BO6" s="151"/>
      <c r="BP6" s="151"/>
      <c r="BQ6" s="151"/>
      <c r="BR6" s="151"/>
      <c r="BS6" s="151"/>
      <c r="BT6" s="151"/>
      <c r="BU6" s="151"/>
      <c r="BV6" s="151"/>
      <c r="BW6" s="151"/>
      <c r="BX6" s="151"/>
      <c r="BY6" s="151"/>
      <c r="BZ6" s="151"/>
      <c r="CA6" s="151"/>
      <c r="CB6" s="151"/>
      <c r="CC6" s="151"/>
      <c r="CD6" s="151"/>
      <c r="CE6" s="151"/>
      <c r="CF6" s="151"/>
      <c r="CG6" s="151"/>
      <c r="CH6" s="151"/>
      <c r="CI6" s="151"/>
      <c r="CJ6" s="151"/>
      <c r="CK6" s="151"/>
      <c r="CL6" s="151"/>
      <c r="CM6" s="151"/>
      <c r="CN6" s="151"/>
      <c r="CO6" s="151"/>
      <c r="CP6" s="151"/>
      <c r="CQ6" s="151"/>
      <c r="CR6" s="151"/>
      <c r="CS6" s="151"/>
      <c r="CT6" s="151"/>
      <c r="CU6" s="151"/>
      <c r="CV6" s="151"/>
      <c r="CW6" s="151"/>
      <c r="CX6" s="151"/>
      <c r="CY6" s="151"/>
      <c r="CZ6" s="151"/>
      <c r="DA6" s="151"/>
      <c r="DB6" s="151"/>
      <c r="DC6" s="151"/>
      <c r="DD6" s="151"/>
      <c r="DE6" s="151"/>
      <c r="DF6" s="151"/>
      <c r="DG6" s="151"/>
      <c r="DH6" s="151"/>
      <c r="DI6" s="151"/>
      <c r="DJ6" s="151"/>
      <c r="DK6" s="151"/>
      <c r="DL6" s="151"/>
      <c r="DM6" s="151"/>
      <c r="DN6" s="151"/>
      <c r="DO6" s="151"/>
      <c r="DP6" s="151"/>
      <c r="DQ6" s="151"/>
      <c r="DR6" s="151"/>
      <c r="DS6" s="151"/>
      <c r="DT6" s="151"/>
      <c r="DU6" s="151"/>
      <c r="DV6" s="151"/>
      <c r="DW6" s="151"/>
      <c r="DX6" s="151"/>
      <c r="DY6" s="151"/>
      <c r="DZ6" s="151"/>
      <c r="EA6" s="151"/>
      <c r="EB6" s="151"/>
      <c r="EC6" s="151"/>
      <c r="ED6" s="151"/>
      <c r="EE6" s="151"/>
      <c r="EF6" s="151"/>
      <c r="EG6" s="151"/>
      <c r="EH6" s="151"/>
      <c r="EI6" s="151"/>
      <c r="EJ6" s="151"/>
      <c r="EK6" s="151"/>
      <c r="EL6" s="151"/>
      <c r="EM6" s="151"/>
      <c r="EN6" s="151"/>
      <c r="EO6" s="151"/>
      <c r="EP6" s="151"/>
      <c r="EQ6" s="151"/>
      <c r="ER6" s="151"/>
      <c r="ES6" s="151"/>
      <c r="ET6" s="151"/>
      <c r="EU6" s="151"/>
      <c r="EV6" s="151"/>
      <c r="EW6" s="151"/>
      <c r="EX6" s="151"/>
      <c r="EY6" s="151"/>
      <c r="EZ6" s="151"/>
      <c r="FA6" s="151"/>
      <c r="FB6" s="151"/>
      <c r="FC6" s="151"/>
      <c r="FD6" s="151"/>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52" t="s">
        <v>81</v>
      </c>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c r="BK8" s="152"/>
      <c r="BL8" s="152"/>
      <c r="BM8" s="152"/>
      <c r="BN8" s="152"/>
      <c r="BO8" s="152"/>
      <c r="BP8" s="152"/>
      <c r="BQ8" s="152"/>
      <c r="BR8" s="152"/>
      <c r="BS8" s="152"/>
      <c r="BT8" s="152"/>
      <c r="BU8" s="152"/>
      <c r="BV8" s="152"/>
      <c r="BW8" s="152"/>
      <c r="BX8" s="152"/>
      <c r="BY8" s="152"/>
      <c r="BZ8" s="152"/>
      <c r="CA8" s="152"/>
      <c r="CB8" s="152"/>
      <c r="CC8" s="152"/>
      <c r="CD8" s="152"/>
      <c r="CE8" s="152"/>
      <c r="CF8" s="152"/>
      <c r="CG8" s="152"/>
      <c r="CH8" s="152"/>
      <c r="CI8" s="152"/>
      <c r="CJ8" s="152"/>
      <c r="CK8" s="152"/>
      <c r="CL8" s="152"/>
      <c r="CM8" s="152"/>
      <c r="CN8" s="152"/>
      <c r="CO8" s="152"/>
      <c r="CP8" s="152"/>
      <c r="CQ8" s="152"/>
      <c r="CR8" s="152"/>
      <c r="CS8" s="152"/>
      <c r="CT8" s="152"/>
      <c r="CU8" s="152"/>
      <c r="CV8" s="152"/>
      <c r="CW8" s="152"/>
      <c r="CX8" s="152"/>
      <c r="CY8" s="152"/>
      <c r="CZ8" s="152"/>
      <c r="DA8" s="152"/>
      <c r="DB8" s="152"/>
      <c r="DC8" s="152"/>
      <c r="DD8" s="152"/>
      <c r="DE8" s="152"/>
      <c r="DF8" s="152"/>
      <c r="DG8" s="152"/>
      <c r="DH8" s="152"/>
      <c r="DI8" s="152"/>
      <c r="DJ8" s="152"/>
      <c r="DK8" s="152"/>
      <c r="DL8" s="152"/>
      <c r="DM8" s="152"/>
      <c r="DN8" s="152"/>
      <c r="DO8" s="152"/>
      <c r="DP8" s="152"/>
      <c r="DQ8" s="152"/>
      <c r="DR8" s="152"/>
      <c r="DS8" s="152"/>
      <c r="DT8" s="152"/>
      <c r="DU8" s="152"/>
      <c r="DV8" s="152"/>
      <c r="DW8" s="152"/>
      <c r="DX8" s="152"/>
      <c r="DY8" s="152"/>
      <c r="DZ8" s="152"/>
      <c r="EA8" s="152"/>
      <c r="EB8" s="152"/>
      <c r="EC8" s="152"/>
      <c r="ED8" s="152"/>
      <c r="EE8" s="152"/>
      <c r="EF8" s="152"/>
      <c r="EG8" s="152"/>
      <c r="EH8" s="152"/>
      <c r="EI8" s="152"/>
      <c r="EJ8" s="152"/>
      <c r="EK8" s="152"/>
      <c r="EL8" s="152"/>
      <c r="EM8" s="152"/>
      <c r="EN8" s="152"/>
      <c r="EO8" s="152"/>
      <c r="EP8" s="152"/>
      <c r="EQ8" s="152"/>
      <c r="ER8" s="152"/>
      <c r="ES8" s="152"/>
      <c r="ET8" s="152"/>
      <c r="EU8" s="152"/>
      <c r="EV8" s="152"/>
      <c r="EW8" s="152"/>
      <c r="EX8" s="152"/>
      <c r="EY8" s="152"/>
      <c r="EZ8" s="152"/>
      <c r="FA8" s="152"/>
      <c r="FB8" s="152"/>
      <c r="FC8" s="152"/>
      <c r="FD8" s="152"/>
      <c r="FE8" s="62"/>
      <c r="FF8" s="62"/>
      <c r="FG8" s="62"/>
      <c r="FH8" s="62"/>
      <c r="FI8" s="62"/>
      <c r="FJ8" s="62"/>
      <c r="FK8" s="62"/>
      <c r="FL8" s="62"/>
    </row>
    <row r="9" spans="1:168">
      <c r="A9" s="62"/>
      <c r="B9" s="62"/>
      <c r="C9" s="62"/>
      <c r="D9" s="62"/>
      <c r="E9" s="62"/>
      <c r="F9" s="62"/>
      <c r="G9" s="62"/>
      <c r="H9" s="6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c r="AK9" s="152"/>
      <c r="AL9" s="152"/>
      <c r="AM9" s="152"/>
      <c r="AN9" s="152"/>
      <c r="AO9" s="152"/>
      <c r="AP9" s="152"/>
      <c r="AQ9" s="152"/>
      <c r="AR9" s="152"/>
      <c r="AS9" s="152"/>
      <c r="AT9" s="152"/>
      <c r="AU9" s="152"/>
      <c r="AV9" s="152"/>
      <c r="AW9" s="152"/>
      <c r="AX9" s="152"/>
      <c r="AY9" s="152"/>
      <c r="AZ9" s="152"/>
      <c r="BA9" s="152"/>
      <c r="BB9" s="152"/>
      <c r="BC9" s="152"/>
      <c r="BD9" s="152"/>
      <c r="BE9" s="152"/>
      <c r="BF9" s="152"/>
      <c r="BG9" s="152"/>
      <c r="BH9" s="152"/>
      <c r="BI9" s="152"/>
      <c r="BJ9" s="152"/>
      <c r="BK9" s="152"/>
      <c r="BL9" s="152"/>
      <c r="BM9" s="152"/>
      <c r="BN9" s="152"/>
      <c r="BO9" s="152"/>
      <c r="BP9" s="152"/>
      <c r="BQ9" s="152"/>
      <c r="BR9" s="152"/>
      <c r="BS9" s="152"/>
      <c r="BT9" s="152"/>
      <c r="BU9" s="152"/>
      <c r="BV9" s="152"/>
      <c r="BW9" s="152"/>
      <c r="BX9" s="152"/>
      <c r="BY9" s="152"/>
      <c r="BZ9" s="152"/>
      <c r="CA9" s="152"/>
      <c r="CB9" s="152"/>
      <c r="CC9" s="152"/>
      <c r="CD9" s="152"/>
      <c r="CE9" s="152"/>
      <c r="CF9" s="152"/>
      <c r="CG9" s="152"/>
      <c r="CH9" s="152"/>
      <c r="CI9" s="152"/>
      <c r="CJ9" s="152"/>
      <c r="CK9" s="152"/>
      <c r="CL9" s="152"/>
      <c r="CM9" s="152"/>
      <c r="CN9" s="152"/>
      <c r="CO9" s="152"/>
      <c r="CP9" s="152"/>
      <c r="CQ9" s="152"/>
      <c r="CR9" s="152"/>
      <c r="CS9" s="152"/>
      <c r="CT9" s="152"/>
      <c r="CU9" s="152"/>
      <c r="CV9" s="152"/>
      <c r="CW9" s="152"/>
      <c r="CX9" s="152"/>
      <c r="CY9" s="152"/>
      <c r="CZ9" s="152"/>
      <c r="DA9" s="152"/>
      <c r="DB9" s="152"/>
      <c r="DC9" s="152"/>
      <c r="DD9" s="152"/>
      <c r="DE9" s="152"/>
      <c r="DF9" s="152"/>
      <c r="DG9" s="152"/>
      <c r="DH9" s="152"/>
      <c r="DI9" s="152"/>
      <c r="DJ9" s="152"/>
      <c r="DK9" s="152"/>
      <c r="DL9" s="152"/>
      <c r="DM9" s="152"/>
      <c r="DN9" s="152"/>
      <c r="DO9" s="152"/>
      <c r="DP9" s="152"/>
      <c r="DQ9" s="152"/>
      <c r="DR9" s="152"/>
      <c r="DS9" s="152"/>
      <c r="DT9" s="152"/>
      <c r="DU9" s="152"/>
      <c r="DV9" s="152"/>
      <c r="DW9" s="152"/>
      <c r="DX9" s="152"/>
      <c r="DY9" s="152"/>
      <c r="DZ9" s="152"/>
      <c r="EA9" s="152"/>
      <c r="EB9" s="152"/>
      <c r="EC9" s="152"/>
      <c r="ED9" s="152"/>
      <c r="EE9" s="152"/>
      <c r="EF9" s="152"/>
      <c r="EG9" s="152"/>
      <c r="EH9" s="152"/>
      <c r="EI9" s="152"/>
      <c r="EJ9" s="152"/>
      <c r="EK9" s="152"/>
      <c r="EL9" s="152"/>
      <c r="EM9" s="152"/>
      <c r="EN9" s="152"/>
      <c r="EO9" s="152"/>
      <c r="EP9" s="152"/>
      <c r="EQ9" s="152"/>
      <c r="ER9" s="152"/>
      <c r="ES9" s="152"/>
      <c r="ET9" s="152"/>
      <c r="EU9" s="152"/>
      <c r="EV9" s="152"/>
      <c r="EW9" s="152"/>
      <c r="EX9" s="152"/>
      <c r="EY9" s="152"/>
      <c r="EZ9" s="152"/>
      <c r="FA9" s="152"/>
      <c r="FB9" s="152"/>
      <c r="FC9" s="152"/>
      <c r="FD9" s="152"/>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53" t="s">
        <v>278</v>
      </c>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c r="BP11" s="153"/>
      <c r="BQ11" s="153"/>
      <c r="BR11" s="153"/>
      <c r="BS11" s="153"/>
      <c r="BT11" s="153"/>
      <c r="BU11" s="153"/>
      <c r="BV11" s="153"/>
      <c r="BW11" s="153"/>
      <c r="BX11" s="153"/>
      <c r="BY11" s="153"/>
      <c r="BZ11" s="153"/>
      <c r="CA11" s="153"/>
      <c r="CB11" s="153"/>
      <c r="CC11" s="153"/>
      <c r="CD11" s="153"/>
      <c r="CE11" s="153"/>
      <c r="CF11" s="153"/>
      <c r="CG11" s="153"/>
      <c r="CH11" s="153"/>
      <c r="CI11" s="153"/>
      <c r="CJ11" s="153"/>
      <c r="CK11" s="153"/>
      <c r="CL11" s="153"/>
      <c r="CM11" s="153"/>
      <c r="CN11" s="153"/>
      <c r="CO11" s="153"/>
      <c r="CP11" s="153"/>
      <c r="CQ11" s="153"/>
      <c r="CR11" s="153"/>
      <c r="CS11" s="153"/>
      <c r="CT11" s="153"/>
      <c r="CU11" s="153"/>
      <c r="CV11" s="153"/>
      <c r="CW11" s="153"/>
      <c r="CX11" s="153"/>
      <c r="CY11" s="153"/>
      <c r="CZ11" s="153"/>
      <c r="DA11" s="153"/>
      <c r="DB11" s="153"/>
      <c r="DC11" s="153"/>
      <c r="DD11" s="153"/>
      <c r="DE11" s="153"/>
      <c r="DF11" s="153"/>
      <c r="DG11" s="153"/>
      <c r="DH11" s="153"/>
      <c r="DI11" s="153"/>
      <c r="DJ11" s="153"/>
      <c r="DK11" s="153"/>
      <c r="DL11" s="153"/>
      <c r="DM11" s="153"/>
      <c r="DN11" s="153"/>
      <c r="DO11" s="153"/>
      <c r="DP11" s="153"/>
      <c r="DQ11" s="153"/>
      <c r="DR11" s="153"/>
      <c r="DS11" s="153"/>
      <c r="DT11" s="153"/>
      <c r="DU11" s="153"/>
      <c r="DV11" s="153"/>
      <c r="DW11" s="153"/>
      <c r="DX11" s="153"/>
      <c r="DY11" s="153"/>
      <c r="DZ11" s="153"/>
      <c r="EA11" s="153"/>
      <c r="EB11" s="153"/>
      <c r="EC11" s="153"/>
      <c r="ED11" s="153"/>
      <c r="EE11" s="153"/>
      <c r="EF11" s="153"/>
      <c r="EG11" s="153"/>
      <c r="EH11" s="153"/>
      <c r="EI11" s="153"/>
      <c r="EJ11" s="153"/>
      <c r="EK11" s="153"/>
      <c r="EL11" s="153"/>
      <c r="EM11" s="153"/>
      <c r="EN11" s="153"/>
      <c r="EO11" s="153"/>
      <c r="EP11" s="153"/>
      <c r="EQ11" s="153"/>
      <c r="ER11" s="153"/>
      <c r="ES11" s="153"/>
      <c r="ET11" s="153"/>
      <c r="EU11" s="153"/>
      <c r="EV11" s="153"/>
      <c r="EW11" s="153"/>
      <c r="EX11" s="153"/>
      <c r="EY11" s="153"/>
      <c r="EZ11" s="153"/>
      <c r="FA11" s="153"/>
      <c r="FB11" s="153"/>
      <c r="FC11" s="153"/>
      <c r="FD11" s="153"/>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53"/>
      <c r="R12" s="153"/>
      <c r="S12" s="153"/>
      <c r="T12" s="153"/>
      <c r="U12" s="153"/>
      <c r="V12" s="153"/>
      <c r="W12" s="153"/>
      <c r="X12" s="153"/>
      <c r="Y12" s="153"/>
      <c r="Z12" s="153"/>
      <c r="AA12" s="153"/>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3"/>
      <c r="AX12" s="153"/>
      <c r="AY12" s="153"/>
      <c r="AZ12" s="153"/>
      <c r="BA12" s="153"/>
      <c r="BB12" s="153"/>
      <c r="BC12" s="153"/>
      <c r="BD12" s="153"/>
      <c r="BE12" s="153"/>
      <c r="BF12" s="153"/>
      <c r="BG12" s="153"/>
      <c r="BH12" s="153"/>
      <c r="BI12" s="153"/>
      <c r="BJ12" s="153"/>
      <c r="BK12" s="153"/>
      <c r="BL12" s="153"/>
      <c r="BM12" s="153"/>
      <c r="BN12" s="153"/>
      <c r="BO12" s="153"/>
      <c r="BP12" s="153"/>
      <c r="BQ12" s="153"/>
      <c r="BR12" s="153"/>
      <c r="BS12" s="153"/>
      <c r="BT12" s="153"/>
      <c r="BU12" s="153"/>
      <c r="BV12" s="153"/>
      <c r="BW12" s="153"/>
      <c r="BX12" s="153"/>
      <c r="BY12" s="153"/>
      <c r="BZ12" s="153"/>
      <c r="CA12" s="153"/>
      <c r="CB12" s="153"/>
      <c r="CC12" s="153"/>
      <c r="CD12" s="153"/>
      <c r="CE12" s="153"/>
      <c r="CF12" s="153"/>
      <c r="CG12" s="153"/>
      <c r="CH12" s="153"/>
      <c r="CI12" s="153"/>
      <c r="CJ12" s="153"/>
      <c r="CK12" s="153"/>
      <c r="CL12" s="153"/>
      <c r="CM12" s="153"/>
      <c r="CN12" s="153"/>
      <c r="CO12" s="153"/>
      <c r="CP12" s="153"/>
      <c r="CQ12" s="153"/>
      <c r="CR12" s="153"/>
      <c r="CS12" s="153"/>
      <c r="CT12" s="153"/>
      <c r="CU12" s="153"/>
      <c r="CV12" s="153"/>
      <c r="CW12" s="153"/>
      <c r="CX12" s="153"/>
      <c r="CY12" s="153"/>
      <c r="CZ12" s="153"/>
      <c r="DA12" s="153"/>
      <c r="DB12" s="153"/>
      <c r="DC12" s="153"/>
      <c r="DD12" s="153"/>
      <c r="DE12" s="153"/>
      <c r="DF12" s="153"/>
      <c r="DG12" s="153"/>
      <c r="DH12" s="153"/>
      <c r="DI12" s="153"/>
      <c r="DJ12" s="153"/>
      <c r="DK12" s="153"/>
      <c r="DL12" s="153"/>
      <c r="DM12" s="153"/>
      <c r="DN12" s="153"/>
      <c r="DO12" s="153"/>
      <c r="DP12" s="153"/>
      <c r="DQ12" s="153"/>
      <c r="DR12" s="153"/>
      <c r="DS12" s="153"/>
      <c r="DT12" s="153"/>
      <c r="DU12" s="153"/>
      <c r="DV12" s="153"/>
      <c r="DW12" s="153"/>
      <c r="DX12" s="153"/>
      <c r="DY12" s="153"/>
      <c r="DZ12" s="153"/>
      <c r="EA12" s="153"/>
      <c r="EB12" s="153"/>
      <c r="EC12" s="153"/>
      <c r="ED12" s="153"/>
      <c r="EE12" s="153"/>
      <c r="EF12" s="153"/>
      <c r="EG12" s="153"/>
      <c r="EH12" s="153"/>
      <c r="EI12" s="153"/>
      <c r="EJ12" s="153"/>
      <c r="EK12" s="153"/>
      <c r="EL12" s="153"/>
      <c r="EM12" s="153"/>
      <c r="EN12" s="153"/>
      <c r="EO12" s="153"/>
      <c r="EP12" s="153"/>
      <c r="EQ12" s="153"/>
      <c r="ER12" s="153"/>
      <c r="ES12" s="153"/>
      <c r="ET12" s="153"/>
      <c r="EU12" s="153"/>
      <c r="EV12" s="153"/>
      <c r="EW12" s="153"/>
      <c r="EX12" s="153"/>
      <c r="EY12" s="153"/>
      <c r="EZ12" s="153"/>
      <c r="FA12" s="153"/>
      <c r="FB12" s="153"/>
      <c r="FC12" s="153"/>
      <c r="FD12" s="153"/>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54" t="s">
        <v>64</v>
      </c>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6"/>
      <c r="BD28" s="160" t="s">
        <v>65</v>
      </c>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6"/>
      <c r="CA28" s="160" t="s">
        <v>66</v>
      </c>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62"/>
      <c r="CX28" s="65"/>
      <c r="CY28" s="65"/>
      <c r="CZ28" s="65"/>
      <c r="DA28" s="65"/>
      <c r="DB28" s="65"/>
      <c r="DC28" s="65"/>
      <c r="DD28" s="65"/>
      <c r="DE28" s="65"/>
      <c r="DF28" s="65"/>
      <c r="DG28" s="65"/>
      <c r="DH28" s="65"/>
    </row>
    <row r="29" spans="3:112" s="92" customFormat="1" ht="12.75" customHeight="1" thickBot="1">
      <c r="C29" s="66"/>
      <c r="AG29" s="157"/>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9"/>
      <c r="BD29" s="161"/>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9"/>
      <c r="CA29" s="161"/>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63"/>
      <c r="CX29" s="66"/>
      <c r="CY29" s="66"/>
      <c r="CZ29" s="65"/>
      <c r="DA29" s="65"/>
      <c r="DB29" s="65"/>
      <c r="DC29" s="65"/>
      <c r="DD29" s="65"/>
      <c r="DE29" s="65"/>
      <c r="DF29" s="65"/>
      <c r="DG29" s="65"/>
      <c r="DH29" s="65"/>
    </row>
    <row r="30" spans="3:112" s="92" customFormat="1" ht="12.75" customHeight="1" thickTop="1">
      <c r="C30" s="66"/>
      <c r="AG30" s="164" t="s">
        <v>277</v>
      </c>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6"/>
      <c r="BD30" s="170" t="s">
        <v>276</v>
      </c>
      <c r="BE30" s="165"/>
      <c r="BF30" s="165"/>
      <c r="BG30" s="165"/>
      <c r="BH30" s="165"/>
      <c r="BI30" s="165"/>
      <c r="BJ30" s="165"/>
      <c r="BK30" s="165"/>
      <c r="BL30" s="165"/>
      <c r="BM30" s="165"/>
      <c r="BN30" s="165"/>
      <c r="BO30" s="165"/>
      <c r="BP30" s="165"/>
      <c r="BQ30" s="165"/>
      <c r="BR30" s="165"/>
      <c r="BS30" s="165"/>
      <c r="BT30" s="165"/>
      <c r="BU30" s="165"/>
      <c r="BV30" s="165"/>
      <c r="BW30" s="165"/>
      <c r="BX30" s="165"/>
      <c r="BY30" s="165"/>
      <c r="BZ30" s="166"/>
      <c r="CA30" s="170" t="s">
        <v>275</v>
      </c>
      <c r="CB30" s="165"/>
      <c r="CC30" s="165"/>
      <c r="CD30" s="165"/>
      <c r="CE30" s="165"/>
      <c r="CF30" s="165"/>
      <c r="CG30" s="165"/>
      <c r="CH30" s="165"/>
      <c r="CI30" s="165"/>
      <c r="CJ30" s="165"/>
      <c r="CK30" s="165"/>
      <c r="CL30" s="165"/>
      <c r="CM30" s="165"/>
      <c r="CN30" s="165"/>
      <c r="CO30" s="165"/>
      <c r="CP30" s="165"/>
      <c r="CQ30" s="165"/>
      <c r="CR30" s="165"/>
      <c r="CS30" s="165"/>
      <c r="CT30" s="165"/>
      <c r="CU30" s="165"/>
      <c r="CV30" s="165"/>
      <c r="CW30" s="172"/>
      <c r="CX30" s="66"/>
      <c r="CY30" s="66"/>
      <c r="CZ30" s="65"/>
      <c r="DA30" s="65"/>
      <c r="DB30" s="65"/>
      <c r="DC30" s="65"/>
      <c r="DD30" s="65"/>
      <c r="DE30" s="65"/>
      <c r="DF30" s="65"/>
      <c r="DG30" s="65"/>
      <c r="DH30" s="65"/>
    </row>
    <row r="31" spans="3:112" s="92" customFormat="1" ht="12" customHeight="1">
      <c r="C31" s="65"/>
      <c r="AG31" s="167"/>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9"/>
      <c r="BD31" s="171"/>
      <c r="BE31" s="168"/>
      <c r="BF31" s="168"/>
      <c r="BG31" s="168"/>
      <c r="BH31" s="168"/>
      <c r="BI31" s="168"/>
      <c r="BJ31" s="168"/>
      <c r="BK31" s="168"/>
      <c r="BL31" s="168"/>
      <c r="BM31" s="168"/>
      <c r="BN31" s="168"/>
      <c r="BO31" s="168"/>
      <c r="BP31" s="168"/>
      <c r="BQ31" s="168"/>
      <c r="BR31" s="168"/>
      <c r="BS31" s="168"/>
      <c r="BT31" s="168"/>
      <c r="BU31" s="168"/>
      <c r="BV31" s="168"/>
      <c r="BW31" s="168"/>
      <c r="BX31" s="168"/>
      <c r="BY31" s="168"/>
      <c r="BZ31" s="169"/>
      <c r="CA31" s="171"/>
      <c r="CB31" s="168"/>
      <c r="CC31" s="168"/>
      <c r="CD31" s="168"/>
      <c r="CE31" s="168"/>
      <c r="CF31" s="168"/>
      <c r="CG31" s="168"/>
      <c r="CH31" s="168"/>
      <c r="CI31" s="168"/>
      <c r="CJ31" s="168"/>
      <c r="CK31" s="168"/>
      <c r="CL31" s="168"/>
      <c r="CM31" s="168"/>
      <c r="CN31" s="168"/>
      <c r="CO31" s="168"/>
      <c r="CP31" s="168"/>
      <c r="CQ31" s="168"/>
      <c r="CR31" s="168"/>
      <c r="CS31" s="168"/>
      <c r="CT31" s="168"/>
      <c r="CU31" s="168"/>
      <c r="CV31" s="168"/>
      <c r="CW31" s="173"/>
      <c r="CX31" s="65"/>
      <c r="CY31" s="65"/>
      <c r="CZ31" s="65"/>
      <c r="DA31" s="65"/>
      <c r="DB31" s="65"/>
      <c r="DC31" s="65"/>
      <c r="DD31" s="65"/>
      <c r="DE31" s="65"/>
      <c r="DF31" s="65"/>
      <c r="DG31" s="65"/>
      <c r="DH31" s="65"/>
    </row>
    <row r="32" spans="3:112" s="92" customFormat="1" ht="12" customHeight="1">
      <c r="C32" s="65"/>
      <c r="AG32" s="167"/>
      <c r="AH32" s="168"/>
      <c r="AI32" s="168"/>
      <c r="AJ32" s="168"/>
      <c r="AK32" s="168"/>
      <c r="AL32" s="168"/>
      <c r="AM32" s="168"/>
      <c r="AN32" s="168"/>
      <c r="AO32" s="168"/>
      <c r="AP32" s="168"/>
      <c r="AQ32" s="168"/>
      <c r="AR32" s="168"/>
      <c r="AS32" s="168"/>
      <c r="AT32" s="168"/>
      <c r="AU32" s="168"/>
      <c r="AV32" s="168"/>
      <c r="AW32" s="168"/>
      <c r="AX32" s="168"/>
      <c r="AY32" s="168"/>
      <c r="AZ32" s="168"/>
      <c r="BA32" s="168"/>
      <c r="BB32" s="168"/>
      <c r="BC32" s="169"/>
      <c r="BD32" s="171"/>
      <c r="BE32" s="168"/>
      <c r="BF32" s="168"/>
      <c r="BG32" s="168"/>
      <c r="BH32" s="168"/>
      <c r="BI32" s="168"/>
      <c r="BJ32" s="168"/>
      <c r="BK32" s="168"/>
      <c r="BL32" s="168"/>
      <c r="BM32" s="168"/>
      <c r="BN32" s="168"/>
      <c r="BO32" s="168"/>
      <c r="BP32" s="168"/>
      <c r="BQ32" s="168"/>
      <c r="BR32" s="168"/>
      <c r="BS32" s="168"/>
      <c r="BT32" s="168"/>
      <c r="BU32" s="168"/>
      <c r="BV32" s="168"/>
      <c r="BW32" s="168"/>
      <c r="BX32" s="168"/>
      <c r="BY32" s="168"/>
      <c r="BZ32" s="169"/>
      <c r="CA32" s="171"/>
      <c r="CB32" s="168"/>
      <c r="CC32" s="168"/>
      <c r="CD32" s="168"/>
      <c r="CE32" s="168"/>
      <c r="CF32" s="168"/>
      <c r="CG32" s="168"/>
      <c r="CH32" s="168"/>
      <c r="CI32" s="168"/>
      <c r="CJ32" s="168"/>
      <c r="CK32" s="168"/>
      <c r="CL32" s="168"/>
      <c r="CM32" s="168"/>
      <c r="CN32" s="168"/>
      <c r="CO32" s="168"/>
      <c r="CP32" s="168"/>
      <c r="CQ32" s="168"/>
      <c r="CR32" s="168"/>
      <c r="CS32" s="168"/>
      <c r="CT32" s="168"/>
      <c r="CU32" s="168"/>
      <c r="CV32" s="168"/>
      <c r="CW32" s="173"/>
      <c r="CX32" s="65"/>
      <c r="CY32" s="65"/>
      <c r="CZ32" s="65"/>
      <c r="DA32" s="65"/>
      <c r="DB32" s="65"/>
      <c r="DC32" s="65"/>
      <c r="DD32" s="65"/>
      <c r="DE32" s="65"/>
      <c r="DF32" s="65"/>
      <c r="DG32" s="65"/>
      <c r="DH32" s="65"/>
    </row>
    <row r="33" spans="3:164" s="92" customFormat="1" ht="12" customHeight="1" thickBot="1">
      <c r="C33" s="65"/>
      <c r="AG33" s="174">
        <v>42955</v>
      </c>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v>42955</v>
      </c>
      <c r="BE33" s="175"/>
      <c r="BF33" s="175"/>
      <c r="BG33" s="175"/>
      <c r="BH33" s="175"/>
      <c r="BI33" s="175"/>
      <c r="BJ33" s="175"/>
      <c r="BK33" s="175"/>
      <c r="BL33" s="175"/>
      <c r="BM33" s="175"/>
      <c r="BN33" s="175"/>
      <c r="BO33" s="175"/>
      <c r="BP33" s="175"/>
      <c r="BQ33" s="175"/>
      <c r="BR33" s="175"/>
      <c r="BS33" s="175"/>
      <c r="BT33" s="175"/>
      <c r="BU33" s="175"/>
      <c r="BV33" s="175"/>
      <c r="BW33" s="175"/>
      <c r="BX33" s="175"/>
      <c r="BY33" s="175"/>
      <c r="BZ33" s="175"/>
      <c r="CA33" s="175">
        <v>42955</v>
      </c>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7"/>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54" t="s">
        <v>74</v>
      </c>
      <c r="K35" s="155"/>
      <c r="L35" s="155"/>
      <c r="M35" s="155"/>
      <c r="N35" s="155"/>
      <c r="O35" s="155"/>
      <c r="P35" s="155"/>
      <c r="Q35" s="155"/>
      <c r="R35" s="155"/>
      <c r="S35" s="155"/>
      <c r="T35" s="155"/>
      <c r="U35" s="155"/>
      <c r="V35" s="155"/>
      <c r="W35" s="155"/>
      <c r="X35" s="155"/>
      <c r="Y35" s="155"/>
      <c r="Z35" s="155"/>
      <c r="AA35" s="155"/>
      <c r="AB35" s="155"/>
      <c r="AC35" s="155"/>
      <c r="AD35" s="155"/>
      <c r="AE35" s="155"/>
      <c r="AF35" s="156"/>
      <c r="AG35" s="160" t="s">
        <v>75</v>
      </c>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6"/>
      <c r="BD35" s="160" t="s">
        <v>76</v>
      </c>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6"/>
      <c r="CA35" s="160" t="s">
        <v>77</v>
      </c>
      <c r="CB35" s="155"/>
      <c r="CC35" s="155"/>
      <c r="CD35" s="155"/>
      <c r="CE35" s="155"/>
      <c r="CF35" s="155"/>
      <c r="CG35" s="155"/>
      <c r="CH35" s="155"/>
      <c r="CI35" s="155"/>
      <c r="CJ35" s="155"/>
      <c r="CK35" s="155"/>
      <c r="CL35" s="155"/>
      <c r="CM35" s="155"/>
      <c r="CN35" s="155"/>
      <c r="CO35" s="155"/>
      <c r="CP35" s="155"/>
      <c r="CQ35" s="155"/>
      <c r="CR35" s="155"/>
      <c r="CS35" s="155"/>
      <c r="CT35" s="155"/>
      <c r="CU35" s="155"/>
      <c r="CV35" s="155"/>
      <c r="CW35" s="162"/>
      <c r="CX35" s="65"/>
      <c r="CY35" s="65"/>
      <c r="CZ35" s="65"/>
      <c r="DA35" s="65"/>
      <c r="DB35" s="65"/>
      <c r="DC35" s="65"/>
      <c r="DD35" s="65"/>
      <c r="DE35" s="65"/>
      <c r="DF35" s="65"/>
      <c r="DG35" s="65"/>
      <c r="DH35" s="65"/>
    </row>
    <row r="36" spans="3:164" s="92" customFormat="1" ht="12" customHeight="1" thickBot="1">
      <c r="C36" s="65"/>
      <c r="J36" s="157"/>
      <c r="K36" s="158"/>
      <c r="L36" s="158"/>
      <c r="M36" s="158"/>
      <c r="N36" s="158"/>
      <c r="O36" s="158"/>
      <c r="P36" s="158"/>
      <c r="Q36" s="158"/>
      <c r="R36" s="158"/>
      <c r="S36" s="158"/>
      <c r="T36" s="158"/>
      <c r="U36" s="158"/>
      <c r="V36" s="158"/>
      <c r="W36" s="158"/>
      <c r="X36" s="158"/>
      <c r="Y36" s="158"/>
      <c r="Z36" s="158"/>
      <c r="AA36" s="158"/>
      <c r="AB36" s="158"/>
      <c r="AC36" s="158"/>
      <c r="AD36" s="158"/>
      <c r="AE36" s="158"/>
      <c r="AF36" s="159"/>
      <c r="AG36" s="161"/>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9"/>
      <c r="BD36" s="161"/>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9"/>
      <c r="CA36" s="161"/>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63"/>
      <c r="CX36" s="65"/>
      <c r="CY36" s="65"/>
      <c r="CZ36" s="65"/>
      <c r="DA36" s="65"/>
      <c r="DB36" s="65"/>
      <c r="DC36" s="65"/>
      <c r="DD36" s="65"/>
      <c r="DE36" s="65"/>
      <c r="DF36" s="65"/>
      <c r="DG36" s="65"/>
      <c r="DH36" s="65"/>
    </row>
    <row r="37" spans="3:164" s="92" customFormat="1" ht="12" customHeight="1" thickTop="1">
      <c r="C37" s="65"/>
      <c r="J37" s="164"/>
      <c r="K37" s="165"/>
      <c r="L37" s="165"/>
      <c r="M37" s="165"/>
      <c r="N37" s="165"/>
      <c r="O37" s="165"/>
      <c r="P37" s="165"/>
      <c r="Q37" s="165"/>
      <c r="R37" s="165"/>
      <c r="S37" s="165"/>
      <c r="T37" s="165"/>
      <c r="U37" s="165"/>
      <c r="V37" s="165"/>
      <c r="W37" s="165"/>
      <c r="X37" s="165"/>
      <c r="Y37" s="165"/>
      <c r="Z37" s="165"/>
      <c r="AA37" s="165"/>
      <c r="AB37" s="165"/>
      <c r="AC37" s="165"/>
      <c r="AD37" s="165"/>
      <c r="AE37" s="165"/>
      <c r="AF37" s="166"/>
      <c r="AG37" s="170"/>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6"/>
      <c r="BD37" s="170"/>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6"/>
      <c r="CA37" s="170"/>
      <c r="CB37" s="165"/>
      <c r="CC37" s="165"/>
      <c r="CD37" s="165"/>
      <c r="CE37" s="165"/>
      <c r="CF37" s="165"/>
      <c r="CG37" s="165"/>
      <c r="CH37" s="165"/>
      <c r="CI37" s="165"/>
      <c r="CJ37" s="165"/>
      <c r="CK37" s="165"/>
      <c r="CL37" s="165"/>
      <c r="CM37" s="165"/>
      <c r="CN37" s="165"/>
      <c r="CO37" s="165"/>
      <c r="CP37" s="165"/>
      <c r="CQ37" s="165"/>
      <c r="CR37" s="165"/>
      <c r="CS37" s="165"/>
      <c r="CT37" s="165"/>
      <c r="CU37" s="165"/>
      <c r="CV37" s="165"/>
      <c r="CW37" s="172"/>
      <c r="CX37" s="65"/>
      <c r="CY37" s="65"/>
      <c r="CZ37" s="65"/>
      <c r="DA37" s="65"/>
      <c r="DB37" s="65"/>
      <c r="DC37" s="65"/>
      <c r="DD37" s="65"/>
      <c r="DE37" s="65"/>
      <c r="DF37" s="65"/>
      <c r="DG37" s="65"/>
      <c r="DH37" s="65"/>
      <c r="DK37" s="181" t="s">
        <v>67</v>
      </c>
      <c r="DL37" s="181"/>
      <c r="DM37" s="181"/>
      <c r="DN37" s="181"/>
      <c r="DO37" s="181"/>
      <c r="DP37" s="181"/>
      <c r="DQ37" s="181"/>
      <c r="DR37" s="181"/>
      <c r="DS37" s="181"/>
      <c r="DT37" s="181"/>
      <c r="DU37" s="181"/>
      <c r="DV37" s="181"/>
      <c r="DW37" s="181"/>
      <c r="DX37" s="181"/>
      <c r="DY37" s="181"/>
      <c r="DZ37" s="181"/>
      <c r="EA37" s="181"/>
      <c r="EB37" s="181"/>
      <c r="EC37" s="181"/>
      <c r="ED37" s="181"/>
      <c r="EE37" s="181"/>
      <c r="EF37" s="181"/>
      <c r="EG37" s="181"/>
      <c r="EH37" s="181"/>
      <c r="EI37" s="181"/>
      <c r="EJ37" s="181"/>
      <c r="EK37" s="181"/>
      <c r="EL37" s="181"/>
      <c r="EM37" s="181"/>
      <c r="EN37" s="181"/>
      <c r="EO37" s="181"/>
      <c r="EP37" s="181"/>
      <c r="EQ37" s="181"/>
      <c r="ER37" s="181"/>
      <c r="ES37" s="181"/>
      <c r="ET37" s="181"/>
      <c r="EU37" s="181"/>
      <c r="EV37" s="181"/>
      <c r="EW37" s="181"/>
      <c r="EX37" s="181"/>
      <c r="EY37" s="181"/>
      <c r="EZ37" s="181"/>
      <c r="FA37" s="181"/>
      <c r="FB37" s="181"/>
      <c r="FC37" s="181"/>
      <c r="FD37" s="181"/>
      <c r="FE37" s="181"/>
      <c r="FF37" s="181"/>
      <c r="FG37" s="181"/>
      <c r="FH37" s="181"/>
    </row>
    <row r="38" spans="3:164" s="92" customFormat="1">
      <c r="C38" s="65"/>
      <c r="J38" s="167"/>
      <c r="K38" s="168"/>
      <c r="L38" s="168"/>
      <c r="M38" s="168"/>
      <c r="N38" s="168"/>
      <c r="O38" s="168"/>
      <c r="P38" s="168"/>
      <c r="Q38" s="168"/>
      <c r="R38" s="168"/>
      <c r="S38" s="168"/>
      <c r="T38" s="168"/>
      <c r="U38" s="168"/>
      <c r="V38" s="168"/>
      <c r="W38" s="168"/>
      <c r="X38" s="168"/>
      <c r="Y38" s="168"/>
      <c r="Z38" s="168"/>
      <c r="AA38" s="168"/>
      <c r="AB38" s="168"/>
      <c r="AC38" s="168"/>
      <c r="AD38" s="168"/>
      <c r="AE38" s="168"/>
      <c r="AF38" s="169"/>
      <c r="AG38" s="171"/>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9"/>
      <c r="BD38" s="171"/>
      <c r="BE38" s="168"/>
      <c r="BF38" s="168"/>
      <c r="BG38" s="168"/>
      <c r="BH38" s="168"/>
      <c r="BI38" s="168"/>
      <c r="BJ38" s="168"/>
      <c r="BK38" s="168"/>
      <c r="BL38" s="168"/>
      <c r="BM38" s="168"/>
      <c r="BN38" s="168"/>
      <c r="BO38" s="168"/>
      <c r="BP38" s="168"/>
      <c r="BQ38" s="168"/>
      <c r="BR38" s="168"/>
      <c r="BS38" s="168"/>
      <c r="BT38" s="168"/>
      <c r="BU38" s="168"/>
      <c r="BV38" s="168"/>
      <c r="BW38" s="168"/>
      <c r="BX38" s="168"/>
      <c r="BY38" s="168"/>
      <c r="BZ38" s="169"/>
      <c r="CA38" s="171"/>
      <c r="CB38" s="168"/>
      <c r="CC38" s="168"/>
      <c r="CD38" s="168"/>
      <c r="CE38" s="168"/>
      <c r="CF38" s="168"/>
      <c r="CG38" s="168"/>
      <c r="CH38" s="168"/>
      <c r="CI38" s="168"/>
      <c r="CJ38" s="168"/>
      <c r="CK38" s="168"/>
      <c r="CL38" s="168"/>
      <c r="CM38" s="168"/>
      <c r="CN38" s="168"/>
      <c r="CO38" s="168"/>
      <c r="CP38" s="168"/>
      <c r="CQ38" s="168"/>
      <c r="CR38" s="168"/>
      <c r="CS38" s="168"/>
      <c r="CT38" s="168"/>
      <c r="CU38" s="168"/>
      <c r="CV38" s="168"/>
      <c r="CW38" s="173"/>
      <c r="CX38" s="65"/>
      <c r="CY38" s="65"/>
      <c r="CZ38" s="65"/>
      <c r="DA38" s="65"/>
      <c r="DB38" s="65"/>
      <c r="DC38" s="65"/>
      <c r="DD38" s="65"/>
      <c r="DE38" s="65"/>
      <c r="DF38" s="65"/>
      <c r="DG38" s="65"/>
      <c r="DH38" s="65"/>
      <c r="DK38" s="181"/>
      <c r="DL38" s="181"/>
      <c r="DM38" s="181"/>
      <c r="DN38" s="181"/>
      <c r="DO38" s="181"/>
      <c r="DP38" s="181"/>
      <c r="DQ38" s="181"/>
      <c r="DR38" s="181"/>
      <c r="DS38" s="181"/>
      <c r="DT38" s="181"/>
      <c r="DU38" s="181"/>
      <c r="DV38" s="181"/>
      <c r="DW38" s="181"/>
      <c r="DX38" s="181"/>
      <c r="DY38" s="181"/>
      <c r="DZ38" s="181"/>
      <c r="EA38" s="181"/>
      <c r="EB38" s="181"/>
      <c r="EC38" s="181"/>
      <c r="ED38" s="181"/>
      <c r="EE38" s="181"/>
      <c r="EF38" s="181"/>
      <c r="EG38" s="181"/>
      <c r="EH38" s="181"/>
      <c r="EI38" s="181"/>
      <c r="EJ38" s="181"/>
      <c r="EK38" s="181"/>
      <c r="EL38" s="181"/>
      <c r="EM38" s="181"/>
      <c r="EN38" s="181"/>
      <c r="EO38" s="181"/>
      <c r="EP38" s="181"/>
      <c r="EQ38" s="181"/>
      <c r="ER38" s="181"/>
      <c r="ES38" s="181"/>
      <c r="ET38" s="181"/>
      <c r="EU38" s="181"/>
      <c r="EV38" s="181"/>
      <c r="EW38" s="181"/>
      <c r="EX38" s="181"/>
      <c r="EY38" s="181"/>
      <c r="EZ38" s="181"/>
      <c r="FA38" s="181"/>
      <c r="FB38" s="181"/>
      <c r="FC38" s="181"/>
      <c r="FD38" s="181"/>
      <c r="FE38" s="181"/>
      <c r="FF38" s="181"/>
      <c r="FG38" s="181"/>
      <c r="FH38" s="181"/>
    </row>
    <row r="39" spans="3:164" s="92" customFormat="1">
      <c r="J39" s="178"/>
      <c r="K39" s="179"/>
      <c r="L39" s="179"/>
      <c r="M39" s="179"/>
      <c r="N39" s="179"/>
      <c r="O39" s="179"/>
      <c r="P39" s="179"/>
      <c r="Q39" s="179"/>
      <c r="R39" s="179"/>
      <c r="S39" s="179"/>
      <c r="T39" s="179"/>
      <c r="U39" s="179"/>
      <c r="V39" s="179"/>
      <c r="W39" s="179"/>
      <c r="X39" s="179"/>
      <c r="Y39" s="179"/>
      <c r="Z39" s="179"/>
      <c r="AA39" s="179"/>
      <c r="AB39" s="179"/>
      <c r="AC39" s="179"/>
      <c r="AD39" s="179"/>
      <c r="AE39" s="179"/>
      <c r="AF39" s="180"/>
      <c r="AG39" s="171"/>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9"/>
      <c r="BD39" s="171"/>
      <c r="BE39" s="168"/>
      <c r="BF39" s="168"/>
      <c r="BG39" s="168"/>
      <c r="BH39" s="168"/>
      <c r="BI39" s="168"/>
      <c r="BJ39" s="168"/>
      <c r="BK39" s="168"/>
      <c r="BL39" s="168"/>
      <c r="BM39" s="168"/>
      <c r="BN39" s="168"/>
      <c r="BO39" s="168"/>
      <c r="BP39" s="168"/>
      <c r="BQ39" s="168"/>
      <c r="BR39" s="168"/>
      <c r="BS39" s="168"/>
      <c r="BT39" s="168"/>
      <c r="BU39" s="168"/>
      <c r="BV39" s="168"/>
      <c r="BW39" s="168"/>
      <c r="BX39" s="168"/>
      <c r="BY39" s="168"/>
      <c r="BZ39" s="169"/>
      <c r="CA39" s="171"/>
      <c r="CB39" s="168"/>
      <c r="CC39" s="168"/>
      <c r="CD39" s="168"/>
      <c r="CE39" s="168"/>
      <c r="CF39" s="168"/>
      <c r="CG39" s="168"/>
      <c r="CH39" s="168"/>
      <c r="CI39" s="168"/>
      <c r="CJ39" s="168"/>
      <c r="CK39" s="168"/>
      <c r="CL39" s="168"/>
      <c r="CM39" s="168"/>
      <c r="CN39" s="168"/>
      <c r="CO39" s="168"/>
      <c r="CP39" s="168"/>
      <c r="CQ39" s="168"/>
      <c r="CR39" s="168"/>
      <c r="CS39" s="168"/>
      <c r="CT39" s="168"/>
      <c r="CU39" s="168"/>
      <c r="CV39" s="168"/>
      <c r="CW39" s="173"/>
      <c r="DK39" s="182"/>
      <c r="DL39" s="182"/>
      <c r="DM39" s="182"/>
      <c r="DN39" s="182"/>
      <c r="DO39" s="182"/>
      <c r="DP39" s="182"/>
      <c r="DQ39" s="182"/>
      <c r="DR39" s="182"/>
      <c r="DS39" s="182"/>
      <c r="DT39" s="182"/>
      <c r="DU39" s="182"/>
      <c r="DV39" s="182"/>
      <c r="DW39" s="182"/>
      <c r="DX39" s="182"/>
      <c r="DY39" s="182"/>
      <c r="DZ39" s="182"/>
      <c r="EA39" s="182"/>
      <c r="EB39" s="182"/>
      <c r="EC39" s="182"/>
      <c r="ED39" s="182"/>
      <c r="EE39" s="182"/>
      <c r="EF39" s="182"/>
      <c r="EG39" s="182"/>
      <c r="EH39" s="182"/>
      <c r="EI39" s="182"/>
      <c r="EJ39" s="182"/>
      <c r="EK39" s="182"/>
      <c r="EL39" s="182"/>
      <c r="EM39" s="182"/>
      <c r="EN39" s="182"/>
      <c r="EO39" s="182"/>
      <c r="EP39" s="182"/>
      <c r="EQ39" s="182"/>
      <c r="ER39" s="182"/>
      <c r="ES39" s="182"/>
      <c r="ET39" s="182"/>
      <c r="EU39" s="182"/>
      <c r="EV39" s="182"/>
      <c r="EW39" s="182"/>
      <c r="EX39" s="182"/>
      <c r="EY39" s="182"/>
      <c r="EZ39" s="182"/>
      <c r="FA39" s="182"/>
      <c r="FB39" s="182"/>
      <c r="FC39" s="182"/>
      <c r="FD39" s="182"/>
      <c r="FE39" s="182"/>
      <c r="FF39" s="182"/>
      <c r="FG39" s="182"/>
      <c r="FH39" s="182"/>
    </row>
    <row r="40" spans="3:164" s="92" customFormat="1" ht="12.75" thickBot="1">
      <c r="J40" s="183"/>
      <c r="K40" s="184"/>
      <c r="L40" s="184"/>
      <c r="M40" s="184"/>
      <c r="N40" s="184"/>
      <c r="O40" s="184"/>
      <c r="P40" s="184"/>
      <c r="Q40" s="184"/>
      <c r="R40" s="184"/>
      <c r="S40" s="184"/>
      <c r="T40" s="184"/>
      <c r="U40" s="184"/>
      <c r="V40" s="184"/>
      <c r="W40" s="184"/>
      <c r="X40" s="184"/>
      <c r="Y40" s="184"/>
      <c r="Z40" s="184"/>
      <c r="AA40" s="184"/>
      <c r="AB40" s="184"/>
      <c r="AC40" s="184"/>
      <c r="AD40" s="184"/>
      <c r="AE40" s="184"/>
      <c r="AF40" s="185"/>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5"/>
      <c r="BK40" s="175"/>
      <c r="BL40" s="175"/>
      <c r="BM40" s="175"/>
      <c r="BN40" s="175"/>
      <c r="BO40" s="175"/>
      <c r="BP40" s="175"/>
      <c r="BQ40" s="175"/>
      <c r="BR40" s="175"/>
      <c r="BS40" s="175"/>
      <c r="BT40" s="175"/>
      <c r="BU40" s="175"/>
      <c r="BV40" s="175"/>
      <c r="BW40" s="175"/>
      <c r="BX40" s="175"/>
      <c r="BY40" s="175"/>
      <c r="BZ40" s="175"/>
      <c r="CA40" s="175"/>
      <c r="CB40" s="175"/>
      <c r="CC40" s="175"/>
      <c r="CD40" s="175"/>
      <c r="CE40" s="175"/>
      <c r="CF40" s="175"/>
      <c r="CG40" s="175"/>
      <c r="CH40" s="175"/>
      <c r="CI40" s="175"/>
      <c r="CJ40" s="175"/>
      <c r="CK40" s="175"/>
      <c r="CL40" s="175"/>
      <c r="CM40" s="175"/>
      <c r="CN40" s="175"/>
      <c r="CO40" s="175"/>
      <c r="CP40" s="175"/>
      <c r="CQ40" s="175"/>
      <c r="CR40" s="175"/>
      <c r="CS40" s="175"/>
      <c r="CT40" s="175"/>
      <c r="CU40" s="175"/>
      <c r="CV40" s="175"/>
      <c r="CW40" s="186"/>
      <c r="DK40" s="182"/>
      <c r="DL40" s="182"/>
      <c r="DM40" s="182"/>
      <c r="DN40" s="182"/>
      <c r="DO40" s="182"/>
      <c r="DP40" s="182"/>
      <c r="DQ40" s="182"/>
      <c r="DR40" s="182"/>
      <c r="DS40" s="182"/>
      <c r="DT40" s="182"/>
      <c r="DU40" s="182"/>
      <c r="DV40" s="182"/>
      <c r="DW40" s="182"/>
      <c r="DX40" s="182"/>
      <c r="DY40" s="182"/>
      <c r="DZ40" s="182"/>
      <c r="EA40" s="182"/>
      <c r="EB40" s="182"/>
      <c r="EC40" s="182"/>
      <c r="ED40" s="182"/>
      <c r="EE40" s="182"/>
      <c r="EF40" s="182"/>
      <c r="EG40" s="182"/>
      <c r="EH40" s="182"/>
      <c r="EI40" s="182"/>
      <c r="EJ40" s="182"/>
      <c r="EK40" s="182"/>
      <c r="EL40" s="182"/>
      <c r="EM40" s="182"/>
      <c r="EN40" s="182"/>
      <c r="EO40" s="182"/>
      <c r="EP40" s="182"/>
      <c r="EQ40" s="182"/>
      <c r="ER40" s="182"/>
      <c r="ES40" s="182"/>
      <c r="ET40" s="182"/>
      <c r="EU40" s="182"/>
      <c r="EV40" s="182"/>
      <c r="EW40" s="182"/>
      <c r="EX40" s="182"/>
      <c r="EY40" s="182"/>
      <c r="EZ40" s="182"/>
      <c r="FA40" s="182"/>
      <c r="FB40" s="182"/>
      <c r="FC40" s="182"/>
      <c r="FD40" s="182"/>
      <c r="FE40" s="182"/>
      <c r="FF40" s="182"/>
      <c r="FG40" s="182"/>
      <c r="FH40" s="182"/>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5" sqref="A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42955</v>
      </c>
      <c r="B4" s="77" t="s">
        <v>72</v>
      </c>
      <c r="C4" s="78" t="s">
        <v>73</v>
      </c>
      <c r="D4" s="90" t="s">
        <v>274</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76"/>
  <sheetViews>
    <sheetView zoomScale="70" zoomScaleNormal="70" workbookViewId="0">
      <pane ySplit="8" topLeftCell="A58" activePane="bottomLeft" state="frozen"/>
      <selection pane="bottomLeft"/>
    </sheetView>
  </sheetViews>
  <sheetFormatPr defaultColWidth="6.875" defaultRowHeight="13.5"/>
  <cols>
    <col min="1" max="1" width="4.5" style="99" bestFit="1" customWidth="1"/>
    <col min="2" max="2" width="9" style="2" customWidth="1"/>
    <col min="3" max="3" width="38.25" style="99" customWidth="1"/>
    <col min="4" max="4" width="38.25" style="124" customWidth="1"/>
    <col min="5" max="5" width="35.75" style="124"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M1" s="99" t="s">
        <v>1</v>
      </c>
      <c r="N1" s="99" t="s">
        <v>0</v>
      </c>
      <c r="O1" s="99" t="s">
        <v>86</v>
      </c>
      <c r="P1" s="99" t="s">
        <v>87</v>
      </c>
      <c r="Q1" s="99" t="s">
        <v>213</v>
      </c>
    </row>
    <row r="2" spans="1:24">
      <c r="A2" s="98"/>
      <c r="G2" s="6" t="s">
        <v>1</v>
      </c>
      <c r="H2" s="7" t="s">
        <v>0</v>
      </c>
      <c r="I2" s="7" t="s">
        <v>17</v>
      </c>
      <c r="J2" s="7" t="s">
        <v>21</v>
      </c>
      <c r="K2" s="96"/>
      <c r="L2" s="108" t="s">
        <v>88</v>
      </c>
      <c r="M2" s="12">
        <f>COUNTA(B8:B123)</f>
        <v>63</v>
      </c>
      <c r="N2" s="99">
        <f>COUNTIF($H$9:$H$995,"OK")+COUNTIF($H$9:$H995,"－")</f>
        <v>0</v>
      </c>
      <c r="O2" s="99">
        <f>COUNTIF($H$9:$H$995,"NG")</f>
        <v>0</v>
      </c>
      <c r="P2" s="99">
        <f>COUNTIF($H$9:$H$995,"NG（済）")</f>
        <v>0</v>
      </c>
      <c r="Q2" s="99">
        <f>COUNTIF($H$9:$H$995,"未実施")</f>
        <v>0</v>
      </c>
    </row>
    <row r="3" spans="1:24">
      <c r="A3" s="98" t="s">
        <v>2</v>
      </c>
      <c r="B3" s="9" t="s">
        <v>80</v>
      </c>
      <c r="G3" s="10">
        <f>SUM(M2:M4)</f>
        <v>189</v>
      </c>
      <c r="H3" s="10">
        <f>SUM(N2:N4)</f>
        <v>0</v>
      </c>
      <c r="I3" s="10">
        <f>SUM(O2:O4)</f>
        <v>0</v>
      </c>
      <c r="J3" s="10">
        <f>SUM(P2:P4)</f>
        <v>0</v>
      </c>
      <c r="K3" s="96"/>
      <c r="L3" s="109" t="s">
        <v>89</v>
      </c>
      <c r="M3" s="12">
        <f>COUNTA(B8:B123)</f>
        <v>63</v>
      </c>
      <c r="N3" s="99">
        <f>COUNTIF($K$9:$K$995,"OK")+COUNTIF($K$9:$K$995,"－")</f>
        <v>0</v>
      </c>
      <c r="O3" s="99">
        <f>COUNTIF($K$9:$K$995,"NG")</f>
        <v>0</v>
      </c>
      <c r="P3" s="99">
        <f>COUNTIF($K$9:$K$995,"NG（済）")</f>
        <v>0</v>
      </c>
      <c r="Q3" s="99">
        <f>COUNTIF($K$9:$K$995,"未実施")</f>
        <v>0</v>
      </c>
    </row>
    <row r="4" spans="1:24">
      <c r="A4" s="13"/>
      <c r="B4" s="99" t="s">
        <v>196</v>
      </c>
      <c r="L4" s="109" t="s">
        <v>90</v>
      </c>
      <c r="M4" s="12">
        <f>COUNTA(B8:B123)</f>
        <v>63</v>
      </c>
      <c r="N4" s="99">
        <f>COUNTIF($N$9:$N$995,"OK")+COUNTIF($N$9:$N$995,"－")</f>
        <v>0</v>
      </c>
      <c r="O4" s="99">
        <f>COUNTIF($N$9:$N$995,"NG")</f>
        <v>0</v>
      </c>
      <c r="P4" s="99">
        <f>COUNTIF($N$9:$N$995,"NG（済）")</f>
        <v>0</v>
      </c>
      <c r="Q4" s="99">
        <f>COUNTIF($N$9:$N$995,"未実施")</f>
        <v>0</v>
      </c>
    </row>
    <row r="5" spans="1:24">
      <c r="A5" s="13" t="s">
        <v>3</v>
      </c>
      <c r="B5" s="98" t="s">
        <v>13</v>
      </c>
      <c r="C5" s="97" t="s">
        <v>212</v>
      </c>
      <c r="D5" s="127"/>
      <c r="L5" s="99"/>
      <c r="Q5" s="13"/>
      <c r="R5" s="13"/>
    </row>
    <row r="6" spans="1:24">
      <c r="A6" s="13"/>
      <c r="B6" s="98"/>
      <c r="L6" s="109"/>
      <c r="Q6" s="13"/>
      <c r="R6" s="13"/>
    </row>
    <row r="7" spans="1:24">
      <c r="B7" s="196" t="s">
        <v>4</v>
      </c>
      <c r="C7" s="198" t="s">
        <v>5</v>
      </c>
      <c r="D7" s="200" t="s">
        <v>79</v>
      </c>
      <c r="E7" s="200" t="s">
        <v>6</v>
      </c>
      <c r="F7" s="202" t="s">
        <v>7</v>
      </c>
      <c r="G7" s="203"/>
      <c r="H7" s="207" t="s">
        <v>91</v>
      </c>
      <c r="I7" s="207"/>
      <c r="J7" s="207"/>
      <c r="K7" s="207" t="s">
        <v>84</v>
      </c>
      <c r="L7" s="207"/>
      <c r="M7" s="207"/>
      <c r="N7" s="207" t="s">
        <v>85</v>
      </c>
      <c r="O7" s="207"/>
      <c r="P7" s="207"/>
      <c r="Q7" s="200" t="s">
        <v>214</v>
      </c>
      <c r="R7" s="200" t="s">
        <v>78</v>
      </c>
      <c r="S7" s="206" t="s">
        <v>14</v>
      </c>
      <c r="T7" s="206"/>
      <c r="U7" s="206"/>
      <c r="V7" s="104"/>
    </row>
    <row r="8" spans="1:24">
      <c r="B8" s="197"/>
      <c r="C8" s="199"/>
      <c r="D8" s="201"/>
      <c r="E8" s="201"/>
      <c r="F8" s="204"/>
      <c r="G8" s="205"/>
      <c r="H8" s="103" t="s">
        <v>8</v>
      </c>
      <c r="I8" s="103" t="s">
        <v>9</v>
      </c>
      <c r="J8" s="103" t="s">
        <v>10</v>
      </c>
      <c r="K8" s="105" t="s">
        <v>8</v>
      </c>
      <c r="L8" s="105" t="s">
        <v>9</v>
      </c>
      <c r="M8" s="105" t="s">
        <v>10</v>
      </c>
      <c r="N8" s="105" t="s">
        <v>8</v>
      </c>
      <c r="O8" s="105" t="s">
        <v>9</v>
      </c>
      <c r="P8" s="105" t="s">
        <v>10</v>
      </c>
      <c r="Q8" s="199"/>
      <c r="R8" s="199"/>
      <c r="S8" s="93"/>
      <c r="T8" s="94"/>
      <c r="U8" s="95"/>
      <c r="V8" s="104"/>
    </row>
    <row r="9" spans="1:24" ht="62.25" customHeight="1">
      <c r="B9" s="126" t="str">
        <f t="shared" ref="B9:B71" si="0">"1-"&amp;ROW()-8</f>
        <v>1-1</v>
      </c>
      <c r="C9" s="100" t="s">
        <v>95</v>
      </c>
      <c r="D9" s="42" t="s">
        <v>202</v>
      </c>
      <c r="E9" s="42" t="s">
        <v>62</v>
      </c>
      <c r="F9" s="189" t="s">
        <v>140</v>
      </c>
      <c r="G9" s="190"/>
      <c r="H9" s="101"/>
      <c r="I9" s="20"/>
      <c r="J9" s="101"/>
      <c r="K9" s="101"/>
      <c r="L9" s="20"/>
      <c r="M9" s="101"/>
      <c r="N9" s="101"/>
      <c r="O9" s="20"/>
      <c r="P9" s="101"/>
      <c r="Q9" s="101"/>
      <c r="R9" s="101"/>
      <c r="S9" s="100"/>
      <c r="T9" s="102"/>
      <c r="U9" s="102"/>
      <c r="V9" s="110"/>
    </row>
    <row r="10" spans="1:24" ht="34.5" customHeight="1">
      <c r="B10" s="126" t="str">
        <f t="shared" si="0"/>
        <v>1-2</v>
      </c>
      <c r="C10" s="100"/>
      <c r="D10" s="42" t="s">
        <v>83</v>
      </c>
      <c r="E10" s="42" t="s">
        <v>62</v>
      </c>
      <c r="F10" s="189" t="s">
        <v>96</v>
      </c>
      <c r="G10" s="190"/>
      <c r="H10" s="101"/>
      <c r="I10" s="20"/>
      <c r="J10" s="101"/>
      <c r="K10" s="101"/>
      <c r="L10" s="20"/>
      <c r="M10" s="101"/>
      <c r="N10" s="101"/>
      <c r="O10" s="20"/>
      <c r="P10" s="101"/>
      <c r="Q10" s="101"/>
      <c r="R10" s="101"/>
      <c r="S10" s="100"/>
      <c r="T10" s="102"/>
      <c r="U10" s="102"/>
      <c r="V10" s="104"/>
    </row>
    <row r="11" spans="1:24" ht="34.5" customHeight="1">
      <c r="B11" s="126" t="str">
        <f t="shared" si="0"/>
        <v>1-3</v>
      </c>
      <c r="C11" s="100"/>
      <c r="D11" s="42" t="s">
        <v>83</v>
      </c>
      <c r="E11" s="42" t="s">
        <v>62</v>
      </c>
      <c r="F11" s="189" t="s">
        <v>82</v>
      </c>
      <c r="G11" s="190"/>
      <c r="H11" s="101"/>
      <c r="I11" s="20"/>
      <c r="J11" s="101"/>
      <c r="K11" s="101"/>
      <c r="L11" s="20"/>
      <c r="M11" s="101"/>
      <c r="N11" s="101"/>
      <c r="O11" s="20"/>
      <c r="P11" s="101"/>
      <c r="Q11" s="101"/>
      <c r="R11" s="101"/>
      <c r="S11" s="100"/>
      <c r="T11" s="102"/>
      <c r="U11" s="102"/>
      <c r="V11" s="104"/>
      <c r="W11" s="104"/>
      <c r="X11" s="104"/>
    </row>
    <row r="12" spans="1:24" ht="34.5" customHeight="1">
      <c r="B12" s="126" t="str">
        <f t="shared" si="0"/>
        <v>1-4</v>
      </c>
      <c r="C12" s="100"/>
      <c r="D12" s="42" t="s">
        <v>83</v>
      </c>
      <c r="E12" s="42" t="s">
        <v>62</v>
      </c>
      <c r="F12" s="189" t="s">
        <v>92</v>
      </c>
      <c r="G12" s="190"/>
      <c r="H12" s="101"/>
      <c r="I12" s="20"/>
      <c r="J12" s="101"/>
      <c r="K12" s="101"/>
      <c r="L12" s="20"/>
      <c r="M12" s="101"/>
      <c r="N12" s="101"/>
      <c r="O12" s="20"/>
      <c r="P12" s="101"/>
      <c r="Q12" s="101"/>
      <c r="R12" s="101"/>
      <c r="S12" s="100"/>
      <c r="T12" s="102"/>
      <c r="U12" s="102"/>
      <c r="V12" s="106"/>
      <c r="W12" s="106"/>
      <c r="X12" s="106"/>
    </row>
    <row r="13" spans="1:24" ht="34.5" customHeight="1">
      <c r="B13" s="126" t="str">
        <f t="shared" si="0"/>
        <v>1-5</v>
      </c>
      <c r="C13" s="100"/>
      <c r="D13" s="42" t="s">
        <v>83</v>
      </c>
      <c r="E13" s="42" t="s">
        <v>62</v>
      </c>
      <c r="F13" s="189" t="s">
        <v>94</v>
      </c>
      <c r="G13" s="190"/>
      <c r="H13" s="101"/>
      <c r="I13" s="20"/>
      <c r="J13" s="101"/>
      <c r="K13" s="101"/>
      <c r="L13" s="20"/>
      <c r="M13" s="101"/>
      <c r="N13" s="101"/>
      <c r="O13" s="20"/>
      <c r="P13" s="101"/>
      <c r="Q13" s="101"/>
      <c r="R13" s="101"/>
      <c r="S13" s="100"/>
      <c r="T13" s="102"/>
      <c r="U13" s="102"/>
      <c r="V13" s="106"/>
      <c r="W13" s="106"/>
      <c r="X13" s="106"/>
    </row>
    <row r="14" spans="1:24" ht="34.5" customHeight="1">
      <c r="B14" s="126" t="str">
        <f t="shared" si="0"/>
        <v>1-6</v>
      </c>
      <c r="C14" s="100"/>
      <c r="D14" s="42" t="s">
        <v>83</v>
      </c>
      <c r="E14" s="42" t="s">
        <v>101</v>
      </c>
      <c r="F14" s="187" t="s">
        <v>215</v>
      </c>
      <c r="G14" s="188"/>
      <c r="H14" s="101"/>
      <c r="I14" s="20"/>
      <c r="J14" s="101"/>
      <c r="K14" s="101"/>
      <c r="L14" s="20"/>
      <c r="M14" s="101"/>
      <c r="N14" s="101"/>
      <c r="O14" s="20"/>
      <c r="P14" s="101"/>
      <c r="Q14" s="136"/>
      <c r="R14" s="101"/>
      <c r="S14" s="100"/>
      <c r="T14" s="102"/>
      <c r="U14" s="102"/>
      <c r="V14" s="111"/>
      <c r="W14" s="111"/>
      <c r="X14" s="111"/>
    </row>
    <row r="15" spans="1:24" ht="34.5" customHeight="1">
      <c r="B15" s="126" t="str">
        <f t="shared" si="0"/>
        <v>1-7</v>
      </c>
      <c r="C15" s="100"/>
      <c r="D15" s="42" t="s">
        <v>83</v>
      </c>
      <c r="E15" s="42" t="s">
        <v>93</v>
      </c>
      <c r="F15" s="189" t="s">
        <v>138</v>
      </c>
      <c r="G15" s="190"/>
      <c r="H15" s="101"/>
      <c r="I15" s="20"/>
      <c r="J15" s="101"/>
      <c r="K15" s="101"/>
      <c r="L15" s="20"/>
      <c r="M15" s="101"/>
      <c r="N15" s="101"/>
      <c r="O15" s="20"/>
      <c r="P15" s="101"/>
      <c r="Q15" s="136"/>
      <c r="R15" s="101"/>
      <c r="S15" s="100"/>
      <c r="T15" s="102"/>
      <c r="U15" s="102"/>
      <c r="V15" s="106"/>
      <c r="W15" s="106"/>
      <c r="X15" s="106"/>
    </row>
    <row r="16" spans="1:24" ht="35.450000000000003" customHeight="1">
      <c r="B16" s="126" t="str">
        <f t="shared" si="0"/>
        <v>1-8</v>
      </c>
      <c r="C16" s="100"/>
      <c r="D16" s="42" t="s">
        <v>83</v>
      </c>
      <c r="E16" s="42" t="s">
        <v>93</v>
      </c>
      <c r="F16" s="189" t="s">
        <v>92</v>
      </c>
      <c r="G16" s="190"/>
      <c r="H16" s="101"/>
      <c r="I16" s="20"/>
      <c r="J16" s="101"/>
      <c r="K16" s="101"/>
      <c r="L16" s="20"/>
      <c r="M16" s="101"/>
      <c r="N16" s="101"/>
      <c r="O16" s="20"/>
      <c r="P16" s="101"/>
      <c r="Q16" s="101"/>
      <c r="R16" s="101"/>
      <c r="S16" s="100"/>
      <c r="T16" s="102"/>
      <c r="U16" s="102"/>
      <c r="V16" s="106"/>
      <c r="W16" s="106"/>
      <c r="X16" s="106"/>
    </row>
    <row r="17" spans="2:24" ht="35.450000000000003" customHeight="1">
      <c r="B17" s="126" t="str">
        <f t="shared" si="0"/>
        <v>1-9</v>
      </c>
      <c r="C17" s="100"/>
      <c r="D17" s="42" t="s">
        <v>83</v>
      </c>
      <c r="E17" s="42" t="s">
        <v>93</v>
      </c>
      <c r="F17" s="189" t="s">
        <v>94</v>
      </c>
      <c r="G17" s="190"/>
      <c r="H17" s="101"/>
      <c r="I17" s="20"/>
      <c r="J17" s="101"/>
      <c r="K17" s="101"/>
      <c r="L17" s="20"/>
      <c r="M17" s="101"/>
      <c r="N17" s="101"/>
      <c r="O17" s="20"/>
      <c r="P17" s="101"/>
      <c r="Q17" s="101"/>
      <c r="R17" s="101"/>
      <c r="S17" s="100"/>
      <c r="T17" s="102"/>
      <c r="U17" s="102"/>
      <c r="V17" s="106"/>
      <c r="W17" s="106"/>
      <c r="X17" s="106"/>
    </row>
    <row r="18" spans="2:24" ht="35.450000000000003" customHeight="1">
      <c r="B18" s="126" t="str">
        <f t="shared" si="0"/>
        <v>1-10</v>
      </c>
      <c r="C18" s="100"/>
      <c r="D18" s="42" t="s">
        <v>113</v>
      </c>
      <c r="E18" s="42" t="s">
        <v>114</v>
      </c>
      <c r="F18" s="189" t="s">
        <v>115</v>
      </c>
      <c r="G18" s="190"/>
      <c r="H18" s="101"/>
      <c r="I18" s="20"/>
      <c r="J18" s="101"/>
      <c r="K18" s="101"/>
      <c r="L18" s="20"/>
      <c r="M18" s="101"/>
      <c r="N18" s="101"/>
      <c r="O18" s="20"/>
      <c r="P18" s="101"/>
      <c r="Q18" s="101"/>
      <c r="R18" s="101"/>
      <c r="S18" s="100"/>
      <c r="T18" s="102"/>
      <c r="U18" s="102"/>
      <c r="V18" s="115"/>
      <c r="W18" s="115"/>
      <c r="X18" s="115"/>
    </row>
    <row r="19" spans="2:24" ht="35.450000000000003" customHeight="1">
      <c r="B19" s="126" t="str">
        <f t="shared" si="0"/>
        <v>1-11</v>
      </c>
      <c r="C19" s="100"/>
      <c r="D19" s="42" t="s">
        <v>116</v>
      </c>
      <c r="E19" s="42" t="s">
        <v>114</v>
      </c>
      <c r="F19" s="189" t="s">
        <v>115</v>
      </c>
      <c r="G19" s="195"/>
      <c r="H19" s="101"/>
      <c r="I19" s="20"/>
      <c r="J19" s="101"/>
      <c r="K19" s="101"/>
      <c r="L19" s="20"/>
      <c r="M19" s="101"/>
      <c r="N19" s="101"/>
      <c r="O19" s="20"/>
      <c r="P19" s="101"/>
      <c r="Q19" s="101"/>
      <c r="R19" s="101"/>
      <c r="S19" s="100"/>
      <c r="T19" s="102"/>
      <c r="U19" s="102"/>
      <c r="V19" s="115"/>
      <c r="W19" s="115"/>
      <c r="X19" s="115"/>
    </row>
    <row r="20" spans="2:24" ht="35.450000000000003" customHeight="1">
      <c r="B20" s="126" t="str">
        <f t="shared" si="0"/>
        <v>1-12</v>
      </c>
      <c r="C20" s="100"/>
      <c r="D20" s="42" t="s">
        <v>141</v>
      </c>
      <c r="E20" s="42" t="s">
        <v>102</v>
      </c>
      <c r="F20" s="189" t="s">
        <v>103</v>
      </c>
      <c r="G20" s="190"/>
      <c r="H20" s="101"/>
      <c r="I20" s="20"/>
      <c r="J20" s="101"/>
      <c r="K20" s="101"/>
      <c r="L20" s="20"/>
      <c r="M20" s="101"/>
      <c r="N20" s="101"/>
      <c r="O20" s="20"/>
      <c r="P20" s="101"/>
      <c r="Q20" s="136"/>
      <c r="R20" s="101"/>
      <c r="S20" s="100"/>
      <c r="T20" s="102"/>
      <c r="U20" s="102"/>
      <c r="V20" s="104"/>
    </row>
    <row r="21" spans="2:24" ht="35.450000000000003" customHeight="1">
      <c r="B21" s="126" t="str">
        <f t="shared" si="0"/>
        <v>1-13</v>
      </c>
      <c r="C21" s="100"/>
      <c r="D21" s="42" t="s">
        <v>83</v>
      </c>
      <c r="E21" s="42" t="s">
        <v>104</v>
      </c>
      <c r="F21" s="189" t="s">
        <v>105</v>
      </c>
      <c r="G21" s="190"/>
      <c r="H21" s="101"/>
      <c r="I21" s="20"/>
      <c r="J21" s="101"/>
      <c r="K21" s="101"/>
      <c r="L21" s="20"/>
      <c r="M21" s="101"/>
      <c r="N21" s="101"/>
      <c r="O21" s="20"/>
      <c r="P21" s="101"/>
      <c r="Q21" s="101"/>
      <c r="R21" s="101"/>
      <c r="S21" s="100"/>
      <c r="T21" s="102"/>
      <c r="U21" s="102"/>
      <c r="V21" s="112"/>
    </row>
    <row r="22" spans="2:24" ht="35.450000000000003" customHeight="1">
      <c r="B22" s="126" t="str">
        <f t="shared" si="0"/>
        <v>1-14</v>
      </c>
      <c r="C22" s="100"/>
      <c r="D22" s="42" t="s">
        <v>142</v>
      </c>
      <c r="E22" s="42" t="s">
        <v>106</v>
      </c>
      <c r="F22" s="187" t="s">
        <v>107</v>
      </c>
      <c r="G22" s="188"/>
      <c r="H22" s="101"/>
      <c r="I22" s="20"/>
      <c r="J22" s="101"/>
      <c r="K22" s="101"/>
      <c r="L22" s="20"/>
      <c r="M22" s="101"/>
      <c r="N22" s="101"/>
      <c r="O22" s="20"/>
      <c r="P22" s="101"/>
      <c r="Q22" s="101"/>
      <c r="R22" s="101"/>
      <c r="S22" s="100"/>
      <c r="T22" s="102"/>
      <c r="U22" s="102"/>
      <c r="V22" s="118"/>
    </row>
    <row r="23" spans="2:24" ht="35.450000000000003" customHeight="1">
      <c r="B23" s="126" t="str">
        <f t="shared" si="0"/>
        <v>1-15</v>
      </c>
      <c r="C23" s="100"/>
      <c r="D23" s="42" t="s">
        <v>83</v>
      </c>
      <c r="E23" s="42" t="s">
        <v>108</v>
      </c>
      <c r="F23" s="187" t="s">
        <v>143</v>
      </c>
      <c r="G23" s="188"/>
      <c r="H23" s="101"/>
      <c r="I23" s="20"/>
      <c r="J23" s="101"/>
      <c r="K23" s="101"/>
      <c r="L23" s="20"/>
      <c r="M23" s="101"/>
      <c r="N23" s="101"/>
      <c r="O23" s="20"/>
      <c r="P23" s="101"/>
      <c r="Q23" s="101"/>
      <c r="R23" s="101"/>
      <c r="S23" s="100"/>
      <c r="T23" s="102"/>
      <c r="U23" s="102"/>
      <c r="V23" s="118"/>
    </row>
    <row r="24" spans="2:24" ht="35.450000000000003" customHeight="1">
      <c r="B24" s="126" t="str">
        <f t="shared" si="0"/>
        <v>1-16</v>
      </c>
      <c r="C24" s="100"/>
      <c r="D24" s="42" t="s">
        <v>83</v>
      </c>
      <c r="E24" s="42" t="s">
        <v>111</v>
      </c>
      <c r="F24" s="187" t="s">
        <v>211</v>
      </c>
      <c r="G24" s="195"/>
      <c r="H24" s="101"/>
      <c r="I24" s="20"/>
      <c r="J24" s="101"/>
      <c r="K24" s="101"/>
      <c r="L24" s="20"/>
      <c r="M24" s="101"/>
      <c r="N24" s="101"/>
      <c r="O24" s="20"/>
      <c r="P24" s="101"/>
      <c r="Q24" s="101"/>
      <c r="R24" s="101"/>
      <c r="S24" s="100"/>
      <c r="T24" s="102"/>
      <c r="U24" s="102"/>
      <c r="V24" s="118"/>
    </row>
    <row r="25" spans="2:24" ht="35.450000000000003" customHeight="1">
      <c r="B25" s="126" t="str">
        <f t="shared" si="0"/>
        <v>1-17</v>
      </c>
      <c r="C25" s="100"/>
      <c r="D25" s="42" t="s">
        <v>144</v>
      </c>
      <c r="E25" s="42" t="s">
        <v>102</v>
      </c>
      <c r="F25" s="189" t="s">
        <v>103</v>
      </c>
      <c r="G25" s="190"/>
      <c r="H25" s="101"/>
      <c r="I25" s="20"/>
      <c r="J25" s="101"/>
      <c r="K25" s="101"/>
      <c r="L25" s="20"/>
      <c r="M25" s="101"/>
      <c r="N25" s="101"/>
      <c r="O25" s="20"/>
      <c r="P25" s="101"/>
      <c r="Q25" s="136"/>
      <c r="R25" s="101"/>
      <c r="S25" s="100"/>
      <c r="T25" s="102"/>
      <c r="U25" s="102"/>
      <c r="V25" s="104"/>
    </row>
    <row r="26" spans="2:24" ht="35.450000000000003" customHeight="1">
      <c r="B26" s="126" t="str">
        <f t="shared" si="0"/>
        <v>1-18</v>
      </c>
      <c r="C26" s="100"/>
      <c r="D26" s="42" t="s">
        <v>83</v>
      </c>
      <c r="E26" s="42" t="s">
        <v>104</v>
      </c>
      <c r="F26" s="189" t="s">
        <v>105</v>
      </c>
      <c r="G26" s="190"/>
      <c r="H26" s="101"/>
      <c r="I26" s="20"/>
      <c r="J26" s="101"/>
      <c r="K26" s="101"/>
      <c r="L26" s="20"/>
      <c r="M26" s="101"/>
      <c r="N26" s="101"/>
      <c r="O26" s="20"/>
      <c r="P26" s="101"/>
      <c r="Q26" s="101"/>
      <c r="R26" s="101"/>
      <c r="S26" s="100"/>
      <c r="T26" s="102"/>
      <c r="U26" s="102"/>
      <c r="V26" s="112"/>
    </row>
    <row r="27" spans="2:24" ht="35.450000000000003" customHeight="1">
      <c r="B27" s="126" t="str">
        <f t="shared" si="0"/>
        <v>1-19</v>
      </c>
      <c r="C27" s="100"/>
      <c r="D27" s="42" t="s">
        <v>145</v>
      </c>
      <c r="E27" s="42" t="s">
        <v>106</v>
      </c>
      <c r="F27" s="187" t="s">
        <v>107</v>
      </c>
      <c r="G27" s="188"/>
      <c r="H27" s="101"/>
      <c r="I27" s="20"/>
      <c r="J27" s="101"/>
      <c r="K27" s="101"/>
      <c r="L27" s="20"/>
      <c r="M27" s="101"/>
      <c r="N27" s="101"/>
      <c r="O27" s="20"/>
      <c r="P27" s="101"/>
      <c r="Q27" s="101"/>
      <c r="R27" s="101"/>
      <c r="S27" s="100"/>
      <c r="T27" s="102"/>
      <c r="U27" s="102"/>
      <c r="V27" s="112"/>
    </row>
    <row r="28" spans="2:24" ht="35.450000000000003" customHeight="1">
      <c r="B28" s="126" t="str">
        <f t="shared" si="0"/>
        <v>1-20</v>
      </c>
      <c r="C28" s="100"/>
      <c r="D28" s="42" t="s">
        <v>83</v>
      </c>
      <c r="E28" s="42" t="s">
        <v>108</v>
      </c>
      <c r="F28" s="187" t="s">
        <v>146</v>
      </c>
      <c r="G28" s="188"/>
      <c r="H28" s="101"/>
      <c r="I28" s="20"/>
      <c r="J28" s="101"/>
      <c r="K28" s="101"/>
      <c r="L28" s="20"/>
      <c r="M28" s="101"/>
      <c r="N28" s="101"/>
      <c r="O28" s="20"/>
      <c r="P28" s="101"/>
      <c r="Q28" s="101"/>
      <c r="R28" s="101"/>
      <c r="S28" s="100"/>
      <c r="T28" s="102"/>
      <c r="U28" s="102"/>
      <c r="V28" s="112"/>
    </row>
    <row r="29" spans="2:24" ht="35.450000000000003" customHeight="1">
      <c r="B29" s="126" t="str">
        <f t="shared" si="0"/>
        <v>1-21</v>
      </c>
      <c r="C29" s="100"/>
      <c r="D29" s="42" t="s">
        <v>83</v>
      </c>
      <c r="E29" s="42" t="s">
        <v>111</v>
      </c>
      <c r="F29" s="187" t="s">
        <v>110</v>
      </c>
      <c r="G29" s="195"/>
      <c r="H29" s="101"/>
      <c r="I29" s="20"/>
      <c r="J29" s="101"/>
      <c r="K29" s="101"/>
      <c r="L29" s="20"/>
      <c r="M29" s="101"/>
      <c r="N29" s="101"/>
      <c r="O29" s="20"/>
      <c r="P29" s="101"/>
      <c r="Q29" s="101"/>
      <c r="R29" s="101"/>
      <c r="S29" s="100"/>
      <c r="T29" s="102"/>
      <c r="U29" s="102"/>
      <c r="V29" s="111"/>
    </row>
    <row r="30" spans="2:24" ht="35.450000000000003" customHeight="1">
      <c r="B30" s="126" t="str">
        <f t="shared" si="0"/>
        <v>1-22</v>
      </c>
      <c r="C30" s="100"/>
      <c r="D30" s="42" t="s">
        <v>203</v>
      </c>
      <c r="E30" s="125" t="s">
        <v>109</v>
      </c>
      <c r="F30" s="187" t="s">
        <v>186</v>
      </c>
      <c r="G30" s="195"/>
      <c r="H30" s="101"/>
      <c r="I30" s="20"/>
      <c r="J30" s="101"/>
      <c r="K30" s="101"/>
      <c r="L30" s="20"/>
      <c r="M30" s="101"/>
      <c r="N30" s="101"/>
      <c r="O30" s="20"/>
      <c r="P30" s="101"/>
      <c r="Q30" s="101"/>
      <c r="R30" s="101"/>
      <c r="S30" s="100"/>
      <c r="T30" s="102"/>
      <c r="U30" s="102"/>
      <c r="V30" s="112"/>
    </row>
    <row r="31" spans="2:24" ht="35.450000000000003" customHeight="1">
      <c r="B31" s="126" t="str">
        <f t="shared" si="0"/>
        <v>1-23</v>
      </c>
      <c r="C31" s="100" t="s">
        <v>147</v>
      </c>
      <c r="D31" s="42" t="s">
        <v>148</v>
      </c>
      <c r="E31" s="42" t="s">
        <v>149</v>
      </c>
      <c r="F31" s="187" t="s">
        <v>112</v>
      </c>
      <c r="G31" s="195"/>
      <c r="H31" s="101"/>
      <c r="I31" s="20"/>
      <c r="J31" s="101"/>
      <c r="K31" s="101"/>
      <c r="L31" s="20"/>
      <c r="M31" s="101"/>
      <c r="N31" s="101"/>
      <c r="O31" s="20"/>
      <c r="P31" s="101"/>
      <c r="Q31" s="101"/>
      <c r="R31" s="101"/>
      <c r="S31" s="100"/>
      <c r="T31" s="102"/>
      <c r="U31" s="102"/>
      <c r="V31" s="111"/>
    </row>
    <row r="32" spans="2:24" ht="35.450000000000003" customHeight="1">
      <c r="B32" s="126" t="str">
        <f t="shared" si="0"/>
        <v>1-24</v>
      </c>
      <c r="C32" s="100"/>
      <c r="D32" s="42" t="s">
        <v>150</v>
      </c>
      <c r="E32" s="42" t="s">
        <v>149</v>
      </c>
      <c r="F32" s="187" t="s">
        <v>151</v>
      </c>
      <c r="G32" s="188"/>
      <c r="H32" s="101"/>
      <c r="I32" s="20"/>
      <c r="J32" s="101"/>
      <c r="K32" s="101"/>
      <c r="L32" s="20"/>
      <c r="M32" s="101"/>
      <c r="N32" s="101"/>
      <c r="O32" s="20"/>
      <c r="P32" s="101"/>
      <c r="Q32" s="136"/>
      <c r="R32" s="107"/>
      <c r="S32" s="100"/>
      <c r="T32" s="102"/>
      <c r="U32" s="102"/>
      <c r="V32" s="104"/>
    </row>
    <row r="33" spans="2:22" ht="51.75" customHeight="1">
      <c r="B33" s="126" t="str">
        <f t="shared" si="0"/>
        <v>1-25</v>
      </c>
      <c r="C33" s="100"/>
      <c r="D33" s="42" t="s">
        <v>117</v>
      </c>
      <c r="E33" s="42" t="s">
        <v>119</v>
      </c>
      <c r="F33" s="187" t="s">
        <v>120</v>
      </c>
      <c r="G33" s="188"/>
      <c r="H33" s="101"/>
      <c r="I33" s="20"/>
      <c r="J33" s="101"/>
      <c r="K33" s="101"/>
      <c r="L33" s="20"/>
      <c r="M33" s="101"/>
      <c r="N33" s="101"/>
      <c r="O33" s="20"/>
      <c r="P33" s="101"/>
      <c r="Q33" s="136"/>
      <c r="R33" s="101"/>
      <c r="S33" s="100"/>
      <c r="T33" s="102"/>
      <c r="U33" s="102"/>
      <c r="V33" s="111"/>
    </row>
    <row r="34" spans="2:22" ht="35.450000000000003" customHeight="1">
      <c r="B34" s="126" t="str">
        <f t="shared" si="0"/>
        <v>1-26</v>
      </c>
      <c r="C34" s="100"/>
      <c r="D34" s="42" t="s">
        <v>83</v>
      </c>
      <c r="E34" s="42" t="s">
        <v>123</v>
      </c>
      <c r="F34" s="187" t="s">
        <v>152</v>
      </c>
      <c r="G34" s="195"/>
      <c r="H34" s="101"/>
      <c r="I34" s="20"/>
      <c r="J34" s="101"/>
      <c r="K34" s="101"/>
      <c r="L34" s="20"/>
      <c r="M34" s="101"/>
      <c r="N34" s="101"/>
      <c r="O34" s="20"/>
      <c r="P34" s="101"/>
      <c r="Q34" s="136"/>
      <c r="R34" s="101"/>
      <c r="S34" s="100"/>
      <c r="T34" s="102"/>
      <c r="U34" s="102"/>
      <c r="V34" s="104"/>
    </row>
    <row r="35" spans="2:22" ht="39" customHeight="1">
      <c r="B35" s="126" t="str">
        <f t="shared" si="0"/>
        <v>1-27</v>
      </c>
      <c r="C35" s="100"/>
      <c r="D35" s="42" t="s">
        <v>83</v>
      </c>
      <c r="E35" s="42" t="s">
        <v>83</v>
      </c>
      <c r="F35" s="189" t="s">
        <v>154</v>
      </c>
      <c r="G35" s="190"/>
      <c r="H35" s="101"/>
      <c r="I35" s="20"/>
      <c r="J35" s="101"/>
      <c r="K35" s="101"/>
      <c r="L35" s="20"/>
      <c r="M35" s="101"/>
      <c r="N35" s="101"/>
      <c r="O35" s="20"/>
      <c r="P35" s="101"/>
      <c r="Q35" s="136"/>
      <c r="R35" s="101"/>
      <c r="S35" s="100"/>
      <c r="T35" s="102"/>
      <c r="U35" s="102"/>
      <c r="V35" s="111"/>
    </row>
    <row r="36" spans="2:22" ht="35.450000000000003" customHeight="1">
      <c r="B36" s="126" t="str">
        <f t="shared" si="0"/>
        <v>1-28</v>
      </c>
      <c r="C36" s="100"/>
      <c r="D36" s="42" t="s">
        <v>83</v>
      </c>
      <c r="E36" s="42" t="s">
        <v>124</v>
      </c>
      <c r="F36" s="187" t="s">
        <v>153</v>
      </c>
      <c r="G36" s="195"/>
      <c r="H36" s="101"/>
      <c r="I36" s="20"/>
      <c r="J36" s="101"/>
      <c r="K36" s="101"/>
      <c r="L36" s="20"/>
      <c r="M36" s="101"/>
      <c r="N36" s="101"/>
      <c r="O36" s="20"/>
      <c r="P36" s="101"/>
      <c r="Q36" s="136"/>
      <c r="R36" s="101"/>
      <c r="S36" s="100"/>
      <c r="T36" s="102"/>
      <c r="U36" s="102"/>
      <c r="V36" s="104"/>
    </row>
    <row r="37" spans="2:22" ht="35.450000000000003" customHeight="1">
      <c r="B37" s="126" t="str">
        <f t="shared" si="0"/>
        <v>1-29</v>
      </c>
      <c r="C37" s="100"/>
      <c r="D37" s="42" t="s">
        <v>83</v>
      </c>
      <c r="E37" s="42" t="s">
        <v>83</v>
      </c>
      <c r="F37" s="189" t="s">
        <v>155</v>
      </c>
      <c r="G37" s="190"/>
      <c r="H37" s="101"/>
      <c r="I37" s="20"/>
      <c r="J37" s="101"/>
      <c r="K37" s="101"/>
      <c r="L37" s="20"/>
      <c r="M37" s="101"/>
      <c r="N37" s="101"/>
      <c r="O37" s="20"/>
      <c r="P37" s="101"/>
      <c r="Q37" s="136"/>
      <c r="R37" s="101"/>
      <c r="S37" s="100"/>
      <c r="T37" s="102"/>
      <c r="U37" s="102"/>
      <c r="V37" s="112"/>
    </row>
    <row r="38" spans="2:22" ht="35.450000000000003" customHeight="1">
      <c r="B38" s="126" t="str">
        <f t="shared" si="0"/>
        <v>1-30</v>
      </c>
      <c r="C38" s="100"/>
      <c r="D38" s="42" t="s">
        <v>83</v>
      </c>
      <c r="E38" s="42" t="s">
        <v>125</v>
      </c>
      <c r="F38" s="189" t="s">
        <v>126</v>
      </c>
      <c r="G38" s="190"/>
      <c r="H38" s="101"/>
      <c r="I38" s="20"/>
      <c r="J38" s="101"/>
      <c r="K38" s="101"/>
      <c r="L38" s="20"/>
      <c r="M38" s="101"/>
      <c r="N38" s="101"/>
      <c r="O38" s="20"/>
      <c r="P38" s="101"/>
      <c r="Q38" s="136"/>
      <c r="R38" s="101"/>
      <c r="S38" s="100"/>
      <c r="T38" s="102"/>
      <c r="U38" s="102"/>
      <c r="V38" s="115"/>
    </row>
    <row r="39" spans="2:22" ht="35.450000000000003" customHeight="1">
      <c r="B39" s="126" t="str">
        <f t="shared" si="0"/>
        <v>1-31</v>
      </c>
      <c r="C39" s="100"/>
      <c r="D39" s="42" t="s">
        <v>156</v>
      </c>
      <c r="E39" s="42" t="s">
        <v>118</v>
      </c>
      <c r="F39" s="187" t="s">
        <v>121</v>
      </c>
      <c r="G39" s="188"/>
      <c r="H39" s="101"/>
      <c r="I39" s="20"/>
      <c r="J39" s="101"/>
      <c r="K39" s="101"/>
      <c r="L39" s="20"/>
      <c r="M39" s="101"/>
      <c r="N39" s="101"/>
      <c r="O39" s="20"/>
      <c r="P39" s="101"/>
      <c r="Q39" s="101"/>
      <c r="R39" s="101"/>
      <c r="S39" s="100"/>
      <c r="T39" s="102"/>
      <c r="U39" s="102"/>
      <c r="V39" s="111"/>
    </row>
    <row r="40" spans="2:22" ht="42.75" customHeight="1">
      <c r="B40" s="126" t="str">
        <f t="shared" si="0"/>
        <v>1-32</v>
      </c>
      <c r="C40" s="100"/>
      <c r="D40" s="42" t="s">
        <v>157</v>
      </c>
      <c r="E40" s="42" t="s">
        <v>122</v>
      </c>
      <c r="F40" s="189" t="s">
        <v>120</v>
      </c>
      <c r="G40" s="195"/>
      <c r="H40" s="101"/>
      <c r="I40" s="20"/>
      <c r="J40" s="101"/>
      <c r="K40" s="101"/>
      <c r="L40" s="20"/>
      <c r="M40" s="101"/>
      <c r="N40" s="101"/>
      <c r="O40" s="20"/>
      <c r="P40" s="101"/>
      <c r="Q40" s="136"/>
      <c r="R40" s="107"/>
      <c r="S40" s="100"/>
      <c r="T40" s="102"/>
      <c r="U40" s="102"/>
      <c r="V40" s="104"/>
    </row>
    <row r="41" spans="2:22" ht="39.75" customHeight="1">
      <c r="B41" s="126" t="str">
        <f t="shared" si="0"/>
        <v>1-33</v>
      </c>
      <c r="C41" s="100"/>
      <c r="D41" s="42" t="s">
        <v>122</v>
      </c>
      <c r="E41" s="42" t="s">
        <v>127</v>
      </c>
      <c r="F41" s="189" t="s">
        <v>129</v>
      </c>
      <c r="G41" s="190"/>
      <c r="H41" s="101"/>
      <c r="I41" s="20"/>
      <c r="J41" s="101"/>
      <c r="K41" s="101"/>
      <c r="L41" s="20"/>
      <c r="M41" s="101"/>
      <c r="N41" s="101"/>
      <c r="O41" s="20"/>
      <c r="P41" s="101"/>
      <c r="Q41" s="136"/>
      <c r="R41" s="107"/>
      <c r="S41" s="100"/>
      <c r="T41" s="102"/>
      <c r="U41" s="102"/>
      <c r="V41" s="112"/>
    </row>
    <row r="42" spans="2:22" ht="35.450000000000003" customHeight="1">
      <c r="B42" s="126" t="str">
        <f t="shared" si="0"/>
        <v>1-34</v>
      </c>
      <c r="C42" s="100"/>
      <c r="D42" s="42" t="s">
        <v>122</v>
      </c>
      <c r="E42" s="42" t="s">
        <v>128</v>
      </c>
      <c r="F42" s="189" t="s">
        <v>130</v>
      </c>
      <c r="G42" s="190"/>
      <c r="H42" s="101"/>
      <c r="I42" s="20"/>
      <c r="J42" s="101"/>
      <c r="K42" s="101"/>
      <c r="L42" s="20"/>
      <c r="M42" s="101"/>
      <c r="N42" s="101"/>
      <c r="O42" s="20"/>
      <c r="P42" s="101"/>
      <c r="Q42" s="136"/>
      <c r="R42" s="101"/>
      <c r="S42" s="100"/>
      <c r="T42" s="102"/>
      <c r="U42" s="102"/>
      <c r="V42" s="111"/>
    </row>
    <row r="43" spans="2:22" ht="35.450000000000003" customHeight="1">
      <c r="B43" s="126" t="str">
        <f t="shared" si="0"/>
        <v>1-35</v>
      </c>
      <c r="C43" s="100"/>
      <c r="D43" s="42" t="s">
        <v>204</v>
      </c>
      <c r="E43" s="42" t="s">
        <v>131</v>
      </c>
      <c r="F43" s="187" t="s">
        <v>161</v>
      </c>
      <c r="G43" s="195"/>
      <c r="H43" s="101"/>
      <c r="I43" s="20"/>
      <c r="J43" s="101"/>
      <c r="K43" s="101"/>
      <c r="L43" s="20"/>
      <c r="M43" s="101"/>
      <c r="N43" s="101"/>
      <c r="O43" s="20"/>
      <c r="P43" s="101"/>
      <c r="Q43" s="136"/>
      <c r="R43" s="101"/>
      <c r="S43" s="100"/>
      <c r="T43" s="102"/>
      <c r="U43" s="102"/>
      <c r="V43" s="112"/>
    </row>
    <row r="44" spans="2:22" ht="35.450000000000003" customHeight="1">
      <c r="B44" s="126" t="str">
        <f t="shared" si="0"/>
        <v>1-36</v>
      </c>
      <c r="C44" s="100"/>
      <c r="D44" s="42" t="s">
        <v>122</v>
      </c>
      <c r="E44" s="42" t="s">
        <v>168</v>
      </c>
      <c r="F44" s="187" t="s">
        <v>162</v>
      </c>
      <c r="G44" s="195"/>
      <c r="H44" s="101"/>
      <c r="I44" s="20"/>
      <c r="J44" s="101"/>
      <c r="K44" s="101"/>
      <c r="L44" s="20"/>
      <c r="M44" s="101"/>
      <c r="N44" s="101"/>
      <c r="O44" s="20"/>
      <c r="P44" s="101"/>
      <c r="Q44" s="136"/>
      <c r="R44" s="101"/>
      <c r="S44" s="100"/>
      <c r="T44" s="102"/>
      <c r="U44" s="102"/>
      <c r="V44" s="112"/>
    </row>
    <row r="45" spans="2:22" ht="35.450000000000003" customHeight="1">
      <c r="B45" s="126" t="str">
        <f t="shared" si="0"/>
        <v>1-37</v>
      </c>
      <c r="C45" s="100"/>
      <c r="D45" s="42" t="s">
        <v>122</v>
      </c>
      <c r="E45" s="42" t="s">
        <v>132</v>
      </c>
      <c r="F45" s="187" t="s">
        <v>115</v>
      </c>
      <c r="G45" s="195"/>
      <c r="H45" s="101"/>
      <c r="I45" s="20"/>
      <c r="J45" s="101"/>
      <c r="K45" s="101"/>
      <c r="L45" s="20"/>
      <c r="M45" s="101"/>
      <c r="N45" s="101"/>
      <c r="O45" s="20"/>
      <c r="P45" s="101"/>
      <c r="Q45" s="136"/>
      <c r="R45" s="101"/>
      <c r="S45" s="100"/>
      <c r="T45" s="102"/>
      <c r="U45" s="102"/>
      <c r="V45" s="104"/>
    </row>
    <row r="46" spans="2:22" ht="35.450000000000003" customHeight="1">
      <c r="B46" s="126" t="str">
        <f t="shared" si="0"/>
        <v>1-38</v>
      </c>
      <c r="C46" s="100"/>
      <c r="D46" s="42" t="s">
        <v>122</v>
      </c>
      <c r="E46" s="42" t="s">
        <v>133</v>
      </c>
      <c r="F46" s="187" t="s">
        <v>134</v>
      </c>
      <c r="G46" s="195"/>
      <c r="H46" s="101"/>
      <c r="I46" s="20"/>
      <c r="J46" s="101"/>
      <c r="K46" s="101"/>
      <c r="L46" s="20"/>
      <c r="M46" s="101"/>
      <c r="N46" s="101"/>
      <c r="O46" s="20"/>
      <c r="P46" s="101"/>
      <c r="Q46" s="136"/>
      <c r="R46" s="101"/>
      <c r="S46" s="100"/>
      <c r="T46" s="102"/>
      <c r="U46" s="102"/>
      <c r="V46" s="112"/>
    </row>
    <row r="47" spans="2:22" ht="35.450000000000003" customHeight="1">
      <c r="B47" s="126" t="str">
        <f t="shared" si="0"/>
        <v>1-39</v>
      </c>
      <c r="C47" s="100" t="s">
        <v>135</v>
      </c>
      <c r="D47" s="42" t="s">
        <v>163</v>
      </c>
      <c r="E47" s="42" t="s">
        <v>158</v>
      </c>
      <c r="F47" s="113" t="s">
        <v>112</v>
      </c>
      <c r="G47" s="114"/>
      <c r="H47" s="101"/>
      <c r="I47" s="20"/>
      <c r="J47" s="101"/>
      <c r="K47" s="101"/>
      <c r="L47" s="20"/>
      <c r="M47" s="101"/>
      <c r="N47" s="101"/>
      <c r="O47" s="20"/>
      <c r="P47" s="101"/>
      <c r="Q47" s="101"/>
      <c r="R47" s="101"/>
      <c r="S47" s="100"/>
      <c r="T47" s="102"/>
      <c r="U47" s="102"/>
      <c r="V47" s="115"/>
    </row>
    <row r="48" spans="2:22" ht="35.450000000000003" customHeight="1">
      <c r="B48" s="126" t="str">
        <f t="shared" si="0"/>
        <v>1-40</v>
      </c>
      <c r="C48" s="100"/>
      <c r="D48" s="42" t="s">
        <v>164</v>
      </c>
      <c r="E48" s="42" t="s">
        <v>122</v>
      </c>
      <c r="F48" s="187" t="s">
        <v>165</v>
      </c>
      <c r="G48" s="188"/>
      <c r="H48" s="101"/>
      <c r="I48" s="20"/>
      <c r="J48" s="101"/>
      <c r="K48" s="101"/>
      <c r="L48" s="20"/>
      <c r="M48" s="101"/>
      <c r="N48" s="101"/>
      <c r="O48" s="20"/>
      <c r="P48" s="101"/>
      <c r="Q48" s="101"/>
      <c r="R48" s="101"/>
      <c r="S48" s="100"/>
      <c r="T48" s="102"/>
      <c r="U48" s="102"/>
      <c r="V48" s="115"/>
    </row>
    <row r="49" spans="2:22" ht="35.450000000000003" customHeight="1">
      <c r="B49" s="126" t="str">
        <f t="shared" si="0"/>
        <v>1-41</v>
      </c>
      <c r="C49" s="100"/>
      <c r="D49" s="42" t="s">
        <v>122</v>
      </c>
      <c r="E49" s="42" t="s">
        <v>169</v>
      </c>
      <c r="F49" s="116" t="s">
        <v>170</v>
      </c>
      <c r="G49" s="117"/>
      <c r="H49" s="101"/>
      <c r="I49" s="20"/>
      <c r="J49" s="101"/>
      <c r="K49" s="101"/>
      <c r="L49" s="20"/>
      <c r="M49" s="101"/>
      <c r="N49" s="101"/>
      <c r="O49" s="20"/>
      <c r="P49" s="101"/>
      <c r="Q49" s="101"/>
      <c r="R49" s="101"/>
      <c r="S49" s="100"/>
      <c r="T49" s="102"/>
      <c r="U49" s="102"/>
      <c r="V49" s="118"/>
    </row>
    <row r="50" spans="2:22" ht="35.450000000000003" customHeight="1">
      <c r="B50" s="126" t="str">
        <f t="shared" si="0"/>
        <v>1-42</v>
      </c>
      <c r="C50" s="100"/>
      <c r="D50" s="42" t="s">
        <v>117</v>
      </c>
      <c r="E50" s="42" t="s">
        <v>119</v>
      </c>
      <c r="F50" s="187" t="s">
        <v>120</v>
      </c>
      <c r="G50" s="188"/>
      <c r="H50" s="101"/>
      <c r="I50" s="20"/>
      <c r="J50" s="101"/>
      <c r="K50" s="101"/>
      <c r="L50" s="20"/>
      <c r="M50" s="101"/>
      <c r="N50" s="101"/>
      <c r="O50" s="20"/>
      <c r="P50" s="101"/>
      <c r="Q50" s="136"/>
      <c r="R50" s="101"/>
      <c r="S50" s="100"/>
      <c r="T50" s="102"/>
      <c r="U50" s="102"/>
      <c r="V50" s="115"/>
    </row>
    <row r="51" spans="2:22" ht="35.450000000000003" customHeight="1">
      <c r="B51" s="126" t="str">
        <f t="shared" si="0"/>
        <v>1-43</v>
      </c>
      <c r="C51" s="100"/>
      <c r="D51" s="42" t="s">
        <v>83</v>
      </c>
      <c r="E51" s="42" t="s">
        <v>123</v>
      </c>
      <c r="F51" s="187" t="s">
        <v>159</v>
      </c>
      <c r="G51" s="195"/>
      <c r="H51" s="101"/>
      <c r="I51" s="20"/>
      <c r="J51" s="101"/>
      <c r="K51" s="101"/>
      <c r="L51" s="20"/>
      <c r="M51" s="101"/>
      <c r="N51" s="101"/>
      <c r="O51" s="20"/>
      <c r="P51" s="101"/>
      <c r="Q51" s="136"/>
      <c r="R51" s="101"/>
      <c r="S51" s="100"/>
      <c r="T51" s="102"/>
      <c r="U51" s="102"/>
      <c r="V51" s="115"/>
    </row>
    <row r="52" spans="2:22" ht="35.450000000000003" customHeight="1">
      <c r="B52" s="126" t="str">
        <f t="shared" si="0"/>
        <v>1-44</v>
      </c>
      <c r="C52" s="100"/>
      <c r="D52" s="42" t="s">
        <v>83</v>
      </c>
      <c r="E52" s="42" t="s">
        <v>83</v>
      </c>
      <c r="F52" s="189" t="s">
        <v>154</v>
      </c>
      <c r="G52" s="190"/>
      <c r="H52" s="101"/>
      <c r="I52" s="20"/>
      <c r="J52" s="101"/>
      <c r="K52" s="101"/>
      <c r="L52" s="20"/>
      <c r="M52" s="101"/>
      <c r="N52" s="101"/>
      <c r="O52" s="20"/>
      <c r="P52" s="101"/>
      <c r="Q52" s="136"/>
      <c r="R52" s="101"/>
      <c r="S52" s="100"/>
      <c r="T52" s="102"/>
      <c r="U52" s="102"/>
      <c r="V52" s="115"/>
    </row>
    <row r="53" spans="2:22" ht="35.450000000000003" customHeight="1">
      <c r="B53" s="126" t="str">
        <f t="shared" si="0"/>
        <v>1-45</v>
      </c>
      <c r="C53" s="100"/>
      <c r="D53" s="42" t="s">
        <v>83</v>
      </c>
      <c r="E53" s="42" t="s">
        <v>124</v>
      </c>
      <c r="F53" s="187" t="s">
        <v>160</v>
      </c>
      <c r="G53" s="195"/>
      <c r="H53" s="101"/>
      <c r="I53" s="20"/>
      <c r="J53" s="101"/>
      <c r="K53" s="101"/>
      <c r="L53" s="20"/>
      <c r="M53" s="101"/>
      <c r="N53" s="101"/>
      <c r="O53" s="20"/>
      <c r="P53" s="101"/>
      <c r="Q53" s="136"/>
      <c r="R53" s="101"/>
      <c r="S53" s="100"/>
      <c r="T53" s="102"/>
      <c r="U53" s="102"/>
      <c r="V53" s="115"/>
    </row>
    <row r="54" spans="2:22" ht="35.450000000000003" customHeight="1">
      <c r="B54" s="126" t="str">
        <f t="shared" si="0"/>
        <v>1-46</v>
      </c>
      <c r="C54" s="100"/>
      <c r="D54" s="42" t="s">
        <v>83</v>
      </c>
      <c r="E54" s="42" t="s">
        <v>83</v>
      </c>
      <c r="F54" s="189" t="s">
        <v>155</v>
      </c>
      <c r="G54" s="190"/>
      <c r="H54" s="101"/>
      <c r="I54" s="20"/>
      <c r="J54" s="101"/>
      <c r="K54" s="101"/>
      <c r="L54" s="20"/>
      <c r="M54" s="101"/>
      <c r="N54" s="101"/>
      <c r="O54" s="20"/>
      <c r="P54" s="101"/>
      <c r="Q54" s="136"/>
      <c r="R54" s="101"/>
      <c r="S54" s="100"/>
      <c r="T54" s="102"/>
      <c r="U54" s="102"/>
      <c r="V54" s="115"/>
    </row>
    <row r="55" spans="2:22" ht="35.450000000000003" customHeight="1">
      <c r="B55" s="126" t="str">
        <f t="shared" si="0"/>
        <v>1-47</v>
      </c>
      <c r="C55" s="100" t="s">
        <v>116</v>
      </c>
      <c r="D55" s="42" t="s">
        <v>166</v>
      </c>
      <c r="E55" s="42" t="s">
        <v>116</v>
      </c>
      <c r="F55" s="189" t="s">
        <v>115</v>
      </c>
      <c r="G55" s="190"/>
      <c r="H55" s="101"/>
      <c r="I55" s="20"/>
      <c r="J55" s="101"/>
      <c r="K55" s="101"/>
      <c r="L55" s="20"/>
      <c r="M55" s="101"/>
      <c r="N55" s="101"/>
      <c r="O55" s="20"/>
      <c r="P55" s="101"/>
      <c r="Q55" s="101"/>
      <c r="R55" s="101"/>
      <c r="S55" s="100"/>
      <c r="T55" s="102"/>
      <c r="U55" s="102"/>
      <c r="V55" s="115"/>
    </row>
    <row r="56" spans="2:22" ht="35.450000000000003" customHeight="1">
      <c r="B56" s="126" t="str">
        <f t="shared" si="0"/>
        <v>1-48</v>
      </c>
      <c r="C56" s="100"/>
      <c r="D56" s="42" t="s">
        <v>167</v>
      </c>
      <c r="E56" s="42" t="s">
        <v>83</v>
      </c>
      <c r="F56" s="191" t="s">
        <v>136</v>
      </c>
      <c r="G56" s="192"/>
      <c r="H56" s="101"/>
      <c r="I56" s="20"/>
      <c r="J56" s="101"/>
      <c r="K56" s="101"/>
      <c r="L56" s="20"/>
      <c r="M56" s="101"/>
      <c r="N56" s="101"/>
      <c r="O56" s="20"/>
      <c r="P56" s="101"/>
      <c r="Q56" s="101"/>
      <c r="R56" s="101"/>
      <c r="S56" s="100"/>
      <c r="T56" s="102"/>
      <c r="U56" s="102"/>
      <c r="V56" s="115"/>
    </row>
    <row r="57" spans="2:22" ht="35.450000000000003" customHeight="1">
      <c r="B57" s="126" t="str">
        <f t="shared" si="0"/>
        <v>1-49</v>
      </c>
      <c r="C57" s="100"/>
      <c r="D57" s="42" t="s">
        <v>205</v>
      </c>
      <c r="E57" s="42" t="s">
        <v>137</v>
      </c>
      <c r="F57" s="191" t="s">
        <v>206</v>
      </c>
      <c r="G57" s="194"/>
      <c r="H57" s="101"/>
      <c r="I57" s="20"/>
      <c r="J57" s="101"/>
      <c r="K57" s="101"/>
      <c r="L57" s="20"/>
      <c r="M57" s="101"/>
      <c r="N57" s="101"/>
      <c r="O57" s="20"/>
      <c r="P57" s="101"/>
      <c r="Q57" s="136"/>
      <c r="R57" s="101"/>
      <c r="S57" s="100"/>
      <c r="T57" s="102"/>
      <c r="U57" s="102"/>
      <c r="V57" s="115"/>
    </row>
    <row r="58" spans="2:22" ht="35.450000000000003" customHeight="1">
      <c r="B58" s="126" t="str">
        <f t="shared" si="0"/>
        <v>1-50</v>
      </c>
      <c r="C58" s="100"/>
      <c r="D58" s="42" t="s">
        <v>83</v>
      </c>
      <c r="E58" s="42" t="s">
        <v>62</v>
      </c>
      <c r="F58" s="191" t="s">
        <v>139</v>
      </c>
      <c r="G58" s="194"/>
      <c r="H58" s="101"/>
      <c r="I58" s="20"/>
      <c r="J58" s="101"/>
      <c r="K58" s="101"/>
      <c r="L58" s="20"/>
      <c r="M58" s="101"/>
      <c r="N58" s="101"/>
      <c r="O58" s="20"/>
      <c r="P58" s="101"/>
      <c r="Q58" s="136"/>
      <c r="R58" s="101"/>
      <c r="S58" s="100"/>
      <c r="T58" s="102"/>
      <c r="U58" s="102"/>
      <c r="V58" s="115"/>
    </row>
    <row r="59" spans="2:22" ht="34.5" customHeight="1">
      <c r="B59" s="126" t="str">
        <f t="shared" si="0"/>
        <v>1-51</v>
      </c>
      <c r="C59" s="100" t="s">
        <v>171</v>
      </c>
      <c r="D59" s="42" t="s">
        <v>268</v>
      </c>
      <c r="E59" s="42" t="s">
        <v>172</v>
      </c>
      <c r="F59" s="193" t="s">
        <v>269</v>
      </c>
      <c r="G59" s="194"/>
      <c r="H59" s="101"/>
      <c r="I59" s="20"/>
      <c r="J59" s="101"/>
      <c r="K59" s="101"/>
      <c r="L59" s="20"/>
      <c r="M59" s="101"/>
      <c r="N59" s="101"/>
      <c r="O59" s="20"/>
      <c r="P59" s="101"/>
      <c r="Q59" s="136"/>
      <c r="R59" s="101"/>
      <c r="S59" s="100"/>
      <c r="T59" s="102"/>
      <c r="U59" s="102"/>
      <c r="V59" s="119"/>
    </row>
    <row r="60" spans="2:22" ht="34.5" customHeight="1">
      <c r="B60" s="126" t="str">
        <f t="shared" si="0"/>
        <v>1-52</v>
      </c>
      <c r="C60" s="100"/>
      <c r="D60" s="42" t="s">
        <v>270</v>
      </c>
      <c r="E60" s="42" t="s">
        <v>122</v>
      </c>
      <c r="F60" s="193" t="s">
        <v>173</v>
      </c>
      <c r="G60" s="194"/>
      <c r="H60" s="101"/>
      <c r="I60" s="20"/>
      <c r="J60" s="101"/>
      <c r="K60" s="101"/>
      <c r="L60" s="20"/>
      <c r="M60" s="101"/>
      <c r="N60" s="101"/>
      <c r="O60" s="20"/>
      <c r="P60" s="101"/>
      <c r="Q60" s="136"/>
      <c r="R60" s="101"/>
      <c r="S60" s="100"/>
      <c r="T60" s="102"/>
      <c r="U60" s="102"/>
      <c r="V60" s="119"/>
    </row>
    <row r="61" spans="2:22" ht="34.5" customHeight="1">
      <c r="B61" s="126" t="str">
        <f t="shared" si="0"/>
        <v>1-53</v>
      </c>
      <c r="C61" s="100"/>
      <c r="D61" s="42" t="s">
        <v>207</v>
      </c>
      <c r="E61" s="42" t="s">
        <v>122</v>
      </c>
      <c r="F61" s="193" t="s">
        <v>174</v>
      </c>
      <c r="G61" s="194"/>
      <c r="H61" s="101"/>
      <c r="I61" s="20"/>
      <c r="J61" s="101"/>
      <c r="K61" s="101"/>
      <c r="L61" s="20"/>
      <c r="M61" s="101"/>
      <c r="N61" s="101"/>
      <c r="O61" s="20"/>
      <c r="P61" s="101"/>
      <c r="Q61" s="136"/>
      <c r="R61" s="101"/>
      <c r="S61" s="100"/>
      <c r="T61" s="102"/>
      <c r="U61" s="102"/>
      <c r="V61" s="119"/>
    </row>
    <row r="62" spans="2:22" ht="46.5" customHeight="1">
      <c r="B62" s="126" t="str">
        <f t="shared" si="0"/>
        <v>1-54</v>
      </c>
      <c r="C62" s="100" t="s">
        <v>175</v>
      </c>
      <c r="D62" s="42" t="s">
        <v>208</v>
      </c>
      <c r="E62" s="42" t="s">
        <v>176</v>
      </c>
      <c r="F62" s="193" t="s">
        <v>177</v>
      </c>
      <c r="G62" s="194"/>
      <c r="H62" s="101"/>
      <c r="I62" s="20"/>
      <c r="J62" s="101"/>
      <c r="K62" s="101"/>
      <c r="L62" s="20"/>
      <c r="M62" s="101"/>
      <c r="N62" s="101"/>
      <c r="O62" s="20"/>
      <c r="P62" s="101"/>
      <c r="Q62" s="136"/>
      <c r="R62" s="101"/>
      <c r="S62" s="100"/>
      <c r="T62" s="102"/>
      <c r="U62" s="102"/>
      <c r="V62" s="119"/>
    </row>
    <row r="63" spans="2:22" ht="34.5" customHeight="1">
      <c r="B63" s="126" t="str">
        <f t="shared" si="0"/>
        <v>1-55</v>
      </c>
      <c r="C63" s="18" t="s">
        <v>178</v>
      </c>
      <c r="D63" s="18" t="s">
        <v>271</v>
      </c>
      <c r="E63" s="42" t="s">
        <v>172</v>
      </c>
      <c r="F63" s="187" t="s">
        <v>272</v>
      </c>
      <c r="G63" s="188"/>
      <c r="H63" s="101"/>
      <c r="I63" s="20"/>
      <c r="J63" s="101"/>
      <c r="K63" s="101"/>
      <c r="L63" s="20"/>
      <c r="M63" s="101"/>
      <c r="N63" s="101"/>
      <c r="O63" s="20"/>
      <c r="P63" s="101"/>
      <c r="Q63" s="101"/>
      <c r="R63" s="101"/>
      <c r="S63" s="100"/>
      <c r="T63" s="102"/>
      <c r="U63" s="102"/>
      <c r="V63" s="119"/>
    </row>
    <row r="64" spans="2:22" ht="34.5" customHeight="1">
      <c r="B64" s="126" t="str">
        <f t="shared" si="0"/>
        <v>1-56</v>
      </c>
      <c r="C64" s="18"/>
      <c r="D64" s="18"/>
      <c r="E64" s="42" t="s">
        <v>172</v>
      </c>
      <c r="F64" s="187" t="s">
        <v>181</v>
      </c>
      <c r="G64" s="188"/>
      <c r="H64" s="101"/>
      <c r="I64" s="20"/>
      <c r="J64" s="101"/>
      <c r="K64" s="101"/>
      <c r="L64" s="20"/>
      <c r="M64" s="101"/>
      <c r="N64" s="101"/>
      <c r="O64" s="20"/>
      <c r="P64" s="101"/>
      <c r="Q64" s="101"/>
      <c r="R64" s="101"/>
      <c r="S64" s="100"/>
      <c r="T64" s="102"/>
      <c r="U64" s="102"/>
      <c r="V64" s="119"/>
    </row>
    <row r="65" spans="1:22" ht="34.5" customHeight="1">
      <c r="B65" s="126" t="str">
        <f t="shared" si="0"/>
        <v>1-57</v>
      </c>
      <c r="C65" s="18"/>
      <c r="D65" s="18" t="s">
        <v>179</v>
      </c>
      <c r="E65" s="42" t="s">
        <v>172</v>
      </c>
      <c r="F65" s="187" t="s">
        <v>180</v>
      </c>
      <c r="G65" s="188"/>
      <c r="H65" s="101"/>
      <c r="I65" s="20"/>
      <c r="J65" s="101"/>
      <c r="K65" s="101"/>
      <c r="L65" s="20"/>
      <c r="M65" s="101"/>
      <c r="N65" s="101"/>
      <c r="O65" s="20"/>
      <c r="P65" s="101"/>
      <c r="Q65" s="101"/>
      <c r="R65" s="101"/>
      <c r="S65" s="100"/>
      <c r="T65" s="102"/>
      <c r="U65" s="102"/>
      <c r="V65" s="120"/>
    </row>
    <row r="66" spans="1:22" ht="34.5" customHeight="1">
      <c r="B66" s="126" t="str">
        <f t="shared" si="0"/>
        <v>1-58</v>
      </c>
      <c r="C66" s="18"/>
      <c r="D66" s="42" t="s">
        <v>192</v>
      </c>
      <c r="E66" s="42" t="s">
        <v>193</v>
      </c>
      <c r="F66" s="187" t="s">
        <v>181</v>
      </c>
      <c r="G66" s="188"/>
      <c r="H66" s="101"/>
      <c r="I66" s="20"/>
      <c r="J66" s="101"/>
      <c r="K66" s="101"/>
      <c r="L66" s="20"/>
      <c r="M66" s="101"/>
      <c r="N66" s="101"/>
      <c r="O66" s="20"/>
      <c r="P66" s="101"/>
      <c r="Q66" s="101"/>
      <c r="R66" s="101"/>
      <c r="S66" s="100"/>
      <c r="T66" s="102"/>
      <c r="U66" s="102"/>
      <c r="V66" s="120"/>
    </row>
    <row r="67" spans="1:22" ht="34.5" customHeight="1">
      <c r="B67" s="126" t="str">
        <f t="shared" si="0"/>
        <v>1-59</v>
      </c>
      <c r="C67" s="18"/>
      <c r="D67" s="18" t="s">
        <v>194</v>
      </c>
      <c r="E67" s="42" t="s">
        <v>172</v>
      </c>
      <c r="F67" s="187" t="s">
        <v>195</v>
      </c>
      <c r="G67" s="188"/>
      <c r="H67" s="101"/>
      <c r="I67" s="20"/>
      <c r="J67" s="101"/>
      <c r="K67" s="101"/>
      <c r="L67" s="20"/>
      <c r="M67" s="101"/>
      <c r="N67" s="101"/>
      <c r="O67" s="20"/>
      <c r="P67" s="101"/>
      <c r="Q67" s="101"/>
      <c r="R67" s="101"/>
      <c r="S67" s="100"/>
      <c r="T67" s="102"/>
      <c r="U67" s="102"/>
      <c r="V67" s="120"/>
    </row>
    <row r="68" spans="1:22" ht="34.5" customHeight="1">
      <c r="B68" s="126" t="str">
        <f t="shared" si="0"/>
        <v>1-60</v>
      </c>
      <c r="C68" s="18"/>
      <c r="D68" s="42" t="s">
        <v>192</v>
      </c>
      <c r="E68" s="42" t="s">
        <v>193</v>
      </c>
      <c r="F68" s="187" t="s">
        <v>181</v>
      </c>
      <c r="G68" s="188"/>
      <c r="H68" s="101"/>
      <c r="I68" s="20"/>
      <c r="J68" s="101"/>
      <c r="K68" s="101"/>
      <c r="L68" s="20"/>
      <c r="M68" s="101"/>
      <c r="N68" s="101"/>
      <c r="O68" s="20"/>
      <c r="P68" s="101"/>
      <c r="Q68" s="101"/>
      <c r="R68" s="101"/>
      <c r="S68" s="100"/>
      <c r="T68" s="102"/>
      <c r="U68" s="102"/>
      <c r="V68" s="120"/>
    </row>
    <row r="69" spans="1:22" ht="34.5" customHeight="1">
      <c r="A69" s="15"/>
      <c r="B69" s="126" t="str">
        <f t="shared" si="0"/>
        <v>1-61</v>
      </c>
      <c r="C69" s="18" t="s">
        <v>197</v>
      </c>
      <c r="D69" s="18" t="s">
        <v>198</v>
      </c>
      <c r="E69" s="18" t="s">
        <v>199</v>
      </c>
      <c r="F69" s="189" t="s">
        <v>200</v>
      </c>
      <c r="G69" s="190"/>
      <c r="H69" s="101"/>
      <c r="I69" s="20"/>
      <c r="J69" s="101"/>
      <c r="K69" s="101"/>
      <c r="L69" s="20"/>
      <c r="M69" s="101"/>
      <c r="N69" s="101"/>
      <c r="O69" s="20"/>
      <c r="P69" s="101"/>
      <c r="Q69" s="107"/>
      <c r="R69" s="107"/>
      <c r="S69" s="100"/>
      <c r="T69" s="102"/>
      <c r="U69" s="102"/>
      <c r="V69" s="123"/>
    </row>
    <row r="70" spans="1:22" ht="34.5" customHeight="1">
      <c r="A70" s="15"/>
      <c r="B70" s="126" t="str">
        <f t="shared" si="0"/>
        <v>1-62</v>
      </c>
      <c r="C70" s="100" t="s">
        <v>182</v>
      </c>
      <c r="D70" s="42" t="s">
        <v>183</v>
      </c>
      <c r="E70" s="42" t="s">
        <v>209</v>
      </c>
      <c r="F70" s="189" t="s">
        <v>273</v>
      </c>
      <c r="G70" s="190"/>
      <c r="H70" s="101"/>
      <c r="I70" s="20"/>
      <c r="J70" s="101"/>
      <c r="K70" s="101"/>
      <c r="L70" s="20"/>
      <c r="M70" s="101"/>
      <c r="N70" s="101"/>
      <c r="O70" s="20"/>
      <c r="P70" s="101"/>
      <c r="Q70" s="136"/>
      <c r="R70" s="101"/>
      <c r="S70" s="100"/>
      <c r="T70" s="102"/>
      <c r="U70" s="102"/>
      <c r="V70" s="119"/>
    </row>
    <row r="71" spans="1:22" ht="34.5" customHeight="1">
      <c r="B71" s="128" t="str">
        <f t="shared" si="0"/>
        <v>1-63</v>
      </c>
      <c r="C71" s="100"/>
      <c r="D71" s="42" t="s">
        <v>185</v>
      </c>
      <c r="E71" s="42" t="s">
        <v>210</v>
      </c>
      <c r="F71" s="191" t="s">
        <v>184</v>
      </c>
      <c r="G71" s="192"/>
      <c r="H71" s="101"/>
      <c r="I71" s="20"/>
      <c r="J71" s="101"/>
      <c r="K71" s="101"/>
      <c r="L71" s="20"/>
      <c r="M71" s="101"/>
      <c r="N71" s="101"/>
      <c r="O71" s="20"/>
      <c r="P71" s="101"/>
      <c r="Q71" s="136"/>
      <c r="R71" s="101"/>
      <c r="S71" s="100"/>
      <c r="T71" s="102"/>
      <c r="U71" s="102"/>
      <c r="V71" s="119"/>
    </row>
    <row r="72" spans="1:22">
      <c r="F72" s="99"/>
      <c r="G72" s="99"/>
    </row>
    <row r="73" spans="1:22">
      <c r="F73" s="99"/>
      <c r="G73" s="99"/>
    </row>
    <row r="74" spans="1:22">
      <c r="F74" s="99"/>
      <c r="G74" s="99"/>
    </row>
    <row r="75" spans="1:22">
      <c r="F75" s="99"/>
      <c r="G75" s="99"/>
    </row>
    <row r="76" spans="1:22">
      <c r="F76" s="99"/>
      <c r="G76" s="99"/>
    </row>
  </sheetData>
  <autoFilter ref="B7:U71">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72">
    <mergeCell ref="Q7:Q8"/>
    <mergeCell ref="S7:U7"/>
    <mergeCell ref="R7:R8"/>
    <mergeCell ref="F18:G18"/>
    <mergeCell ref="F35:G35"/>
    <mergeCell ref="F25:G25"/>
    <mergeCell ref="H7:J7"/>
    <mergeCell ref="F14:G14"/>
    <mergeCell ref="K7:M7"/>
    <mergeCell ref="N7:P7"/>
    <mergeCell ref="F28:G28"/>
    <mergeCell ref="F31:G31"/>
    <mergeCell ref="F9:G9"/>
    <mergeCell ref="F32:G32"/>
    <mergeCell ref="F21:G21"/>
    <mergeCell ref="F33:G33"/>
    <mergeCell ref="B7:B8"/>
    <mergeCell ref="C7:C8"/>
    <mergeCell ref="E7:E8"/>
    <mergeCell ref="F7:G8"/>
    <mergeCell ref="F23:G23"/>
    <mergeCell ref="D7:D8"/>
    <mergeCell ref="F10:G10"/>
    <mergeCell ref="F11:G11"/>
    <mergeCell ref="F12:G12"/>
    <mergeCell ref="F13:G13"/>
    <mergeCell ref="F15:G15"/>
    <mergeCell ref="F16:G16"/>
    <mergeCell ref="F17:G17"/>
    <mergeCell ref="F34:G34"/>
    <mergeCell ref="F30:G30"/>
    <mergeCell ref="F19:G19"/>
    <mergeCell ref="F38:G38"/>
    <mergeCell ref="F26:G26"/>
    <mergeCell ref="F22:G22"/>
    <mergeCell ref="F27:G27"/>
    <mergeCell ref="F24:G24"/>
    <mergeCell ref="F20:G20"/>
    <mergeCell ref="F57:G57"/>
    <mergeCell ref="F58:G58"/>
    <mergeCell ref="F55:G55"/>
    <mergeCell ref="F56:G56"/>
    <mergeCell ref="F46:G46"/>
    <mergeCell ref="F44:G44"/>
    <mergeCell ref="F29:G29"/>
    <mergeCell ref="F54:G54"/>
    <mergeCell ref="F48:G48"/>
    <mergeCell ref="F50:G50"/>
    <mergeCell ref="F51:G51"/>
    <mergeCell ref="F52:G52"/>
    <mergeCell ref="F53:G53"/>
    <mergeCell ref="F43:G43"/>
    <mergeCell ref="F45:G45"/>
    <mergeCell ref="F42:G42"/>
    <mergeCell ref="F39:G39"/>
    <mergeCell ref="F37:G37"/>
    <mergeCell ref="F41:G41"/>
    <mergeCell ref="F36:G36"/>
    <mergeCell ref="F40:G40"/>
    <mergeCell ref="F59:G59"/>
    <mergeCell ref="F60:G60"/>
    <mergeCell ref="F61:G61"/>
    <mergeCell ref="F62:G62"/>
    <mergeCell ref="F63:G63"/>
    <mergeCell ref="F64:G64"/>
    <mergeCell ref="F70:G70"/>
    <mergeCell ref="F71:G71"/>
    <mergeCell ref="F65:G65"/>
    <mergeCell ref="F66:G66"/>
    <mergeCell ref="F67:G67"/>
    <mergeCell ref="F68:G68"/>
    <mergeCell ref="F69:G69"/>
  </mergeCells>
  <phoneticPr fontId="28"/>
  <dataValidations count="1">
    <dataValidation type="list" allowBlank="1" showInputMessage="1" showErrorMessage="1" sqref="H9:H71 N9:N71 K9:K71">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zoomScale="91" workbookViewId="0"/>
  </sheetViews>
  <sheetFormatPr defaultColWidth="9" defaultRowHeight="11.25"/>
  <cols>
    <col min="1" max="1" width="5" style="121" customWidth="1"/>
    <col min="2" max="2" width="24" style="121" customWidth="1"/>
    <col min="3" max="3" width="30.5" style="121" customWidth="1"/>
    <col min="4" max="4" width="66.375" style="121" customWidth="1"/>
    <col min="5" max="16384" width="9" style="121"/>
  </cols>
  <sheetData>
    <row r="1" spans="1:6">
      <c r="A1" s="121" t="s">
        <v>97</v>
      </c>
      <c r="C1" s="122"/>
      <c r="D1" s="122"/>
      <c r="E1" s="122"/>
    </row>
    <row r="2" spans="1:6">
      <c r="C2" s="122"/>
      <c r="D2" s="122"/>
      <c r="E2" s="122"/>
    </row>
    <row r="5" spans="1:6" ht="13.5">
      <c r="A5" s="137" t="s">
        <v>216</v>
      </c>
      <c r="C5" s="138"/>
      <c r="D5" s="139"/>
      <c r="E5" s="138"/>
    </row>
    <row r="6" spans="1:6" ht="13.5">
      <c r="B6" s="137" t="s">
        <v>217</v>
      </c>
      <c r="C6" s="140"/>
      <c r="D6" s="141"/>
      <c r="E6" s="140"/>
    </row>
    <row r="7" spans="1:6" ht="13.5">
      <c r="B7" s="142" t="s">
        <v>98</v>
      </c>
      <c r="C7" s="142" t="s">
        <v>99</v>
      </c>
      <c r="D7" s="142" t="s">
        <v>100</v>
      </c>
      <c r="E7" s="143" t="s">
        <v>218</v>
      </c>
    </row>
    <row r="8" spans="1:6" s="144" customFormat="1" ht="13.5">
      <c r="A8" s="129"/>
      <c r="B8" s="130" t="s">
        <v>219</v>
      </c>
      <c r="C8" s="131" t="s">
        <v>220</v>
      </c>
      <c r="D8" s="132"/>
      <c r="E8" s="132"/>
      <c r="F8" s="121"/>
    </row>
    <row r="9" spans="1:6" s="144" customFormat="1" ht="13.5">
      <c r="A9" s="129"/>
      <c r="B9" s="130" t="s">
        <v>221</v>
      </c>
      <c r="C9" s="131" t="s">
        <v>222</v>
      </c>
      <c r="D9" s="132"/>
      <c r="E9" s="132"/>
      <c r="F9" s="121"/>
    </row>
    <row r="10" spans="1:6" s="144" customFormat="1" ht="13.5">
      <c r="A10" s="129"/>
      <c r="B10" s="130" t="s">
        <v>223</v>
      </c>
      <c r="C10" s="131" t="s">
        <v>224</v>
      </c>
      <c r="D10" s="132"/>
      <c r="E10" s="132"/>
      <c r="F10" s="121"/>
    </row>
    <row r="11" spans="1:6" s="144" customFormat="1" ht="13.5">
      <c r="A11" s="129"/>
      <c r="B11" s="130" t="s">
        <v>225</v>
      </c>
      <c r="C11" s="131" t="s">
        <v>226</v>
      </c>
      <c r="D11" s="132"/>
      <c r="E11" s="132"/>
      <c r="F11" s="121"/>
    </row>
    <row r="12" spans="1:6" s="144" customFormat="1" ht="13.5">
      <c r="A12" s="129"/>
      <c r="B12" s="130" t="s">
        <v>227</v>
      </c>
      <c r="C12" s="131" t="s">
        <v>228</v>
      </c>
      <c r="D12" s="132"/>
      <c r="E12" s="132"/>
      <c r="F12" s="121"/>
    </row>
    <row r="13" spans="1:6" s="144" customFormat="1" ht="13.5">
      <c r="A13" s="129"/>
      <c r="B13" s="130" t="s">
        <v>229</v>
      </c>
      <c r="C13" s="131" t="s">
        <v>230</v>
      </c>
      <c r="D13" s="132"/>
      <c r="E13" s="132"/>
      <c r="F13" s="121"/>
    </row>
    <row r="14" spans="1:6" s="144" customFormat="1" ht="13.5">
      <c r="A14" s="129"/>
      <c r="B14" s="130" t="s">
        <v>231</v>
      </c>
      <c r="C14" s="131" t="s">
        <v>232</v>
      </c>
      <c r="D14" s="132"/>
      <c r="E14" s="132"/>
      <c r="F14" s="121"/>
    </row>
    <row r="15" spans="1:6" s="144" customFormat="1" ht="13.5">
      <c r="A15" s="129"/>
      <c r="B15" s="130" t="s">
        <v>233</v>
      </c>
      <c r="C15" s="131" t="s">
        <v>234</v>
      </c>
      <c r="D15" s="132"/>
      <c r="E15" s="132"/>
      <c r="F15" s="121"/>
    </row>
    <row r="16" spans="1:6" s="144" customFormat="1" ht="13.5">
      <c r="A16" s="129"/>
      <c r="B16" s="130" t="s">
        <v>235</v>
      </c>
      <c r="C16" s="131" t="s">
        <v>236</v>
      </c>
      <c r="D16" s="132"/>
      <c r="E16" s="132"/>
      <c r="F16" s="121"/>
    </row>
    <row r="17" spans="1:6" s="144" customFormat="1" ht="13.5">
      <c r="A17" s="129"/>
      <c r="B17" s="131" t="s">
        <v>237</v>
      </c>
      <c r="C17" s="131" t="s">
        <v>201</v>
      </c>
      <c r="D17" s="132"/>
      <c r="E17" s="132"/>
      <c r="F17" s="121"/>
    </row>
    <row r="18" spans="1:6" s="144" customFormat="1" ht="13.5">
      <c r="A18" s="133"/>
      <c r="B18" s="130" t="s">
        <v>238</v>
      </c>
      <c r="C18" s="130" t="s">
        <v>239</v>
      </c>
      <c r="D18" s="134"/>
      <c r="E18" s="132"/>
      <c r="F18" s="121"/>
    </row>
    <row r="19" spans="1:6" s="144" customFormat="1" ht="13.5">
      <c r="A19" s="133"/>
      <c r="B19" s="130" t="s">
        <v>240</v>
      </c>
      <c r="C19" s="130" t="s">
        <v>241</v>
      </c>
      <c r="D19" s="134"/>
      <c r="E19" s="132"/>
      <c r="F19" s="121"/>
    </row>
    <row r="20" spans="1:6" s="144" customFormat="1" ht="13.5">
      <c r="A20" s="133"/>
      <c r="B20" s="130" t="s">
        <v>187</v>
      </c>
      <c r="C20" s="130" t="s">
        <v>242</v>
      </c>
      <c r="D20" s="134"/>
      <c r="E20" s="132"/>
      <c r="F20" s="121"/>
    </row>
    <row r="21" spans="1:6" s="144" customFormat="1" ht="13.5">
      <c r="A21" s="133"/>
      <c r="B21" s="130" t="s">
        <v>231</v>
      </c>
      <c r="C21" s="130" t="s">
        <v>188</v>
      </c>
      <c r="D21" s="134"/>
      <c r="E21" s="132"/>
      <c r="F21" s="121"/>
    </row>
    <row r="22" spans="1:6" s="144" customFormat="1" ht="13.5">
      <c r="A22" s="133"/>
      <c r="B22" s="130" t="s">
        <v>243</v>
      </c>
      <c r="C22" s="130" t="s">
        <v>244</v>
      </c>
      <c r="D22" s="134"/>
      <c r="E22" s="132"/>
      <c r="F22" s="121"/>
    </row>
    <row r="23" spans="1:6" ht="13.5">
      <c r="B23" s="145" t="s">
        <v>245</v>
      </c>
      <c r="C23" s="145" t="s">
        <v>246</v>
      </c>
      <c r="D23" s="146"/>
      <c r="E23" s="132"/>
    </row>
    <row r="24" spans="1:6" ht="13.5">
      <c r="B24" s="145" t="s">
        <v>247</v>
      </c>
      <c r="C24" s="145" t="s">
        <v>248</v>
      </c>
      <c r="D24" s="146"/>
      <c r="E24" s="146"/>
    </row>
    <row r="25" spans="1:6" ht="13.5">
      <c r="B25" s="145" t="s">
        <v>249</v>
      </c>
      <c r="C25" s="145" t="s">
        <v>250</v>
      </c>
      <c r="D25" s="146"/>
      <c r="E25" s="146"/>
    </row>
    <row r="26" spans="1:6" ht="13.5">
      <c r="B26" s="137"/>
      <c r="C26"/>
      <c r="D26"/>
      <c r="E26" s="141"/>
    </row>
    <row r="27" spans="1:6" ht="13.5">
      <c r="B27" s="147" t="s">
        <v>189</v>
      </c>
      <c r="C27"/>
      <c r="D27"/>
      <c r="E27" s="141"/>
    </row>
    <row r="28" spans="1:6" ht="13.5">
      <c r="B28" s="142" t="s">
        <v>98</v>
      </c>
      <c r="C28" s="142" t="s">
        <v>99</v>
      </c>
      <c r="D28" s="142" t="s">
        <v>100</v>
      </c>
      <c r="E28" s="143" t="s">
        <v>251</v>
      </c>
    </row>
    <row r="29" spans="1:6" ht="13.5">
      <c r="B29" s="145" t="s">
        <v>252</v>
      </c>
      <c r="C29" s="145" t="s">
        <v>253</v>
      </c>
      <c r="D29" s="146" t="s">
        <v>190</v>
      </c>
      <c r="E29" s="132"/>
    </row>
    <row r="30" spans="1:6" ht="13.5">
      <c r="B30" s="145" t="s">
        <v>254</v>
      </c>
      <c r="C30" s="145" t="s">
        <v>255</v>
      </c>
      <c r="D30" s="146" t="s">
        <v>256</v>
      </c>
      <c r="E30" s="132"/>
    </row>
    <row r="31" spans="1:6" ht="13.5">
      <c r="B31" s="145" t="s">
        <v>257</v>
      </c>
      <c r="C31" s="145" t="s">
        <v>258</v>
      </c>
      <c r="D31" s="146" t="s">
        <v>259</v>
      </c>
      <c r="E31" s="146"/>
    </row>
    <row r="32" spans="1:6" ht="13.5">
      <c r="B32" s="145" t="s">
        <v>260</v>
      </c>
      <c r="C32" s="145" t="s">
        <v>261</v>
      </c>
      <c r="D32" s="146" t="s">
        <v>191</v>
      </c>
      <c r="E32" s="148"/>
    </row>
    <row r="33" spans="2:5" ht="40.5">
      <c r="B33" s="145" t="s">
        <v>262</v>
      </c>
      <c r="C33" s="145" t="s">
        <v>263</v>
      </c>
      <c r="D33" s="135" t="s">
        <v>264</v>
      </c>
      <c r="E33" s="148"/>
    </row>
    <row r="34" spans="2:5" ht="40.5">
      <c r="B34" s="145" t="s">
        <v>265</v>
      </c>
      <c r="C34" s="145" t="s">
        <v>266</v>
      </c>
      <c r="D34" s="135" t="s">
        <v>267</v>
      </c>
      <c r="E34" s="132"/>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11" t="s">
        <v>4</v>
      </c>
      <c r="C6" s="208" t="s">
        <v>30</v>
      </c>
      <c r="D6" s="208" t="s">
        <v>56</v>
      </c>
      <c r="E6" s="57"/>
      <c r="F6" s="212" t="s">
        <v>7</v>
      </c>
      <c r="G6" s="213"/>
      <c r="H6" s="207" t="s">
        <v>12</v>
      </c>
      <c r="I6" s="207"/>
      <c r="J6" s="207"/>
      <c r="K6" s="206" t="s">
        <v>14</v>
      </c>
      <c r="L6" s="206"/>
      <c r="M6" s="206"/>
      <c r="N6" s="214"/>
      <c r="O6" s="214"/>
      <c r="P6" s="214"/>
    </row>
    <row r="7" spans="1:17">
      <c r="B7" s="197"/>
      <c r="C7" s="199"/>
      <c r="D7" s="199"/>
      <c r="E7" s="58"/>
      <c r="F7" s="204"/>
      <c r="G7" s="205"/>
      <c r="H7" s="45" t="s">
        <v>8</v>
      </c>
      <c r="I7" s="45" t="s">
        <v>9</v>
      </c>
      <c r="J7" s="45" t="s">
        <v>10</v>
      </c>
      <c r="K7" s="30"/>
      <c r="L7" s="32"/>
      <c r="M7" s="33"/>
      <c r="N7" s="44"/>
      <c r="O7" s="44"/>
      <c r="P7" s="44"/>
      <c r="Q7" s="3" t="s">
        <v>23</v>
      </c>
    </row>
    <row r="8" spans="1:17">
      <c r="B8" s="38" t="s">
        <v>15</v>
      </c>
      <c r="C8" s="29" t="s">
        <v>31</v>
      </c>
      <c r="D8" s="28" t="s">
        <v>33</v>
      </c>
      <c r="E8" s="39"/>
      <c r="F8" s="189" t="s">
        <v>28</v>
      </c>
      <c r="G8" s="190"/>
      <c r="H8" s="53"/>
      <c r="I8" s="54"/>
      <c r="J8" s="53"/>
      <c r="K8" s="39"/>
      <c r="L8" s="34"/>
      <c r="M8" s="35"/>
      <c r="N8" s="44"/>
      <c r="O8" s="44"/>
      <c r="P8" s="44"/>
      <c r="Q8" s="3" t="s">
        <v>24</v>
      </c>
    </row>
    <row r="9" spans="1:17">
      <c r="B9" s="16"/>
      <c r="C9" s="40"/>
      <c r="D9" s="29" t="s">
        <v>33</v>
      </c>
      <c r="E9" s="49"/>
      <c r="F9" s="215" t="s">
        <v>29</v>
      </c>
      <c r="G9" s="216"/>
      <c r="H9" s="47"/>
      <c r="I9" s="48"/>
      <c r="J9" s="47"/>
      <c r="K9" s="49"/>
      <c r="L9" s="55"/>
      <c r="M9" s="56"/>
      <c r="N9" s="44"/>
      <c r="O9" s="44"/>
      <c r="P9" s="44"/>
      <c r="Q9" s="3" t="s">
        <v>25</v>
      </c>
    </row>
    <row r="10" spans="1:17" s="15" customFormat="1">
      <c r="B10" s="38" t="s">
        <v>16</v>
      </c>
      <c r="C10" s="46" t="s">
        <v>32</v>
      </c>
      <c r="D10" s="18" t="s">
        <v>35</v>
      </c>
      <c r="E10" s="59"/>
      <c r="F10" s="189" t="s">
        <v>36</v>
      </c>
      <c r="G10" s="195"/>
      <c r="H10" s="53"/>
      <c r="I10" s="54"/>
      <c r="J10" s="53"/>
      <c r="K10" s="31"/>
      <c r="L10" s="36"/>
      <c r="M10" s="37"/>
      <c r="N10" s="1"/>
      <c r="O10" s="1"/>
      <c r="P10" s="1"/>
      <c r="Q10" s="3" t="s">
        <v>26</v>
      </c>
    </row>
    <row r="11" spans="1:17" s="15" customFormat="1">
      <c r="B11" s="16"/>
      <c r="C11" s="17"/>
      <c r="D11" s="18" t="s">
        <v>37</v>
      </c>
      <c r="E11" s="59"/>
      <c r="F11" s="189" t="s">
        <v>38</v>
      </c>
      <c r="G11" s="195"/>
      <c r="H11" s="19"/>
      <c r="I11" s="20"/>
      <c r="J11" s="19"/>
      <c r="K11" s="31"/>
      <c r="L11" s="36"/>
      <c r="M11" s="37"/>
      <c r="N11" s="1"/>
      <c r="O11" s="1"/>
      <c r="P11" s="1"/>
      <c r="Q11" s="3" t="s">
        <v>27</v>
      </c>
    </row>
    <row r="12" spans="1:17" s="15" customFormat="1" ht="27" customHeight="1">
      <c r="B12" s="16"/>
      <c r="C12" s="17"/>
      <c r="D12" s="18" t="s">
        <v>39</v>
      </c>
      <c r="E12" s="59"/>
      <c r="F12" s="189" t="s">
        <v>40</v>
      </c>
      <c r="G12" s="190"/>
      <c r="H12" s="19"/>
      <c r="I12" s="20"/>
      <c r="J12" s="19"/>
      <c r="K12" s="31"/>
      <c r="L12" s="36"/>
      <c r="M12" s="37"/>
      <c r="N12" s="1"/>
      <c r="O12" s="1"/>
      <c r="P12" s="1"/>
      <c r="Q12" s="15" t="s">
        <v>61</v>
      </c>
    </row>
    <row r="13" spans="1:17" s="15" customFormat="1" ht="27" customHeight="1">
      <c r="B13" s="16"/>
      <c r="C13" s="17"/>
      <c r="D13" s="18" t="s">
        <v>41</v>
      </c>
      <c r="E13" s="59"/>
      <c r="F13" s="189" t="s">
        <v>44</v>
      </c>
      <c r="G13" s="190"/>
      <c r="H13" s="19"/>
      <c r="I13" s="20"/>
      <c r="J13" s="19"/>
      <c r="K13" s="39"/>
      <c r="L13" s="36"/>
      <c r="M13" s="37"/>
      <c r="N13" s="1"/>
      <c r="O13" s="1"/>
      <c r="P13" s="1"/>
    </row>
    <row r="14" spans="1:17" s="15" customFormat="1" ht="27" customHeight="1">
      <c r="B14" s="21"/>
      <c r="C14" s="22"/>
      <c r="D14" s="18" t="s">
        <v>42</v>
      </c>
      <c r="E14" s="59"/>
      <c r="F14" s="189" t="s">
        <v>43</v>
      </c>
      <c r="G14" s="190"/>
      <c r="H14" s="19"/>
      <c r="I14" s="20"/>
      <c r="J14" s="19"/>
      <c r="K14" s="31"/>
      <c r="L14" s="36"/>
      <c r="M14" s="37"/>
      <c r="N14" s="1"/>
      <c r="O14" s="1"/>
      <c r="P14" s="1"/>
    </row>
    <row r="15" spans="1:17" s="15" customFormat="1" ht="27" customHeight="1">
      <c r="B15" s="41" t="s">
        <v>18</v>
      </c>
      <c r="C15" s="18" t="s">
        <v>45</v>
      </c>
      <c r="D15" s="18" t="s">
        <v>46</v>
      </c>
      <c r="E15" s="59"/>
      <c r="F15" s="189" t="s">
        <v>47</v>
      </c>
      <c r="G15" s="195"/>
      <c r="H15" s="53"/>
      <c r="I15" s="54"/>
      <c r="J15" s="53"/>
      <c r="K15" s="31"/>
      <c r="L15" s="36"/>
      <c r="M15" s="37"/>
      <c r="N15" s="1"/>
      <c r="O15" s="1"/>
      <c r="P15" s="1"/>
    </row>
    <row r="16" spans="1:17" s="15" customFormat="1" ht="27" customHeight="1">
      <c r="B16" s="41" t="s">
        <v>19</v>
      </c>
      <c r="C16" s="18" t="s">
        <v>48</v>
      </c>
      <c r="D16" s="18" t="s">
        <v>49</v>
      </c>
      <c r="E16" s="59"/>
      <c r="F16" s="189" t="s">
        <v>50</v>
      </c>
      <c r="G16" s="195"/>
      <c r="H16" s="54"/>
      <c r="I16" s="54"/>
      <c r="J16" s="53"/>
      <c r="K16" s="31"/>
      <c r="L16" s="36"/>
      <c r="M16" s="37"/>
      <c r="N16" s="1"/>
      <c r="O16" s="1"/>
      <c r="P16" s="1"/>
    </row>
    <row r="17" spans="2:16" s="15" customFormat="1" ht="27" customHeight="1">
      <c r="B17" s="21" t="s">
        <v>20</v>
      </c>
      <c r="C17" s="18" t="s">
        <v>51</v>
      </c>
      <c r="D17" s="18" t="s">
        <v>52</v>
      </c>
      <c r="E17" s="60"/>
      <c r="F17" s="209" t="s">
        <v>53</v>
      </c>
      <c r="G17" s="210"/>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11" t="s">
        <v>4</v>
      </c>
      <c r="C22" s="208" t="s">
        <v>30</v>
      </c>
      <c r="D22" s="208" t="s">
        <v>34</v>
      </c>
      <c r="E22" s="208" t="s">
        <v>58</v>
      </c>
      <c r="F22" s="212" t="s">
        <v>7</v>
      </c>
      <c r="G22" s="213"/>
      <c r="H22" s="207" t="s">
        <v>12</v>
      </c>
      <c r="I22" s="207"/>
      <c r="J22" s="207"/>
      <c r="K22" s="206" t="s">
        <v>14</v>
      </c>
      <c r="L22" s="206"/>
      <c r="M22" s="206"/>
    </row>
    <row r="23" spans="2:16">
      <c r="B23" s="197"/>
      <c r="C23" s="199"/>
      <c r="D23" s="199"/>
      <c r="E23" s="199"/>
      <c r="F23" s="204"/>
      <c r="G23" s="205"/>
      <c r="H23" s="45" t="s">
        <v>8</v>
      </c>
      <c r="I23" s="45" t="s">
        <v>9</v>
      </c>
      <c r="J23" s="45" t="s">
        <v>10</v>
      </c>
      <c r="K23" s="30"/>
      <c r="L23" s="32"/>
      <c r="M23" s="33"/>
    </row>
    <row r="24" spans="2:16" ht="40.5">
      <c r="B24" s="38" t="s">
        <v>15</v>
      </c>
      <c r="C24" s="29" t="s">
        <v>55</v>
      </c>
      <c r="D24" s="42" t="s">
        <v>57</v>
      </c>
      <c r="E24" s="43" t="s">
        <v>59</v>
      </c>
      <c r="F24" s="189" t="s">
        <v>60</v>
      </c>
      <c r="G24" s="190"/>
      <c r="H24" s="53"/>
      <c r="I24" s="54"/>
      <c r="J24" s="53"/>
      <c r="K24" s="39"/>
      <c r="L24" s="34"/>
      <c r="M24" s="35"/>
    </row>
    <row r="25" spans="2:16">
      <c r="B25" s="41" t="s">
        <v>16</v>
      </c>
      <c r="C25" s="18"/>
      <c r="D25" s="18"/>
      <c r="E25" s="59"/>
      <c r="F25" s="189"/>
      <c r="G25" s="195"/>
      <c r="H25" s="53"/>
      <c r="I25" s="54"/>
      <c r="J25" s="53"/>
      <c r="K25" s="31"/>
      <c r="L25" s="36"/>
      <c r="M25" s="37"/>
    </row>
    <row r="26" spans="2:16">
      <c r="B26" s="41"/>
      <c r="C26" s="18"/>
      <c r="D26" s="18"/>
      <c r="E26" s="59"/>
      <c r="F26" s="189"/>
      <c r="G26" s="195"/>
      <c r="H26" s="19"/>
      <c r="I26" s="20"/>
      <c r="J26" s="19"/>
      <c r="K26" s="31"/>
      <c r="L26" s="36"/>
      <c r="M26" s="37"/>
    </row>
    <row r="27" spans="2:16">
      <c r="B27" s="41"/>
      <c r="C27" s="18"/>
      <c r="D27" s="18"/>
      <c r="E27" s="59"/>
      <c r="F27" s="189"/>
      <c r="G27" s="190"/>
      <c r="H27" s="19"/>
      <c r="I27" s="20"/>
      <c r="J27" s="19"/>
      <c r="K27" s="31"/>
      <c r="L27" s="36"/>
      <c r="M27" s="37"/>
    </row>
    <row r="28" spans="2:16">
      <c r="B28" s="41"/>
      <c r="C28" s="18"/>
      <c r="D28" s="18"/>
      <c r="E28" s="59"/>
      <c r="F28" s="189"/>
      <c r="G28" s="190"/>
      <c r="H28" s="19"/>
      <c r="I28" s="20"/>
      <c r="J28" s="19"/>
      <c r="K28" s="39"/>
      <c r="L28" s="36"/>
      <c r="M28" s="37"/>
    </row>
    <row r="29" spans="2:16">
      <c r="B29" s="41"/>
      <c r="C29" s="18"/>
      <c r="D29" s="18"/>
      <c r="E29" s="59"/>
      <c r="F29" s="189"/>
      <c r="G29" s="190"/>
      <c r="H29" s="19"/>
      <c r="I29" s="20"/>
      <c r="J29" s="19"/>
      <c r="K29" s="31"/>
      <c r="L29" s="36"/>
      <c r="M29" s="37"/>
    </row>
    <row r="30" spans="2:16">
      <c r="B30" s="41" t="s">
        <v>18</v>
      </c>
      <c r="C30" s="18"/>
      <c r="D30" s="18"/>
      <c r="E30" s="59"/>
      <c r="F30" s="189"/>
      <c r="G30" s="195"/>
      <c r="H30" s="53"/>
      <c r="I30" s="54"/>
      <c r="J30" s="53"/>
      <c r="K30" s="31"/>
      <c r="L30" s="36"/>
      <c r="M30" s="37"/>
    </row>
    <row r="31" spans="2:16">
      <c r="B31" s="41" t="s">
        <v>19</v>
      </c>
      <c r="C31" s="18"/>
      <c r="D31" s="18"/>
      <c r="E31" s="59"/>
      <c r="F31" s="189"/>
      <c r="G31" s="195"/>
      <c r="H31" s="54"/>
      <c r="I31" s="54"/>
      <c r="J31" s="53"/>
      <c r="K31" s="31"/>
      <c r="L31" s="36"/>
      <c r="M31" s="37"/>
    </row>
    <row r="32" spans="2:16">
      <c r="B32" s="21" t="s">
        <v>20</v>
      </c>
      <c r="C32" s="18"/>
      <c r="D32" s="18"/>
      <c r="E32" s="60"/>
      <c r="F32" s="209"/>
      <c r="G32" s="210"/>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2019-01-09T07:13:52Z</dcterms:modified>
</cp:coreProperties>
</file>