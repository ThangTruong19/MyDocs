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845" windowHeight="7845" tabRatio="920"/>
  </bookViews>
  <sheets>
    <sheet name="表紙" sheetId="15" r:id="rId1"/>
    <sheet name="変更履歴" sheetId="16" r:id="rId2"/>
    <sheet name="テスト項目" sheetId="19" r:id="rId3"/>
    <sheet name="画面項目マトリックス" sheetId="24" r:id="rId4"/>
    <sheet name="ヘッダ項目クリック_マトリクス" sheetId="27" r:id="rId5"/>
    <sheet name="ヘッダ項目マトリクス" sheetId="26" r:id="rId6"/>
    <sheet name="リクエストパラメータチェックシート" sheetId="21" r:id="rId7"/>
    <sheet name="IT、ST（案）テスト項目" sheetId="14" state="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7"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7" hidden="1">[2]FEM92SIM!#REF!</definedName>
    <definedName name="_Fill" localSheetId="3" hidden="1">[2]FEM92SIM!#REF!</definedName>
    <definedName name="_Fill" hidden="1">[2]FEM92SIM!#REF!</definedName>
    <definedName name="_xlnm._FilterDatabase" localSheetId="7" hidden="1">'IT、ST（案）テスト項目'!#REF!</definedName>
    <definedName name="_xlnm._FilterDatabase" localSheetId="2" hidden="1">テスト項目!$B$7:$U$425</definedName>
    <definedName name="_Key1" localSheetId="7" hidden="1">#REF!</definedName>
    <definedName name="_Key1" localSheetId="2" hidden="1">#REF!</definedName>
    <definedName name="_Key1" localSheetId="3" hidden="1">#REF!</definedName>
    <definedName name="_Key1" hidden="1">#REF!</definedName>
    <definedName name="_Order1" hidden="1">0</definedName>
    <definedName name="_Order2" hidden="1">0</definedName>
    <definedName name="_Sort" localSheetId="7" hidden="1">#REF!</definedName>
    <definedName name="_Sort" localSheetId="2" hidden="1">#REF!</definedName>
    <definedName name="_Sort" localSheetId="3" hidden="1">#REF!</definedName>
    <definedName name="_Sort" hidden="1">#REF!</definedName>
    <definedName name="_Table1_In1" localSheetId="7" hidden="1">#REF!</definedName>
    <definedName name="_Table1_In1" localSheetId="2" hidden="1">#REF!</definedName>
    <definedName name="_Table1_In1" localSheetId="3" hidden="1">#REF!</definedName>
    <definedName name="_Table1_In1" hidden="1">#REF!</definedName>
    <definedName name="_Table1_Out" localSheetId="7" hidden="1">#REF!</definedName>
    <definedName name="_Table1_Out" localSheetId="2" hidden="1">#REF!</definedName>
    <definedName name="_Table1_Out" localSheetId="3" hidden="1">#REF!</definedName>
    <definedName name="_Table1_Out" hidden="1">#REF!</definedName>
    <definedName name="_ZA1" localSheetId="7">#REF!</definedName>
    <definedName name="_ZA1" localSheetId="3">#REF!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7">[3]ﾃﾞｰﾀﾍﾞｰｽ変更点!#REF!</definedName>
    <definedName name="A_ACT_DATA" localSheetId="3">[3]ﾃﾞｰﾀﾍﾞｰｽ変更点!#REF!</definedName>
    <definedName name="A_ACT_DATA">[3]ﾃﾞｰﾀﾍﾞｰｽ変更点!#REF!</definedName>
    <definedName name="A_ACTUAL_OPERATION" localSheetId="7">[4]TableDesign!#REF!</definedName>
    <definedName name="A_ACTUAL_OPERATION" localSheetId="3">[4]TableDesign!#REF!</definedName>
    <definedName name="A_ACTUAL_OPERATION">[4]TableDesign!#REF!</definedName>
    <definedName name="A_AREA" localSheetId="7">[3]ﾃﾞｰﾀﾍﾞｰｽ変更点!#REF!</definedName>
    <definedName name="A_AREA" localSheetId="3">[3]ﾃﾞｰﾀﾍﾞｰｽ変更点!#REF!</definedName>
    <definedName name="A_AREA">[3]ﾃﾞｰﾀﾍﾞｰｽ変更点!#REF!</definedName>
    <definedName name="A_AREA_DEFINE" localSheetId="7">[3]ﾃﾞｰﾀﾍﾞｰｽ変更点!#REF!</definedName>
    <definedName name="A_AREA_DEFINE" localSheetId="3">[3]ﾃﾞｰﾀﾍﾞｰｽ変更点!#REF!</definedName>
    <definedName name="A_AREA_DEFINE">[3]ﾃﾞｰﾀﾍﾞｰｽ変更点!#REF!</definedName>
    <definedName name="A_AREA_INIT" localSheetId="7">[3]ﾃﾞｰﾀﾍﾞｰｽ変更点!#REF!</definedName>
    <definedName name="A_AREA_INIT" localSheetId="3">[3]ﾃﾞｰﾀﾍﾞｰｽ変更点!#REF!</definedName>
    <definedName name="A_AREA_INIT">[3]ﾃﾞｰﾀﾍﾞｰｽ変更点!#REF!</definedName>
    <definedName name="A_AREA_MASTER" localSheetId="7">[3]ﾃﾞｰﾀﾍﾞｰｽ変更点!#REF!</definedName>
    <definedName name="A_AREA_MASTER" localSheetId="3">[3]ﾃﾞｰﾀﾍﾞｰｽ変更点!#REF!</definedName>
    <definedName name="A_AREA_MASTER">[3]ﾃﾞｰﾀﾍﾞｰｽ変更点!#REF!</definedName>
    <definedName name="A_ASK" localSheetId="7">[3]ﾃﾞｰﾀﾍﾞｰｽ変更点!#REF!</definedName>
    <definedName name="A_ASK" localSheetId="3">[3]ﾃﾞｰﾀﾍﾞｰｽ変更点!#REF!</definedName>
    <definedName name="A_ASK">[3]ﾃﾞｰﾀﾍﾞｰｽ変更点!#REF!</definedName>
    <definedName name="A_ASK_LOG" localSheetId="7">[5]テーブル設計!#REF!</definedName>
    <definedName name="A_ASK_LOG" localSheetId="3">[5]テーブル設計!#REF!</definedName>
    <definedName name="A_ASK_LOG">[5]テーブル設計!#REF!</definedName>
    <definedName name="A_ASK_SYSTEM" localSheetId="7">[3]ﾃﾞｰﾀﾍﾞｰｽ変更点!#REF!</definedName>
    <definedName name="A_ASK_SYSTEM" localSheetId="3">[3]ﾃﾞｰﾀﾍﾞｰｽ変更点!#REF!</definedName>
    <definedName name="A_ASK_SYSTEM">[3]ﾃﾞｰﾀﾍﾞｰｽ変更点!#REF!</definedName>
    <definedName name="A_ATC_ERROR" localSheetId="7">[5]テーブル設計!#REF!</definedName>
    <definedName name="A_ATC_ERROR" localSheetId="3">[5]テーブル設計!#REF!</definedName>
    <definedName name="A_ATC_ERROR">[5]テーブル設計!#REF!</definedName>
    <definedName name="A_AUTHORITY_GROUP" localSheetId="7">[3]ﾃﾞｰﾀﾍﾞｰｽ変更点!#REF!</definedName>
    <definedName name="A_AUTHORITY_GROUP" localSheetId="3">[3]ﾃﾞｰﾀﾍﾞｰｽ変更点!#REF!</definedName>
    <definedName name="A_AUTHORITY_GROUP">[3]ﾃﾞｰﾀﾍﾞｰｽ変更点!#REF!</definedName>
    <definedName name="A_AUTHORITY_GROUP_DATA" localSheetId="7">[3]ﾃﾞｰﾀﾍﾞｰｽ変更点!#REF!</definedName>
    <definedName name="A_AUTHORITY_GROUP_DATA" localSheetId="3">[3]ﾃﾞｰﾀﾍﾞｰｽ変更点!#REF!</definedName>
    <definedName name="A_AUTHORITY_GROUP_DATA">[3]ﾃﾞｰﾀﾍﾞｰｽ変更点!#REF!</definedName>
    <definedName name="A_AUTHORITY_MASTER" localSheetId="7">[5]テーブル設計!#REF!</definedName>
    <definedName name="A_AUTHORITY_MASTER" localSheetId="3">[5]テーブル設計!#REF!</definedName>
    <definedName name="A_AUTHORITY_MASTER">[5]テーブル設計!#REF!</definedName>
    <definedName name="A_BONDED_STORE" localSheetId="7">[5]テーブル設計!#REF!</definedName>
    <definedName name="A_BONDED_STORE" localSheetId="3">[5]テーブル設計!#REF!</definedName>
    <definedName name="A_BONDED_STORE">[5]テーブル設計!#REF!</definedName>
    <definedName name="A_CAR_DATA" localSheetId="7">[3]ﾃﾞｰﾀﾍﾞｰｽ変更点!#REF!</definedName>
    <definedName name="A_CAR_DATA" localSheetId="3">[3]ﾃﾞｰﾀﾍﾞｰｽ変更点!#REF!</definedName>
    <definedName name="A_CAR_DATA">[3]ﾃﾞｰﾀﾍﾞｰｽ変更点!#REF!</definedName>
    <definedName name="A_CAR_MASTER" localSheetId="7">[3]ﾃﾞｰﾀﾍﾞｰｽ変更点!#REF!</definedName>
    <definedName name="A_CAR_MASTER" localSheetId="3">[3]ﾃﾞｰﾀﾍﾞｰｽ変更点!#REF!</definedName>
    <definedName name="A_CAR_MASTER">[3]ﾃﾞｰﾀﾍﾞｰｽ変更点!#REF!</definedName>
    <definedName name="A_CAR_MONTHLY_DATA" localSheetId="7">[3]ﾃﾞｰﾀﾍﾞｰｽ変更点!#REF!</definedName>
    <definedName name="A_CAR_MONTHLY_DATA" localSheetId="3">[3]ﾃﾞｰﾀﾍﾞｰｽ変更点!#REF!</definedName>
    <definedName name="A_CAR_MONTHLY_DATA">[3]ﾃﾞｰﾀﾍﾞｰｽ変更点!#REF!</definedName>
    <definedName name="A_CAR_OWNER_HISTORY" localSheetId="7">[3]ﾃﾞｰﾀﾍﾞｰｽ変更点!#REF!</definedName>
    <definedName name="A_CAR_OWNER_HISTORY" localSheetId="3">[3]ﾃﾞｰﾀﾍﾞｰｽ変更点!#REF!</definedName>
    <definedName name="A_CAR_OWNER_HISTORY">[3]ﾃﾞｰﾀﾍﾞｰｽ変更点!#REF!</definedName>
    <definedName name="A_CAUTION" localSheetId="7">[4]TableDesign!#REF!</definedName>
    <definedName name="A_CAUTION" localSheetId="3">[4]TableDesign!#REF!</definedName>
    <definedName name="A_CAUTION">[4]TableDesign!#REF!</definedName>
    <definedName name="A_CAUTION_DATA" localSheetId="7">[3]ﾃﾞｰﾀﾍﾞｰｽ変更点!#REF!</definedName>
    <definedName name="A_CAUTION_DATA" localSheetId="3">[3]ﾃﾞｰﾀﾍﾞｰｽ変更点!#REF!</definedName>
    <definedName name="A_CAUTION_DATA">[3]ﾃﾞｰﾀﾍﾞｰｽ変更点!#REF!</definedName>
    <definedName name="A_CAUTION_ENABLED" localSheetId="7">[3]ﾃﾞｰﾀﾍﾞｰｽ変更点!#REF!</definedName>
    <definedName name="A_CAUTION_ENABLED" localSheetId="3">[3]ﾃﾞｰﾀﾍﾞｰｽ変更点!#REF!</definedName>
    <definedName name="A_CAUTION_ENABLED">[3]ﾃﾞｰﾀﾍﾞｰｽ変更点!#REF!</definedName>
    <definedName name="A_CAUTION_ICON" localSheetId="7">[3]ﾃﾞｰﾀﾍﾞｰｽ変更点!#REF!</definedName>
    <definedName name="A_CAUTION_ICON" localSheetId="3">[3]ﾃﾞｰﾀﾍﾞｰｽ変更点!#REF!</definedName>
    <definedName name="A_CAUTION_ICON">[3]ﾃﾞｰﾀﾍﾞｰｽ変更点!#REF!</definedName>
    <definedName name="A_CAUTION_INIT" localSheetId="7">[3]ﾃﾞｰﾀﾍﾞｰｽ変更点!#REF!</definedName>
    <definedName name="A_CAUTION_INIT" localSheetId="3">[3]ﾃﾞｰﾀﾍﾞｰｽ変更点!#REF!</definedName>
    <definedName name="A_CAUTION_INIT">[3]ﾃﾞｰﾀﾍﾞｰｽ変更点!#REF!</definedName>
    <definedName name="A_CAUTION_MASTER" localSheetId="7">[3]ﾃﾞｰﾀﾍﾞｰｽ変更点!#REF!</definedName>
    <definedName name="A_CAUTION_MASTER" localSheetId="3">[3]ﾃﾞｰﾀﾍﾞｰｽ変更点!#REF!</definedName>
    <definedName name="A_CAUTION_MASTER">[3]ﾃﾞｰﾀﾍﾞｰｽ変更点!#REF!</definedName>
    <definedName name="A_CLASS1_MASTER" localSheetId="7">[3]ﾃﾞｰﾀﾍﾞｰｽ変更点!#REF!</definedName>
    <definedName name="A_CLASS1_MASTER" localSheetId="3">[3]ﾃﾞｰﾀﾍﾞｰｽ変更点!#REF!</definedName>
    <definedName name="A_CLASS1_MASTER">[3]ﾃﾞｰﾀﾍﾞｰｽ変更点!#REF!</definedName>
    <definedName name="A_CLASS2_MASTER" localSheetId="7">[3]ﾃﾞｰﾀﾍﾞｰｽ変更点!#REF!</definedName>
    <definedName name="A_CLASS2_MASTER" localSheetId="3">[3]ﾃﾞｰﾀﾍﾞｰｽ変更点!#REF!</definedName>
    <definedName name="A_CLASS2_MASTER">[3]ﾃﾞｰﾀﾍﾞｰｽ変更点!#REF!</definedName>
    <definedName name="A_COMM_DATA" localSheetId="7">[3]ﾃﾞｰﾀﾍﾞｰｽ変更点!#REF!</definedName>
    <definedName name="A_COMM_DATA" localSheetId="3">[3]ﾃﾞｰﾀﾍﾞｰｽ変更点!#REF!</definedName>
    <definedName name="A_COMM_DATA">[3]ﾃﾞｰﾀﾍﾞｰｽ変更点!#REF!</definedName>
    <definedName name="A_COMM_STATUS_MASTER" localSheetId="7">[3]ﾃﾞｰﾀﾍﾞｰｽ変更点!#REF!</definedName>
    <definedName name="A_COMM_STATUS_MASTER" localSheetId="3">[3]ﾃﾞｰﾀﾍﾞｰｽ変更点!#REF!</definedName>
    <definedName name="A_COMM_STATUS_MASTER">[3]ﾃﾞｰﾀﾍﾞｰｽ変更点!#REF!</definedName>
    <definedName name="A_CONFIG_DEFINE" localSheetId="7">[3]ﾃﾞｰﾀﾍﾞｰｽ変更点!#REF!</definedName>
    <definedName name="A_CONFIG_DEFINE" localSheetId="3">[3]ﾃﾞｰﾀﾍﾞｰｽ変更点!#REF!</definedName>
    <definedName name="A_CONFIG_DEFINE">[3]ﾃﾞｰﾀﾍﾞｰｽ変更点!#REF!</definedName>
    <definedName name="A_CONFIG_FLAG" localSheetId="7">[5]テーブル設計!#REF!</definedName>
    <definedName name="A_CONFIG_FLAG" localSheetId="3">[5]テーブル設計!#REF!</definedName>
    <definedName name="A_CONFIG_FLAG">[5]テーブル設計!#REF!</definedName>
    <definedName name="A_CONFIG_INIT" localSheetId="7">[3]ﾃﾞｰﾀﾍﾞｰｽ変更点!#REF!</definedName>
    <definedName name="A_CONFIG_INIT" localSheetId="3">[3]ﾃﾞｰﾀﾍﾞｰｽ変更点!#REF!</definedName>
    <definedName name="A_CONFIG_INIT">[3]ﾃﾞｰﾀﾍﾞｰｽ変更点!#REF!</definedName>
    <definedName name="A_CONFIG_PATTERN" localSheetId="7">[3]ﾃﾞｰﾀﾍﾞｰｽ変更点!#REF!</definedName>
    <definedName name="A_CONFIG_PATTERN" localSheetId="3">[3]ﾃﾞｰﾀﾍﾞｰｽ変更点!#REF!</definedName>
    <definedName name="A_CONFIG_PATTERN">[3]ﾃﾞｰﾀﾍﾞｰｽ変更点!#REF!</definedName>
    <definedName name="A_CONFIG_PATTERN_DATA" localSheetId="7">[3]ﾃﾞｰﾀﾍﾞｰｽ変更点!#REF!</definedName>
    <definedName name="A_CONFIG_PATTERN_DATA" localSheetId="3">[3]ﾃﾞｰﾀﾍﾞｰｽ変更点!#REF!</definedName>
    <definedName name="A_CONFIG_PATTERN_DATA">[3]ﾃﾞｰﾀﾍﾞｰｽ変更点!#REF!</definedName>
    <definedName name="A_CONFIG_USER_FLAG" localSheetId="7">[5]テーブル設計!#REF!</definedName>
    <definedName name="A_CONFIG_USER_FLAG" localSheetId="3">[5]テーブル設計!#REF!</definedName>
    <definedName name="A_CONFIG_USER_FLAG">[5]テーブル設計!#REF!</definedName>
    <definedName name="A_CONTRACT" localSheetId="7">[5]テーブル設計!#REF!</definedName>
    <definedName name="A_CONTRACT" localSheetId="3">[5]テーブル設計!#REF!</definedName>
    <definedName name="A_CONTRACT">[5]テーブル設計!#REF!</definedName>
    <definedName name="A_CUSTOMER" localSheetId="7">[3]ﾃﾞｰﾀﾍﾞｰｽ変更点!#REF!</definedName>
    <definedName name="A_CUSTOMER" localSheetId="3">[3]ﾃﾞｰﾀﾍﾞｰｽ変更点!#REF!</definedName>
    <definedName name="A_CUSTOMER">[3]ﾃﾞｰﾀﾍﾞｰｽ変更点!#REF!</definedName>
    <definedName name="A_CUSTOMER_CAR" localSheetId="7">[3]ﾃﾞｰﾀﾍﾞｰｽ変更点!#REF!</definedName>
    <definedName name="A_CUSTOMER_CAR" localSheetId="3">[3]ﾃﾞｰﾀﾍﾞｰｽ変更点!#REF!</definedName>
    <definedName name="A_CUSTOMER_CAR">[3]ﾃﾞｰﾀﾍﾞｰｽ変更点!#REF!</definedName>
    <definedName name="A_CUSTOMER_MASTER" localSheetId="7">[4]TableDesign!#REF!</definedName>
    <definedName name="A_CUSTOMER_MASTER" localSheetId="3">[4]TableDesign!#REF!</definedName>
    <definedName name="A_CUSTOMER_MASTER">[4]TableDesign!#REF!</definedName>
    <definedName name="A_DIVISION_MASTER" localSheetId="7">[3]ﾃﾞｰﾀﾍﾞｰｽ変更点!#REF!</definedName>
    <definedName name="A_DIVISION_MASTER" localSheetId="3">[3]ﾃﾞｰﾀﾍﾞｰｽ変更点!#REF!</definedName>
    <definedName name="A_DIVISION_MASTER">[3]ﾃﾞｰﾀﾍﾞｰｽ変更点!#REF!</definedName>
    <definedName name="A_DOPA" localSheetId="7">[3]ﾃﾞｰﾀﾍﾞｰｽ変更点!#REF!</definedName>
    <definedName name="A_DOPA" localSheetId="3">[3]ﾃﾞｰﾀﾍﾞｰｽ変更点!#REF!</definedName>
    <definedName name="A_DOPA">[3]ﾃﾞｰﾀﾍﾞｰｽ変更点!#REF!</definedName>
    <definedName name="A_DOPA_OWNER_HISTORY" localSheetId="7">[3]ﾃﾞｰﾀﾍﾞｰｽ変更点!#REF!</definedName>
    <definedName name="A_DOPA_OWNER_HISTORY" localSheetId="3">[3]ﾃﾞｰﾀﾍﾞｰｽ変更点!#REF!</definedName>
    <definedName name="A_DOPA_OWNER_HISTORY">[3]ﾃﾞｰﾀﾍﾞｰｽ変更点!#REF!</definedName>
    <definedName name="A_DOPA_SERVER" localSheetId="7">[3]ﾃﾞｰﾀﾍﾞｰｽ変更点!#REF!</definedName>
    <definedName name="A_DOPA_SERVER" localSheetId="3">[3]ﾃﾞｰﾀﾍﾞｰｽ変更点!#REF!</definedName>
    <definedName name="A_DOPA_SERVER">[3]ﾃﾞｰﾀﾍﾞｰｽ変更点!#REF!</definedName>
    <definedName name="A_EQUIPMENT_HISTORY" localSheetId="7">[3]ﾃﾞｰﾀﾍﾞｰｽ変更点!#REF!</definedName>
    <definedName name="A_EQUIPMENT_HISTORY" localSheetId="3">[3]ﾃﾞｰﾀﾍﾞｰｽ変更点!#REF!</definedName>
    <definedName name="A_EQUIPMENT_HISTORY">[3]ﾃﾞｰﾀﾍﾞｰｽ変更点!#REF!</definedName>
    <definedName name="A_ERROR" localSheetId="7">[3]ﾃﾞｰﾀﾍﾞｰｽ変更点!#REF!</definedName>
    <definedName name="A_ERROR" localSheetId="3">[3]ﾃﾞｰﾀﾍﾞｰｽ変更点!#REF!</definedName>
    <definedName name="A_ERROR">[3]ﾃﾞｰﾀﾍﾞｰｽ変更点!#REF!</definedName>
    <definedName name="A_ERROR_ENABLED" localSheetId="7">[3]ﾃﾞｰﾀﾍﾞｰｽ変更点!#REF!</definedName>
    <definedName name="A_ERROR_ENABLED" localSheetId="3">[3]ﾃﾞｰﾀﾍﾞｰｽ変更点!#REF!</definedName>
    <definedName name="A_ERROR_ENABLED">[3]ﾃﾞｰﾀﾍﾞｰｽ変更点!#REF!</definedName>
    <definedName name="A_ERROR_MASTER" localSheetId="7">[3]ﾃﾞｰﾀﾍﾞｰｽ変更点!#REF!</definedName>
    <definedName name="A_ERROR_MASTER" localSheetId="3">[3]ﾃﾞｰﾀﾍﾞｰｽ変更点!#REF!</definedName>
    <definedName name="A_ERROR_MASTER">[3]ﾃﾞｰﾀﾍﾞｰｽ変更点!#REF!</definedName>
    <definedName name="A_EVENT_CATEGORY" localSheetId="7">[4]TableDesign!#REF!</definedName>
    <definedName name="A_EVENT_CATEGORY" localSheetId="3">[4]TableDesign!#REF!</definedName>
    <definedName name="A_EVENT_CATEGORY">[4]TableDesign!#REF!</definedName>
    <definedName name="A_EVENT_DIVISION" localSheetId="7">[3]ﾃﾞｰﾀﾍﾞｰｽ変更点!#REF!</definedName>
    <definedName name="A_EVENT_DIVISION" localSheetId="3">[3]ﾃﾞｰﾀﾍﾞｰｽ変更点!#REF!</definedName>
    <definedName name="A_EVENT_DIVISION">[3]ﾃﾞｰﾀﾍﾞｰｽ変更点!#REF!</definedName>
    <definedName name="A_EVENT_MASTER" localSheetId="7">[3]ﾃﾞｰﾀﾍﾞｰｽ変更点!#REF!</definedName>
    <definedName name="A_EVENT_MASTER" localSheetId="3">[3]ﾃﾞｰﾀﾍﾞｰｽ変更点!#REF!</definedName>
    <definedName name="A_EVENT_MASTER">[3]ﾃﾞｰﾀﾍﾞｰｽ変更点!#REF!</definedName>
    <definedName name="A_EVENT_NOTICE" localSheetId="7">[3]ﾃﾞｰﾀﾍﾞｰｽ変更点!#REF!</definedName>
    <definedName name="A_EVENT_NOTICE" localSheetId="3">[3]ﾃﾞｰﾀﾍﾞｰｽ変更点!#REF!</definedName>
    <definedName name="A_EVENT_NOTICE">[3]ﾃﾞｰﾀﾍﾞｰｽ変更点!#REF!</definedName>
    <definedName name="A_FUEL_GAUGE" localSheetId="7">[4]TableDesign!#REF!</definedName>
    <definedName name="A_FUEL_GAUGE" localSheetId="3">[4]TableDesign!#REF!</definedName>
    <definedName name="A_FUEL_GAUGE">[4]TableDesign!#REF!</definedName>
    <definedName name="A_GAUGE_FUEL_WTTEMP" localSheetId="7">[3]ﾃﾞｰﾀﾍﾞｰｽ変更点!#REF!</definedName>
    <definedName name="A_GAUGE_FUEL_WTTEMP" localSheetId="3">[3]ﾃﾞｰﾀﾍﾞｰｽ変更点!#REF!</definedName>
    <definedName name="A_GAUGE_FUEL_WTTEMP">[3]ﾃﾞｰﾀﾍﾞｰｽ変更点!#REF!</definedName>
    <definedName name="A_GIS_DEFINE" localSheetId="7">[4]TableDesign!#REF!</definedName>
    <definedName name="A_GIS_DEFINE" localSheetId="3">[4]TableDesign!#REF!</definedName>
    <definedName name="A_GIS_DEFINE">[4]TableDesign!#REF!</definedName>
    <definedName name="A_GPS" localSheetId="7">[3]ﾃﾞｰﾀﾍﾞｰｽ変更点!#REF!</definedName>
    <definedName name="A_GPS" localSheetId="3">[3]ﾃﾞｰﾀﾍﾞｰｽ変更点!#REF!</definedName>
    <definedName name="A_GPS">[3]ﾃﾞｰﾀﾍﾞｰｽ変更点!#REF!</definedName>
    <definedName name="A_GRANT_AUTHORITY" localSheetId="7">[3]ﾃﾞｰﾀﾍﾞｰｽ変更点!#REF!</definedName>
    <definedName name="A_GRANT_AUTHORITY" localSheetId="3">[3]ﾃﾞｰﾀﾍﾞｰｽ変更点!#REF!</definedName>
    <definedName name="A_GRANT_AUTHORITY">[3]ﾃﾞｰﾀﾍﾞｰｽ変更点!#REF!</definedName>
    <definedName name="A_GROUP_MASTER" localSheetId="7">[3]ﾃﾞｰﾀﾍﾞｰｽ変更点!#REF!</definedName>
    <definedName name="A_GROUP_MASTER" localSheetId="3">[3]ﾃﾞｰﾀﾍﾞｰｽ変更点!#REF!</definedName>
    <definedName name="A_GROUP_MASTER">[3]ﾃﾞｰﾀﾍﾞｰｽ変更点!#REF!</definedName>
    <definedName name="A_IGNORE_CAUTION" localSheetId="7">[5]テーブル設計!#REF!</definedName>
    <definedName name="A_IGNORE_CAUTION" localSheetId="3">[5]テーブル設計!#REF!</definedName>
    <definedName name="A_IGNORE_CAUTION">[5]テーブル設計!#REF!</definedName>
    <definedName name="A_IGNORE_ERROR" localSheetId="7">[5]テーブル設計!#REF!</definedName>
    <definedName name="A_IGNORE_ERROR" localSheetId="3">[5]テーブル設計!#REF!</definedName>
    <definedName name="A_IGNORE_ERROR">[5]テーブル設計!#REF!</definedName>
    <definedName name="A_INFORM_MASTER" localSheetId="7">[3]ﾃﾞｰﾀﾍﾞｰｽ変更点!#REF!</definedName>
    <definedName name="A_INFORM_MASTER" localSheetId="3">[3]ﾃﾞｰﾀﾍﾞｰｽ変更点!#REF!</definedName>
    <definedName name="A_INFORM_MASTER">[3]ﾃﾞｰﾀﾍﾞｰｽ変更点!#REF!</definedName>
    <definedName name="A_INFORMATION" localSheetId="7">[3]ﾃﾞｰﾀﾍﾞｰｽ変更点!#REF!</definedName>
    <definedName name="A_INFORMATION" localSheetId="3">[3]ﾃﾞｰﾀﾍﾞｰｽ変更点!#REF!</definedName>
    <definedName name="A_INFORMATION">[3]ﾃﾞｰﾀﾍﾞｰｽ変更点!#REF!</definedName>
    <definedName name="A_INFORMATION_READED" localSheetId="7">[3]ﾃﾞｰﾀﾍﾞｰｽ変更点!#REF!</definedName>
    <definedName name="A_INFORMATION_READED" localSheetId="3">[3]ﾃﾞｰﾀﾍﾞｰｽ変更点!#REF!</definedName>
    <definedName name="A_INFORMATION_READED">[3]ﾃﾞｰﾀﾍﾞｰｽ変更点!#REF!</definedName>
    <definedName name="A_INVALID_PART_TERMINAL" localSheetId="7">[5]テーブル設計!#REF!</definedName>
    <definedName name="A_INVALID_PART_TERMINAL" localSheetId="3">[5]テーブル設計!#REF!</definedName>
    <definedName name="A_INVALID_PART_TERMINAL">[5]テーブル設計!#REF!</definedName>
    <definedName name="A_KIND_MASTER" localSheetId="7">[3]ﾃﾞｰﾀﾍﾞｰｽ変更点!#REF!</definedName>
    <definedName name="A_KIND_MASTER" localSheetId="3">[3]ﾃﾞｰﾀﾍﾞｰｽ変更点!#REF!</definedName>
    <definedName name="A_KIND_MASTER">[3]ﾃﾞｰﾀﾍﾞｰｽ変更点!#REF!</definedName>
    <definedName name="A_KRO_APPLICATION" localSheetId="7">[3]ﾃﾞｰﾀﾍﾞｰｽ変更点!#REF!</definedName>
    <definedName name="A_KRO_APPLICATION" localSheetId="3">[3]ﾃﾞｰﾀﾍﾞｰｽ変更点!#REF!</definedName>
    <definedName name="A_KRO_APPLICATION">[3]ﾃﾞｰﾀﾍﾞｰｽ変更点!#REF!</definedName>
    <definedName name="A_KRO_APPLICATION_DATA" localSheetId="7">[3]ﾃﾞｰﾀﾍﾞｰｽ変更点!#REF!</definedName>
    <definedName name="A_KRO_APPLICATION_DATA" localSheetId="3">[3]ﾃﾞｰﾀﾍﾞｰｽ変更点!#REF!</definedName>
    <definedName name="A_KRO_APPLICATION_DATA">[3]ﾃﾞｰﾀﾍﾞｰｽ変更点!#REF!</definedName>
    <definedName name="A_KRO_COMPLETION" localSheetId="7">[3]ﾃﾞｰﾀﾍﾞｰｽ変更点!#REF!</definedName>
    <definedName name="A_KRO_COMPLETION" localSheetId="3">[3]ﾃﾞｰﾀﾍﾞｰｽ変更点!#REF!</definedName>
    <definedName name="A_KRO_COMPLETION">[3]ﾃﾞｰﾀﾍﾞｰｽ変更点!#REF!</definedName>
    <definedName name="A_KRO_COMPLETION_DATA" localSheetId="7">[3]ﾃﾞｰﾀﾍﾞｰｽ変更点!#REF!</definedName>
    <definedName name="A_KRO_COMPLETION_DATA" localSheetId="3">[3]ﾃﾞｰﾀﾍﾞｰｽ変更点!#REF!</definedName>
    <definedName name="A_KRO_COMPLETION_DATA">[3]ﾃﾞｰﾀﾍﾞｰｽ変更点!#REF!</definedName>
    <definedName name="A_KRO_EMERGENCY" localSheetId="7">[5]テーブル設計!#REF!</definedName>
    <definedName name="A_KRO_EMERGENCY" localSheetId="3">[5]テーブル設計!#REF!</definedName>
    <definedName name="A_KRO_EMERGENCY">[5]テーブル設計!#REF!</definedName>
    <definedName name="A_KRO_REPORT" localSheetId="7">[3]ﾃﾞｰﾀﾍﾞｰｽ変更点!#REF!</definedName>
    <definedName name="A_KRO_REPORT" localSheetId="3">[3]ﾃﾞｰﾀﾍﾞｰｽ変更点!#REF!</definedName>
    <definedName name="A_KRO_REPORT">[3]ﾃﾞｰﾀﾍﾞｰｽ変更点!#REF!</definedName>
    <definedName name="A_LANDMARK" localSheetId="7">[3]ﾃﾞｰﾀﾍﾞｰｽ変更点!#REF!</definedName>
    <definedName name="A_LANDMARK" localSheetId="3">[3]ﾃﾞｰﾀﾍﾞｰｽ変更点!#REF!</definedName>
    <definedName name="A_LANDMARK">[3]ﾃﾞｰﾀﾍﾞｰｽ変更点!#REF!</definedName>
    <definedName name="A_LANDMARK_CLASS" localSheetId="7">[3]ﾃﾞｰﾀﾍﾞｰｽ変更点!#REF!</definedName>
    <definedName name="A_LANDMARK_CLASS" localSheetId="3">[3]ﾃﾞｰﾀﾍﾞｰｽ変更点!#REF!</definedName>
    <definedName name="A_LANDMARK_CLASS">[3]ﾃﾞｰﾀﾍﾞｰｽ変更点!#REF!</definedName>
    <definedName name="A_LOGON_HISTORY" localSheetId="7">[3]ﾃﾞｰﾀﾍﾞｰｽ変更点!#REF!</definedName>
    <definedName name="A_LOGON_HISTORY" localSheetId="3">[3]ﾃﾞｰﾀﾍﾞｰｽ変更点!#REF!</definedName>
    <definedName name="A_LOGON_HISTORY">[3]ﾃﾞｰﾀﾍﾞｰｽ変更点!#REF!</definedName>
    <definedName name="A_MACHINE_ERROR" localSheetId="7">[4]TableDesign!#REF!</definedName>
    <definedName name="A_MACHINE_ERROR" localSheetId="3">[4]TableDesign!#REF!</definedName>
    <definedName name="A_MACHINE_ERROR">[4]TableDesign!#REF!</definedName>
    <definedName name="A_MACHINE_STATUS_MASTER" localSheetId="7">[3]ﾃﾞｰﾀﾍﾞｰｽ変更点!#REF!</definedName>
    <definedName name="A_MACHINE_STATUS_MASTER" localSheetId="3">[3]ﾃﾞｰﾀﾍﾞｰｽ変更点!#REF!</definedName>
    <definedName name="A_MACHINE_STATUS_MASTER">[3]ﾃﾞｰﾀﾍﾞｰｽ変更点!#REF!</definedName>
    <definedName name="A_MAINTENANCE_DATA" localSheetId="7">[3]ﾃﾞｰﾀﾍﾞｰｽ変更点!#REF!</definedName>
    <definedName name="A_MAINTENANCE_DATA" localSheetId="3">[3]ﾃﾞｰﾀﾍﾞｰｽ変更点!#REF!</definedName>
    <definedName name="A_MAINTENANCE_DATA">[3]ﾃﾞｰﾀﾍﾞｰｽ変更点!#REF!</definedName>
    <definedName name="A_MAINTENANCE_INFORM" localSheetId="7">[3]ﾃﾞｰﾀﾍﾞｰｽ変更点!#REF!</definedName>
    <definedName name="A_MAINTENANCE_INFORM" localSheetId="3">[3]ﾃﾞｰﾀﾍﾞｰｽ変更点!#REF!</definedName>
    <definedName name="A_MAINTENANCE_INFORM">[3]ﾃﾞｰﾀﾍﾞｰｽ変更点!#REF!</definedName>
    <definedName name="A_MAINTENANCE_MASTER" localSheetId="7">[3]ﾃﾞｰﾀﾍﾞｰｽ変更点!#REF!</definedName>
    <definedName name="A_MAINTENANCE_MASTER" localSheetId="3">[3]ﾃﾞｰﾀﾍﾞｰｽ変更点!#REF!</definedName>
    <definedName name="A_MAINTENANCE_MASTER">[3]ﾃﾞｰﾀﾍﾞｰｽ変更点!#REF!</definedName>
    <definedName name="A_MAINTENANCE_TIME" localSheetId="7">[4]TableDesign!#REF!</definedName>
    <definedName name="A_MAINTENANCE_TIME" localSheetId="3">[4]TableDesign!#REF!</definedName>
    <definedName name="A_MAINTENANCE_TIME">[4]TableDesign!#REF!</definedName>
    <definedName name="A_MAKER_MASTER" localSheetId="7">[3]ﾃﾞｰﾀﾍﾞｰｽ変更点!#REF!</definedName>
    <definedName name="A_MAKER_MASTER" localSheetId="3">[3]ﾃﾞｰﾀﾍﾞｰｽ変更点!#REF!</definedName>
    <definedName name="A_MAKER_MASTER">[3]ﾃﾞｰﾀﾍﾞｰｽ変更点!#REF!</definedName>
    <definedName name="A_MARK_MACHINE" localSheetId="7">[4]TableDesign!#REF!</definedName>
    <definedName name="A_MARK_MACHINE" localSheetId="3">[4]TableDesign!#REF!</definedName>
    <definedName name="A_MARK_MACHINE">[4]TableDesign!#REF!</definedName>
    <definedName name="A_MARK_NOTIFICATION" localSheetId="7">[4]TableDesign!#REF!</definedName>
    <definedName name="A_MARK_NOTIFICATION" localSheetId="3">[4]TableDesign!#REF!</definedName>
    <definedName name="A_MARK_NOTIFICATION">[4]TableDesign!#REF!</definedName>
    <definedName name="A_MARK_NOTIFICATION_DETAIL" localSheetId="7">[4]TableDesign!#REF!</definedName>
    <definedName name="A_MARK_NOTIFICATION_DETAIL" localSheetId="3">[4]TableDesign!#REF!</definedName>
    <definedName name="A_MARK_NOTIFICATION_DETAIL">[4]TableDesign!#REF!</definedName>
    <definedName name="A_MEMO" localSheetId="7">[3]ﾃﾞｰﾀﾍﾞｰｽ変更点!#REF!</definedName>
    <definedName name="A_MEMO" localSheetId="3">[3]ﾃﾞｰﾀﾍﾞｰｽ変更点!#REF!</definedName>
    <definedName name="A_MEMO">[3]ﾃﾞｰﾀﾍﾞｰｽ変更点!#REF!</definedName>
    <definedName name="A_MEMORY_MODIFY" localSheetId="7">[3]ﾃﾞｰﾀﾍﾞｰｽ変更点!#REF!</definedName>
    <definedName name="A_MEMORY_MODIFY" localSheetId="3">[3]ﾃﾞｰﾀﾍﾞｰｽ変更点!#REF!</definedName>
    <definedName name="A_MEMORY_MODIFY">[3]ﾃﾞｰﾀﾍﾞｰｽ変更点!#REF!</definedName>
    <definedName name="A_MEMORY_MODIFY_DATA" localSheetId="7">[3]ﾃﾞｰﾀﾍﾞｰｽ変更点!#REF!</definedName>
    <definedName name="A_MEMORY_MODIFY_DATA" localSheetId="3">[3]ﾃﾞｰﾀﾍﾞｰｽ変更点!#REF!</definedName>
    <definedName name="A_MEMORY_MODIFY_DATA">[3]ﾃﾞｰﾀﾍﾞｰｽ変更点!#REF!</definedName>
    <definedName name="A_MESSAGE" localSheetId="7">[3]ﾃﾞｰﾀﾍﾞｰｽ変更点!#REF!</definedName>
    <definedName name="A_MESSAGE" localSheetId="3">[3]ﾃﾞｰﾀﾍﾞｰｽ変更点!#REF!</definedName>
    <definedName name="A_MESSAGE">[3]ﾃﾞｰﾀﾍﾞｰｽ変更点!#REF!</definedName>
    <definedName name="A_MESSAGE_MASTER" localSheetId="7">[3]ﾃﾞｰﾀﾍﾞｰｽ変更点!#REF!</definedName>
    <definedName name="A_MESSAGE_MASTER" localSheetId="3">[3]ﾃﾞｰﾀﾍﾞｰｽ変更点!#REF!</definedName>
    <definedName name="A_MESSAGE_MASTER">[3]ﾃﾞｰﾀﾍﾞｰｽ変更点!#REF!</definedName>
    <definedName name="A_MONTHLY_ATT_SMR" localSheetId="7">[4]TableDesign!#REF!</definedName>
    <definedName name="A_MONTHLY_ATT_SMR" localSheetId="3">[4]TableDesign!#REF!</definedName>
    <definedName name="A_MONTHLY_ATT_SMR">[4]TableDesign!#REF!</definedName>
    <definedName name="A_MONTHLY_ERROR" localSheetId="7">[4]TableDesign!#REF!</definedName>
    <definedName name="A_MONTHLY_ERROR" localSheetId="3">[4]TableDesign!#REF!</definedName>
    <definedName name="A_MONTHLY_ERROR">[4]TableDesign!#REF!</definedName>
    <definedName name="A_MONTHLY_LOAD" localSheetId="7">[4]TableDesign!#REF!</definedName>
    <definedName name="A_MONTHLY_LOAD" localSheetId="3">[4]TableDesign!#REF!</definedName>
    <definedName name="A_MONTHLY_LOAD">[4]TableDesign!#REF!</definedName>
    <definedName name="A_MONTHLY_MOVEMENT" localSheetId="7">[4]TableDesign!#REF!</definedName>
    <definedName name="A_MONTHLY_MOVEMENT" localSheetId="3">[4]TableDesign!#REF!</definedName>
    <definedName name="A_MONTHLY_MOVEMENT">[4]TableDesign!#REF!</definedName>
    <definedName name="A_MONTHLY_OPERATION" localSheetId="7">[4]TableDesign!#REF!</definedName>
    <definedName name="A_MONTHLY_OPERATION" localSheetId="3">[4]TableDesign!#REF!</definedName>
    <definedName name="A_MONTHLY_OPERATION">[4]TableDesign!#REF!</definedName>
    <definedName name="A_MONTHLY_SMR" localSheetId="7">[4]TableDesign!#REF!</definedName>
    <definedName name="A_MONTHLY_SMR" localSheetId="3">[4]TableDesign!#REF!</definedName>
    <definedName name="A_MONTHLY_SMR">[4]TableDesign!#REF!</definedName>
    <definedName name="A_MONTHLY_WORKING_SMR" localSheetId="7">[4]TableDesign!#REF!</definedName>
    <definedName name="A_MONTHLY_WORKING_SMR" localSheetId="3">[4]TableDesign!#REF!</definedName>
    <definedName name="A_MONTHLY_WORKING_SMR">[4]TableDesign!#REF!</definedName>
    <definedName name="A_MONTLY_LOAD" localSheetId="7">[4]TableDesign!#REF!</definedName>
    <definedName name="A_MONTLY_LOAD" localSheetId="3">[4]TableDesign!#REF!</definedName>
    <definedName name="A_MONTLY_LOAD">[4]TableDesign!#REF!</definedName>
    <definedName name="A_MULTI_OPE" localSheetId="7">[3]ﾃﾞｰﾀﾍﾞｰｽ変更点!#REF!</definedName>
    <definedName name="A_MULTI_OPE" localSheetId="3">[3]ﾃﾞｰﾀﾍﾞｰｽ変更点!#REF!</definedName>
    <definedName name="A_MULTI_OPE">[3]ﾃﾞｰﾀﾍﾞｰｽ変更点!#REF!</definedName>
    <definedName name="A_MULTI_OPE_DATA" localSheetId="7">[5]テーブル設計!#REF!</definedName>
    <definedName name="A_MULTI_OPE_DATA" localSheetId="3">[5]テーブル設計!#REF!</definedName>
    <definedName name="A_MULTI_OPE_DATA">[5]テーブル設計!#REF!</definedName>
    <definedName name="A_NLS_DB_RESOURCE" localSheetId="7">[4]TableDesign!#REF!</definedName>
    <definedName name="A_NLS_DB_RESOURCE" localSheetId="3">[4]TableDesign!#REF!</definedName>
    <definedName name="A_NLS_DB_RESOURCE">[4]TableDesign!#REF!</definedName>
    <definedName name="A_NLS_LANG" localSheetId="7">[4]TableDesign!#REF!</definedName>
    <definedName name="A_NLS_LANG" localSheetId="3">[4]TableDesign!#REF!</definedName>
    <definedName name="A_NLS_LANG">[4]TableDesign!#REF!</definedName>
    <definedName name="A_NLS_RESOURCE" localSheetId="7">[4]TableDesign!#REF!</definedName>
    <definedName name="A_NLS_RESOURCE" localSheetId="3">[4]TableDesign!#REF!</definedName>
    <definedName name="A_NLS_RESOURCE">[4]TableDesign!#REF!</definedName>
    <definedName name="A_NOT_ACTIVE" localSheetId="7">[3]ﾃﾞｰﾀﾍﾞｰｽ変更点!#REF!</definedName>
    <definedName name="A_NOT_ACTIVE" localSheetId="3">[3]ﾃﾞｰﾀﾍﾞｰｽ変更点!#REF!</definedName>
    <definedName name="A_NOT_ACTIVE">[3]ﾃﾞｰﾀﾍﾞｰｽ変更点!#REF!</definedName>
    <definedName name="A_OPERATION_CATEGORY" localSheetId="7">[4]TableDesign!#REF!</definedName>
    <definedName name="A_OPERATION_CATEGORY" localSheetId="3">[4]TableDesign!#REF!</definedName>
    <definedName name="A_OPERATION_CATEGORY">[4]TableDesign!#REF!</definedName>
    <definedName name="A_OPERATION_CLASS" localSheetId="7">[5]テーブル設計!#REF!</definedName>
    <definedName name="A_OPERATION_CLASS" localSheetId="3">[5]テーブル設計!#REF!</definedName>
    <definedName name="A_OPERATION_CLASS">[5]テーブル設計!#REF!</definedName>
    <definedName name="A_OPERATION_LOG" localSheetId="7">[3]ﾃﾞｰﾀﾍﾞｰｽ変更点!#REF!</definedName>
    <definedName name="A_OPERATION_LOG" localSheetId="3">[3]ﾃﾞｰﾀﾍﾞｰｽ変更点!#REF!</definedName>
    <definedName name="A_OPERATION_LOG">[3]ﾃﾞｰﾀﾍﾞｰｽ変更点!#REF!</definedName>
    <definedName name="A_OPERATION_LOG2" localSheetId="7">[5]テーブル設計!#REF!</definedName>
    <definedName name="A_OPERATION_LOG2" localSheetId="3">[5]テーブル設計!#REF!</definedName>
    <definedName name="A_OPERATION_LOG2">[5]テーブル設計!#REF!</definedName>
    <definedName name="A_OPERATION_MAP" localSheetId="7">[4]TableDesign!#REF!</definedName>
    <definedName name="A_OPERATION_MAP" localSheetId="3">[4]TableDesign!#REF!</definedName>
    <definedName name="A_OPERATION_MAP">[4]TableDesign!#REF!</definedName>
    <definedName name="A_OPERATION_MASTER" localSheetId="7">[5]テーブル設計!#REF!</definedName>
    <definedName name="A_OPERATION_MASTER" localSheetId="3">[5]テーブル設計!#REF!</definedName>
    <definedName name="A_OPERATION_MASTER">[5]テーブル設計!#REF!</definedName>
    <definedName name="A_ORBCOMM" localSheetId="7">[3]ﾃﾞｰﾀﾍﾞｰｽ変更点!#REF!</definedName>
    <definedName name="A_ORBCOMM" localSheetId="3">[3]ﾃﾞｰﾀﾍﾞｰｽ変更点!#REF!</definedName>
    <definedName name="A_ORBCOMM">[3]ﾃﾞｰﾀﾍﾞｰｽ変更点!#REF!</definedName>
    <definedName name="A_ORBCOMM_OWNER_HISTORY" localSheetId="7">[3]ﾃﾞｰﾀﾍﾞｰｽ変更点!#REF!</definedName>
    <definedName name="A_ORBCOMM_OWNER_HISTORY" localSheetId="3">[3]ﾃﾞｰﾀﾍﾞｰｽ変更点!#REF!</definedName>
    <definedName name="A_ORBCOMM_OWNER_HISTORY">[3]ﾃﾞｰﾀﾍﾞｰｽ変更点!#REF!</definedName>
    <definedName name="A_PLANT_CAR" localSheetId="7">[5]テーブル設計!#REF!</definedName>
    <definedName name="A_PLANT_CAR" localSheetId="3">[5]テーブル設計!#REF!</definedName>
    <definedName name="A_PLANT_CAR">[5]テーブル設計!#REF!</definedName>
    <definedName name="A_PLANT_ERROR" localSheetId="7">[5]テーブル設計!#REF!</definedName>
    <definedName name="A_PLANT_ERROR" localSheetId="3">[5]テーブル設計!#REF!</definedName>
    <definedName name="A_PLANT_ERROR">[5]テーブル設計!#REF!</definedName>
    <definedName name="A_PLANT_GPS" localSheetId="7">[5]テーブル設計!#REF!</definedName>
    <definedName name="A_PLANT_GPS" localSheetId="3">[5]テーブル設計!#REF!</definedName>
    <definedName name="A_PLANT_GPS">[5]テーブル設計!#REF!</definedName>
    <definedName name="A_PREVENT_THEFT_KEY" localSheetId="7">[3]ﾃﾞｰﾀﾍﾞｰｽ変更点!#REF!</definedName>
    <definedName name="A_PREVENT_THEFT_KEY" localSheetId="3">[3]ﾃﾞｰﾀﾍﾞｰｽ変更点!#REF!</definedName>
    <definedName name="A_PREVENT_THEFT_KEY">[3]ﾃﾞｰﾀﾍﾞｰｽ変更点!#REF!</definedName>
    <definedName name="A_PRIVATE_TARGET_CAR" localSheetId="7">[3]ﾃﾞｰﾀﾍﾞｰｽ変更点!#REF!</definedName>
    <definedName name="A_PRIVATE_TARGET_CAR" localSheetId="3">[3]ﾃﾞｰﾀﾍﾞｰｽ変更点!#REF!</definedName>
    <definedName name="A_PRIVATE_TARGET_CAR">[3]ﾃﾞｰﾀﾍﾞｰｽ変更点!#REF!</definedName>
    <definedName name="A_RECEIVE_LIST" localSheetId="7">[5]テーブル設計!#REF!</definedName>
    <definedName name="A_RECEIVE_LIST" localSheetId="3">[5]テーブル設計!#REF!</definedName>
    <definedName name="A_RECEIVE_LIST">[5]テーブル設計!#REF!</definedName>
    <definedName name="A_RECEIVE_LOG" localSheetId="7">[3]ﾃﾞｰﾀﾍﾞｰｽ変更点!#REF!</definedName>
    <definedName name="A_RECEIVE_LOG" localSheetId="3">[3]ﾃﾞｰﾀﾍﾞｰｽ変更点!#REF!</definedName>
    <definedName name="A_RECEIVE_LOG">[3]ﾃﾞｰﾀﾍﾞｰｽ変更点!#REF!</definedName>
    <definedName name="A_REGION_DATA" localSheetId="7">[4]TableDesign!#REF!</definedName>
    <definedName name="A_REGION_DATA" localSheetId="3">[4]TableDesign!#REF!</definedName>
    <definedName name="A_REGION_DATA">[4]TableDesign!#REF!</definedName>
    <definedName name="A_REGION_MASTER" localSheetId="7">[4]TableDesign!#REF!</definedName>
    <definedName name="A_REGION_MASTER" localSheetId="3">[4]TableDesign!#REF!</definedName>
    <definedName name="A_REGION_MASTER">[4]TableDesign!#REF!</definedName>
    <definedName name="A_RENTAL_TERMINAL" localSheetId="7">[5]テーブル設計!#REF!</definedName>
    <definedName name="A_RENTAL_TERMINAL" localSheetId="3">[5]テーブル設計!#REF!</definedName>
    <definedName name="A_RENTAL_TERMINAL">[5]テーブル設計!#REF!</definedName>
    <definedName name="A_REQUEST" localSheetId="7">[3]ﾃﾞｰﾀﾍﾞｰｽ変更点!#REF!</definedName>
    <definedName name="A_REQUEST" localSheetId="3">[3]ﾃﾞｰﾀﾍﾞｰｽ変更点!#REF!</definedName>
    <definedName name="A_REQUEST">[3]ﾃﾞｰﾀﾍﾞｰｽ変更点!#REF!</definedName>
    <definedName name="A_REQUEST_COUNT" localSheetId="7">[3]ﾃﾞｰﾀﾍﾞｰｽ変更点!#REF!</definedName>
    <definedName name="A_REQUEST_COUNT" localSheetId="3">[3]ﾃﾞｰﾀﾍﾞｰｽ変更点!#REF!</definedName>
    <definedName name="A_REQUEST_COUNT">[3]ﾃﾞｰﾀﾍﾞｰｽ変更点!#REF!</definedName>
    <definedName name="A_REQUEST_LOG" localSheetId="7">[3]ﾃﾞｰﾀﾍﾞｰｽ変更点!#REF!</definedName>
    <definedName name="A_REQUEST_LOG" localSheetId="3">[3]ﾃﾞｰﾀﾍﾞｰｽ変更点!#REF!</definedName>
    <definedName name="A_REQUEST_LOG">[3]ﾃﾞｰﾀﾍﾞｰｽ変更点!#REF!</definedName>
    <definedName name="A_RIVATE_TARGET_CAR" localSheetId="7">[4]TableDesign!#REF!</definedName>
    <definedName name="A_RIVATE_TARGET_CAR" localSheetId="3">[4]TableDesign!#REF!</definedName>
    <definedName name="A_RIVATE_TARGET_CAR">[4]TableDesign!#REF!</definedName>
    <definedName name="A_RUNNING_LOG" localSheetId="7">[3]ﾃﾞｰﾀﾍﾞｰｽ変更点!#REF!</definedName>
    <definedName name="A_RUNNING_LOG" localSheetId="3">[3]ﾃﾞｰﾀﾍﾞｰｽ変更点!#REF!</definedName>
    <definedName name="A_RUNNING_LOG">[3]ﾃﾞｰﾀﾍﾞｰｽ変更点!#REF!</definedName>
    <definedName name="A_SAVE_INFORMATION" localSheetId="7">[5]テーブル設計!#REF!</definedName>
    <definedName name="A_SAVE_INFORMATION" localSheetId="3">[5]テーブル設計!#REF!</definedName>
    <definedName name="A_SAVE_INFORMATION">[5]テーブル設計!#REF!</definedName>
    <definedName name="A_SELFCARINSPECTION" localSheetId="7">[3]ﾃﾞｰﾀﾍﾞｰｽ変更点!#REF!</definedName>
    <definedName name="A_SELFCARINSPECTION" localSheetId="3">[3]ﾃﾞｰﾀﾍﾞｰｽ変更点!#REF!</definedName>
    <definedName name="A_SELFCARINSPECTION">[3]ﾃﾞｰﾀﾍﾞｰｽ変更点!#REF!</definedName>
    <definedName name="A_SEND_LIST" localSheetId="7">[5]テーブル設計!#REF!</definedName>
    <definedName name="A_SEND_LIST" localSheetId="3">[5]テーブル設計!#REF!</definedName>
    <definedName name="A_SEND_LIST">[5]テーブル設計!#REF!</definedName>
    <definedName name="A_SEND_LOG" localSheetId="7">[5]テーブル設計!#REF!</definedName>
    <definedName name="A_SEND_LOG" localSheetId="3">[5]テーブル設計!#REF!</definedName>
    <definedName name="A_SEND_LOG">[5]テーブル設計!#REF!</definedName>
    <definedName name="A_SERVER_COMMUNICATION" localSheetId="7">[4]TableDesign!#REF!</definedName>
    <definedName name="A_SERVER_COMMUNICATION" localSheetId="3">[4]TableDesign!#REF!</definedName>
    <definedName name="A_SERVER_COMMUNICATION">[4]TableDesign!#REF!</definedName>
    <definedName name="A_SERVER_INFORMATION" localSheetId="7">[3]ﾃﾞｰﾀﾍﾞｰｽ変更点!#REF!</definedName>
    <definedName name="A_SERVER_INFORMATION" localSheetId="3">[3]ﾃﾞｰﾀﾍﾞｰｽ変更点!#REF!</definedName>
    <definedName name="A_SERVER_INFORMATION">[3]ﾃﾞｰﾀﾍﾞｰｽ変更点!#REF!</definedName>
    <definedName name="A_SERVICE_METER" localSheetId="7">[3]ﾃﾞｰﾀﾍﾞｰｽ変更点!#REF!</definedName>
    <definedName name="A_SERVICE_METER" localSheetId="3">[3]ﾃﾞｰﾀﾍﾞｰｽ変更点!#REF!</definedName>
    <definedName name="A_SERVICE_METER">[3]ﾃﾞｰﾀﾍﾞｰｽ変更点!#REF!</definedName>
    <definedName name="A_SERVICE_METER2" localSheetId="7">[5]テーブル設計!#REF!</definedName>
    <definedName name="A_SERVICE_METER2" localSheetId="3">[5]テーブル設計!#REF!</definedName>
    <definedName name="A_SERVICE_METER2">[5]テーブル設計!#REF!</definedName>
    <definedName name="A_SERVICEMAN" localSheetId="7">[5]テーブル設計!#REF!</definedName>
    <definedName name="A_SERVICEMAN" localSheetId="3">[5]テーブル設計!#REF!</definedName>
    <definedName name="A_SERVICEMAN">[5]テーブル設計!#REF!</definedName>
    <definedName name="A_SERVICEMAN_CHARGE" localSheetId="7">[5]テーブル設計!#REF!</definedName>
    <definedName name="A_SERVICEMAN_CHARGE" localSheetId="3">[5]テーブル設計!#REF!</definedName>
    <definedName name="A_SERVICEMAN_CHARGE">[5]テーブル設計!#REF!</definedName>
    <definedName name="A_SHIPMENT" localSheetId="7">[3]ﾃﾞｰﾀﾍﾞｰｽ変更点!#REF!</definedName>
    <definedName name="A_SHIPMENT" localSheetId="3">[3]ﾃﾞｰﾀﾍﾞｰｽ変更点!#REF!</definedName>
    <definedName name="A_SHIPMENT">[3]ﾃﾞｰﾀﾍﾞｰｽ変更点!#REF!</definedName>
    <definedName name="A_SHOW" localSheetId="7">[3]ﾃﾞｰﾀﾍﾞｰｽ変更点!#REF!</definedName>
    <definedName name="A_SHOW" localSheetId="3">[3]ﾃﾞｰﾀﾍﾞｰｽ変更点!#REF!</definedName>
    <definedName name="A_SHOW">[3]ﾃﾞｰﾀﾍﾞｰｽ変更点!#REF!</definedName>
    <definedName name="A_SHOW_GROUP" localSheetId="7">[3]ﾃﾞｰﾀﾍﾞｰｽ変更点!#REF!</definedName>
    <definedName name="A_SHOW_GROUP" localSheetId="3">[3]ﾃﾞｰﾀﾍﾞｰｽ変更点!#REF!</definedName>
    <definedName name="A_SHOW_GROUP">[3]ﾃﾞｰﾀﾍﾞｰｽ変更点!#REF!</definedName>
    <definedName name="A_SPECIAL_AREA" localSheetId="7">[3]ﾃﾞｰﾀﾍﾞｰｽ変更点!#REF!</definedName>
    <definedName name="A_SPECIAL_AREA" localSheetId="3">[3]ﾃﾞｰﾀﾍﾞｰｽ変更点!#REF!</definedName>
    <definedName name="A_SPECIAL_AREA">[3]ﾃﾞｰﾀﾍﾞｰｽ変更点!#REF!</definedName>
    <definedName name="A_SUB_GROUP" localSheetId="7">[4]TableDesign!#REF!</definedName>
    <definedName name="A_SUB_GROUP" localSheetId="3">[4]TableDesign!#REF!</definedName>
    <definedName name="A_SUB_GROUP">[4]TableDesign!#REF!</definedName>
    <definedName name="A_SUB_GROUP_CAR" localSheetId="7">[4]TableDesign!#REF!</definedName>
    <definedName name="A_SUB_GROUP_CAR" localSheetId="3">[4]TableDesign!#REF!</definedName>
    <definedName name="A_SUB_GROUP_CAR">[4]TableDesign!#REF!</definedName>
    <definedName name="A_SYSTEM_COMMTERM_INFO" localSheetId="7">[3]ﾃﾞｰﾀﾍﾞｰｽ変更点!#REF!</definedName>
    <definedName name="A_SYSTEM_COMMTERM_INFO" localSheetId="3">[3]ﾃﾞｰﾀﾍﾞｰｽ変更点!#REF!</definedName>
    <definedName name="A_SYSTEM_COMMTERM_INFO">[3]ﾃﾞｰﾀﾍﾞｰｽ変更点!#REF!</definedName>
    <definedName name="A_SYSTEM_LOG" localSheetId="7">[3]ﾃﾞｰﾀﾍﾞｰｽ変更点!#REF!</definedName>
    <definedName name="A_SYSTEM_LOG" localSheetId="3">[3]ﾃﾞｰﾀﾍﾞｰｽ変更点!#REF!</definedName>
    <definedName name="A_SYSTEM_LOG">[3]ﾃﾞｰﾀﾍﾞｰｽ変更点!#REF!</definedName>
    <definedName name="A_SYSTEM_NOTICE" localSheetId="7">[3]ﾃﾞｰﾀﾍﾞｰｽ変更点!#REF!</definedName>
    <definedName name="A_SYSTEM_NOTICE" localSheetId="3">[3]ﾃﾞｰﾀﾍﾞｰｽ変更点!#REF!</definedName>
    <definedName name="A_SYSTEM_NOTICE">[3]ﾃﾞｰﾀﾍﾞｰｽ変更点!#REF!</definedName>
    <definedName name="A_TARGET" localSheetId="7">[3]ﾃﾞｰﾀﾍﾞｰｽ変更点!#REF!</definedName>
    <definedName name="A_TARGET" localSheetId="3">[3]ﾃﾞｰﾀﾍﾞｰｽ変更点!#REF!</definedName>
    <definedName name="A_TARGET">[3]ﾃﾞｰﾀﾍﾞｰｽ変更点!#REF!</definedName>
    <definedName name="A_TARGET_CAR" localSheetId="7">[3]ﾃﾞｰﾀﾍﾞｰｽ変更点!#REF!</definedName>
    <definedName name="A_TARGET_CAR" localSheetId="3">[3]ﾃﾞｰﾀﾍﾞｰｽ変更点!#REF!</definedName>
    <definedName name="A_TARGET_CAR">[3]ﾃﾞｰﾀﾍﾞｰｽ変更点!#REF!</definedName>
    <definedName name="A_TERMINAL_AREA" localSheetId="7">[3]ﾃﾞｰﾀﾍﾞｰｽ変更点!#REF!</definedName>
    <definedName name="A_TERMINAL_AREA" localSheetId="3">[3]ﾃﾞｰﾀﾍﾞｰｽ変更点!#REF!</definedName>
    <definedName name="A_TERMINAL_AREA">[3]ﾃﾞｰﾀﾍﾞｰｽ変更点!#REF!</definedName>
    <definedName name="A_TERMINAL_CAUTION" localSheetId="7">[3]ﾃﾞｰﾀﾍﾞｰｽ変更点!#REF!</definedName>
    <definedName name="A_TERMINAL_CAUTION" localSheetId="3">[3]ﾃﾞｰﾀﾍﾞｰｽ変更点!#REF!</definedName>
    <definedName name="A_TERMINAL_CAUTION">[3]ﾃﾞｰﾀﾍﾞｰｽ変更点!#REF!</definedName>
    <definedName name="A_TERMINAL_ERROR" localSheetId="7">[3]ﾃﾞｰﾀﾍﾞｰｽ変更点!#REF!</definedName>
    <definedName name="A_TERMINAL_ERROR" localSheetId="3">[3]ﾃﾞｰﾀﾍﾞｰｽ変更点!#REF!</definedName>
    <definedName name="A_TERMINAL_ERROR">[3]ﾃﾞｰﾀﾍﾞｰｽ変更点!#REF!</definedName>
    <definedName name="A_TERMINAL_KIND" localSheetId="7">[3]ﾃﾞｰﾀﾍﾞｰｽ変更点!#REF!</definedName>
    <definedName name="A_TERMINAL_KIND" localSheetId="3">[3]ﾃﾞｰﾀﾍﾞｰｽ変更点!#REF!</definedName>
    <definedName name="A_TERMINAL_KIND">[3]ﾃﾞｰﾀﾍﾞｰｽ変更点!#REF!</definedName>
    <definedName name="A_TERMINAL_MASTER" localSheetId="7">[3]ﾃﾞｰﾀﾍﾞｰｽ変更点!#REF!</definedName>
    <definedName name="A_TERMINAL_MASTER" localSheetId="3">[3]ﾃﾞｰﾀﾍﾞｰｽ変更点!#REF!</definedName>
    <definedName name="A_TERMINAL_MASTER">[3]ﾃﾞｰﾀﾍﾞｰｽ変更点!#REF!</definedName>
    <definedName name="A_TERMINAL_PART_MASTER" localSheetId="7">[3]ﾃﾞｰﾀﾍﾞｰｽ変更点!#REF!</definedName>
    <definedName name="A_TERMINAL_PART_MASTER" localSheetId="3">[3]ﾃﾞｰﾀﾍﾞｰｽ変更点!#REF!</definedName>
    <definedName name="A_TERMINAL_PART_MASTER">[3]ﾃﾞｰﾀﾍﾞｰｽ変更点!#REF!</definedName>
    <definedName name="A_TYPE_MASTER" localSheetId="7">[3]ﾃﾞｰﾀﾍﾞｰｽ変更点!#REF!</definedName>
    <definedName name="A_TYPE_MASTER" localSheetId="3">[3]ﾃﾞｰﾀﾍﾞｰｽ変更点!#REF!</definedName>
    <definedName name="A_TYPE_MASTER">[3]ﾃﾞｰﾀﾍﾞｰｽ変更点!#REF!</definedName>
    <definedName name="A_UFO" localSheetId="7">[3]ﾃﾞｰﾀﾍﾞｰｽ変更点!#REF!</definedName>
    <definedName name="A_UFO" localSheetId="3">[3]ﾃﾞｰﾀﾍﾞｰｽ変更点!#REF!</definedName>
    <definedName name="A_UFO">[3]ﾃﾞｰﾀﾍﾞｰｽ変更点!#REF!</definedName>
    <definedName name="A_UNRELIABLE_RECEIVE" localSheetId="7">[3]ﾃﾞｰﾀﾍﾞｰｽ変更点!#REF!</definedName>
    <definedName name="A_UNRELIABLE_RECEIVE" localSheetId="3">[3]ﾃﾞｰﾀﾍﾞｰｽ変更点!#REF!</definedName>
    <definedName name="A_UNRELIABLE_RECEIVE">[3]ﾃﾞｰﾀﾍﾞｰｽ変更点!#REF!</definedName>
    <definedName name="A_USER_MASTER" localSheetId="7">[3]ﾃﾞｰﾀﾍﾞｰｽ変更点!#REF!</definedName>
    <definedName name="A_USER_MASTER" localSheetId="3">[3]ﾃﾞｰﾀﾍﾞｰｽ変更点!#REF!</definedName>
    <definedName name="A_USER_MASTER">[3]ﾃﾞｰﾀﾍﾞｰｽ変更点!#REF!</definedName>
    <definedName name="A_USER_TEMP" localSheetId="7">[3]ﾃﾞｰﾀﾍﾞｰｽ変更点!#REF!</definedName>
    <definedName name="A_USER_TEMP" localSheetId="3">[3]ﾃﾞｰﾀﾍﾞｰｽ変更点!#REF!</definedName>
    <definedName name="A_USER_TEMP">[3]ﾃﾞｰﾀﾍﾞｰｽ変更点!#REF!</definedName>
    <definedName name="A_WATER_TEMP_GAUGE" localSheetId="7">[4]TableDesign!#REF!</definedName>
    <definedName name="A_WATER_TEMP_GAUGE" localSheetId="3">[4]TableDesign!#REF!</definedName>
    <definedName name="A_WATER_TEMP_GAUGE">[4]TableDesign!#REF!</definedName>
    <definedName name="AA" localSheetId="7">'[6]DATA-COMMUNICATION-FORMAT'!#REF!</definedName>
    <definedName name="AA" localSheetId="3">'[6]DATA-COMMUNICATION-FORMAT'!#REF!</definedName>
    <definedName name="AA">'[6]DATA-COMMUNICATION-FORMAT'!#REF!</definedName>
    <definedName name="AAA" localSheetId="7">#REF!</definedName>
    <definedName name="AAA" localSheetId="3">#REF!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7" hidden="1">[7]基本仕様１!#REF!</definedName>
    <definedName name="abc" localSheetId="3"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7">[3]ﾃﾞｰﾀﾍﾞｰｽ変更点!#REF!</definedName>
    <definedName name="B__PREVENT_THEFT_KEY" localSheetId="3">[3]ﾃﾞｰﾀﾍﾞｰｽ変更点!#REF!</definedName>
    <definedName name="B__PREVENT_THEFT_KEY">[3]ﾃﾞｰﾀﾍﾞｰｽ変更点!#REF!</definedName>
    <definedName name="B_ACT_DATA" localSheetId="7">[3]ﾃﾞｰﾀﾍﾞｰｽ変更点!#REF!</definedName>
    <definedName name="B_ACT_DATA" localSheetId="3">[3]ﾃﾞｰﾀﾍﾞｰｽ変更点!#REF!</definedName>
    <definedName name="B_ACT_DATA">[3]ﾃﾞｰﾀﾍﾞｰｽ変更点!#REF!</definedName>
    <definedName name="B_ACTUAL_OPERATION" localSheetId="7">[4]TableDesign!#REF!</definedName>
    <definedName name="B_ACTUAL_OPERATION" localSheetId="3">[4]TableDesign!#REF!</definedName>
    <definedName name="B_ACTUAL_OPERATION">[4]TableDesign!#REF!</definedName>
    <definedName name="B_AREA" localSheetId="7">[3]ﾃﾞｰﾀﾍﾞｰｽ変更点!#REF!</definedName>
    <definedName name="B_AREA" localSheetId="3">[3]ﾃﾞｰﾀﾍﾞｰｽ変更点!#REF!</definedName>
    <definedName name="B_AREA">[3]ﾃﾞｰﾀﾍﾞｰｽ変更点!#REF!</definedName>
    <definedName name="B_AREA_DEFINE" localSheetId="7">[3]ﾃﾞｰﾀﾍﾞｰｽ変更点!#REF!</definedName>
    <definedName name="B_AREA_DEFINE" localSheetId="3">[3]ﾃﾞｰﾀﾍﾞｰｽ変更点!#REF!</definedName>
    <definedName name="B_AREA_DEFINE">[3]ﾃﾞｰﾀﾍﾞｰｽ変更点!#REF!</definedName>
    <definedName name="B_AREA_INIT" localSheetId="7">[3]ﾃﾞｰﾀﾍﾞｰｽ変更点!#REF!</definedName>
    <definedName name="B_AREA_INIT" localSheetId="3">[3]ﾃﾞｰﾀﾍﾞｰｽ変更点!#REF!</definedName>
    <definedName name="B_AREA_INIT">[3]ﾃﾞｰﾀﾍﾞｰｽ変更点!#REF!</definedName>
    <definedName name="B_AREA_MASTER" localSheetId="7">[3]ﾃﾞｰﾀﾍﾞｰｽ変更点!#REF!</definedName>
    <definedName name="B_AREA_MASTER" localSheetId="3">[3]ﾃﾞｰﾀﾍﾞｰｽ変更点!#REF!</definedName>
    <definedName name="B_AREA_MASTER">[3]ﾃﾞｰﾀﾍﾞｰｽ変更点!#REF!</definedName>
    <definedName name="B_ASK" localSheetId="7">[3]ﾃﾞｰﾀﾍﾞｰｽ変更点!#REF!</definedName>
    <definedName name="B_ASK" localSheetId="3">[3]ﾃﾞｰﾀﾍﾞｰｽ変更点!#REF!</definedName>
    <definedName name="B_ASK">[3]ﾃﾞｰﾀﾍﾞｰｽ変更点!#REF!</definedName>
    <definedName name="B_ASK_LOG" localSheetId="7">[5]テーブル設計!#REF!</definedName>
    <definedName name="B_ASK_LOG" localSheetId="3">[5]テーブル設計!#REF!</definedName>
    <definedName name="B_ASK_LOG">[5]テーブル設計!#REF!</definedName>
    <definedName name="B_ASK_SYSTEM" localSheetId="7">[3]ﾃﾞｰﾀﾍﾞｰｽ変更点!#REF!</definedName>
    <definedName name="B_ASK_SYSTEM" localSheetId="3">[3]ﾃﾞｰﾀﾍﾞｰｽ変更点!#REF!</definedName>
    <definedName name="B_ASK_SYSTEM">[3]ﾃﾞｰﾀﾍﾞｰｽ変更点!#REF!</definedName>
    <definedName name="B_ATC_ERROR" localSheetId="7">[5]テーブル設計!#REF!</definedName>
    <definedName name="B_ATC_ERROR" localSheetId="3">[5]テーブル設計!#REF!</definedName>
    <definedName name="B_ATC_ERROR">[5]テーブル設計!#REF!</definedName>
    <definedName name="B_AUTHORITY_GROUP" localSheetId="7">[3]ﾃﾞｰﾀﾍﾞｰｽ変更点!#REF!</definedName>
    <definedName name="B_AUTHORITY_GROUP" localSheetId="3">[3]ﾃﾞｰﾀﾍﾞｰｽ変更点!#REF!</definedName>
    <definedName name="B_AUTHORITY_GROUP">[3]ﾃﾞｰﾀﾍﾞｰｽ変更点!#REF!</definedName>
    <definedName name="B_AUTHORITY_GROUP_DATA" localSheetId="7">[3]ﾃﾞｰﾀﾍﾞｰｽ変更点!#REF!</definedName>
    <definedName name="B_AUTHORITY_GROUP_DATA" localSheetId="3">[3]ﾃﾞｰﾀﾍﾞｰｽ変更点!#REF!</definedName>
    <definedName name="B_AUTHORITY_GROUP_DATA">[3]ﾃﾞｰﾀﾍﾞｰｽ変更点!#REF!</definedName>
    <definedName name="B_AUTHORITY_MASTER" localSheetId="7">[5]テーブル設計!#REF!</definedName>
    <definedName name="B_AUTHORITY_MASTER" localSheetId="3">[5]テーブル設計!#REF!</definedName>
    <definedName name="B_AUTHORITY_MASTER">[5]テーブル設計!#REF!</definedName>
    <definedName name="B_BONDED_STORE" localSheetId="7">[5]テーブル設計!#REF!</definedName>
    <definedName name="B_BONDED_STORE" localSheetId="3">[5]テーブル設計!#REF!</definedName>
    <definedName name="B_BONDED_STORE">[5]テーブル設計!#REF!</definedName>
    <definedName name="B_CAR_DATA" localSheetId="7">[3]ﾃﾞｰﾀﾍﾞｰｽ変更点!#REF!</definedName>
    <definedName name="B_CAR_DATA" localSheetId="3">[3]ﾃﾞｰﾀﾍﾞｰｽ変更点!#REF!</definedName>
    <definedName name="B_CAR_DATA">[3]ﾃﾞｰﾀﾍﾞｰｽ変更点!#REF!</definedName>
    <definedName name="B_CAR_MASTER" localSheetId="7">[3]ﾃﾞｰﾀﾍﾞｰｽ変更点!#REF!</definedName>
    <definedName name="B_CAR_MASTER" localSheetId="3">[3]ﾃﾞｰﾀﾍﾞｰｽ変更点!#REF!</definedName>
    <definedName name="B_CAR_MASTER">[3]ﾃﾞｰﾀﾍﾞｰｽ変更点!#REF!</definedName>
    <definedName name="B_CAR_MONTHLY_DATA" localSheetId="7">[3]ﾃﾞｰﾀﾍﾞｰｽ変更点!#REF!</definedName>
    <definedName name="B_CAR_MONTHLY_DATA" localSheetId="3">[3]ﾃﾞｰﾀﾍﾞｰｽ変更点!#REF!</definedName>
    <definedName name="B_CAR_MONTHLY_DATA">[3]ﾃﾞｰﾀﾍﾞｰｽ変更点!#REF!</definedName>
    <definedName name="B_CAR_OWNER_HISTORY" localSheetId="7">[3]ﾃﾞｰﾀﾍﾞｰｽ変更点!#REF!</definedName>
    <definedName name="B_CAR_OWNER_HISTORY" localSheetId="3">[3]ﾃﾞｰﾀﾍﾞｰｽ変更点!#REF!</definedName>
    <definedName name="B_CAR_OWNER_HISTORY">[3]ﾃﾞｰﾀﾍﾞｰｽ変更点!#REF!</definedName>
    <definedName name="B_CAUTION" localSheetId="7">[4]TableDesign!#REF!</definedName>
    <definedName name="B_CAUTION" localSheetId="3">[4]TableDesign!#REF!</definedName>
    <definedName name="B_CAUTION">[4]TableDesign!#REF!</definedName>
    <definedName name="B_CAUTION_DATA" localSheetId="7">[3]ﾃﾞｰﾀﾍﾞｰｽ変更点!#REF!</definedName>
    <definedName name="B_CAUTION_DATA" localSheetId="3">[3]ﾃﾞｰﾀﾍﾞｰｽ変更点!#REF!</definedName>
    <definedName name="B_CAUTION_DATA">[3]ﾃﾞｰﾀﾍﾞｰｽ変更点!#REF!</definedName>
    <definedName name="B_CAUTION_ENABLED" localSheetId="7">[3]ﾃﾞｰﾀﾍﾞｰｽ変更点!#REF!</definedName>
    <definedName name="B_CAUTION_ENABLED" localSheetId="3">[3]ﾃﾞｰﾀﾍﾞｰｽ変更点!#REF!</definedName>
    <definedName name="B_CAUTION_ENABLED">[3]ﾃﾞｰﾀﾍﾞｰｽ変更点!#REF!</definedName>
    <definedName name="B_CAUTION_ICON" localSheetId="7">[3]ﾃﾞｰﾀﾍﾞｰｽ変更点!#REF!</definedName>
    <definedName name="B_CAUTION_ICON" localSheetId="3">[3]ﾃﾞｰﾀﾍﾞｰｽ変更点!#REF!</definedName>
    <definedName name="B_CAUTION_ICON">[3]ﾃﾞｰﾀﾍﾞｰｽ変更点!#REF!</definedName>
    <definedName name="B_CAUTION_INIT" localSheetId="7">[3]ﾃﾞｰﾀﾍﾞｰｽ変更点!#REF!</definedName>
    <definedName name="B_CAUTION_INIT" localSheetId="3">[3]ﾃﾞｰﾀﾍﾞｰｽ変更点!#REF!</definedName>
    <definedName name="B_CAUTION_INIT">[3]ﾃﾞｰﾀﾍﾞｰｽ変更点!#REF!</definedName>
    <definedName name="B_CAUTION_MASTER" localSheetId="7">[3]ﾃﾞｰﾀﾍﾞｰｽ変更点!#REF!</definedName>
    <definedName name="B_CAUTION_MASTER" localSheetId="3">[3]ﾃﾞｰﾀﾍﾞｰｽ変更点!#REF!</definedName>
    <definedName name="B_CAUTION_MASTER">[3]ﾃﾞｰﾀﾍﾞｰｽ変更点!#REF!</definedName>
    <definedName name="B_CLASS1_MASTER" localSheetId="7">[3]ﾃﾞｰﾀﾍﾞｰｽ変更点!#REF!</definedName>
    <definedName name="B_CLASS1_MASTER" localSheetId="3">[3]ﾃﾞｰﾀﾍﾞｰｽ変更点!#REF!</definedName>
    <definedName name="B_CLASS1_MASTER">[3]ﾃﾞｰﾀﾍﾞｰｽ変更点!#REF!</definedName>
    <definedName name="B_CLASS2_MASTER" localSheetId="7">[3]ﾃﾞｰﾀﾍﾞｰｽ変更点!#REF!</definedName>
    <definedName name="B_CLASS2_MASTER" localSheetId="3">[3]ﾃﾞｰﾀﾍﾞｰｽ変更点!#REF!</definedName>
    <definedName name="B_CLASS2_MASTER">[3]ﾃﾞｰﾀﾍﾞｰｽ変更点!#REF!</definedName>
    <definedName name="B_COMM_DATA" localSheetId="7">[3]ﾃﾞｰﾀﾍﾞｰｽ変更点!#REF!</definedName>
    <definedName name="B_COMM_DATA" localSheetId="3">[3]ﾃﾞｰﾀﾍﾞｰｽ変更点!#REF!</definedName>
    <definedName name="B_COMM_DATA">[3]ﾃﾞｰﾀﾍﾞｰｽ変更点!#REF!</definedName>
    <definedName name="B_COMM_STATUS_MASTER" localSheetId="7">[3]ﾃﾞｰﾀﾍﾞｰｽ変更点!#REF!</definedName>
    <definedName name="B_COMM_STATUS_MASTER" localSheetId="3">[3]ﾃﾞｰﾀﾍﾞｰｽ変更点!#REF!</definedName>
    <definedName name="B_COMM_STATUS_MASTER">[3]ﾃﾞｰﾀﾍﾞｰｽ変更点!#REF!</definedName>
    <definedName name="B_CONFIG_DEFINE" localSheetId="7">[3]ﾃﾞｰﾀﾍﾞｰｽ変更点!#REF!</definedName>
    <definedName name="B_CONFIG_DEFINE" localSheetId="3">[3]ﾃﾞｰﾀﾍﾞｰｽ変更点!#REF!</definedName>
    <definedName name="B_CONFIG_DEFINE">[3]ﾃﾞｰﾀﾍﾞｰｽ変更点!#REF!</definedName>
    <definedName name="B_CONFIG_FLAG" localSheetId="7">[5]テーブル設計!#REF!</definedName>
    <definedName name="B_CONFIG_FLAG" localSheetId="3">[5]テーブル設計!#REF!</definedName>
    <definedName name="B_CONFIG_FLAG">[5]テーブル設計!#REF!</definedName>
    <definedName name="B_CONFIG_INIT" localSheetId="7">[3]ﾃﾞｰﾀﾍﾞｰｽ変更点!#REF!</definedName>
    <definedName name="B_CONFIG_INIT" localSheetId="3">[3]ﾃﾞｰﾀﾍﾞｰｽ変更点!#REF!</definedName>
    <definedName name="B_CONFIG_INIT">[3]ﾃﾞｰﾀﾍﾞｰｽ変更点!#REF!</definedName>
    <definedName name="B_CONFIG_PATTERN" localSheetId="7">[3]ﾃﾞｰﾀﾍﾞｰｽ変更点!#REF!</definedName>
    <definedName name="B_CONFIG_PATTERN" localSheetId="3">[3]ﾃﾞｰﾀﾍﾞｰｽ変更点!#REF!</definedName>
    <definedName name="B_CONFIG_PATTERN">[3]ﾃﾞｰﾀﾍﾞｰｽ変更点!#REF!</definedName>
    <definedName name="B_CONFIG_PATTERN_DATA" localSheetId="7">[3]ﾃﾞｰﾀﾍﾞｰｽ変更点!#REF!</definedName>
    <definedName name="B_CONFIG_PATTERN_DATA" localSheetId="3">[3]ﾃﾞｰﾀﾍﾞｰｽ変更点!#REF!</definedName>
    <definedName name="B_CONFIG_PATTERN_DATA">[3]ﾃﾞｰﾀﾍﾞｰｽ変更点!#REF!</definedName>
    <definedName name="B_CONFIG_USER_FLAG" localSheetId="7">[5]テーブル設計!#REF!</definedName>
    <definedName name="B_CONFIG_USER_FLAG" localSheetId="3">[5]テーブル設計!#REF!</definedName>
    <definedName name="B_CONFIG_USER_FLAG">[5]テーブル設計!#REF!</definedName>
    <definedName name="B_CONTRACT" localSheetId="7">[5]テーブル設計!#REF!</definedName>
    <definedName name="B_CONTRACT" localSheetId="3">[5]テーブル設計!#REF!</definedName>
    <definedName name="B_CONTRACT">[5]テーブル設計!#REF!</definedName>
    <definedName name="B_CUSTOMER" localSheetId="7">[3]ﾃﾞｰﾀﾍﾞｰｽ変更点!#REF!</definedName>
    <definedName name="B_CUSTOMER" localSheetId="3">[3]ﾃﾞｰﾀﾍﾞｰｽ変更点!#REF!</definedName>
    <definedName name="B_CUSTOMER">[3]ﾃﾞｰﾀﾍﾞｰｽ変更点!#REF!</definedName>
    <definedName name="B_CUSTOMER_CAR" localSheetId="7">[3]ﾃﾞｰﾀﾍﾞｰｽ変更点!#REF!</definedName>
    <definedName name="B_CUSTOMER_CAR" localSheetId="3">[3]ﾃﾞｰﾀﾍﾞｰｽ変更点!#REF!</definedName>
    <definedName name="B_CUSTOMER_CAR">[3]ﾃﾞｰﾀﾍﾞｰｽ変更点!#REF!</definedName>
    <definedName name="B_CUSTOMER_MASTER" localSheetId="7">[4]TableDesign!#REF!</definedName>
    <definedName name="B_CUSTOMER_MASTER" localSheetId="3">[4]TableDesign!#REF!</definedName>
    <definedName name="B_CUSTOMER_MASTER">[4]TableDesign!#REF!</definedName>
    <definedName name="B_DIVISION_MASTER" localSheetId="7">[3]ﾃﾞｰﾀﾍﾞｰｽ変更点!#REF!</definedName>
    <definedName name="B_DIVISION_MASTER" localSheetId="3">[3]ﾃﾞｰﾀﾍﾞｰｽ変更点!#REF!</definedName>
    <definedName name="B_DIVISION_MASTER">[3]ﾃﾞｰﾀﾍﾞｰｽ変更点!#REF!</definedName>
    <definedName name="B_DOPA" localSheetId="7">[3]ﾃﾞｰﾀﾍﾞｰｽ変更点!#REF!</definedName>
    <definedName name="B_DOPA" localSheetId="3">[3]ﾃﾞｰﾀﾍﾞｰｽ変更点!#REF!</definedName>
    <definedName name="B_DOPA">[3]ﾃﾞｰﾀﾍﾞｰｽ変更点!#REF!</definedName>
    <definedName name="B_DOPA_OWNER_HISTORY" localSheetId="7">[3]ﾃﾞｰﾀﾍﾞｰｽ変更点!#REF!</definedName>
    <definedName name="B_DOPA_OWNER_HISTORY" localSheetId="3">[3]ﾃﾞｰﾀﾍﾞｰｽ変更点!#REF!</definedName>
    <definedName name="B_DOPA_OWNER_HISTORY">[3]ﾃﾞｰﾀﾍﾞｰｽ変更点!#REF!</definedName>
    <definedName name="B_DOPA_SERVER" localSheetId="7">[3]ﾃﾞｰﾀﾍﾞｰｽ変更点!#REF!</definedName>
    <definedName name="B_DOPA_SERVER" localSheetId="3">[3]ﾃﾞｰﾀﾍﾞｰｽ変更点!#REF!</definedName>
    <definedName name="B_DOPA_SERVER">[3]ﾃﾞｰﾀﾍﾞｰｽ変更点!#REF!</definedName>
    <definedName name="B_EQUIPMENT_HISTORY" localSheetId="7">[3]ﾃﾞｰﾀﾍﾞｰｽ変更点!#REF!</definedName>
    <definedName name="B_EQUIPMENT_HISTORY" localSheetId="3">[3]ﾃﾞｰﾀﾍﾞｰｽ変更点!#REF!</definedName>
    <definedName name="B_EQUIPMENT_HISTORY">[3]ﾃﾞｰﾀﾍﾞｰｽ変更点!#REF!</definedName>
    <definedName name="B_ERROR" localSheetId="7">[3]ﾃﾞｰﾀﾍﾞｰｽ変更点!#REF!</definedName>
    <definedName name="B_ERROR" localSheetId="3">[3]ﾃﾞｰﾀﾍﾞｰｽ変更点!#REF!</definedName>
    <definedName name="B_ERROR">[3]ﾃﾞｰﾀﾍﾞｰｽ変更点!#REF!</definedName>
    <definedName name="B_ERROR_ENABLED" localSheetId="7">[3]ﾃﾞｰﾀﾍﾞｰｽ変更点!#REF!</definedName>
    <definedName name="B_ERROR_ENABLED" localSheetId="3">[3]ﾃﾞｰﾀﾍﾞｰｽ変更点!#REF!</definedName>
    <definedName name="B_ERROR_ENABLED">[3]ﾃﾞｰﾀﾍﾞｰｽ変更点!#REF!</definedName>
    <definedName name="B_ERROR_MASTER" localSheetId="7">[3]ﾃﾞｰﾀﾍﾞｰｽ変更点!#REF!</definedName>
    <definedName name="B_ERROR_MASTER" localSheetId="3">[3]ﾃﾞｰﾀﾍﾞｰｽ変更点!#REF!</definedName>
    <definedName name="B_ERROR_MASTER">[3]ﾃﾞｰﾀﾍﾞｰｽ変更点!#REF!</definedName>
    <definedName name="B_EVENT_CATEGORY" localSheetId="7">[4]TableDesign!#REF!</definedName>
    <definedName name="B_EVENT_CATEGORY" localSheetId="3">[4]TableDesign!#REF!</definedName>
    <definedName name="B_EVENT_CATEGORY">[4]TableDesign!#REF!</definedName>
    <definedName name="B_EVENT_DIVISION" localSheetId="7">[3]ﾃﾞｰﾀﾍﾞｰｽ変更点!#REF!</definedName>
    <definedName name="B_EVENT_DIVISION" localSheetId="3">[3]ﾃﾞｰﾀﾍﾞｰｽ変更点!#REF!</definedName>
    <definedName name="B_EVENT_DIVISION">[3]ﾃﾞｰﾀﾍﾞｰｽ変更点!#REF!</definedName>
    <definedName name="B_EVENT_MASTER" localSheetId="7">[3]ﾃﾞｰﾀﾍﾞｰｽ変更点!#REF!</definedName>
    <definedName name="B_EVENT_MASTER" localSheetId="3">[3]ﾃﾞｰﾀﾍﾞｰｽ変更点!#REF!</definedName>
    <definedName name="B_EVENT_MASTER">[3]ﾃﾞｰﾀﾍﾞｰｽ変更点!#REF!</definedName>
    <definedName name="B_EVENT_NOTICE" localSheetId="7">[3]ﾃﾞｰﾀﾍﾞｰｽ変更点!#REF!</definedName>
    <definedName name="B_EVENT_NOTICE" localSheetId="3">[3]ﾃﾞｰﾀﾍﾞｰｽ変更点!#REF!</definedName>
    <definedName name="B_EVENT_NOTICE">[3]ﾃﾞｰﾀﾍﾞｰｽ変更点!#REF!</definedName>
    <definedName name="B_FUEL_GAUGE" localSheetId="7">[4]TableDesign!#REF!</definedName>
    <definedName name="B_FUEL_GAUGE" localSheetId="3">[4]TableDesign!#REF!</definedName>
    <definedName name="B_FUEL_GAUGE">[4]TableDesign!#REF!</definedName>
    <definedName name="B_GAUGE_FUEL_WTTEMP" localSheetId="7">[3]ﾃﾞｰﾀﾍﾞｰｽ変更点!#REF!</definedName>
    <definedName name="B_GAUGE_FUEL_WTTEMP" localSheetId="3">[3]ﾃﾞｰﾀﾍﾞｰｽ変更点!#REF!</definedName>
    <definedName name="B_GAUGE_FUEL_WTTEMP">[3]ﾃﾞｰﾀﾍﾞｰｽ変更点!#REF!</definedName>
    <definedName name="B_GIS_DEFINE" localSheetId="7">[4]TableDesign!#REF!</definedName>
    <definedName name="B_GIS_DEFINE" localSheetId="3">[4]TableDesign!#REF!</definedName>
    <definedName name="B_GIS_DEFINE">[4]TableDesign!#REF!</definedName>
    <definedName name="B_GPS" localSheetId="7">[3]ﾃﾞｰﾀﾍﾞｰｽ変更点!#REF!</definedName>
    <definedName name="B_GPS" localSheetId="3">[3]ﾃﾞｰﾀﾍﾞｰｽ変更点!#REF!</definedName>
    <definedName name="B_GPS">[3]ﾃﾞｰﾀﾍﾞｰｽ変更点!#REF!</definedName>
    <definedName name="B_GRANT_AUTHORITY" localSheetId="7">[3]ﾃﾞｰﾀﾍﾞｰｽ変更点!#REF!</definedName>
    <definedName name="B_GRANT_AUTHORITY" localSheetId="3">[3]ﾃﾞｰﾀﾍﾞｰｽ変更点!#REF!</definedName>
    <definedName name="B_GRANT_AUTHORITY">[3]ﾃﾞｰﾀﾍﾞｰｽ変更点!#REF!</definedName>
    <definedName name="B_GROUP_MASTER" localSheetId="7">[3]ﾃﾞｰﾀﾍﾞｰｽ変更点!#REF!</definedName>
    <definedName name="B_GROUP_MASTER" localSheetId="3">[3]ﾃﾞｰﾀﾍﾞｰｽ変更点!#REF!</definedName>
    <definedName name="B_GROUP_MASTER">[3]ﾃﾞｰﾀﾍﾞｰｽ変更点!#REF!</definedName>
    <definedName name="B_IGNORE_CAUTION" localSheetId="7">[5]テーブル設計!#REF!</definedName>
    <definedName name="B_IGNORE_CAUTION" localSheetId="3">[5]テーブル設計!#REF!</definedName>
    <definedName name="B_IGNORE_CAUTION">[5]テーブル設計!#REF!</definedName>
    <definedName name="B_IGNORE_ERROR" localSheetId="7">[5]テーブル設計!#REF!</definedName>
    <definedName name="B_IGNORE_ERROR" localSheetId="3">[5]テーブル設計!#REF!</definedName>
    <definedName name="B_IGNORE_ERROR">[5]テーブル設計!#REF!</definedName>
    <definedName name="B_INFORM_MASTER" localSheetId="7">[3]ﾃﾞｰﾀﾍﾞｰｽ変更点!#REF!</definedName>
    <definedName name="B_INFORM_MASTER" localSheetId="3">[3]ﾃﾞｰﾀﾍﾞｰｽ変更点!#REF!</definedName>
    <definedName name="B_INFORM_MASTER">[3]ﾃﾞｰﾀﾍﾞｰｽ変更点!#REF!</definedName>
    <definedName name="B_INFORMATION" localSheetId="7">[3]ﾃﾞｰﾀﾍﾞｰｽ変更点!#REF!</definedName>
    <definedName name="B_INFORMATION" localSheetId="3">[3]ﾃﾞｰﾀﾍﾞｰｽ変更点!#REF!</definedName>
    <definedName name="B_INFORMATION">[3]ﾃﾞｰﾀﾍﾞｰｽ変更点!#REF!</definedName>
    <definedName name="B_INFORMATION_READED" localSheetId="7">[3]ﾃﾞｰﾀﾍﾞｰｽ変更点!#REF!</definedName>
    <definedName name="B_INFORMATION_READED" localSheetId="3">[3]ﾃﾞｰﾀﾍﾞｰｽ変更点!#REF!</definedName>
    <definedName name="B_INFORMATION_READED">[3]ﾃﾞｰﾀﾍﾞｰｽ変更点!#REF!</definedName>
    <definedName name="B_INVALID_PART_TERMINAL" localSheetId="7">[5]テーブル設計!#REF!</definedName>
    <definedName name="B_INVALID_PART_TERMINAL" localSheetId="3">[5]テーブル設計!#REF!</definedName>
    <definedName name="B_INVALID_PART_TERMINAL">[5]テーブル設計!#REF!</definedName>
    <definedName name="B_KIND_MASTER" localSheetId="7">[3]ﾃﾞｰﾀﾍﾞｰｽ変更点!#REF!</definedName>
    <definedName name="B_KIND_MASTER" localSheetId="3">[3]ﾃﾞｰﾀﾍﾞｰｽ変更点!#REF!</definedName>
    <definedName name="B_KIND_MASTER">[3]ﾃﾞｰﾀﾍﾞｰｽ変更点!#REF!</definedName>
    <definedName name="B_KRO_APPLICATION" localSheetId="7">[3]ﾃﾞｰﾀﾍﾞｰｽ変更点!#REF!</definedName>
    <definedName name="B_KRO_APPLICATION" localSheetId="3">[3]ﾃﾞｰﾀﾍﾞｰｽ変更点!#REF!</definedName>
    <definedName name="B_KRO_APPLICATION">[3]ﾃﾞｰﾀﾍﾞｰｽ変更点!#REF!</definedName>
    <definedName name="B_KRO_APPLICATION_DATA" localSheetId="7">[3]ﾃﾞｰﾀﾍﾞｰｽ変更点!#REF!</definedName>
    <definedName name="B_KRO_APPLICATION_DATA" localSheetId="3">[3]ﾃﾞｰﾀﾍﾞｰｽ変更点!#REF!</definedName>
    <definedName name="B_KRO_APPLICATION_DATA">[3]ﾃﾞｰﾀﾍﾞｰｽ変更点!#REF!</definedName>
    <definedName name="B_KRO_COMPLETION" localSheetId="7">[3]ﾃﾞｰﾀﾍﾞｰｽ変更点!#REF!</definedName>
    <definedName name="B_KRO_COMPLETION" localSheetId="3">[3]ﾃﾞｰﾀﾍﾞｰｽ変更点!#REF!</definedName>
    <definedName name="B_KRO_COMPLETION">[3]ﾃﾞｰﾀﾍﾞｰｽ変更点!#REF!</definedName>
    <definedName name="B_KRO_COMPLETION_DATA" localSheetId="7">[3]ﾃﾞｰﾀﾍﾞｰｽ変更点!#REF!</definedName>
    <definedName name="B_KRO_COMPLETION_DATA" localSheetId="3">[3]ﾃﾞｰﾀﾍﾞｰｽ変更点!#REF!</definedName>
    <definedName name="B_KRO_COMPLETION_DATA">[3]ﾃﾞｰﾀﾍﾞｰｽ変更点!#REF!</definedName>
    <definedName name="B_KRO_EMERGENCY" localSheetId="7">[5]テーブル設計!#REF!</definedName>
    <definedName name="B_KRO_EMERGENCY" localSheetId="3">[5]テーブル設計!#REF!</definedName>
    <definedName name="B_KRO_EMERGENCY">[5]テーブル設計!#REF!</definedName>
    <definedName name="B_KRO_REPORT" localSheetId="7">[3]ﾃﾞｰﾀﾍﾞｰｽ変更点!#REF!</definedName>
    <definedName name="B_KRO_REPORT" localSheetId="3">[3]ﾃﾞｰﾀﾍﾞｰｽ変更点!#REF!</definedName>
    <definedName name="B_KRO_REPORT">[3]ﾃﾞｰﾀﾍﾞｰｽ変更点!#REF!</definedName>
    <definedName name="B_LANDMARK" localSheetId="7">[3]ﾃﾞｰﾀﾍﾞｰｽ変更点!#REF!</definedName>
    <definedName name="B_LANDMARK" localSheetId="3">[3]ﾃﾞｰﾀﾍﾞｰｽ変更点!#REF!</definedName>
    <definedName name="B_LANDMARK">[3]ﾃﾞｰﾀﾍﾞｰｽ変更点!#REF!</definedName>
    <definedName name="B_LANDMARK_CLASS" localSheetId="7">[3]ﾃﾞｰﾀﾍﾞｰｽ変更点!#REF!</definedName>
    <definedName name="B_LANDMARK_CLASS" localSheetId="3">[3]ﾃﾞｰﾀﾍﾞｰｽ変更点!#REF!</definedName>
    <definedName name="B_LANDMARK_CLASS">[3]ﾃﾞｰﾀﾍﾞｰｽ変更点!#REF!</definedName>
    <definedName name="B_LOGON_HISTORY" localSheetId="7">[3]ﾃﾞｰﾀﾍﾞｰｽ変更点!#REF!</definedName>
    <definedName name="B_LOGON_HISTORY" localSheetId="3">[3]ﾃﾞｰﾀﾍﾞｰｽ変更点!#REF!</definedName>
    <definedName name="B_LOGON_HISTORY">[3]ﾃﾞｰﾀﾍﾞｰｽ変更点!#REF!</definedName>
    <definedName name="B_MACHINE_ERROR" localSheetId="7">[4]TableDesign!#REF!</definedName>
    <definedName name="B_MACHINE_ERROR" localSheetId="3">[4]TableDesign!#REF!</definedName>
    <definedName name="B_MACHINE_ERROR">[4]TableDesign!#REF!</definedName>
    <definedName name="B_MACHINE_STATUS_MASTER" localSheetId="7">[3]ﾃﾞｰﾀﾍﾞｰｽ変更点!#REF!</definedName>
    <definedName name="B_MACHINE_STATUS_MASTER" localSheetId="3">[3]ﾃﾞｰﾀﾍﾞｰｽ変更点!#REF!</definedName>
    <definedName name="B_MACHINE_STATUS_MASTER">[3]ﾃﾞｰﾀﾍﾞｰｽ変更点!#REF!</definedName>
    <definedName name="B_MAINTENANCE_DATA" localSheetId="7">[3]ﾃﾞｰﾀﾍﾞｰｽ変更点!#REF!</definedName>
    <definedName name="B_MAINTENANCE_DATA" localSheetId="3">[3]ﾃﾞｰﾀﾍﾞｰｽ変更点!#REF!</definedName>
    <definedName name="B_MAINTENANCE_DATA">[3]ﾃﾞｰﾀﾍﾞｰｽ変更点!#REF!</definedName>
    <definedName name="B_MAINTENANCE_INFORM" localSheetId="7">[3]ﾃﾞｰﾀﾍﾞｰｽ変更点!#REF!</definedName>
    <definedName name="B_MAINTENANCE_INFORM" localSheetId="3">[3]ﾃﾞｰﾀﾍﾞｰｽ変更点!#REF!</definedName>
    <definedName name="B_MAINTENANCE_INFORM">[3]ﾃﾞｰﾀﾍﾞｰｽ変更点!#REF!</definedName>
    <definedName name="B_MAINTENANCE_MASTER" localSheetId="7">[3]ﾃﾞｰﾀﾍﾞｰｽ変更点!#REF!</definedName>
    <definedName name="B_MAINTENANCE_MASTER" localSheetId="3">[3]ﾃﾞｰﾀﾍﾞｰｽ変更点!#REF!</definedName>
    <definedName name="B_MAINTENANCE_MASTER">[3]ﾃﾞｰﾀﾍﾞｰｽ変更点!#REF!</definedName>
    <definedName name="B_MAINTENANCE_TIME" localSheetId="7">[4]TableDesign!#REF!</definedName>
    <definedName name="B_MAINTENANCE_TIME" localSheetId="3">[4]TableDesign!#REF!</definedName>
    <definedName name="B_MAINTENANCE_TIME">[4]TableDesign!#REF!</definedName>
    <definedName name="B_MAKER_MASTER" localSheetId="7">[3]ﾃﾞｰﾀﾍﾞｰｽ変更点!#REF!</definedName>
    <definedName name="B_MAKER_MASTER" localSheetId="3">[3]ﾃﾞｰﾀﾍﾞｰｽ変更点!#REF!</definedName>
    <definedName name="B_MAKER_MASTER">[3]ﾃﾞｰﾀﾍﾞｰｽ変更点!#REF!</definedName>
    <definedName name="B_MARK_MACHINE" localSheetId="7">[4]TableDesign!#REF!</definedName>
    <definedName name="B_MARK_MACHINE" localSheetId="3">[4]TableDesign!#REF!</definedName>
    <definedName name="B_MARK_MACHINE">[4]TableDesign!#REF!</definedName>
    <definedName name="B_MARK_NOTIFICATION" localSheetId="7">[4]TableDesign!#REF!</definedName>
    <definedName name="B_MARK_NOTIFICATION" localSheetId="3">[4]TableDesign!#REF!</definedName>
    <definedName name="B_MARK_NOTIFICATION">[4]TableDesign!#REF!</definedName>
    <definedName name="B_MARK_NOTIFICATION_DETAIL" localSheetId="7">[4]TableDesign!#REF!</definedName>
    <definedName name="B_MARK_NOTIFICATION_DETAIL" localSheetId="3">[4]TableDesign!#REF!</definedName>
    <definedName name="B_MARK_NOTIFICATION_DETAIL">[4]TableDesign!#REF!</definedName>
    <definedName name="B_MEMO" localSheetId="7">[3]ﾃﾞｰﾀﾍﾞｰｽ変更点!#REF!</definedName>
    <definedName name="B_MEMO" localSheetId="3">[3]ﾃﾞｰﾀﾍﾞｰｽ変更点!#REF!</definedName>
    <definedName name="B_MEMO">[3]ﾃﾞｰﾀﾍﾞｰｽ変更点!#REF!</definedName>
    <definedName name="B_MEMORY_MODIFY" localSheetId="7">[3]ﾃﾞｰﾀﾍﾞｰｽ変更点!#REF!</definedName>
    <definedName name="B_MEMORY_MODIFY" localSheetId="3">[3]ﾃﾞｰﾀﾍﾞｰｽ変更点!#REF!</definedName>
    <definedName name="B_MEMORY_MODIFY">[3]ﾃﾞｰﾀﾍﾞｰｽ変更点!#REF!</definedName>
    <definedName name="B_MEMORY_MODIFY_DATA" localSheetId="7">[3]ﾃﾞｰﾀﾍﾞｰｽ変更点!#REF!</definedName>
    <definedName name="B_MEMORY_MODIFY_DATA" localSheetId="3">[3]ﾃﾞｰﾀﾍﾞｰｽ変更点!#REF!</definedName>
    <definedName name="B_MEMORY_MODIFY_DATA">[3]ﾃﾞｰﾀﾍﾞｰｽ変更点!#REF!</definedName>
    <definedName name="B_MESSAGE" localSheetId="7">[3]ﾃﾞｰﾀﾍﾞｰｽ変更点!#REF!</definedName>
    <definedName name="B_MESSAGE" localSheetId="3">[3]ﾃﾞｰﾀﾍﾞｰｽ変更点!#REF!</definedName>
    <definedName name="B_MESSAGE">[3]ﾃﾞｰﾀﾍﾞｰｽ変更点!#REF!</definedName>
    <definedName name="B_MESSAGE_MASTER" localSheetId="7">[3]ﾃﾞｰﾀﾍﾞｰｽ変更点!#REF!</definedName>
    <definedName name="B_MESSAGE_MASTER" localSheetId="3">[3]ﾃﾞｰﾀﾍﾞｰｽ変更点!#REF!</definedName>
    <definedName name="B_MESSAGE_MASTER">[3]ﾃﾞｰﾀﾍﾞｰｽ変更点!#REF!</definedName>
    <definedName name="B_MONTHLY_ATT_SMR" localSheetId="7">[4]TableDesign!#REF!</definedName>
    <definedName name="B_MONTHLY_ATT_SMR" localSheetId="3">[4]TableDesign!#REF!</definedName>
    <definedName name="B_MONTHLY_ATT_SMR">[4]TableDesign!#REF!</definedName>
    <definedName name="B_MONTHLY_ERROR" localSheetId="7">[4]TableDesign!#REF!</definedName>
    <definedName name="B_MONTHLY_ERROR" localSheetId="3">[4]TableDesign!#REF!</definedName>
    <definedName name="B_MONTHLY_ERROR">[4]TableDesign!#REF!</definedName>
    <definedName name="B_MONTHLY_LOAD" localSheetId="7">[4]TableDesign!#REF!</definedName>
    <definedName name="B_MONTHLY_LOAD" localSheetId="3">[4]TableDesign!#REF!</definedName>
    <definedName name="B_MONTHLY_LOAD">[4]TableDesign!#REF!</definedName>
    <definedName name="B_MONTHLY_MOVEMENT" localSheetId="7">[4]TableDesign!#REF!</definedName>
    <definedName name="B_MONTHLY_MOVEMENT" localSheetId="3">[4]TableDesign!#REF!</definedName>
    <definedName name="B_MONTHLY_MOVEMENT">[4]TableDesign!#REF!</definedName>
    <definedName name="B_MONTHLY_OPERATION" localSheetId="7">[4]TableDesign!#REF!</definedName>
    <definedName name="B_MONTHLY_OPERATION" localSheetId="3">[4]TableDesign!#REF!</definedName>
    <definedName name="B_MONTHLY_OPERATION">[4]TableDesign!#REF!</definedName>
    <definedName name="B_MONTHLY_SMR" localSheetId="7">[4]TableDesign!#REF!</definedName>
    <definedName name="B_MONTHLY_SMR" localSheetId="3">[4]TableDesign!#REF!</definedName>
    <definedName name="B_MONTHLY_SMR">[4]TableDesign!#REF!</definedName>
    <definedName name="B_MONTHLY_WORKING_SMR" localSheetId="7">[4]TableDesign!#REF!</definedName>
    <definedName name="B_MONTHLY_WORKING_SMR" localSheetId="3">[4]TableDesign!#REF!</definedName>
    <definedName name="B_MONTHLY_WORKING_SMR">[4]TableDesign!#REF!</definedName>
    <definedName name="B_MONTLY_LOAD" localSheetId="7">[4]TableDesign!#REF!</definedName>
    <definedName name="B_MONTLY_LOAD" localSheetId="3">[4]TableDesign!#REF!</definedName>
    <definedName name="B_MONTLY_LOAD">[4]TableDesign!#REF!</definedName>
    <definedName name="B_MULTI_OPE" localSheetId="7">[3]ﾃﾞｰﾀﾍﾞｰｽ変更点!#REF!</definedName>
    <definedName name="B_MULTI_OPE" localSheetId="3">[3]ﾃﾞｰﾀﾍﾞｰｽ変更点!#REF!</definedName>
    <definedName name="B_MULTI_OPE">[3]ﾃﾞｰﾀﾍﾞｰｽ変更点!#REF!</definedName>
    <definedName name="B_MULTI_OPE_DATA" localSheetId="7">[5]テーブル設計!#REF!</definedName>
    <definedName name="B_MULTI_OPE_DATA" localSheetId="3">[5]テーブル設計!#REF!</definedName>
    <definedName name="B_MULTI_OPE_DATA">[5]テーブル設計!#REF!</definedName>
    <definedName name="B_NLS_DB_RESOURCE" localSheetId="7">[4]TableDesign!#REF!</definedName>
    <definedName name="B_NLS_DB_RESOURCE" localSheetId="3">[4]TableDesign!#REF!</definedName>
    <definedName name="B_NLS_DB_RESOURCE">[4]TableDesign!#REF!</definedName>
    <definedName name="B_NLS_LANG" localSheetId="7">[4]TableDesign!#REF!</definedName>
    <definedName name="B_NLS_LANG" localSheetId="3">[4]TableDesign!#REF!</definedName>
    <definedName name="B_NLS_LANG">[4]TableDesign!#REF!</definedName>
    <definedName name="B_NLS_RESOURCE" localSheetId="7">[4]TableDesign!#REF!</definedName>
    <definedName name="B_NLS_RESOURCE" localSheetId="3">[4]TableDesign!#REF!</definedName>
    <definedName name="B_NLS_RESOURCE">[4]TableDesign!#REF!</definedName>
    <definedName name="B_NOT_ACTIVE" localSheetId="7">[3]ﾃﾞｰﾀﾍﾞｰｽ変更点!#REF!</definedName>
    <definedName name="B_NOT_ACTIVE" localSheetId="3">[3]ﾃﾞｰﾀﾍﾞｰｽ変更点!#REF!</definedName>
    <definedName name="B_NOT_ACTIVE">[3]ﾃﾞｰﾀﾍﾞｰｽ変更点!#REF!</definedName>
    <definedName name="B_OPERATION_CATEGORY" localSheetId="7">[4]TableDesign!#REF!</definedName>
    <definedName name="B_OPERATION_CATEGORY" localSheetId="3">[4]TableDesign!#REF!</definedName>
    <definedName name="B_OPERATION_CATEGORY">[4]TableDesign!#REF!</definedName>
    <definedName name="B_OPERATION_CLASS" localSheetId="7">[5]テーブル設計!#REF!</definedName>
    <definedName name="B_OPERATION_CLASS" localSheetId="3">[5]テーブル設計!#REF!</definedName>
    <definedName name="B_OPERATION_CLASS">[5]テーブル設計!#REF!</definedName>
    <definedName name="B_OPERATION_LOG" localSheetId="7">[3]ﾃﾞｰﾀﾍﾞｰｽ変更点!#REF!</definedName>
    <definedName name="B_OPERATION_LOG" localSheetId="3">[3]ﾃﾞｰﾀﾍﾞｰｽ変更点!#REF!</definedName>
    <definedName name="B_OPERATION_LOG">[3]ﾃﾞｰﾀﾍﾞｰｽ変更点!#REF!</definedName>
    <definedName name="B_OPERATION_LOG2" localSheetId="7">[5]テーブル設計!#REF!</definedName>
    <definedName name="B_OPERATION_LOG2" localSheetId="3">[5]テーブル設計!#REF!</definedName>
    <definedName name="B_OPERATION_LOG2">[5]テーブル設計!#REF!</definedName>
    <definedName name="B_OPERATION_MAP" localSheetId="7">[4]TableDesign!#REF!</definedName>
    <definedName name="B_OPERATION_MAP" localSheetId="3">[4]TableDesign!#REF!</definedName>
    <definedName name="B_OPERATION_MAP">[4]TableDesign!#REF!</definedName>
    <definedName name="B_OPERATION_MASTER" localSheetId="7">[5]テーブル設計!#REF!</definedName>
    <definedName name="B_OPERATION_MASTER" localSheetId="3">[5]テーブル設計!#REF!</definedName>
    <definedName name="B_OPERATION_MASTER">[5]テーブル設計!#REF!</definedName>
    <definedName name="B_ORBCOMM" localSheetId="7">[3]ﾃﾞｰﾀﾍﾞｰｽ変更点!#REF!</definedName>
    <definedName name="B_ORBCOMM" localSheetId="3">[3]ﾃﾞｰﾀﾍﾞｰｽ変更点!#REF!</definedName>
    <definedName name="B_ORBCOMM">[3]ﾃﾞｰﾀﾍﾞｰｽ変更点!#REF!</definedName>
    <definedName name="B_ORBCOMM_OWNER_HISTORY" localSheetId="7">[3]ﾃﾞｰﾀﾍﾞｰｽ変更点!#REF!</definedName>
    <definedName name="B_ORBCOMM_OWNER_HISTORY" localSheetId="3">[3]ﾃﾞｰﾀﾍﾞｰｽ変更点!#REF!</definedName>
    <definedName name="B_ORBCOMM_OWNER_HISTORY">[3]ﾃﾞｰﾀﾍﾞｰｽ変更点!#REF!</definedName>
    <definedName name="B_PLANT_CAR" localSheetId="7">[5]テーブル設計!#REF!</definedName>
    <definedName name="B_PLANT_CAR" localSheetId="3">[5]テーブル設計!#REF!</definedName>
    <definedName name="B_PLANT_CAR">[5]テーブル設計!#REF!</definedName>
    <definedName name="B_PLANT_ERROR" localSheetId="7">[5]テーブル設計!#REF!</definedName>
    <definedName name="B_PLANT_ERROR" localSheetId="3">[5]テーブル設計!#REF!</definedName>
    <definedName name="B_PLANT_ERROR">[5]テーブル設計!#REF!</definedName>
    <definedName name="B_PLANT_GPS" localSheetId="7">[5]テーブル設計!#REF!</definedName>
    <definedName name="B_PLANT_GPS" localSheetId="3">[5]テーブル設計!#REF!</definedName>
    <definedName name="B_PLANT_GPS">[5]テーブル設計!#REF!</definedName>
    <definedName name="B_PREVENT_THEFT_KEY" localSheetId="7">[3]ﾃﾞｰﾀﾍﾞｰｽ変更点!#REF!</definedName>
    <definedName name="B_PREVENT_THEFT_KEY" localSheetId="3">[3]ﾃﾞｰﾀﾍﾞｰｽ変更点!#REF!</definedName>
    <definedName name="B_PREVENT_THEFT_KEY">[3]ﾃﾞｰﾀﾍﾞｰｽ変更点!#REF!</definedName>
    <definedName name="B_PRIVATE_TARGET_CAR" localSheetId="7">[3]ﾃﾞｰﾀﾍﾞｰｽ変更点!#REF!</definedName>
    <definedName name="B_PRIVATE_TARGET_CAR" localSheetId="3">[3]ﾃﾞｰﾀﾍﾞｰｽ変更点!#REF!</definedName>
    <definedName name="B_PRIVATE_TARGET_CAR">[3]ﾃﾞｰﾀﾍﾞｰｽ変更点!#REF!</definedName>
    <definedName name="B_RECEIVE_LIST" localSheetId="7">[5]テーブル設計!#REF!</definedName>
    <definedName name="B_RECEIVE_LIST" localSheetId="3">[5]テーブル設計!#REF!</definedName>
    <definedName name="B_RECEIVE_LIST">[5]テーブル設計!#REF!</definedName>
    <definedName name="B_RECEIVE_LOG" localSheetId="7">[3]ﾃﾞｰﾀﾍﾞｰｽ変更点!#REF!</definedName>
    <definedName name="B_RECEIVE_LOG" localSheetId="3">[3]ﾃﾞｰﾀﾍﾞｰｽ変更点!#REF!</definedName>
    <definedName name="B_RECEIVE_LOG">[3]ﾃﾞｰﾀﾍﾞｰｽ変更点!#REF!</definedName>
    <definedName name="B_REGION_DATA" localSheetId="7">[4]TableDesign!#REF!</definedName>
    <definedName name="B_REGION_DATA" localSheetId="3">[4]TableDesign!#REF!</definedName>
    <definedName name="B_REGION_DATA">[4]TableDesign!#REF!</definedName>
    <definedName name="B_REGION_MASTER" localSheetId="7">[4]TableDesign!#REF!</definedName>
    <definedName name="B_REGION_MASTER" localSheetId="3">[4]TableDesign!#REF!</definedName>
    <definedName name="B_REGION_MASTER">[4]TableDesign!#REF!</definedName>
    <definedName name="B_RENTAL_TERMINAL" localSheetId="7">[5]テーブル設計!#REF!</definedName>
    <definedName name="B_RENTAL_TERMINAL" localSheetId="3">[5]テーブル設計!#REF!</definedName>
    <definedName name="B_RENTAL_TERMINAL">[5]テーブル設計!#REF!</definedName>
    <definedName name="B_REQUEST" localSheetId="7">[3]ﾃﾞｰﾀﾍﾞｰｽ変更点!#REF!</definedName>
    <definedName name="B_REQUEST" localSheetId="3">[3]ﾃﾞｰﾀﾍﾞｰｽ変更点!#REF!</definedName>
    <definedName name="B_REQUEST">[3]ﾃﾞｰﾀﾍﾞｰｽ変更点!#REF!</definedName>
    <definedName name="B_REQUEST_COUNT" localSheetId="7">[3]ﾃﾞｰﾀﾍﾞｰｽ変更点!#REF!</definedName>
    <definedName name="B_REQUEST_COUNT" localSheetId="3">[3]ﾃﾞｰﾀﾍﾞｰｽ変更点!#REF!</definedName>
    <definedName name="B_REQUEST_COUNT">[3]ﾃﾞｰﾀﾍﾞｰｽ変更点!#REF!</definedName>
    <definedName name="B_REQUEST_LOG" localSheetId="7">[3]ﾃﾞｰﾀﾍﾞｰｽ変更点!#REF!</definedName>
    <definedName name="B_REQUEST_LOG" localSheetId="3">[3]ﾃﾞｰﾀﾍﾞｰｽ変更点!#REF!</definedName>
    <definedName name="B_REQUEST_LOG">[3]ﾃﾞｰﾀﾍﾞｰｽ変更点!#REF!</definedName>
    <definedName name="B_RIVATE_TARGET_CAR" localSheetId="7">[4]TableDesign!#REF!</definedName>
    <definedName name="B_RIVATE_TARGET_CAR" localSheetId="3">[4]TableDesign!#REF!</definedName>
    <definedName name="B_RIVATE_TARGET_CAR">[4]TableDesign!#REF!</definedName>
    <definedName name="B_RUNNING_LOG" localSheetId="7">[3]ﾃﾞｰﾀﾍﾞｰｽ変更点!#REF!</definedName>
    <definedName name="B_RUNNING_LOG" localSheetId="3">[3]ﾃﾞｰﾀﾍﾞｰｽ変更点!#REF!</definedName>
    <definedName name="B_RUNNING_LOG">[3]ﾃﾞｰﾀﾍﾞｰｽ変更点!#REF!</definedName>
    <definedName name="B_SAVE_INFORMATION" localSheetId="7">[5]テーブル設計!#REF!</definedName>
    <definedName name="B_SAVE_INFORMATION" localSheetId="3">[5]テーブル設計!#REF!</definedName>
    <definedName name="B_SAVE_INFORMATION">[5]テーブル設計!#REF!</definedName>
    <definedName name="B_SELFCARINSPECTION" localSheetId="7">[3]ﾃﾞｰﾀﾍﾞｰｽ変更点!#REF!</definedName>
    <definedName name="B_SELFCARINSPECTION" localSheetId="3">[3]ﾃﾞｰﾀﾍﾞｰｽ変更点!#REF!</definedName>
    <definedName name="B_SELFCARINSPECTION">[3]ﾃﾞｰﾀﾍﾞｰｽ変更点!#REF!</definedName>
    <definedName name="B_SEND_LIST" localSheetId="7">[5]テーブル設計!#REF!</definedName>
    <definedName name="B_SEND_LIST" localSheetId="3">[5]テーブル設計!#REF!</definedName>
    <definedName name="B_SEND_LIST">[5]テーブル設計!#REF!</definedName>
    <definedName name="B_SEND_LOG" localSheetId="7">[5]テーブル設計!#REF!</definedName>
    <definedName name="B_SEND_LOG" localSheetId="3">[5]テーブル設計!#REF!</definedName>
    <definedName name="B_SEND_LOG">[5]テーブル設計!#REF!</definedName>
    <definedName name="B_SERVER_COMMUNICATION" localSheetId="7">[4]TableDesign!#REF!</definedName>
    <definedName name="B_SERVER_COMMUNICATION" localSheetId="3">[4]TableDesign!#REF!</definedName>
    <definedName name="B_SERVER_COMMUNICATION">[4]TableDesign!#REF!</definedName>
    <definedName name="B_SERVER_INFORMATION" localSheetId="7">[3]ﾃﾞｰﾀﾍﾞｰｽ変更点!#REF!</definedName>
    <definedName name="B_SERVER_INFORMATION" localSheetId="3">[3]ﾃﾞｰﾀﾍﾞｰｽ変更点!#REF!</definedName>
    <definedName name="B_SERVER_INFORMATION">[3]ﾃﾞｰﾀﾍﾞｰｽ変更点!#REF!</definedName>
    <definedName name="B_SERVICE_METER" localSheetId="7">[3]ﾃﾞｰﾀﾍﾞｰｽ変更点!#REF!</definedName>
    <definedName name="B_SERVICE_METER" localSheetId="3">[3]ﾃﾞｰﾀﾍﾞｰｽ変更点!#REF!</definedName>
    <definedName name="B_SERVICE_METER">[3]ﾃﾞｰﾀﾍﾞｰｽ変更点!#REF!</definedName>
    <definedName name="B_SERVICE_METER2" localSheetId="7">[5]テーブル設計!#REF!</definedName>
    <definedName name="B_SERVICE_METER2" localSheetId="3">[5]テーブル設計!#REF!</definedName>
    <definedName name="B_SERVICE_METER2">[5]テーブル設計!#REF!</definedName>
    <definedName name="B_SERVICEMAN" localSheetId="7">[5]テーブル設計!#REF!</definedName>
    <definedName name="B_SERVICEMAN" localSheetId="3">[5]テーブル設計!#REF!</definedName>
    <definedName name="B_SERVICEMAN">[5]テーブル設計!#REF!</definedName>
    <definedName name="B_SERVICEMAN_CHARGE" localSheetId="7">[5]テーブル設計!#REF!</definedName>
    <definedName name="B_SERVICEMAN_CHARGE" localSheetId="3">[5]テーブル設計!#REF!</definedName>
    <definedName name="B_SERVICEMAN_CHARGE">[5]テーブル設計!#REF!</definedName>
    <definedName name="B_SHIPMENT" localSheetId="7">[3]ﾃﾞｰﾀﾍﾞｰｽ変更点!#REF!</definedName>
    <definedName name="B_SHIPMENT" localSheetId="3">[3]ﾃﾞｰﾀﾍﾞｰｽ変更点!#REF!</definedName>
    <definedName name="B_SHIPMENT">[3]ﾃﾞｰﾀﾍﾞｰｽ変更点!#REF!</definedName>
    <definedName name="B_SHOW" localSheetId="7">[3]ﾃﾞｰﾀﾍﾞｰｽ変更点!#REF!</definedName>
    <definedName name="B_SHOW" localSheetId="3">[3]ﾃﾞｰﾀﾍﾞｰｽ変更点!#REF!</definedName>
    <definedName name="B_SHOW">[3]ﾃﾞｰﾀﾍﾞｰｽ変更点!#REF!</definedName>
    <definedName name="B_SHOW_GROUP" localSheetId="7">[3]ﾃﾞｰﾀﾍﾞｰｽ変更点!#REF!</definedName>
    <definedName name="B_SHOW_GROUP" localSheetId="3">[3]ﾃﾞｰﾀﾍﾞｰｽ変更点!#REF!</definedName>
    <definedName name="B_SHOW_GROUP">[3]ﾃﾞｰﾀﾍﾞｰｽ変更点!#REF!</definedName>
    <definedName name="B_SPECIAL_AREA" localSheetId="7">[3]ﾃﾞｰﾀﾍﾞｰｽ変更点!#REF!</definedName>
    <definedName name="B_SPECIAL_AREA" localSheetId="3">[3]ﾃﾞｰﾀﾍﾞｰｽ変更点!#REF!</definedName>
    <definedName name="B_SPECIAL_AREA">[3]ﾃﾞｰﾀﾍﾞｰｽ変更点!#REF!</definedName>
    <definedName name="B_SUB_GROUP" localSheetId="7">[4]TableDesign!#REF!</definedName>
    <definedName name="B_SUB_GROUP" localSheetId="3">[4]TableDesign!#REF!</definedName>
    <definedName name="B_SUB_GROUP">[4]TableDesign!#REF!</definedName>
    <definedName name="B_SUB_GROUP_CAR" localSheetId="7">[4]TableDesign!#REF!</definedName>
    <definedName name="B_SUB_GROUP_CAR" localSheetId="3">[4]TableDesign!#REF!</definedName>
    <definedName name="B_SUB_GROUP_CAR">[4]TableDesign!#REF!</definedName>
    <definedName name="B_SYSTEM_COMMTERM_INFO" localSheetId="7">[3]ﾃﾞｰﾀﾍﾞｰｽ変更点!#REF!</definedName>
    <definedName name="B_SYSTEM_COMMTERM_INFO" localSheetId="3">[3]ﾃﾞｰﾀﾍﾞｰｽ変更点!#REF!</definedName>
    <definedName name="B_SYSTEM_COMMTERM_INFO">[3]ﾃﾞｰﾀﾍﾞｰｽ変更点!#REF!</definedName>
    <definedName name="B_SYSTEM_LOG" localSheetId="7">[3]ﾃﾞｰﾀﾍﾞｰｽ変更点!#REF!</definedName>
    <definedName name="B_SYSTEM_LOG" localSheetId="3">[3]ﾃﾞｰﾀﾍﾞｰｽ変更点!#REF!</definedName>
    <definedName name="B_SYSTEM_LOG">[3]ﾃﾞｰﾀﾍﾞｰｽ変更点!#REF!</definedName>
    <definedName name="B_SYSTEM_NOTICE" localSheetId="7">[3]ﾃﾞｰﾀﾍﾞｰｽ変更点!#REF!</definedName>
    <definedName name="B_SYSTEM_NOTICE" localSheetId="3">[3]ﾃﾞｰﾀﾍﾞｰｽ変更点!#REF!</definedName>
    <definedName name="B_SYSTEM_NOTICE">[3]ﾃﾞｰﾀﾍﾞｰｽ変更点!#REF!</definedName>
    <definedName name="B_TARGET" localSheetId="7">[3]ﾃﾞｰﾀﾍﾞｰｽ変更点!#REF!</definedName>
    <definedName name="B_TARGET" localSheetId="3">[3]ﾃﾞｰﾀﾍﾞｰｽ変更点!#REF!</definedName>
    <definedName name="B_TARGET">[3]ﾃﾞｰﾀﾍﾞｰｽ変更点!#REF!</definedName>
    <definedName name="B_TARGET_CAR" localSheetId="7">[3]ﾃﾞｰﾀﾍﾞｰｽ変更点!#REF!</definedName>
    <definedName name="B_TARGET_CAR" localSheetId="3">[3]ﾃﾞｰﾀﾍﾞｰｽ変更点!#REF!</definedName>
    <definedName name="B_TARGET_CAR">[3]ﾃﾞｰﾀﾍﾞｰｽ変更点!#REF!</definedName>
    <definedName name="B_TERMINAL_AREA" localSheetId="7">[3]ﾃﾞｰﾀﾍﾞｰｽ変更点!#REF!</definedName>
    <definedName name="B_TERMINAL_AREA" localSheetId="3">[3]ﾃﾞｰﾀﾍﾞｰｽ変更点!#REF!</definedName>
    <definedName name="B_TERMINAL_AREA">[3]ﾃﾞｰﾀﾍﾞｰｽ変更点!#REF!</definedName>
    <definedName name="B_TERMINAL_CAUTION" localSheetId="7">[3]ﾃﾞｰﾀﾍﾞｰｽ変更点!#REF!</definedName>
    <definedName name="B_TERMINAL_CAUTION" localSheetId="3">[3]ﾃﾞｰﾀﾍﾞｰｽ変更点!#REF!</definedName>
    <definedName name="B_TERMINAL_CAUTION">[3]ﾃﾞｰﾀﾍﾞｰｽ変更点!#REF!</definedName>
    <definedName name="B_TERMINAL_ERROR" localSheetId="7">[3]ﾃﾞｰﾀﾍﾞｰｽ変更点!#REF!</definedName>
    <definedName name="B_TERMINAL_ERROR" localSheetId="3">[3]ﾃﾞｰﾀﾍﾞｰｽ変更点!#REF!</definedName>
    <definedName name="B_TERMINAL_ERROR">[3]ﾃﾞｰﾀﾍﾞｰｽ変更点!#REF!</definedName>
    <definedName name="B_TERMINAL_KIND" localSheetId="7">[3]ﾃﾞｰﾀﾍﾞｰｽ変更点!#REF!</definedName>
    <definedName name="B_TERMINAL_KIND" localSheetId="3">[3]ﾃﾞｰﾀﾍﾞｰｽ変更点!#REF!</definedName>
    <definedName name="B_TERMINAL_KIND">[3]ﾃﾞｰﾀﾍﾞｰｽ変更点!#REF!</definedName>
    <definedName name="B_TERMINAL_MASTER" localSheetId="7">[3]ﾃﾞｰﾀﾍﾞｰｽ変更点!#REF!</definedName>
    <definedName name="B_TERMINAL_MASTER" localSheetId="3">[3]ﾃﾞｰﾀﾍﾞｰｽ変更点!#REF!</definedName>
    <definedName name="B_TERMINAL_MASTER">[3]ﾃﾞｰﾀﾍﾞｰｽ変更点!#REF!</definedName>
    <definedName name="B_TERMINAL_PART_MASTER" localSheetId="7">[3]ﾃﾞｰﾀﾍﾞｰｽ変更点!#REF!</definedName>
    <definedName name="B_TERMINAL_PART_MASTER" localSheetId="3">[3]ﾃﾞｰﾀﾍﾞｰｽ変更点!#REF!</definedName>
    <definedName name="B_TERMINAL_PART_MASTER">[3]ﾃﾞｰﾀﾍﾞｰｽ変更点!#REF!</definedName>
    <definedName name="B_TYPE_MASTER" localSheetId="7">[3]ﾃﾞｰﾀﾍﾞｰｽ変更点!#REF!</definedName>
    <definedName name="B_TYPE_MASTER" localSheetId="3">[3]ﾃﾞｰﾀﾍﾞｰｽ変更点!#REF!</definedName>
    <definedName name="B_TYPE_MASTER">[3]ﾃﾞｰﾀﾍﾞｰｽ変更点!#REF!</definedName>
    <definedName name="B_UFO" localSheetId="7">[3]ﾃﾞｰﾀﾍﾞｰｽ変更点!#REF!</definedName>
    <definedName name="B_UFO" localSheetId="3">[3]ﾃﾞｰﾀﾍﾞｰｽ変更点!#REF!</definedName>
    <definedName name="B_UFO">[3]ﾃﾞｰﾀﾍﾞｰｽ変更点!#REF!</definedName>
    <definedName name="B_UNRELIABLE_RECEIVE" localSheetId="7">[3]ﾃﾞｰﾀﾍﾞｰｽ変更点!#REF!</definedName>
    <definedName name="B_UNRELIABLE_RECEIVE" localSheetId="3">[3]ﾃﾞｰﾀﾍﾞｰｽ変更点!#REF!</definedName>
    <definedName name="B_UNRELIABLE_RECEIVE">[3]ﾃﾞｰﾀﾍﾞｰｽ変更点!#REF!</definedName>
    <definedName name="B_USER_MASTER" localSheetId="7">[3]ﾃﾞｰﾀﾍﾞｰｽ変更点!#REF!</definedName>
    <definedName name="B_USER_MASTER" localSheetId="3">[3]ﾃﾞｰﾀﾍﾞｰｽ変更点!#REF!</definedName>
    <definedName name="B_USER_MASTER">[3]ﾃﾞｰﾀﾍﾞｰｽ変更点!#REF!</definedName>
    <definedName name="B_USER_TEMP" localSheetId="7">[3]ﾃﾞｰﾀﾍﾞｰｽ変更点!#REF!</definedName>
    <definedName name="B_USER_TEMP" localSheetId="3">[3]ﾃﾞｰﾀﾍﾞｰｽ変更点!#REF!</definedName>
    <definedName name="B_USER_TEMP">[3]ﾃﾞｰﾀﾍﾞｰｽ変更点!#REF!</definedName>
    <definedName name="B_WATER_TEMP_GAUGE" localSheetId="7">[4]TableDesign!#REF!</definedName>
    <definedName name="B_WATER_TEMP_GAUGE" localSheetId="3">[4]TableDesign!#REF!</definedName>
    <definedName name="B_WATER_TEMP_GAUGE">[4]TableDesign!#REF!</definedName>
    <definedName name="BB" localSheetId="7">'[8]DATA-COMMUNICATION-FORMAT'!#REF!</definedName>
    <definedName name="BB" localSheetId="3">'[8]DATA-COMMUNICATION-FORMAT'!#REF!</definedName>
    <definedName name="BB">'[8]DATA-COMMUNICATION-FORMAT'!#REF!</definedName>
    <definedName name="bbb" localSheetId="7" hidden="1">#REF!</definedName>
    <definedName name="bbb" localSheetId="2" hidden="1">#REF!</definedName>
    <definedName name="bbb" localSheetId="3"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7">[5]テーブル設計!#REF!</definedName>
    <definedName name="BINVALID_PART_TERMINAL" localSheetId="3">[5]テーブル設計!#REF!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7">[3]ﾃﾞｰﾀﾍﾞｰｽ変更点!#REF!</definedName>
    <definedName name="C_ACT_DATA" localSheetId="3">[3]ﾃﾞｰﾀﾍﾞｰｽ変更点!#REF!</definedName>
    <definedName name="C_ACT_DATA">[3]ﾃﾞｰﾀﾍﾞｰｽ変更点!#REF!</definedName>
    <definedName name="C_ACTUAL_OPERATION" localSheetId="7">[4]TableDesign!#REF!</definedName>
    <definedName name="C_ACTUAL_OPERATION" localSheetId="3">[4]TableDesign!#REF!</definedName>
    <definedName name="C_ACTUAL_OPERATION">[4]TableDesign!#REF!</definedName>
    <definedName name="C_AREA" localSheetId="7">[3]ﾃﾞｰﾀﾍﾞｰｽ変更点!#REF!</definedName>
    <definedName name="C_AREA" localSheetId="3">[3]ﾃﾞｰﾀﾍﾞｰｽ変更点!#REF!</definedName>
    <definedName name="C_AREA">[3]ﾃﾞｰﾀﾍﾞｰｽ変更点!#REF!</definedName>
    <definedName name="C_AREA_DEFINE" localSheetId="7">[3]ﾃﾞｰﾀﾍﾞｰｽ変更点!#REF!</definedName>
    <definedName name="C_AREA_DEFINE" localSheetId="3">[3]ﾃﾞｰﾀﾍﾞｰｽ変更点!#REF!</definedName>
    <definedName name="C_AREA_DEFINE">[3]ﾃﾞｰﾀﾍﾞｰｽ変更点!#REF!</definedName>
    <definedName name="C_AREA_INIT" localSheetId="7">[3]ﾃﾞｰﾀﾍﾞｰｽ変更点!#REF!</definedName>
    <definedName name="C_AREA_INIT" localSheetId="3">[3]ﾃﾞｰﾀﾍﾞｰｽ変更点!#REF!</definedName>
    <definedName name="C_AREA_INIT">[3]ﾃﾞｰﾀﾍﾞｰｽ変更点!#REF!</definedName>
    <definedName name="C_AREA_MASTER" localSheetId="7">[3]ﾃﾞｰﾀﾍﾞｰｽ変更点!#REF!</definedName>
    <definedName name="C_AREA_MASTER" localSheetId="3">[3]ﾃﾞｰﾀﾍﾞｰｽ変更点!#REF!</definedName>
    <definedName name="C_AREA_MASTER">[3]ﾃﾞｰﾀﾍﾞｰｽ変更点!#REF!</definedName>
    <definedName name="C_ASK" localSheetId="7">[3]ﾃﾞｰﾀﾍﾞｰｽ変更点!#REF!</definedName>
    <definedName name="C_ASK" localSheetId="3">[3]ﾃﾞｰﾀﾍﾞｰｽ変更点!#REF!</definedName>
    <definedName name="C_ASK">[3]ﾃﾞｰﾀﾍﾞｰｽ変更点!#REF!</definedName>
    <definedName name="C_ASK_LOG" localSheetId="7">[5]テーブル設計!#REF!</definedName>
    <definedName name="C_ASK_LOG" localSheetId="3">[5]テーブル設計!#REF!</definedName>
    <definedName name="C_ASK_LOG">[5]テーブル設計!#REF!</definedName>
    <definedName name="C_ASK_SYSTEM" localSheetId="7">[3]ﾃﾞｰﾀﾍﾞｰｽ変更点!#REF!</definedName>
    <definedName name="C_ASK_SYSTEM" localSheetId="3">[3]ﾃﾞｰﾀﾍﾞｰｽ変更点!#REF!</definedName>
    <definedName name="C_ASK_SYSTEM">[3]ﾃﾞｰﾀﾍﾞｰｽ変更点!#REF!</definedName>
    <definedName name="C_ATC_ERROR" localSheetId="7">[5]テーブル設計!#REF!</definedName>
    <definedName name="C_ATC_ERROR" localSheetId="3">[5]テーブル設計!#REF!</definedName>
    <definedName name="C_ATC_ERROR">[5]テーブル設計!#REF!</definedName>
    <definedName name="C_AUTHORITY_GROUP" localSheetId="7">[3]ﾃﾞｰﾀﾍﾞｰｽ変更点!#REF!</definedName>
    <definedName name="C_AUTHORITY_GROUP" localSheetId="3">[3]ﾃﾞｰﾀﾍﾞｰｽ変更点!#REF!</definedName>
    <definedName name="C_AUTHORITY_GROUP">[3]ﾃﾞｰﾀﾍﾞｰｽ変更点!#REF!</definedName>
    <definedName name="C_AUTHORITY_GROUP_DATA" localSheetId="7">[3]ﾃﾞｰﾀﾍﾞｰｽ変更点!#REF!</definedName>
    <definedName name="C_AUTHORITY_GROUP_DATA" localSheetId="3">[3]ﾃﾞｰﾀﾍﾞｰｽ変更点!#REF!</definedName>
    <definedName name="C_AUTHORITY_GROUP_DATA">[3]ﾃﾞｰﾀﾍﾞｰｽ変更点!#REF!</definedName>
    <definedName name="C_AUTHORITY_MASTER" localSheetId="7">[5]テーブル設計!#REF!</definedName>
    <definedName name="C_AUTHORITY_MASTER" localSheetId="3">[5]テーブル設計!#REF!</definedName>
    <definedName name="C_AUTHORITY_MASTER">[5]テーブル設計!#REF!</definedName>
    <definedName name="C_BONDED_STORE" localSheetId="7">[5]テーブル設計!#REF!</definedName>
    <definedName name="C_BONDED_STORE" localSheetId="3">[5]テーブル設計!#REF!</definedName>
    <definedName name="C_BONDED_STORE">[5]テーブル設計!#REF!</definedName>
    <definedName name="C_CAR_DATA" localSheetId="7">[3]ﾃﾞｰﾀﾍﾞｰｽ変更点!#REF!</definedName>
    <definedName name="C_CAR_DATA" localSheetId="3">[3]ﾃﾞｰﾀﾍﾞｰｽ変更点!#REF!</definedName>
    <definedName name="C_CAR_DATA">[3]ﾃﾞｰﾀﾍﾞｰｽ変更点!#REF!</definedName>
    <definedName name="C_CAR_MASTER" localSheetId="7">[3]ﾃﾞｰﾀﾍﾞｰｽ変更点!#REF!</definedName>
    <definedName name="C_CAR_MASTER" localSheetId="3">[3]ﾃﾞｰﾀﾍﾞｰｽ変更点!#REF!</definedName>
    <definedName name="C_CAR_MASTER">[3]ﾃﾞｰﾀﾍﾞｰｽ変更点!#REF!</definedName>
    <definedName name="C_CAR_MONTHLY_DATA" localSheetId="7">[3]ﾃﾞｰﾀﾍﾞｰｽ変更点!#REF!</definedName>
    <definedName name="C_CAR_MONTHLY_DATA" localSheetId="3">[3]ﾃﾞｰﾀﾍﾞｰｽ変更点!#REF!</definedName>
    <definedName name="C_CAR_MONTHLY_DATA">[3]ﾃﾞｰﾀﾍﾞｰｽ変更点!#REF!</definedName>
    <definedName name="C_CAR_OWNER_HISTORY" localSheetId="7">[3]ﾃﾞｰﾀﾍﾞｰｽ変更点!#REF!</definedName>
    <definedName name="C_CAR_OWNER_HISTORY" localSheetId="3">[3]ﾃﾞｰﾀﾍﾞｰｽ変更点!#REF!</definedName>
    <definedName name="C_CAR_OWNER_HISTORY">[3]ﾃﾞｰﾀﾍﾞｰｽ変更点!#REF!</definedName>
    <definedName name="C_CAUTION" localSheetId="7">[4]TableDesign!#REF!</definedName>
    <definedName name="C_CAUTION" localSheetId="3">[4]TableDesign!#REF!</definedName>
    <definedName name="C_CAUTION">[4]TableDesign!#REF!</definedName>
    <definedName name="C_CAUTION_DATA" localSheetId="7">[3]ﾃﾞｰﾀﾍﾞｰｽ変更点!#REF!</definedName>
    <definedName name="C_CAUTION_DATA" localSheetId="3">[3]ﾃﾞｰﾀﾍﾞｰｽ変更点!#REF!</definedName>
    <definedName name="C_CAUTION_DATA">[3]ﾃﾞｰﾀﾍﾞｰｽ変更点!#REF!</definedName>
    <definedName name="C_CAUTION_ENABLED" localSheetId="7">[3]ﾃﾞｰﾀﾍﾞｰｽ変更点!#REF!</definedName>
    <definedName name="C_CAUTION_ENABLED" localSheetId="3">[3]ﾃﾞｰﾀﾍﾞｰｽ変更点!#REF!</definedName>
    <definedName name="C_CAUTION_ENABLED">[3]ﾃﾞｰﾀﾍﾞｰｽ変更点!#REF!</definedName>
    <definedName name="C_CAUTION_ICON" localSheetId="7">[3]ﾃﾞｰﾀﾍﾞｰｽ変更点!#REF!</definedName>
    <definedName name="C_CAUTION_ICON" localSheetId="3">[3]ﾃﾞｰﾀﾍﾞｰｽ変更点!#REF!</definedName>
    <definedName name="C_CAUTION_ICON">[3]ﾃﾞｰﾀﾍﾞｰｽ変更点!#REF!</definedName>
    <definedName name="C_CAUTION_INIT" localSheetId="7">[3]ﾃﾞｰﾀﾍﾞｰｽ変更点!#REF!</definedName>
    <definedName name="C_CAUTION_INIT" localSheetId="3">[3]ﾃﾞｰﾀﾍﾞｰｽ変更点!#REF!</definedName>
    <definedName name="C_CAUTION_INIT">[3]ﾃﾞｰﾀﾍﾞｰｽ変更点!#REF!</definedName>
    <definedName name="C_CAUTION_MASTER" localSheetId="7">[3]ﾃﾞｰﾀﾍﾞｰｽ変更点!#REF!</definedName>
    <definedName name="C_CAUTION_MASTER" localSheetId="3">[3]ﾃﾞｰﾀﾍﾞｰｽ変更点!#REF!</definedName>
    <definedName name="C_CAUTION_MASTER">[3]ﾃﾞｰﾀﾍﾞｰｽ変更点!#REF!</definedName>
    <definedName name="C_CLASS1_MASTER" localSheetId="7">[3]ﾃﾞｰﾀﾍﾞｰｽ変更点!#REF!</definedName>
    <definedName name="C_CLASS1_MASTER" localSheetId="3">[3]ﾃﾞｰﾀﾍﾞｰｽ変更点!#REF!</definedName>
    <definedName name="C_CLASS1_MASTER">[3]ﾃﾞｰﾀﾍﾞｰｽ変更点!#REF!</definedName>
    <definedName name="C_CLASS2_MASTER" localSheetId="7">[3]ﾃﾞｰﾀﾍﾞｰｽ変更点!#REF!</definedName>
    <definedName name="C_CLASS2_MASTER" localSheetId="3">[3]ﾃﾞｰﾀﾍﾞｰｽ変更点!#REF!</definedName>
    <definedName name="C_CLASS2_MASTER">[3]ﾃﾞｰﾀﾍﾞｰｽ変更点!#REF!</definedName>
    <definedName name="C_COMM_DATA" localSheetId="7">[3]ﾃﾞｰﾀﾍﾞｰｽ変更点!#REF!</definedName>
    <definedName name="C_COMM_DATA" localSheetId="3">[3]ﾃﾞｰﾀﾍﾞｰｽ変更点!#REF!</definedName>
    <definedName name="C_COMM_DATA">[3]ﾃﾞｰﾀﾍﾞｰｽ変更点!#REF!</definedName>
    <definedName name="C_COMM_STATUS_MASTER" localSheetId="7">[3]ﾃﾞｰﾀﾍﾞｰｽ変更点!#REF!</definedName>
    <definedName name="C_COMM_STATUS_MASTER" localSheetId="3">[3]ﾃﾞｰﾀﾍﾞｰｽ変更点!#REF!</definedName>
    <definedName name="C_COMM_STATUS_MASTER">[3]ﾃﾞｰﾀﾍﾞｰｽ変更点!#REF!</definedName>
    <definedName name="C_CONFIG_DEFINE" localSheetId="7">[3]ﾃﾞｰﾀﾍﾞｰｽ変更点!#REF!</definedName>
    <definedName name="C_CONFIG_DEFINE" localSheetId="3">[3]ﾃﾞｰﾀﾍﾞｰｽ変更点!#REF!</definedName>
    <definedName name="C_CONFIG_DEFINE">[3]ﾃﾞｰﾀﾍﾞｰｽ変更点!#REF!</definedName>
    <definedName name="C_CONFIG_FLAG" localSheetId="7">[5]テーブル設計!#REF!</definedName>
    <definedName name="C_CONFIG_FLAG" localSheetId="3">[5]テーブル設計!#REF!</definedName>
    <definedName name="C_CONFIG_FLAG">[5]テーブル設計!#REF!</definedName>
    <definedName name="C_CONFIG_INIT" localSheetId="7">[3]ﾃﾞｰﾀﾍﾞｰｽ変更点!#REF!</definedName>
    <definedName name="C_CONFIG_INIT" localSheetId="3">[3]ﾃﾞｰﾀﾍﾞｰｽ変更点!#REF!</definedName>
    <definedName name="C_CONFIG_INIT">[3]ﾃﾞｰﾀﾍﾞｰｽ変更点!#REF!</definedName>
    <definedName name="C_CONFIG_PATTERN" localSheetId="7">[3]ﾃﾞｰﾀﾍﾞｰｽ変更点!#REF!</definedName>
    <definedName name="C_CONFIG_PATTERN" localSheetId="3">[3]ﾃﾞｰﾀﾍﾞｰｽ変更点!#REF!</definedName>
    <definedName name="C_CONFIG_PATTERN">[3]ﾃﾞｰﾀﾍﾞｰｽ変更点!#REF!</definedName>
    <definedName name="C_CONFIG_PATTERN_DATA" localSheetId="7">[3]ﾃﾞｰﾀﾍﾞｰｽ変更点!#REF!</definedName>
    <definedName name="C_CONFIG_PATTERN_DATA" localSheetId="3">[3]ﾃﾞｰﾀﾍﾞｰｽ変更点!#REF!</definedName>
    <definedName name="C_CONFIG_PATTERN_DATA">[3]ﾃﾞｰﾀﾍﾞｰｽ変更点!#REF!</definedName>
    <definedName name="C_CONFIG_USER_FLAG" localSheetId="7">[5]テーブル設計!#REF!</definedName>
    <definedName name="C_CONFIG_USER_FLAG" localSheetId="3">[5]テーブル設計!#REF!</definedName>
    <definedName name="C_CONFIG_USER_FLAG">[5]テーブル設計!#REF!</definedName>
    <definedName name="C_CONTRACT" localSheetId="7">[5]テーブル設計!#REF!</definedName>
    <definedName name="C_CONTRACT" localSheetId="3">[5]テーブル設計!#REF!</definedName>
    <definedName name="C_CONTRACT">[5]テーブル設計!#REF!</definedName>
    <definedName name="C_CUSTOMER" localSheetId="7">[3]ﾃﾞｰﾀﾍﾞｰｽ変更点!#REF!</definedName>
    <definedName name="C_CUSTOMER" localSheetId="3">[3]ﾃﾞｰﾀﾍﾞｰｽ変更点!#REF!</definedName>
    <definedName name="C_CUSTOMER">[3]ﾃﾞｰﾀﾍﾞｰｽ変更点!#REF!</definedName>
    <definedName name="C_CUSTOMER_CAR" localSheetId="7">[3]ﾃﾞｰﾀﾍﾞｰｽ変更点!#REF!</definedName>
    <definedName name="C_CUSTOMER_CAR" localSheetId="3">[3]ﾃﾞｰﾀﾍﾞｰｽ変更点!#REF!</definedName>
    <definedName name="C_CUSTOMER_CAR">[3]ﾃﾞｰﾀﾍﾞｰｽ変更点!#REF!</definedName>
    <definedName name="C_CUSTOMER_MASTER" localSheetId="7">[4]TableDesign!#REF!</definedName>
    <definedName name="C_CUSTOMER_MASTER" localSheetId="3">[4]TableDesign!#REF!</definedName>
    <definedName name="C_CUSTOMER_MASTER">[4]TableDesign!#REF!</definedName>
    <definedName name="C_DIVISION_MASTER" localSheetId="7">[3]ﾃﾞｰﾀﾍﾞｰｽ変更点!#REF!</definedName>
    <definedName name="C_DIVISION_MASTER" localSheetId="3">[3]ﾃﾞｰﾀﾍﾞｰｽ変更点!#REF!</definedName>
    <definedName name="C_DIVISION_MASTER">[3]ﾃﾞｰﾀﾍﾞｰｽ変更点!#REF!</definedName>
    <definedName name="C_DOPA" localSheetId="7">[3]ﾃﾞｰﾀﾍﾞｰｽ変更点!#REF!</definedName>
    <definedName name="C_DOPA" localSheetId="3">[3]ﾃﾞｰﾀﾍﾞｰｽ変更点!#REF!</definedName>
    <definedName name="C_DOPA">[3]ﾃﾞｰﾀﾍﾞｰｽ変更点!#REF!</definedName>
    <definedName name="C_DOPA_OWNER_HISTORY" localSheetId="7">[3]ﾃﾞｰﾀﾍﾞｰｽ変更点!#REF!</definedName>
    <definedName name="C_DOPA_OWNER_HISTORY" localSheetId="3">[3]ﾃﾞｰﾀﾍﾞｰｽ変更点!#REF!</definedName>
    <definedName name="C_DOPA_OWNER_HISTORY">[3]ﾃﾞｰﾀﾍﾞｰｽ変更点!#REF!</definedName>
    <definedName name="C_DOPA_SERVER" localSheetId="7">[3]ﾃﾞｰﾀﾍﾞｰｽ変更点!#REF!</definedName>
    <definedName name="C_DOPA_SERVER" localSheetId="3">[3]ﾃﾞｰﾀﾍﾞｰｽ変更点!#REF!</definedName>
    <definedName name="C_DOPA_SERVER">[3]ﾃﾞｰﾀﾍﾞｰｽ変更点!#REF!</definedName>
    <definedName name="C_EQUIPMENT_HISTORY" localSheetId="7">[3]ﾃﾞｰﾀﾍﾞｰｽ変更点!#REF!</definedName>
    <definedName name="C_EQUIPMENT_HISTORY" localSheetId="3">[3]ﾃﾞｰﾀﾍﾞｰｽ変更点!#REF!</definedName>
    <definedName name="C_EQUIPMENT_HISTORY">[3]ﾃﾞｰﾀﾍﾞｰｽ変更点!#REF!</definedName>
    <definedName name="C_ERROR" localSheetId="7">[3]ﾃﾞｰﾀﾍﾞｰｽ変更点!#REF!</definedName>
    <definedName name="C_ERROR" localSheetId="3">[3]ﾃﾞｰﾀﾍﾞｰｽ変更点!#REF!</definedName>
    <definedName name="C_ERROR">[3]ﾃﾞｰﾀﾍﾞｰｽ変更点!#REF!</definedName>
    <definedName name="C_ERROR_ENABLED" localSheetId="7">[3]ﾃﾞｰﾀﾍﾞｰｽ変更点!#REF!</definedName>
    <definedName name="C_ERROR_ENABLED" localSheetId="3">[3]ﾃﾞｰﾀﾍﾞｰｽ変更点!#REF!</definedName>
    <definedName name="C_ERROR_ENABLED">[3]ﾃﾞｰﾀﾍﾞｰｽ変更点!#REF!</definedName>
    <definedName name="C_ERROR_MASTER" localSheetId="7">[3]ﾃﾞｰﾀﾍﾞｰｽ変更点!#REF!</definedName>
    <definedName name="C_ERROR_MASTER" localSheetId="3">[3]ﾃﾞｰﾀﾍﾞｰｽ変更点!#REF!</definedName>
    <definedName name="C_ERROR_MASTER">[3]ﾃﾞｰﾀﾍﾞｰｽ変更点!#REF!</definedName>
    <definedName name="C_EVENT_CATEGORY" localSheetId="7">[4]TableDesign!#REF!</definedName>
    <definedName name="C_EVENT_CATEGORY" localSheetId="3">[4]TableDesign!#REF!</definedName>
    <definedName name="C_EVENT_CATEGORY">[4]TableDesign!#REF!</definedName>
    <definedName name="C_EVENT_DIVISION" localSheetId="7">[3]ﾃﾞｰﾀﾍﾞｰｽ変更点!#REF!</definedName>
    <definedName name="C_EVENT_DIVISION" localSheetId="3">[3]ﾃﾞｰﾀﾍﾞｰｽ変更点!#REF!</definedName>
    <definedName name="C_EVENT_DIVISION">[3]ﾃﾞｰﾀﾍﾞｰｽ変更点!#REF!</definedName>
    <definedName name="C_EVENT_MASTER" localSheetId="7">[3]ﾃﾞｰﾀﾍﾞｰｽ変更点!#REF!</definedName>
    <definedName name="C_EVENT_MASTER" localSheetId="3">[3]ﾃﾞｰﾀﾍﾞｰｽ変更点!#REF!</definedName>
    <definedName name="C_EVENT_MASTER">[3]ﾃﾞｰﾀﾍﾞｰｽ変更点!#REF!</definedName>
    <definedName name="C_EVENT_NOTICE" localSheetId="7">[3]ﾃﾞｰﾀﾍﾞｰｽ変更点!#REF!</definedName>
    <definedName name="C_EVENT_NOTICE" localSheetId="3">[3]ﾃﾞｰﾀﾍﾞｰｽ変更点!#REF!</definedName>
    <definedName name="C_EVENT_NOTICE">[3]ﾃﾞｰﾀﾍﾞｰｽ変更点!#REF!</definedName>
    <definedName name="C_FUEL_GAUGE" localSheetId="7">[4]TableDesign!#REF!</definedName>
    <definedName name="C_FUEL_GAUGE" localSheetId="3">[4]TableDesign!#REF!</definedName>
    <definedName name="C_FUEL_GAUGE">[4]TableDesign!#REF!</definedName>
    <definedName name="C_GAUGE_FUEL_WTTEMP" localSheetId="7">[3]ﾃﾞｰﾀﾍﾞｰｽ変更点!#REF!</definedName>
    <definedName name="C_GAUGE_FUEL_WTTEMP" localSheetId="3">[3]ﾃﾞｰﾀﾍﾞｰｽ変更点!#REF!</definedName>
    <definedName name="C_GAUGE_FUEL_WTTEMP">[3]ﾃﾞｰﾀﾍﾞｰｽ変更点!#REF!</definedName>
    <definedName name="C_GIS_DEFINE" localSheetId="7">[4]TableDesign!#REF!</definedName>
    <definedName name="C_GIS_DEFINE" localSheetId="3">[4]TableDesign!#REF!</definedName>
    <definedName name="C_GIS_DEFINE">[4]TableDesign!#REF!</definedName>
    <definedName name="C_GPS" localSheetId="7">[3]ﾃﾞｰﾀﾍﾞｰｽ変更点!#REF!</definedName>
    <definedName name="C_GPS" localSheetId="3">[3]ﾃﾞｰﾀﾍﾞｰｽ変更点!#REF!</definedName>
    <definedName name="C_GPS">[3]ﾃﾞｰﾀﾍﾞｰｽ変更点!#REF!</definedName>
    <definedName name="C_GRANT_AUTHORITY" localSheetId="7">[3]ﾃﾞｰﾀﾍﾞｰｽ変更点!#REF!</definedName>
    <definedName name="C_GRANT_AUTHORITY" localSheetId="3">[3]ﾃﾞｰﾀﾍﾞｰｽ変更点!#REF!</definedName>
    <definedName name="C_GRANT_AUTHORITY">[3]ﾃﾞｰﾀﾍﾞｰｽ変更点!#REF!</definedName>
    <definedName name="C_GROUP_MASTER" localSheetId="7">[3]ﾃﾞｰﾀﾍﾞｰｽ変更点!#REF!</definedName>
    <definedName name="C_GROUP_MASTER" localSheetId="3">[3]ﾃﾞｰﾀﾍﾞｰｽ変更点!#REF!</definedName>
    <definedName name="C_GROUP_MASTER">[3]ﾃﾞｰﾀﾍﾞｰｽ変更点!#REF!</definedName>
    <definedName name="C_IGNORE_CAUTION" localSheetId="7">[5]テーブル設計!#REF!</definedName>
    <definedName name="C_IGNORE_CAUTION" localSheetId="3">[5]テーブル設計!#REF!</definedName>
    <definedName name="C_IGNORE_CAUTION">[5]テーブル設計!#REF!</definedName>
    <definedName name="C_IGNORE_ERROR" localSheetId="7">[5]テーブル設計!#REF!</definedName>
    <definedName name="C_IGNORE_ERROR" localSheetId="3">[5]テーブル設計!#REF!</definedName>
    <definedName name="C_IGNORE_ERROR">[5]テーブル設計!#REF!</definedName>
    <definedName name="C_INFORM_MASTER" localSheetId="7">[3]ﾃﾞｰﾀﾍﾞｰｽ変更点!#REF!</definedName>
    <definedName name="C_INFORM_MASTER" localSheetId="3">[3]ﾃﾞｰﾀﾍﾞｰｽ変更点!#REF!</definedName>
    <definedName name="C_INFORM_MASTER">[3]ﾃﾞｰﾀﾍﾞｰｽ変更点!#REF!</definedName>
    <definedName name="C_INFORMATION" localSheetId="7">[3]ﾃﾞｰﾀﾍﾞｰｽ変更点!#REF!</definedName>
    <definedName name="C_INFORMATION" localSheetId="3">[3]ﾃﾞｰﾀﾍﾞｰｽ変更点!#REF!</definedName>
    <definedName name="C_INFORMATION">[3]ﾃﾞｰﾀﾍﾞｰｽ変更点!#REF!</definedName>
    <definedName name="C_INFORMATION_READED" localSheetId="7">[3]ﾃﾞｰﾀﾍﾞｰｽ変更点!#REF!</definedName>
    <definedName name="C_INFORMATION_READED" localSheetId="3">[3]ﾃﾞｰﾀﾍﾞｰｽ変更点!#REF!</definedName>
    <definedName name="C_INFORMATION_READED">[3]ﾃﾞｰﾀﾍﾞｰｽ変更点!#REF!</definedName>
    <definedName name="C_INVALID_PART_TERMINAL" localSheetId="7">[5]テーブル設計!#REF!</definedName>
    <definedName name="C_INVALID_PART_TERMINAL" localSheetId="3">[5]テーブル設計!#REF!</definedName>
    <definedName name="C_INVALID_PART_TERMINAL">[5]テーブル設計!#REF!</definedName>
    <definedName name="C_KIND_MASTER" localSheetId="7">[3]ﾃﾞｰﾀﾍﾞｰｽ変更点!#REF!</definedName>
    <definedName name="C_KIND_MASTER" localSheetId="3">[3]ﾃﾞｰﾀﾍﾞｰｽ変更点!#REF!</definedName>
    <definedName name="C_KIND_MASTER">[3]ﾃﾞｰﾀﾍﾞｰｽ変更点!#REF!</definedName>
    <definedName name="C_KRO_APPLICATION" localSheetId="7">[3]ﾃﾞｰﾀﾍﾞｰｽ変更点!#REF!</definedName>
    <definedName name="C_KRO_APPLICATION" localSheetId="3">[3]ﾃﾞｰﾀﾍﾞｰｽ変更点!#REF!</definedName>
    <definedName name="C_KRO_APPLICATION">[3]ﾃﾞｰﾀﾍﾞｰｽ変更点!#REF!</definedName>
    <definedName name="C_KRO_APPLICATION_DATA" localSheetId="7">[3]ﾃﾞｰﾀﾍﾞｰｽ変更点!#REF!</definedName>
    <definedName name="C_KRO_APPLICATION_DATA" localSheetId="3">[3]ﾃﾞｰﾀﾍﾞｰｽ変更点!#REF!</definedName>
    <definedName name="C_KRO_APPLICATION_DATA">[3]ﾃﾞｰﾀﾍﾞｰｽ変更点!#REF!</definedName>
    <definedName name="C_KRO_COMPLETION" localSheetId="7">[3]ﾃﾞｰﾀﾍﾞｰｽ変更点!#REF!</definedName>
    <definedName name="C_KRO_COMPLETION" localSheetId="3">[3]ﾃﾞｰﾀﾍﾞｰｽ変更点!#REF!</definedName>
    <definedName name="C_KRO_COMPLETION">[3]ﾃﾞｰﾀﾍﾞｰｽ変更点!#REF!</definedName>
    <definedName name="C_KRO_COMPLETION_DATA" localSheetId="7">[3]ﾃﾞｰﾀﾍﾞｰｽ変更点!#REF!</definedName>
    <definedName name="C_KRO_COMPLETION_DATA" localSheetId="3">[3]ﾃﾞｰﾀﾍﾞｰｽ変更点!#REF!</definedName>
    <definedName name="C_KRO_COMPLETION_DATA">[3]ﾃﾞｰﾀﾍﾞｰｽ変更点!#REF!</definedName>
    <definedName name="C_KRO_EMERGENCY" localSheetId="7">[5]テーブル設計!#REF!</definedName>
    <definedName name="C_KRO_EMERGENCY" localSheetId="3">[5]テーブル設計!#REF!</definedName>
    <definedName name="C_KRO_EMERGENCY">[5]テーブル設計!#REF!</definedName>
    <definedName name="C_KRO_REPORT" localSheetId="7">[3]ﾃﾞｰﾀﾍﾞｰｽ変更点!#REF!</definedName>
    <definedName name="C_KRO_REPORT" localSheetId="3">[3]ﾃﾞｰﾀﾍﾞｰｽ変更点!#REF!</definedName>
    <definedName name="C_KRO_REPORT">[3]ﾃﾞｰﾀﾍﾞｰｽ変更点!#REF!</definedName>
    <definedName name="C_LANDMARK" localSheetId="7">[3]ﾃﾞｰﾀﾍﾞｰｽ変更点!#REF!</definedName>
    <definedName name="C_LANDMARK" localSheetId="3">[3]ﾃﾞｰﾀﾍﾞｰｽ変更点!#REF!</definedName>
    <definedName name="C_LANDMARK">[3]ﾃﾞｰﾀﾍﾞｰｽ変更点!#REF!</definedName>
    <definedName name="C_LANDMARK_CLASS" localSheetId="7">[3]ﾃﾞｰﾀﾍﾞｰｽ変更点!#REF!</definedName>
    <definedName name="C_LANDMARK_CLASS" localSheetId="3">[3]ﾃﾞｰﾀﾍﾞｰｽ変更点!#REF!</definedName>
    <definedName name="C_LANDMARK_CLASS">[3]ﾃﾞｰﾀﾍﾞｰｽ変更点!#REF!</definedName>
    <definedName name="C_LOGON_HISTORY" localSheetId="7">[3]ﾃﾞｰﾀﾍﾞｰｽ変更点!#REF!</definedName>
    <definedName name="C_LOGON_HISTORY" localSheetId="3">[3]ﾃﾞｰﾀﾍﾞｰｽ変更点!#REF!</definedName>
    <definedName name="C_LOGON_HISTORY">[3]ﾃﾞｰﾀﾍﾞｰｽ変更点!#REF!</definedName>
    <definedName name="C_MACHINE_ERROR" localSheetId="7">[4]TableDesign!#REF!</definedName>
    <definedName name="C_MACHINE_ERROR" localSheetId="3">[4]TableDesign!#REF!</definedName>
    <definedName name="C_MACHINE_ERROR">[4]TableDesign!#REF!</definedName>
    <definedName name="C_MACHINE_STATUS_MASTER" localSheetId="7">[3]ﾃﾞｰﾀﾍﾞｰｽ変更点!#REF!</definedName>
    <definedName name="C_MACHINE_STATUS_MASTER" localSheetId="3">[3]ﾃﾞｰﾀﾍﾞｰｽ変更点!#REF!</definedName>
    <definedName name="C_MACHINE_STATUS_MASTER">[3]ﾃﾞｰﾀﾍﾞｰｽ変更点!#REF!</definedName>
    <definedName name="C_MAINTENANCE_DATA" localSheetId="7">[3]ﾃﾞｰﾀﾍﾞｰｽ変更点!#REF!</definedName>
    <definedName name="C_MAINTENANCE_DATA" localSheetId="3">[3]ﾃﾞｰﾀﾍﾞｰｽ変更点!#REF!</definedName>
    <definedName name="C_MAINTENANCE_DATA">[3]ﾃﾞｰﾀﾍﾞｰｽ変更点!#REF!</definedName>
    <definedName name="C_MAINTENANCE_INFORM" localSheetId="7">[3]ﾃﾞｰﾀﾍﾞｰｽ変更点!#REF!</definedName>
    <definedName name="C_MAINTENANCE_INFORM" localSheetId="3">[3]ﾃﾞｰﾀﾍﾞｰｽ変更点!#REF!</definedName>
    <definedName name="C_MAINTENANCE_INFORM">[3]ﾃﾞｰﾀﾍﾞｰｽ変更点!#REF!</definedName>
    <definedName name="C_MAINTENANCE_MASTER" localSheetId="7">[3]ﾃﾞｰﾀﾍﾞｰｽ変更点!#REF!</definedName>
    <definedName name="C_MAINTENANCE_MASTER" localSheetId="3">[3]ﾃﾞｰﾀﾍﾞｰｽ変更点!#REF!</definedName>
    <definedName name="C_MAINTENANCE_MASTER">[3]ﾃﾞｰﾀﾍﾞｰｽ変更点!#REF!</definedName>
    <definedName name="C_MAINTENANCE_TIME" localSheetId="7">[4]TableDesign!#REF!</definedName>
    <definedName name="C_MAINTENANCE_TIME" localSheetId="3">[4]TableDesign!#REF!</definedName>
    <definedName name="C_MAINTENANCE_TIME">[4]TableDesign!#REF!</definedName>
    <definedName name="C_MAKER_MASTER" localSheetId="7">[3]ﾃﾞｰﾀﾍﾞｰｽ変更点!#REF!</definedName>
    <definedName name="C_MAKER_MASTER" localSheetId="3">[3]ﾃﾞｰﾀﾍﾞｰｽ変更点!#REF!</definedName>
    <definedName name="C_MAKER_MASTER">[3]ﾃﾞｰﾀﾍﾞｰｽ変更点!#REF!</definedName>
    <definedName name="C_MARK_MACHINE" localSheetId="7">[4]TableDesign!#REF!</definedName>
    <definedName name="C_MARK_MACHINE" localSheetId="3">[4]TableDesign!#REF!</definedName>
    <definedName name="C_MARK_MACHINE">[4]TableDesign!#REF!</definedName>
    <definedName name="C_MARK_NOTIFICATION" localSheetId="7">[4]TableDesign!#REF!</definedName>
    <definedName name="C_MARK_NOTIFICATION" localSheetId="3">[4]TableDesign!#REF!</definedName>
    <definedName name="C_MARK_NOTIFICATION">[4]TableDesign!#REF!</definedName>
    <definedName name="C_MARK_NOTIFICATION_DETAIL" localSheetId="7">[4]TableDesign!#REF!</definedName>
    <definedName name="C_MARK_NOTIFICATION_DETAIL" localSheetId="3">[4]TableDesign!#REF!</definedName>
    <definedName name="C_MARK_NOTIFICATION_DETAIL">[4]TableDesign!#REF!</definedName>
    <definedName name="C_MEMO" localSheetId="7">[3]ﾃﾞｰﾀﾍﾞｰｽ変更点!#REF!</definedName>
    <definedName name="C_MEMO" localSheetId="3">[3]ﾃﾞｰﾀﾍﾞｰｽ変更点!#REF!</definedName>
    <definedName name="C_MEMO">[3]ﾃﾞｰﾀﾍﾞｰｽ変更点!#REF!</definedName>
    <definedName name="C_MEMORY_MODIFY" localSheetId="7">[3]ﾃﾞｰﾀﾍﾞｰｽ変更点!#REF!</definedName>
    <definedName name="C_MEMORY_MODIFY" localSheetId="3">[3]ﾃﾞｰﾀﾍﾞｰｽ変更点!#REF!</definedName>
    <definedName name="C_MEMORY_MODIFY">[3]ﾃﾞｰﾀﾍﾞｰｽ変更点!#REF!</definedName>
    <definedName name="C_MEMORY_MODIFY_DATA" localSheetId="7">[3]ﾃﾞｰﾀﾍﾞｰｽ変更点!#REF!</definedName>
    <definedName name="C_MEMORY_MODIFY_DATA" localSheetId="3">[3]ﾃﾞｰﾀﾍﾞｰｽ変更点!#REF!</definedName>
    <definedName name="C_MEMORY_MODIFY_DATA">[3]ﾃﾞｰﾀﾍﾞｰｽ変更点!#REF!</definedName>
    <definedName name="C_MESSAGE" localSheetId="7">[3]ﾃﾞｰﾀﾍﾞｰｽ変更点!#REF!</definedName>
    <definedName name="C_MESSAGE" localSheetId="3">[3]ﾃﾞｰﾀﾍﾞｰｽ変更点!#REF!</definedName>
    <definedName name="C_MESSAGE">[3]ﾃﾞｰﾀﾍﾞｰｽ変更点!#REF!</definedName>
    <definedName name="C_MESSAGE_MASTER" localSheetId="7">[3]ﾃﾞｰﾀﾍﾞｰｽ変更点!#REF!</definedName>
    <definedName name="C_MESSAGE_MASTER" localSheetId="3">[3]ﾃﾞｰﾀﾍﾞｰｽ変更点!#REF!</definedName>
    <definedName name="C_MESSAGE_MASTER">[3]ﾃﾞｰﾀﾍﾞｰｽ変更点!#REF!</definedName>
    <definedName name="C_MONTHLY_ATT_SMR" localSheetId="7">[4]TableDesign!#REF!</definedName>
    <definedName name="C_MONTHLY_ATT_SMR" localSheetId="3">[4]TableDesign!#REF!</definedName>
    <definedName name="C_MONTHLY_ATT_SMR">[4]TableDesign!#REF!</definedName>
    <definedName name="C_MONTHLY_ERROR" localSheetId="7">[4]TableDesign!#REF!</definedName>
    <definedName name="C_MONTHLY_ERROR" localSheetId="3">[4]TableDesign!#REF!</definedName>
    <definedName name="C_MONTHLY_ERROR">[4]TableDesign!#REF!</definedName>
    <definedName name="C_MONTHLY_LOAD" localSheetId="7">[4]TableDesign!#REF!</definedName>
    <definedName name="C_MONTHLY_LOAD" localSheetId="3">[4]TableDesign!#REF!</definedName>
    <definedName name="C_MONTHLY_LOAD">[4]TableDesign!#REF!</definedName>
    <definedName name="C_MONTHLY_MOVEMENT" localSheetId="7">[4]TableDesign!#REF!</definedName>
    <definedName name="C_MONTHLY_MOVEMENT" localSheetId="3">[4]TableDesign!#REF!</definedName>
    <definedName name="C_MONTHLY_MOVEMENT">[4]TableDesign!#REF!</definedName>
    <definedName name="C_MONTHLY_OPERATION" localSheetId="7">[4]TableDesign!#REF!</definedName>
    <definedName name="C_MONTHLY_OPERATION" localSheetId="3">[4]TableDesign!#REF!</definedName>
    <definedName name="C_MONTHLY_OPERATION">[4]TableDesign!#REF!</definedName>
    <definedName name="C_MONTHLY_SMR" localSheetId="7">[4]TableDesign!#REF!</definedName>
    <definedName name="C_MONTHLY_SMR" localSheetId="3">[4]TableDesign!#REF!</definedName>
    <definedName name="C_MONTHLY_SMR">[4]TableDesign!#REF!</definedName>
    <definedName name="C_MONTHLY_WORKING_SMR" localSheetId="7">[4]TableDesign!#REF!</definedName>
    <definedName name="C_MONTHLY_WORKING_SMR" localSheetId="3">[4]TableDesign!#REF!</definedName>
    <definedName name="C_MONTHLY_WORKING_SMR">[4]TableDesign!#REF!</definedName>
    <definedName name="C_MONTLY_LOAD" localSheetId="7">[4]TableDesign!#REF!</definedName>
    <definedName name="C_MONTLY_LOAD" localSheetId="3">[4]TableDesign!#REF!</definedName>
    <definedName name="C_MONTLY_LOAD">[4]TableDesign!#REF!</definedName>
    <definedName name="C_MULTI_OPE" localSheetId="7">[3]ﾃﾞｰﾀﾍﾞｰｽ変更点!#REF!</definedName>
    <definedName name="C_MULTI_OPE" localSheetId="3">[3]ﾃﾞｰﾀﾍﾞｰｽ変更点!#REF!</definedName>
    <definedName name="C_MULTI_OPE">[3]ﾃﾞｰﾀﾍﾞｰｽ変更点!#REF!</definedName>
    <definedName name="C_MULTI_OPE_DATA" localSheetId="7">[5]テーブル設計!#REF!</definedName>
    <definedName name="C_MULTI_OPE_DATA" localSheetId="3">[5]テーブル設計!#REF!</definedName>
    <definedName name="C_MULTI_OPE_DATA">[5]テーブル設計!#REF!</definedName>
    <definedName name="C_NLS_DB_RESOURCE" localSheetId="7">[4]TableDesign!#REF!</definedName>
    <definedName name="C_NLS_DB_RESOURCE" localSheetId="3">[4]TableDesign!#REF!</definedName>
    <definedName name="C_NLS_DB_RESOURCE">[4]TableDesign!#REF!</definedName>
    <definedName name="C_NLS_LANG" localSheetId="7">[4]TableDesign!#REF!</definedName>
    <definedName name="C_NLS_LANG" localSheetId="3">[4]TableDesign!#REF!</definedName>
    <definedName name="C_NLS_LANG">[4]TableDesign!#REF!</definedName>
    <definedName name="C_NLS_RESOURCE" localSheetId="7">[4]TableDesign!#REF!</definedName>
    <definedName name="C_NLS_RESOURCE" localSheetId="3">[4]TableDesign!#REF!</definedName>
    <definedName name="C_NLS_RESOURCE">[4]TableDesign!#REF!</definedName>
    <definedName name="C_NOT_ACTIVE" localSheetId="7">[3]ﾃﾞｰﾀﾍﾞｰｽ変更点!#REF!</definedName>
    <definedName name="C_NOT_ACTIVE" localSheetId="3">[3]ﾃﾞｰﾀﾍﾞｰｽ変更点!#REF!</definedName>
    <definedName name="C_NOT_ACTIVE">[3]ﾃﾞｰﾀﾍﾞｰｽ変更点!#REF!</definedName>
    <definedName name="C_OPERATION_CATEGORY" localSheetId="7">[4]TableDesign!#REF!</definedName>
    <definedName name="C_OPERATION_CATEGORY" localSheetId="3">[4]TableDesign!#REF!</definedName>
    <definedName name="C_OPERATION_CATEGORY">[4]TableDesign!#REF!</definedName>
    <definedName name="C_OPERATION_CLASS" localSheetId="7">[5]テーブル設計!#REF!</definedName>
    <definedName name="C_OPERATION_CLASS" localSheetId="3">[5]テーブル設計!#REF!</definedName>
    <definedName name="C_OPERATION_CLASS">[5]テーブル設計!#REF!</definedName>
    <definedName name="C_OPERATION_LOG" localSheetId="7">[3]ﾃﾞｰﾀﾍﾞｰｽ変更点!#REF!</definedName>
    <definedName name="C_OPERATION_LOG" localSheetId="3">[3]ﾃﾞｰﾀﾍﾞｰｽ変更点!#REF!</definedName>
    <definedName name="C_OPERATION_LOG">[3]ﾃﾞｰﾀﾍﾞｰｽ変更点!#REF!</definedName>
    <definedName name="C_OPERATION_LOG2" localSheetId="7">[5]テーブル設計!#REF!</definedName>
    <definedName name="C_OPERATION_LOG2" localSheetId="3">[5]テーブル設計!#REF!</definedName>
    <definedName name="C_OPERATION_LOG2">[5]テーブル設計!#REF!</definedName>
    <definedName name="C_OPERATION_MAP" localSheetId="7">[4]TableDesign!#REF!</definedName>
    <definedName name="C_OPERATION_MAP" localSheetId="3">[4]TableDesign!#REF!</definedName>
    <definedName name="C_OPERATION_MAP">[4]TableDesign!#REF!</definedName>
    <definedName name="C_OPERATION_MASTER" localSheetId="7">[5]テーブル設計!#REF!</definedName>
    <definedName name="C_OPERATION_MASTER" localSheetId="3">[5]テーブル設計!#REF!</definedName>
    <definedName name="C_OPERATION_MASTER">[5]テーブル設計!#REF!</definedName>
    <definedName name="C_ORBCOMM" localSheetId="7">[3]ﾃﾞｰﾀﾍﾞｰｽ変更点!#REF!</definedName>
    <definedName name="C_ORBCOMM" localSheetId="3">[3]ﾃﾞｰﾀﾍﾞｰｽ変更点!#REF!</definedName>
    <definedName name="C_ORBCOMM">[3]ﾃﾞｰﾀﾍﾞｰｽ変更点!#REF!</definedName>
    <definedName name="C_ORBCOMM_OWNER_HISTORY" localSheetId="7">[3]ﾃﾞｰﾀﾍﾞｰｽ変更点!#REF!</definedName>
    <definedName name="C_ORBCOMM_OWNER_HISTORY" localSheetId="3">[3]ﾃﾞｰﾀﾍﾞｰｽ変更点!#REF!</definedName>
    <definedName name="C_ORBCOMM_OWNER_HISTORY">[3]ﾃﾞｰﾀﾍﾞｰｽ変更点!#REF!</definedName>
    <definedName name="C_PLANT_CAR" localSheetId="7">[5]テーブル設計!#REF!</definedName>
    <definedName name="C_PLANT_CAR" localSheetId="3">[5]テーブル設計!#REF!</definedName>
    <definedName name="C_PLANT_CAR">[5]テーブル設計!#REF!</definedName>
    <definedName name="C_PLANT_ERROR" localSheetId="7">[5]テーブル設計!#REF!</definedName>
    <definedName name="C_PLANT_ERROR" localSheetId="3">[5]テーブル設計!#REF!</definedName>
    <definedName name="C_PLANT_ERROR">[5]テーブル設計!#REF!</definedName>
    <definedName name="C_PLANT_GPS" localSheetId="7">[5]テーブル設計!#REF!</definedName>
    <definedName name="C_PLANT_GPS" localSheetId="3">[5]テーブル設計!#REF!</definedName>
    <definedName name="C_PLANT_GPS">[5]テーブル設計!#REF!</definedName>
    <definedName name="C_PREVENT_THEFT_KEY" localSheetId="7">[3]ﾃﾞｰﾀﾍﾞｰｽ変更点!#REF!</definedName>
    <definedName name="C_PREVENT_THEFT_KEY" localSheetId="3">[3]ﾃﾞｰﾀﾍﾞｰｽ変更点!#REF!</definedName>
    <definedName name="C_PREVENT_THEFT_KEY">[3]ﾃﾞｰﾀﾍﾞｰｽ変更点!#REF!</definedName>
    <definedName name="C_PRIVATE_TARGET_CAR" localSheetId="7">[3]ﾃﾞｰﾀﾍﾞｰｽ変更点!#REF!</definedName>
    <definedName name="C_PRIVATE_TARGET_CAR" localSheetId="3">[3]ﾃﾞｰﾀﾍﾞｰｽ変更点!#REF!</definedName>
    <definedName name="C_PRIVATE_TARGET_CAR">[3]ﾃﾞｰﾀﾍﾞｰｽ変更点!#REF!</definedName>
    <definedName name="C_RECEIVE_LIST" localSheetId="7">[5]テーブル設計!#REF!</definedName>
    <definedName name="C_RECEIVE_LIST" localSheetId="3">[5]テーブル設計!#REF!</definedName>
    <definedName name="C_RECEIVE_LIST">[5]テーブル設計!#REF!</definedName>
    <definedName name="C_RECEIVE_LOG" localSheetId="7">[3]ﾃﾞｰﾀﾍﾞｰｽ変更点!#REF!</definedName>
    <definedName name="C_RECEIVE_LOG" localSheetId="3">[3]ﾃﾞｰﾀﾍﾞｰｽ変更点!#REF!</definedName>
    <definedName name="C_RECEIVE_LOG">[3]ﾃﾞｰﾀﾍﾞｰｽ変更点!#REF!</definedName>
    <definedName name="C_REGION_DATA" localSheetId="7">[4]TableDesign!#REF!</definedName>
    <definedName name="C_REGION_DATA" localSheetId="3">[4]TableDesign!#REF!</definedName>
    <definedName name="C_REGION_DATA">[4]TableDesign!#REF!</definedName>
    <definedName name="C_REGION_MASTER" localSheetId="7">[4]TableDesign!#REF!</definedName>
    <definedName name="C_REGION_MASTER" localSheetId="3">[4]TableDesign!#REF!</definedName>
    <definedName name="C_REGION_MASTER">[4]TableDesign!#REF!</definedName>
    <definedName name="C_RENTAL_TERMINAL" localSheetId="7">[5]テーブル設計!#REF!</definedName>
    <definedName name="C_RENTAL_TERMINAL" localSheetId="3">[5]テーブル設計!#REF!</definedName>
    <definedName name="C_RENTAL_TERMINAL">[5]テーブル設計!#REF!</definedName>
    <definedName name="C_REQUEST" localSheetId="7">[3]ﾃﾞｰﾀﾍﾞｰｽ変更点!#REF!</definedName>
    <definedName name="C_REQUEST" localSheetId="3">[3]ﾃﾞｰﾀﾍﾞｰｽ変更点!#REF!</definedName>
    <definedName name="C_REQUEST">[3]ﾃﾞｰﾀﾍﾞｰｽ変更点!#REF!</definedName>
    <definedName name="C_REQUEST_COUNT" localSheetId="7">[3]ﾃﾞｰﾀﾍﾞｰｽ変更点!#REF!</definedName>
    <definedName name="C_REQUEST_COUNT" localSheetId="3">[3]ﾃﾞｰﾀﾍﾞｰｽ変更点!#REF!</definedName>
    <definedName name="C_REQUEST_COUNT">[3]ﾃﾞｰﾀﾍﾞｰｽ変更点!#REF!</definedName>
    <definedName name="C_REQUEST_LOG" localSheetId="7">[3]ﾃﾞｰﾀﾍﾞｰｽ変更点!#REF!</definedName>
    <definedName name="C_REQUEST_LOG" localSheetId="3">[3]ﾃﾞｰﾀﾍﾞｰｽ変更点!#REF!</definedName>
    <definedName name="C_REQUEST_LOG">[3]ﾃﾞｰﾀﾍﾞｰｽ変更点!#REF!</definedName>
    <definedName name="C_RIVATE_TARGET_CAR" localSheetId="7">[4]TableDesign!#REF!</definedName>
    <definedName name="C_RIVATE_TARGET_CAR" localSheetId="3">[4]TableDesign!#REF!</definedName>
    <definedName name="C_RIVATE_TARGET_CAR">[4]TableDesign!#REF!</definedName>
    <definedName name="C_RUNNING_LOG" localSheetId="7">[3]ﾃﾞｰﾀﾍﾞｰｽ変更点!#REF!</definedName>
    <definedName name="C_RUNNING_LOG" localSheetId="3">[3]ﾃﾞｰﾀﾍﾞｰｽ変更点!#REF!</definedName>
    <definedName name="C_RUNNING_LOG">[3]ﾃﾞｰﾀﾍﾞｰｽ変更点!#REF!</definedName>
    <definedName name="C_SAVE_INFORMATION" localSheetId="7">[5]テーブル設計!#REF!</definedName>
    <definedName name="C_SAVE_INFORMATION" localSheetId="3">[5]テーブル設計!#REF!</definedName>
    <definedName name="C_SAVE_INFORMATION">[5]テーブル設計!#REF!</definedName>
    <definedName name="C_SELFCARINSPECTION" localSheetId="7">[3]ﾃﾞｰﾀﾍﾞｰｽ変更点!#REF!</definedName>
    <definedName name="C_SELFCARINSPECTION" localSheetId="3">[3]ﾃﾞｰﾀﾍﾞｰｽ変更点!#REF!</definedName>
    <definedName name="C_SELFCARINSPECTION">[3]ﾃﾞｰﾀﾍﾞｰｽ変更点!#REF!</definedName>
    <definedName name="C_SEND_LIST" localSheetId="7">[5]テーブル設計!#REF!</definedName>
    <definedName name="C_SEND_LIST" localSheetId="3">[5]テーブル設計!#REF!</definedName>
    <definedName name="C_SEND_LIST">[5]テーブル設計!#REF!</definedName>
    <definedName name="C_SEND_LOG" localSheetId="7">[5]テーブル設計!#REF!</definedName>
    <definedName name="C_SEND_LOG" localSheetId="3">[5]テーブル設計!#REF!</definedName>
    <definedName name="C_SEND_LOG">[5]テーブル設計!#REF!</definedName>
    <definedName name="C_SERVER_COMMUNICATION" localSheetId="7">[4]TableDesign!#REF!</definedName>
    <definedName name="C_SERVER_COMMUNICATION" localSheetId="3">[4]TableDesign!#REF!</definedName>
    <definedName name="C_SERVER_COMMUNICATION">[4]TableDesign!#REF!</definedName>
    <definedName name="C_SERVER_INFORMATION" localSheetId="7">[3]ﾃﾞｰﾀﾍﾞｰｽ変更点!#REF!</definedName>
    <definedName name="C_SERVER_INFORMATION" localSheetId="3">[3]ﾃﾞｰﾀﾍﾞｰｽ変更点!#REF!</definedName>
    <definedName name="C_SERVER_INFORMATION">[3]ﾃﾞｰﾀﾍﾞｰｽ変更点!#REF!</definedName>
    <definedName name="C_SERVICE_METER" localSheetId="7">[3]ﾃﾞｰﾀﾍﾞｰｽ変更点!#REF!</definedName>
    <definedName name="C_SERVICE_METER" localSheetId="3">[3]ﾃﾞｰﾀﾍﾞｰｽ変更点!#REF!</definedName>
    <definedName name="C_SERVICE_METER">[3]ﾃﾞｰﾀﾍﾞｰｽ変更点!#REF!</definedName>
    <definedName name="C_SERVICE_METER2" localSheetId="7">[5]テーブル設計!#REF!</definedName>
    <definedName name="C_SERVICE_METER2" localSheetId="3">[5]テーブル設計!#REF!</definedName>
    <definedName name="C_SERVICE_METER2">[5]テーブル設計!#REF!</definedName>
    <definedName name="C_SERVICEMAN" localSheetId="7">[5]テーブル設計!#REF!</definedName>
    <definedName name="C_SERVICEMAN" localSheetId="3">[5]テーブル設計!#REF!</definedName>
    <definedName name="C_SERVICEMAN">[5]テーブル設計!#REF!</definedName>
    <definedName name="C_SERVICEMAN_CHARGE" localSheetId="7">[5]テーブル設計!#REF!</definedName>
    <definedName name="C_SERVICEMAN_CHARGE" localSheetId="3">[5]テーブル設計!#REF!</definedName>
    <definedName name="C_SERVICEMAN_CHARGE">[5]テーブル設計!#REF!</definedName>
    <definedName name="C_SHIPMENT" localSheetId="7">[3]ﾃﾞｰﾀﾍﾞｰｽ変更点!#REF!</definedName>
    <definedName name="C_SHIPMENT" localSheetId="3">[3]ﾃﾞｰﾀﾍﾞｰｽ変更点!#REF!</definedName>
    <definedName name="C_SHIPMENT">[3]ﾃﾞｰﾀﾍﾞｰｽ変更点!#REF!</definedName>
    <definedName name="C_SHOW" localSheetId="7">[3]ﾃﾞｰﾀﾍﾞｰｽ変更点!#REF!</definedName>
    <definedName name="C_SHOW" localSheetId="3">[3]ﾃﾞｰﾀﾍﾞｰｽ変更点!#REF!</definedName>
    <definedName name="C_SHOW">[3]ﾃﾞｰﾀﾍﾞｰｽ変更点!#REF!</definedName>
    <definedName name="C_SHOW_GROUP" localSheetId="7">[3]ﾃﾞｰﾀﾍﾞｰｽ変更点!#REF!</definedName>
    <definedName name="C_SHOW_GROUP" localSheetId="3">[3]ﾃﾞｰﾀﾍﾞｰｽ変更点!#REF!</definedName>
    <definedName name="C_SHOW_GROUP">[3]ﾃﾞｰﾀﾍﾞｰｽ変更点!#REF!</definedName>
    <definedName name="C_SPECIAL_AREA" localSheetId="7">[3]ﾃﾞｰﾀﾍﾞｰｽ変更点!#REF!</definedName>
    <definedName name="C_SPECIAL_AREA" localSheetId="3">[3]ﾃﾞｰﾀﾍﾞｰｽ変更点!#REF!</definedName>
    <definedName name="C_SPECIAL_AREA">[3]ﾃﾞｰﾀﾍﾞｰｽ変更点!#REF!</definedName>
    <definedName name="C_SUB_GROUP" localSheetId="7">[4]TableDesign!#REF!</definedName>
    <definedName name="C_SUB_GROUP" localSheetId="3">[4]TableDesign!#REF!</definedName>
    <definedName name="C_SUB_GROUP">[4]TableDesign!#REF!</definedName>
    <definedName name="C_SUB_GROUP_CAR" localSheetId="7">[4]TableDesign!#REF!</definedName>
    <definedName name="C_SUB_GROUP_CAR" localSheetId="3">[4]TableDesign!#REF!</definedName>
    <definedName name="C_SUB_GROUP_CAR">[4]TableDesign!#REF!</definedName>
    <definedName name="C_SYSTEM_COMMTERM_INFO" localSheetId="7">[3]ﾃﾞｰﾀﾍﾞｰｽ変更点!#REF!</definedName>
    <definedName name="C_SYSTEM_COMMTERM_INFO" localSheetId="3">[3]ﾃﾞｰﾀﾍﾞｰｽ変更点!#REF!</definedName>
    <definedName name="C_SYSTEM_COMMTERM_INFO">[3]ﾃﾞｰﾀﾍﾞｰｽ変更点!#REF!</definedName>
    <definedName name="C_SYSTEM_LOG" localSheetId="7">[3]ﾃﾞｰﾀﾍﾞｰｽ変更点!#REF!</definedName>
    <definedName name="C_SYSTEM_LOG" localSheetId="3">[3]ﾃﾞｰﾀﾍﾞｰｽ変更点!#REF!</definedName>
    <definedName name="C_SYSTEM_LOG">[3]ﾃﾞｰﾀﾍﾞｰｽ変更点!#REF!</definedName>
    <definedName name="C_SYSTEM_NOTICE" localSheetId="7">[3]ﾃﾞｰﾀﾍﾞｰｽ変更点!#REF!</definedName>
    <definedName name="C_SYSTEM_NOTICE" localSheetId="3">[3]ﾃﾞｰﾀﾍﾞｰｽ変更点!#REF!</definedName>
    <definedName name="C_SYSTEM_NOTICE">[3]ﾃﾞｰﾀﾍﾞｰｽ変更点!#REF!</definedName>
    <definedName name="C_TARGET" localSheetId="7">[3]ﾃﾞｰﾀﾍﾞｰｽ変更点!#REF!</definedName>
    <definedName name="C_TARGET" localSheetId="3">[3]ﾃﾞｰﾀﾍﾞｰｽ変更点!#REF!</definedName>
    <definedName name="C_TARGET">[3]ﾃﾞｰﾀﾍﾞｰｽ変更点!#REF!</definedName>
    <definedName name="C_TARGET_CAR" localSheetId="7">[3]ﾃﾞｰﾀﾍﾞｰｽ変更点!#REF!</definedName>
    <definedName name="C_TARGET_CAR" localSheetId="3">[3]ﾃﾞｰﾀﾍﾞｰｽ変更点!#REF!</definedName>
    <definedName name="C_TARGET_CAR">[3]ﾃﾞｰﾀﾍﾞｰｽ変更点!#REF!</definedName>
    <definedName name="C_TERMINAL_AREA" localSheetId="7">[3]ﾃﾞｰﾀﾍﾞｰｽ変更点!#REF!</definedName>
    <definedName name="C_TERMINAL_AREA" localSheetId="3">[3]ﾃﾞｰﾀﾍﾞｰｽ変更点!#REF!</definedName>
    <definedName name="C_TERMINAL_AREA">[3]ﾃﾞｰﾀﾍﾞｰｽ変更点!#REF!</definedName>
    <definedName name="C_TERMINAL_CAUTION" localSheetId="7">[3]ﾃﾞｰﾀﾍﾞｰｽ変更点!#REF!</definedName>
    <definedName name="C_TERMINAL_CAUTION" localSheetId="3">[3]ﾃﾞｰﾀﾍﾞｰｽ変更点!#REF!</definedName>
    <definedName name="C_TERMINAL_CAUTION">[3]ﾃﾞｰﾀﾍﾞｰｽ変更点!#REF!</definedName>
    <definedName name="C_TERMINAL_ERROR" localSheetId="7">[3]ﾃﾞｰﾀﾍﾞｰｽ変更点!#REF!</definedName>
    <definedName name="C_TERMINAL_ERROR" localSheetId="3">[3]ﾃﾞｰﾀﾍﾞｰｽ変更点!#REF!</definedName>
    <definedName name="C_TERMINAL_ERROR">[3]ﾃﾞｰﾀﾍﾞｰｽ変更点!#REF!</definedName>
    <definedName name="C_TERMINAL_KIND" localSheetId="7">[3]ﾃﾞｰﾀﾍﾞｰｽ変更点!#REF!</definedName>
    <definedName name="C_TERMINAL_KIND" localSheetId="3">[3]ﾃﾞｰﾀﾍﾞｰｽ変更点!#REF!</definedName>
    <definedName name="C_TERMINAL_KIND">[3]ﾃﾞｰﾀﾍﾞｰｽ変更点!#REF!</definedName>
    <definedName name="C_TERMINAL_MASTER" localSheetId="7">[3]ﾃﾞｰﾀﾍﾞｰｽ変更点!#REF!</definedName>
    <definedName name="C_TERMINAL_MASTER" localSheetId="3">[3]ﾃﾞｰﾀﾍﾞｰｽ変更点!#REF!</definedName>
    <definedName name="C_TERMINAL_MASTER">[3]ﾃﾞｰﾀﾍﾞｰｽ変更点!#REF!</definedName>
    <definedName name="C_TERMINAL_PART_MASTER" localSheetId="7">[3]ﾃﾞｰﾀﾍﾞｰｽ変更点!#REF!</definedName>
    <definedName name="C_TERMINAL_PART_MASTER" localSheetId="3">[3]ﾃﾞｰﾀﾍﾞｰｽ変更点!#REF!</definedName>
    <definedName name="C_TERMINAL_PART_MASTER">[3]ﾃﾞｰﾀﾍﾞｰｽ変更点!#REF!</definedName>
    <definedName name="C_TYPE_MASTER" localSheetId="7">[3]ﾃﾞｰﾀﾍﾞｰｽ変更点!#REF!</definedName>
    <definedName name="C_TYPE_MASTER" localSheetId="3">[3]ﾃﾞｰﾀﾍﾞｰｽ変更点!#REF!</definedName>
    <definedName name="C_TYPE_MASTER">[3]ﾃﾞｰﾀﾍﾞｰｽ変更点!#REF!</definedName>
    <definedName name="C_UFO" localSheetId="7">[3]ﾃﾞｰﾀﾍﾞｰｽ変更点!#REF!</definedName>
    <definedName name="C_UFO" localSheetId="3">[3]ﾃﾞｰﾀﾍﾞｰｽ変更点!#REF!</definedName>
    <definedName name="C_UFO">[3]ﾃﾞｰﾀﾍﾞｰｽ変更点!#REF!</definedName>
    <definedName name="C_UNRELIABLE_RECEIVE" localSheetId="7">[3]ﾃﾞｰﾀﾍﾞｰｽ変更点!#REF!</definedName>
    <definedName name="C_UNRELIABLE_RECEIVE" localSheetId="3">[3]ﾃﾞｰﾀﾍﾞｰｽ変更点!#REF!</definedName>
    <definedName name="C_UNRELIABLE_RECEIVE">[3]ﾃﾞｰﾀﾍﾞｰｽ変更点!#REF!</definedName>
    <definedName name="C_USER_MASTER" localSheetId="7">[3]ﾃﾞｰﾀﾍﾞｰｽ変更点!#REF!</definedName>
    <definedName name="C_USER_MASTER" localSheetId="3">[3]ﾃﾞｰﾀﾍﾞｰｽ変更点!#REF!</definedName>
    <definedName name="C_USER_MASTER">[3]ﾃﾞｰﾀﾍﾞｰｽ変更点!#REF!</definedName>
    <definedName name="C_USER_TEMP" localSheetId="7">[3]ﾃﾞｰﾀﾍﾞｰｽ変更点!#REF!</definedName>
    <definedName name="C_USER_TEMP" localSheetId="3">[3]ﾃﾞｰﾀﾍﾞｰｽ変更点!#REF!</definedName>
    <definedName name="C_USER_TEMP">[3]ﾃﾞｰﾀﾍﾞｰｽ変更点!#REF!</definedName>
    <definedName name="C_WATER_TEMP_GAUGE" localSheetId="7">[4]TableDesign!#REF!</definedName>
    <definedName name="C_WATER_TEMP_GAUGE" localSheetId="3">[4]TableDesign!#REF!</definedName>
    <definedName name="C_WATER_TEMP_GAUGE">[4]TableDesign!#REF!</definedName>
    <definedName name="CAR" localSheetId="7">[3]ﾃﾞｰﾀﾍﾞｰｽ変更点!#REF!</definedName>
    <definedName name="CAR" localSheetId="3">[3]ﾃﾞｰﾀﾍﾞｰｽ変更点!#REF!</definedName>
    <definedName name="CAR">[3]ﾃﾞｰﾀﾍﾞｰｽ変更点!#REF!</definedName>
    <definedName name="CC" localSheetId="7">'[6]DATA-COMMUNICATION-FORMAT'!#REF!</definedName>
    <definedName name="CC" localSheetId="3">'[6]DATA-COMMUNICATION-FORMAT'!#REF!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7">[5]テーブル設計!#REF!</definedName>
    <definedName name="CINVALID_PART_TERMINAL" localSheetId="3">[5]テーブル設計!#REF!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7">[3]ﾃﾞｰﾀﾍﾞｰｽ変更点!#REF!</definedName>
    <definedName name="CUSTOMER" localSheetId="3">[3]ﾃﾞｰﾀﾍﾞｰｽ変更点!#REF!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7">[3]ﾃﾞｰﾀﾍﾞｰｽ変更点!#REF!</definedName>
    <definedName name="D_ACT_DATA" localSheetId="3">[3]ﾃﾞｰﾀﾍﾞｰｽ変更点!#REF!</definedName>
    <definedName name="D_ACT_DATA">[3]ﾃﾞｰﾀﾍﾞｰｽ変更点!#REF!</definedName>
    <definedName name="D_ACTUAL_OPERATION" localSheetId="7">[4]TableDesign!#REF!</definedName>
    <definedName name="D_ACTUAL_OPERATION" localSheetId="3">[4]TableDesign!#REF!</definedName>
    <definedName name="D_ACTUAL_OPERATION">[4]TableDesign!#REF!</definedName>
    <definedName name="D_AREA" localSheetId="7">[3]ﾃﾞｰﾀﾍﾞｰｽ変更点!#REF!</definedName>
    <definedName name="D_AREA" localSheetId="3">[3]ﾃﾞｰﾀﾍﾞｰｽ変更点!#REF!</definedName>
    <definedName name="D_AREA">[3]ﾃﾞｰﾀﾍﾞｰｽ変更点!#REF!</definedName>
    <definedName name="D_AREA_DEFINE" localSheetId="7">[3]ﾃﾞｰﾀﾍﾞｰｽ変更点!#REF!</definedName>
    <definedName name="D_AREA_DEFINE" localSheetId="3">[3]ﾃﾞｰﾀﾍﾞｰｽ変更点!#REF!</definedName>
    <definedName name="D_AREA_DEFINE">[3]ﾃﾞｰﾀﾍﾞｰｽ変更点!#REF!</definedName>
    <definedName name="D_AREA_INIT" localSheetId="7">[3]ﾃﾞｰﾀﾍﾞｰｽ変更点!#REF!</definedName>
    <definedName name="D_AREA_INIT" localSheetId="3">[3]ﾃﾞｰﾀﾍﾞｰｽ変更点!#REF!</definedName>
    <definedName name="D_AREA_INIT">[3]ﾃﾞｰﾀﾍﾞｰｽ変更点!#REF!</definedName>
    <definedName name="D_AREA_MASTER" localSheetId="7">[3]ﾃﾞｰﾀﾍﾞｰｽ変更点!#REF!</definedName>
    <definedName name="D_AREA_MASTER" localSheetId="3">[3]ﾃﾞｰﾀﾍﾞｰｽ変更点!#REF!</definedName>
    <definedName name="D_AREA_MASTER">[3]ﾃﾞｰﾀﾍﾞｰｽ変更点!#REF!</definedName>
    <definedName name="D_ASK" localSheetId="7">[3]ﾃﾞｰﾀﾍﾞｰｽ変更点!#REF!</definedName>
    <definedName name="D_ASK" localSheetId="3">[3]ﾃﾞｰﾀﾍﾞｰｽ変更点!#REF!</definedName>
    <definedName name="D_ASK">[3]ﾃﾞｰﾀﾍﾞｰｽ変更点!#REF!</definedName>
    <definedName name="D_ASK_LOG" localSheetId="7">[5]テーブル設計!#REF!</definedName>
    <definedName name="D_ASK_LOG" localSheetId="3">[5]テーブル設計!#REF!</definedName>
    <definedName name="D_ASK_LOG">[5]テーブル設計!#REF!</definedName>
    <definedName name="D_ASK_SYSTEM" localSheetId="7">[3]ﾃﾞｰﾀﾍﾞｰｽ変更点!#REF!</definedName>
    <definedName name="D_ASK_SYSTEM" localSheetId="3">[3]ﾃﾞｰﾀﾍﾞｰｽ変更点!#REF!</definedName>
    <definedName name="D_ASK_SYSTEM">[3]ﾃﾞｰﾀﾍﾞｰｽ変更点!#REF!</definedName>
    <definedName name="D_ATC_ERROR" localSheetId="7">[5]テーブル設計!#REF!</definedName>
    <definedName name="D_ATC_ERROR" localSheetId="3">[5]テーブル設計!#REF!</definedName>
    <definedName name="D_ATC_ERROR">[5]テーブル設計!#REF!</definedName>
    <definedName name="D_AUTHORITY_GROUP" localSheetId="7">[3]ﾃﾞｰﾀﾍﾞｰｽ変更点!#REF!</definedName>
    <definedName name="D_AUTHORITY_GROUP" localSheetId="3">[3]ﾃﾞｰﾀﾍﾞｰｽ変更点!#REF!</definedName>
    <definedName name="D_AUTHORITY_GROUP">[3]ﾃﾞｰﾀﾍﾞｰｽ変更点!#REF!</definedName>
    <definedName name="D_AUTHORITY_GROUP_DATA" localSheetId="7">[3]ﾃﾞｰﾀﾍﾞｰｽ変更点!#REF!</definedName>
    <definedName name="D_AUTHORITY_GROUP_DATA" localSheetId="3">[3]ﾃﾞｰﾀﾍﾞｰｽ変更点!#REF!</definedName>
    <definedName name="D_AUTHORITY_GROUP_DATA">[3]ﾃﾞｰﾀﾍﾞｰｽ変更点!#REF!</definedName>
    <definedName name="D_AUTHORITY_MASTER" localSheetId="7">[5]テーブル設計!#REF!</definedName>
    <definedName name="D_AUTHORITY_MASTER" localSheetId="3">[5]テーブル設計!#REF!</definedName>
    <definedName name="D_AUTHORITY_MASTER">[5]テーブル設計!#REF!</definedName>
    <definedName name="D_BONDED_STORE" localSheetId="7">[5]テーブル設計!#REF!</definedName>
    <definedName name="D_BONDED_STORE" localSheetId="3">[5]テーブル設計!#REF!</definedName>
    <definedName name="D_BONDED_STORE">[5]テーブル設計!#REF!</definedName>
    <definedName name="D_CAR_DATA" localSheetId="7">[3]ﾃﾞｰﾀﾍﾞｰｽ変更点!#REF!</definedName>
    <definedName name="D_CAR_DATA" localSheetId="3">[3]ﾃﾞｰﾀﾍﾞｰｽ変更点!#REF!</definedName>
    <definedName name="D_CAR_DATA">[3]ﾃﾞｰﾀﾍﾞｰｽ変更点!#REF!</definedName>
    <definedName name="D_CAR_MASTER" localSheetId="7">[3]ﾃﾞｰﾀﾍﾞｰｽ変更点!#REF!</definedName>
    <definedName name="D_CAR_MASTER" localSheetId="3">[3]ﾃﾞｰﾀﾍﾞｰｽ変更点!#REF!</definedName>
    <definedName name="D_CAR_MASTER">[3]ﾃﾞｰﾀﾍﾞｰｽ変更点!#REF!</definedName>
    <definedName name="D_CAR_MONTHLY_DATA" localSheetId="7">[3]ﾃﾞｰﾀﾍﾞｰｽ変更点!#REF!</definedName>
    <definedName name="D_CAR_MONTHLY_DATA" localSheetId="3">[3]ﾃﾞｰﾀﾍﾞｰｽ変更点!#REF!</definedName>
    <definedName name="D_CAR_MONTHLY_DATA">[3]ﾃﾞｰﾀﾍﾞｰｽ変更点!#REF!</definedName>
    <definedName name="D_CAR_OWNER_HISTORY" localSheetId="7">[3]ﾃﾞｰﾀﾍﾞｰｽ変更点!#REF!</definedName>
    <definedName name="D_CAR_OWNER_HISTORY" localSheetId="3">[3]ﾃﾞｰﾀﾍﾞｰｽ変更点!#REF!</definedName>
    <definedName name="D_CAR_OWNER_HISTORY">[3]ﾃﾞｰﾀﾍﾞｰｽ変更点!#REF!</definedName>
    <definedName name="D_CAUTION" localSheetId="7">[4]TableDesign!#REF!</definedName>
    <definedName name="D_CAUTION" localSheetId="3">[4]TableDesign!#REF!</definedName>
    <definedName name="D_CAUTION">[4]TableDesign!#REF!</definedName>
    <definedName name="D_CAUTION_DATA" localSheetId="7">[3]ﾃﾞｰﾀﾍﾞｰｽ変更点!#REF!</definedName>
    <definedName name="D_CAUTION_DATA" localSheetId="3">[3]ﾃﾞｰﾀﾍﾞｰｽ変更点!#REF!</definedName>
    <definedName name="D_CAUTION_DATA">[3]ﾃﾞｰﾀﾍﾞｰｽ変更点!#REF!</definedName>
    <definedName name="D_CAUTION_ENABLED" localSheetId="7">[3]ﾃﾞｰﾀﾍﾞｰｽ変更点!#REF!</definedName>
    <definedName name="D_CAUTION_ENABLED" localSheetId="3">[3]ﾃﾞｰﾀﾍﾞｰｽ変更点!#REF!</definedName>
    <definedName name="D_CAUTION_ENABLED">[3]ﾃﾞｰﾀﾍﾞｰｽ変更点!#REF!</definedName>
    <definedName name="D_CAUTION_ICON" localSheetId="7">[3]ﾃﾞｰﾀﾍﾞｰｽ変更点!#REF!</definedName>
    <definedName name="D_CAUTION_ICON" localSheetId="3">[3]ﾃﾞｰﾀﾍﾞｰｽ変更点!#REF!</definedName>
    <definedName name="D_CAUTION_ICON">[3]ﾃﾞｰﾀﾍﾞｰｽ変更点!#REF!</definedName>
    <definedName name="D_CAUTION_INIT" localSheetId="7">[3]ﾃﾞｰﾀﾍﾞｰｽ変更点!#REF!</definedName>
    <definedName name="D_CAUTION_INIT" localSheetId="3">[3]ﾃﾞｰﾀﾍﾞｰｽ変更点!#REF!</definedName>
    <definedName name="D_CAUTION_INIT">[3]ﾃﾞｰﾀﾍﾞｰｽ変更点!#REF!</definedName>
    <definedName name="D_CAUTION_MASTER" localSheetId="7">[3]ﾃﾞｰﾀﾍﾞｰｽ変更点!#REF!</definedName>
    <definedName name="D_CAUTION_MASTER" localSheetId="3">[3]ﾃﾞｰﾀﾍﾞｰｽ変更点!#REF!</definedName>
    <definedName name="D_CAUTION_MASTER">[3]ﾃﾞｰﾀﾍﾞｰｽ変更点!#REF!</definedName>
    <definedName name="D_CLASS1_MASTER" localSheetId="7">[3]ﾃﾞｰﾀﾍﾞｰｽ変更点!#REF!</definedName>
    <definedName name="D_CLASS1_MASTER" localSheetId="3">[3]ﾃﾞｰﾀﾍﾞｰｽ変更点!#REF!</definedName>
    <definedName name="D_CLASS1_MASTER">[3]ﾃﾞｰﾀﾍﾞｰｽ変更点!#REF!</definedName>
    <definedName name="D_CLASS2_MASTER" localSheetId="7">[3]ﾃﾞｰﾀﾍﾞｰｽ変更点!#REF!</definedName>
    <definedName name="D_CLASS2_MASTER" localSheetId="3">[3]ﾃﾞｰﾀﾍﾞｰｽ変更点!#REF!</definedName>
    <definedName name="D_CLASS2_MASTER">[3]ﾃﾞｰﾀﾍﾞｰｽ変更点!#REF!</definedName>
    <definedName name="D_COMM_DATA" localSheetId="7">[3]ﾃﾞｰﾀﾍﾞｰｽ変更点!#REF!</definedName>
    <definedName name="D_COMM_DATA" localSheetId="3">[3]ﾃﾞｰﾀﾍﾞｰｽ変更点!#REF!</definedName>
    <definedName name="D_COMM_DATA">[3]ﾃﾞｰﾀﾍﾞｰｽ変更点!#REF!</definedName>
    <definedName name="D_COMM_STATUS_MASTER" localSheetId="7">[3]ﾃﾞｰﾀﾍﾞｰｽ変更点!#REF!</definedName>
    <definedName name="D_COMM_STATUS_MASTER" localSheetId="3">[3]ﾃﾞｰﾀﾍﾞｰｽ変更点!#REF!</definedName>
    <definedName name="D_COMM_STATUS_MASTER">[3]ﾃﾞｰﾀﾍﾞｰｽ変更点!#REF!</definedName>
    <definedName name="D_CONFIG_DEFINE" localSheetId="7">[3]ﾃﾞｰﾀﾍﾞｰｽ変更点!#REF!</definedName>
    <definedName name="D_CONFIG_DEFINE" localSheetId="3">[3]ﾃﾞｰﾀﾍﾞｰｽ変更点!#REF!</definedName>
    <definedName name="D_CONFIG_DEFINE">[3]ﾃﾞｰﾀﾍﾞｰｽ変更点!#REF!</definedName>
    <definedName name="D_CONFIG_FLAG" localSheetId="7">[5]テーブル設計!#REF!</definedName>
    <definedName name="D_CONFIG_FLAG" localSheetId="3">[5]テーブル設計!#REF!</definedName>
    <definedName name="D_CONFIG_FLAG">[5]テーブル設計!#REF!</definedName>
    <definedName name="D_CONFIG_INIT" localSheetId="7">[3]ﾃﾞｰﾀﾍﾞｰｽ変更点!#REF!</definedName>
    <definedName name="D_CONFIG_INIT" localSheetId="3">[3]ﾃﾞｰﾀﾍﾞｰｽ変更点!#REF!</definedName>
    <definedName name="D_CONFIG_INIT">[3]ﾃﾞｰﾀﾍﾞｰｽ変更点!#REF!</definedName>
    <definedName name="D_CONFIG_PATTERN" localSheetId="7">[3]ﾃﾞｰﾀﾍﾞｰｽ変更点!#REF!</definedName>
    <definedName name="D_CONFIG_PATTERN" localSheetId="3">[3]ﾃﾞｰﾀﾍﾞｰｽ変更点!#REF!</definedName>
    <definedName name="D_CONFIG_PATTERN">[3]ﾃﾞｰﾀﾍﾞｰｽ変更点!#REF!</definedName>
    <definedName name="D_CONFIG_PATTERN_DATA" localSheetId="7">[3]ﾃﾞｰﾀﾍﾞｰｽ変更点!#REF!</definedName>
    <definedName name="D_CONFIG_PATTERN_DATA" localSheetId="3">[3]ﾃﾞｰﾀﾍﾞｰｽ変更点!#REF!</definedName>
    <definedName name="D_CONFIG_PATTERN_DATA">[3]ﾃﾞｰﾀﾍﾞｰｽ変更点!#REF!</definedName>
    <definedName name="D_CONFIG_USER_FLAG" localSheetId="7">[5]テーブル設計!#REF!</definedName>
    <definedName name="D_CONFIG_USER_FLAG" localSheetId="3">[5]テーブル設計!#REF!</definedName>
    <definedName name="D_CONFIG_USER_FLAG">[5]テーブル設計!#REF!</definedName>
    <definedName name="D_CONTRACT" localSheetId="7">[5]テーブル設計!#REF!</definedName>
    <definedName name="D_CONTRACT" localSheetId="3">[5]テーブル設計!#REF!</definedName>
    <definedName name="D_CONTRACT">[5]テーブル設計!#REF!</definedName>
    <definedName name="D_CUSTOMER" localSheetId="7">[3]ﾃﾞｰﾀﾍﾞｰｽ変更点!#REF!</definedName>
    <definedName name="D_CUSTOMER" localSheetId="3">[3]ﾃﾞｰﾀﾍﾞｰｽ変更点!#REF!</definedName>
    <definedName name="D_CUSTOMER">[3]ﾃﾞｰﾀﾍﾞｰｽ変更点!#REF!</definedName>
    <definedName name="D_CUSTOMER_CAR" localSheetId="7">[3]ﾃﾞｰﾀﾍﾞｰｽ変更点!#REF!</definedName>
    <definedName name="D_CUSTOMER_CAR" localSheetId="3">[3]ﾃﾞｰﾀﾍﾞｰｽ変更点!#REF!</definedName>
    <definedName name="D_CUSTOMER_CAR">[3]ﾃﾞｰﾀﾍﾞｰｽ変更点!#REF!</definedName>
    <definedName name="D_CUSTOMER_MASTER" localSheetId="7">[4]TableDesign!#REF!</definedName>
    <definedName name="D_CUSTOMER_MASTER" localSheetId="3">[4]TableDesign!#REF!</definedName>
    <definedName name="D_CUSTOMER_MASTER">[4]TableDesign!#REF!</definedName>
    <definedName name="D_DIVISION_MASTER" localSheetId="7">[3]ﾃﾞｰﾀﾍﾞｰｽ変更点!#REF!</definedName>
    <definedName name="D_DIVISION_MASTER" localSheetId="3">[3]ﾃﾞｰﾀﾍﾞｰｽ変更点!#REF!</definedName>
    <definedName name="D_DIVISION_MASTER">[3]ﾃﾞｰﾀﾍﾞｰｽ変更点!#REF!</definedName>
    <definedName name="D_DOPA" localSheetId="7">[3]ﾃﾞｰﾀﾍﾞｰｽ変更点!#REF!</definedName>
    <definedName name="D_DOPA" localSheetId="3">[3]ﾃﾞｰﾀﾍﾞｰｽ変更点!#REF!</definedName>
    <definedName name="D_DOPA">[3]ﾃﾞｰﾀﾍﾞｰｽ変更点!#REF!</definedName>
    <definedName name="D_DOPA_OWNER_HISTORY" localSheetId="7">[3]ﾃﾞｰﾀﾍﾞｰｽ変更点!#REF!</definedName>
    <definedName name="D_DOPA_OWNER_HISTORY" localSheetId="3">[3]ﾃﾞｰﾀﾍﾞｰｽ変更点!#REF!</definedName>
    <definedName name="D_DOPA_OWNER_HISTORY">[3]ﾃﾞｰﾀﾍﾞｰｽ変更点!#REF!</definedName>
    <definedName name="D_DOPA_SERVER" localSheetId="7">[3]ﾃﾞｰﾀﾍﾞｰｽ変更点!#REF!</definedName>
    <definedName name="D_DOPA_SERVER" localSheetId="3">[3]ﾃﾞｰﾀﾍﾞｰｽ変更点!#REF!</definedName>
    <definedName name="D_DOPA_SERVER">[3]ﾃﾞｰﾀﾍﾞｰｽ変更点!#REF!</definedName>
    <definedName name="D_EQUIPMENT_HISTORY" localSheetId="7">[3]ﾃﾞｰﾀﾍﾞｰｽ変更点!#REF!</definedName>
    <definedName name="D_EQUIPMENT_HISTORY" localSheetId="3">[3]ﾃﾞｰﾀﾍﾞｰｽ変更点!#REF!</definedName>
    <definedName name="D_EQUIPMENT_HISTORY">[3]ﾃﾞｰﾀﾍﾞｰｽ変更点!#REF!</definedName>
    <definedName name="D_ERROR" localSheetId="7">[3]ﾃﾞｰﾀﾍﾞｰｽ変更点!#REF!</definedName>
    <definedName name="D_ERROR" localSheetId="3">[3]ﾃﾞｰﾀﾍﾞｰｽ変更点!#REF!</definedName>
    <definedName name="D_ERROR">[3]ﾃﾞｰﾀﾍﾞｰｽ変更点!#REF!</definedName>
    <definedName name="D_ERROR_ENABLED" localSheetId="7">[3]ﾃﾞｰﾀﾍﾞｰｽ変更点!#REF!</definedName>
    <definedName name="D_ERROR_ENABLED" localSheetId="3">[3]ﾃﾞｰﾀﾍﾞｰｽ変更点!#REF!</definedName>
    <definedName name="D_ERROR_ENABLED">[3]ﾃﾞｰﾀﾍﾞｰｽ変更点!#REF!</definedName>
    <definedName name="D_ERROR_MASTER" localSheetId="7">[3]ﾃﾞｰﾀﾍﾞｰｽ変更点!#REF!</definedName>
    <definedName name="D_ERROR_MASTER" localSheetId="3">[3]ﾃﾞｰﾀﾍﾞｰｽ変更点!#REF!</definedName>
    <definedName name="D_ERROR_MASTER">[3]ﾃﾞｰﾀﾍﾞｰｽ変更点!#REF!</definedName>
    <definedName name="D_EVENT_CATEGORY" localSheetId="7">[4]TableDesign!#REF!</definedName>
    <definedName name="D_EVENT_CATEGORY" localSheetId="3">[4]TableDesign!#REF!</definedName>
    <definedName name="D_EVENT_CATEGORY">[4]TableDesign!#REF!</definedName>
    <definedName name="D_EVENT_DIVISION" localSheetId="7">[3]ﾃﾞｰﾀﾍﾞｰｽ変更点!#REF!</definedName>
    <definedName name="D_EVENT_DIVISION" localSheetId="3">[3]ﾃﾞｰﾀﾍﾞｰｽ変更点!#REF!</definedName>
    <definedName name="D_EVENT_DIVISION">[3]ﾃﾞｰﾀﾍﾞｰｽ変更点!#REF!</definedName>
    <definedName name="D_EVENT_MASTER" localSheetId="7">[3]ﾃﾞｰﾀﾍﾞｰｽ変更点!#REF!</definedName>
    <definedName name="D_EVENT_MASTER" localSheetId="3">[3]ﾃﾞｰﾀﾍﾞｰｽ変更点!#REF!</definedName>
    <definedName name="D_EVENT_MASTER">[3]ﾃﾞｰﾀﾍﾞｰｽ変更点!#REF!</definedName>
    <definedName name="D_EVENT_NOTICE" localSheetId="7">[3]ﾃﾞｰﾀﾍﾞｰｽ変更点!#REF!</definedName>
    <definedName name="D_EVENT_NOTICE" localSheetId="3">[3]ﾃﾞｰﾀﾍﾞｰｽ変更点!#REF!</definedName>
    <definedName name="D_EVENT_NOTICE">[3]ﾃﾞｰﾀﾍﾞｰｽ変更点!#REF!</definedName>
    <definedName name="D_FUEL_GAUGE" localSheetId="7">[4]TableDesign!#REF!</definedName>
    <definedName name="D_FUEL_GAUGE" localSheetId="3">[4]TableDesign!#REF!</definedName>
    <definedName name="D_FUEL_GAUGE">[4]TableDesign!#REF!</definedName>
    <definedName name="D_GAUGE_FUEL_WTTEMP" localSheetId="7">[3]ﾃﾞｰﾀﾍﾞｰｽ変更点!#REF!</definedName>
    <definedName name="D_GAUGE_FUEL_WTTEMP" localSheetId="3">[3]ﾃﾞｰﾀﾍﾞｰｽ変更点!#REF!</definedName>
    <definedName name="D_GAUGE_FUEL_WTTEMP">[3]ﾃﾞｰﾀﾍﾞｰｽ変更点!#REF!</definedName>
    <definedName name="D_GIS_DEFINE" localSheetId="7">[4]TableDesign!#REF!</definedName>
    <definedName name="D_GIS_DEFINE" localSheetId="3">[4]TableDesign!#REF!</definedName>
    <definedName name="D_GIS_DEFINE">[4]TableDesign!#REF!</definedName>
    <definedName name="D_GPS" localSheetId="7">[3]ﾃﾞｰﾀﾍﾞｰｽ変更点!#REF!</definedName>
    <definedName name="D_GPS" localSheetId="3">[3]ﾃﾞｰﾀﾍﾞｰｽ変更点!#REF!</definedName>
    <definedName name="D_GPS">[3]ﾃﾞｰﾀﾍﾞｰｽ変更点!#REF!</definedName>
    <definedName name="D_GRANT_AUTHORITY" localSheetId="7">[3]ﾃﾞｰﾀﾍﾞｰｽ変更点!#REF!</definedName>
    <definedName name="D_GRANT_AUTHORITY" localSheetId="3">[3]ﾃﾞｰﾀﾍﾞｰｽ変更点!#REF!</definedName>
    <definedName name="D_GRANT_AUTHORITY">[3]ﾃﾞｰﾀﾍﾞｰｽ変更点!#REF!</definedName>
    <definedName name="D_GROUP_MASTER" localSheetId="7">[3]ﾃﾞｰﾀﾍﾞｰｽ変更点!#REF!</definedName>
    <definedName name="D_GROUP_MASTER" localSheetId="3">[3]ﾃﾞｰﾀﾍﾞｰｽ変更点!#REF!</definedName>
    <definedName name="D_GROUP_MASTER">[3]ﾃﾞｰﾀﾍﾞｰｽ変更点!#REF!</definedName>
    <definedName name="D_IGNORE_CAUTION" localSheetId="7">[5]テーブル設計!#REF!</definedName>
    <definedName name="D_IGNORE_CAUTION" localSheetId="3">[5]テーブル設計!#REF!</definedName>
    <definedName name="D_IGNORE_CAUTION">[5]テーブル設計!#REF!</definedName>
    <definedName name="D_IGNORE_ERROR" localSheetId="7">[5]テーブル設計!#REF!</definedName>
    <definedName name="D_IGNORE_ERROR" localSheetId="3">[5]テーブル設計!#REF!</definedName>
    <definedName name="D_IGNORE_ERROR">[5]テーブル設計!#REF!</definedName>
    <definedName name="D_INFORM_MASTER" localSheetId="7">[3]ﾃﾞｰﾀﾍﾞｰｽ変更点!#REF!</definedName>
    <definedName name="D_INFORM_MASTER" localSheetId="3">[3]ﾃﾞｰﾀﾍﾞｰｽ変更点!#REF!</definedName>
    <definedName name="D_INFORM_MASTER">[3]ﾃﾞｰﾀﾍﾞｰｽ変更点!#REF!</definedName>
    <definedName name="D_INFORMATION" localSheetId="7">[3]ﾃﾞｰﾀﾍﾞｰｽ変更点!#REF!</definedName>
    <definedName name="D_INFORMATION" localSheetId="3">[3]ﾃﾞｰﾀﾍﾞｰｽ変更点!#REF!</definedName>
    <definedName name="D_INFORMATION">[3]ﾃﾞｰﾀﾍﾞｰｽ変更点!#REF!</definedName>
    <definedName name="D_INFORMATION_READED" localSheetId="7">[3]ﾃﾞｰﾀﾍﾞｰｽ変更点!#REF!</definedName>
    <definedName name="D_INFORMATION_READED" localSheetId="3">[3]ﾃﾞｰﾀﾍﾞｰｽ変更点!#REF!</definedName>
    <definedName name="D_INFORMATION_READED">[3]ﾃﾞｰﾀﾍﾞｰｽ変更点!#REF!</definedName>
    <definedName name="D_INVALID_PART_TERMINAL" localSheetId="7">[5]テーブル設計!#REF!</definedName>
    <definedName name="D_INVALID_PART_TERMINAL" localSheetId="3">[5]テーブル設計!#REF!</definedName>
    <definedName name="D_INVALID_PART_TERMINAL">[5]テーブル設計!#REF!</definedName>
    <definedName name="D_KIND_MASTER" localSheetId="7">[3]ﾃﾞｰﾀﾍﾞｰｽ変更点!#REF!</definedName>
    <definedName name="D_KIND_MASTER" localSheetId="3">[3]ﾃﾞｰﾀﾍﾞｰｽ変更点!#REF!</definedName>
    <definedName name="D_KIND_MASTER">[3]ﾃﾞｰﾀﾍﾞｰｽ変更点!#REF!</definedName>
    <definedName name="D_KRO_APPLICATION" localSheetId="7">[3]ﾃﾞｰﾀﾍﾞｰｽ変更点!#REF!</definedName>
    <definedName name="D_KRO_APPLICATION" localSheetId="3">[3]ﾃﾞｰﾀﾍﾞｰｽ変更点!#REF!</definedName>
    <definedName name="D_KRO_APPLICATION">[3]ﾃﾞｰﾀﾍﾞｰｽ変更点!#REF!</definedName>
    <definedName name="D_KRO_APPLICATION_DATA" localSheetId="7">[3]ﾃﾞｰﾀﾍﾞｰｽ変更点!#REF!</definedName>
    <definedName name="D_KRO_APPLICATION_DATA" localSheetId="3">[3]ﾃﾞｰﾀﾍﾞｰｽ変更点!#REF!</definedName>
    <definedName name="D_KRO_APPLICATION_DATA">[3]ﾃﾞｰﾀﾍﾞｰｽ変更点!#REF!</definedName>
    <definedName name="D_KRO_COMPLETION" localSheetId="7">[3]ﾃﾞｰﾀﾍﾞｰｽ変更点!#REF!</definedName>
    <definedName name="D_KRO_COMPLETION" localSheetId="3">[3]ﾃﾞｰﾀﾍﾞｰｽ変更点!#REF!</definedName>
    <definedName name="D_KRO_COMPLETION">[3]ﾃﾞｰﾀﾍﾞｰｽ変更点!#REF!</definedName>
    <definedName name="D_KRO_COMPLETION_DATA" localSheetId="7">[3]ﾃﾞｰﾀﾍﾞｰｽ変更点!#REF!</definedName>
    <definedName name="D_KRO_COMPLETION_DATA" localSheetId="3">[3]ﾃﾞｰﾀﾍﾞｰｽ変更点!#REF!</definedName>
    <definedName name="D_KRO_COMPLETION_DATA">[3]ﾃﾞｰﾀﾍﾞｰｽ変更点!#REF!</definedName>
    <definedName name="D_KRO_EMERGENCY" localSheetId="7">[5]テーブル設計!#REF!</definedName>
    <definedName name="D_KRO_EMERGENCY" localSheetId="3">[5]テーブル設計!#REF!</definedName>
    <definedName name="D_KRO_EMERGENCY">[5]テーブル設計!#REF!</definedName>
    <definedName name="D_KRO_REPORT" localSheetId="7">[3]ﾃﾞｰﾀﾍﾞｰｽ変更点!#REF!</definedName>
    <definedName name="D_KRO_REPORT" localSheetId="3">[3]ﾃﾞｰﾀﾍﾞｰｽ変更点!#REF!</definedName>
    <definedName name="D_KRO_REPORT">[3]ﾃﾞｰﾀﾍﾞｰｽ変更点!#REF!</definedName>
    <definedName name="D_LANDMARK" localSheetId="7">[3]ﾃﾞｰﾀﾍﾞｰｽ変更点!#REF!</definedName>
    <definedName name="D_LANDMARK" localSheetId="3">[3]ﾃﾞｰﾀﾍﾞｰｽ変更点!#REF!</definedName>
    <definedName name="D_LANDMARK">[3]ﾃﾞｰﾀﾍﾞｰｽ変更点!#REF!</definedName>
    <definedName name="D_LANDMARK_CLASS" localSheetId="7">[3]ﾃﾞｰﾀﾍﾞｰｽ変更点!#REF!</definedName>
    <definedName name="D_LANDMARK_CLASS" localSheetId="3">[3]ﾃﾞｰﾀﾍﾞｰｽ変更点!#REF!</definedName>
    <definedName name="D_LANDMARK_CLASS">[3]ﾃﾞｰﾀﾍﾞｰｽ変更点!#REF!</definedName>
    <definedName name="D_LOGON_HISTORY" localSheetId="7">[3]ﾃﾞｰﾀﾍﾞｰｽ変更点!#REF!</definedName>
    <definedName name="D_LOGON_HISTORY" localSheetId="3">[3]ﾃﾞｰﾀﾍﾞｰｽ変更点!#REF!</definedName>
    <definedName name="D_LOGON_HISTORY">[3]ﾃﾞｰﾀﾍﾞｰｽ変更点!#REF!</definedName>
    <definedName name="D_MACHINE_ERROR" localSheetId="7">[4]TableDesign!#REF!</definedName>
    <definedName name="D_MACHINE_ERROR" localSheetId="3">[4]TableDesign!#REF!</definedName>
    <definedName name="D_MACHINE_ERROR">[4]TableDesign!#REF!</definedName>
    <definedName name="D_MACHINE_STATUS_MASTER" localSheetId="7">[3]ﾃﾞｰﾀﾍﾞｰｽ変更点!#REF!</definedName>
    <definedName name="D_MACHINE_STATUS_MASTER" localSheetId="3">[3]ﾃﾞｰﾀﾍﾞｰｽ変更点!#REF!</definedName>
    <definedName name="D_MACHINE_STATUS_MASTER">[3]ﾃﾞｰﾀﾍﾞｰｽ変更点!#REF!</definedName>
    <definedName name="D_MAINTENANCE_DATA" localSheetId="7">[3]ﾃﾞｰﾀﾍﾞｰｽ変更点!#REF!</definedName>
    <definedName name="D_MAINTENANCE_DATA" localSheetId="3">[3]ﾃﾞｰﾀﾍﾞｰｽ変更点!#REF!</definedName>
    <definedName name="D_MAINTENANCE_DATA">[3]ﾃﾞｰﾀﾍﾞｰｽ変更点!#REF!</definedName>
    <definedName name="D_MAINTENANCE_INFORM" localSheetId="7">[3]ﾃﾞｰﾀﾍﾞｰｽ変更点!#REF!</definedName>
    <definedName name="D_MAINTENANCE_INFORM" localSheetId="3">[3]ﾃﾞｰﾀﾍﾞｰｽ変更点!#REF!</definedName>
    <definedName name="D_MAINTENANCE_INFORM">[3]ﾃﾞｰﾀﾍﾞｰｽ変更点!#REF!</definedName>
    <definedName name="D_MAINTENANCE_MASTER" localSheetId="7">[3]ﾃﾞｰﾀﾍﾞｰｽ変更点!#REF!</definedName>
    <definedName name="D_MAINTENANCE_MASTER" localSheetId="3">[3]ﾃﾞｰﾀﾍﾞｰｽ変更点!#REF!</definedName>
    <definedName name="D_MAINTENANCE_MASTER">[3]ﾃﾞｰﾀﾍﾞｰｽ変更点!#REF!</definedName>
    <definedName name="D_MAINTENANCE_TIME" localSheetId="7">[4]TableDesign!#REF!</definedName>
    <definedName name="D_MAINTENANCE_TIME" localSheetId="3">[4]TableDesign!#REF!</definedName>
    <definedName name="D_MAINTENANCE_TIME">[4]TableDesign!#REF!</definedName>
    <definedName name="D_MAKER_MASTER" localSheetId="7">[3]ﾃﾞｰﾀﾍﾞｰｽ変更点!#REF!</definedName>
    <definedName name="D_MAKER_MASTER" localSheetId="3">[3]ﾃﾞｰﾀﾍﾞｰｽ変更点!#REF!</definedName>
    <definedName name="D_MAKER_MASTER">[3]ﾃﾞｰﾀﾍﾞｰｽ変更点!#REF!</definedName>
    <definedName name="D_MARK_MACHINE" localSheetId="7">[4]TableDesign!#REF!</definedName>
    <definedName name="D_MARK_MACHINE" localSheetId="3">[4]TableDesign!#REF!</definedName>
    <definedName name="D_MARK_MACHINE">[4]TableDesign!#REF!</definedName>
    <definedName name="D_MARK_NOTIFICATION" localSheetId="7">[4]TableDesign!#REF!</definedName>
    <definedName name="D_MARK_NOTIFICATION" localSheetId="3">[4]TableDesign!#REF!</definedName>
    <definedName name="D_MARK_NOTIFICATION">[4]TableDesign!#REF!</definedName>
    <definedName name="D_MARK_NOTIFICATION_DETAIL" localSheetId="7">[4]TableDesign!#REF!</definedName>
    <definedName name="D_MARK_NOTIFICATION_DETAIL" localSheetId="3">[4]TableDesign!#REF!</definedName>
    <definedName name="D_MARK_NOTIFICATION_DETAIL">[4]TableDesign!#REF!</definedName>
    <definedName name="D_MEMO" localSheetId="7">[3]ﾃﾞｰﾀﾍﾞｰｽ変更点!#REF!</definedName>
    <definedName name="D_MEMO" localSheetId="3">[3]ﾃﾞｰﾀﾍﾞｰｽ変更点!#REF!</definedName>
    <definedName name="D_MEMO">[3]ﾃﾞｰﾀﾍﾞｰｽ変更点!#REF!</definedName>
    <definedName name="D_MEMORY_MODIFY" localSheetId="7">[3]ﾃﾞｰﾀﾍﾞｰｽ変更点!#REF!</definedName>
    <definedName name="D_MEMORY_MODIFY" localSheetId="3">[3]ﾃﾞｰﾀﾍﾞｰｽ変更点!#REF!</definedName>
    <definedName name="D_MEMORY_MODIFY">[3]ﾃﾞｰﾀﾍﾞｰｽ変更点!#REF!</definedName>
    <definedName name="D_MEMORY_MODIFY_DATA" localSheetId="7">[3]ﾃﾞｰﾀﾍﾞｰｽ変更点!#REF!</definedName>
    <definedName name="D_MEMORY_MODIFY_DATA" localSheetId="3">[3]ﾃﾞｰﾀﾍﾞｰｽ変更点!#REF!</definedName>
    <definedName name="D_MEMORY_MODIFY_DATA">[3]ﾃﾞｰﾀﾍﾞｰｽ変更点!#REF!</definedName>
    <definedName name="D_MESSAGE" localSheetId="7">[3]ﾃﾞｰﾀﾍﾞｰｽ変更点!#REF!</definedName>
    <definedName name="D_MESSAGE" localSheetId="3">[3]ﾃﾞｰﾀﾍﾞｰｽ変更点!#REF!</definedName>
    <definedName name="D_MESSAGE">[3]ﾃﾞｰﾀﾍﾞｰｽ変更点!#REF!</definedName>
    <definedName name="D_MESSAGE_MASTER" localSheetId="7">[3]ﾃﾞｰﾀﾍﾞｰｽ変更点!#REF!</definedName>
    <definedName name="D_MESSAGE_MASTER" localSheetId="3">[3]ﾃﾞｰﾀﾍﾞｰｽ変更点!#REF!</definedName>
    <definedName name="D_MESSAGE_MASTER">[3]ﾃﾞｰﾀﾍﾞｰｽ変更点!#REF!</definedName>
    <definedName name="D_MONTHLY_ATT_SMR" localSheetId="7">[4]TableDesign!#REF!</definedName>
    <definedName name="D_MONTHLY_ATT_SMR" localSheetId="3">[4]TableDesign!#REF!</definedName>
    <definedName name="D_MONTHLY_ATT_SMR">[4]TableDesign!#REF!</definedName>
    <definedName name="D_MONTHLY_ERROR" localSheetId="7">[4]TableDesign!#REF!</definedName>
    <definedName name="D_MONTHLY_ERROR" localSheetId="3">[4]TableDesign!#REF!</definedName>
    <definedName name="D_MONTHLY_ERROR">[4]TableDesign!#REF!</definedName>
    <definedName name="D_MONTHLY_LOAD" localSheetId="7">[4]TableDesign!#REF!</definedName>
    <definedName name="D_MONTHLY_LOAD" localSheetId="3">[4]TableDesign!#REF!</definedName>
    <definedName name="D_MONTHLY_LOAD">[4]TableDesign!#REF!</definedName>
    <definedName name="D_MONTHLY_MOVEMENT" localSheetId="7">[4]TableDesign!#REF!</definedName>
    <definedName name="D_MONTHLY_MOVEMENT" localSheetId="3">[4]TableDesign!#REF!</definedName>
    <definedName name="D_MONTHLY_MOVEMENT">[4]TableDesign!#REF!</definedName>
    <definedName name="D_MONTHLY_OPERATION" localSheetId="7">[4]TableDesign!#REF!</definedName>
    <definedName name="D_MONTHLY_OPERATION" localSheetId="3">[4]TableDesign!#REF!</definedName>
    <definedName name="D_MONTHLY_OPERATION">[4]TableDesign!#REF!</definedName>
    <definedName name="D_MONTHLY_SMR" localSheetId="7">[4]TableDesign!#REF!</definedName>
    <definedName name="D_MONTHLY_SMR" localSheetId="3">[4]TableDesign!#REF!</definedName>
    <definedName name="D_MONTHLY_SMR">[4]TableDesign!#REF!</definedName>
    <definedName name="D_MONTHLY_WORKING_SMR" localSheetId="7">[4]TableDesign!#REF!</definedName>
    <definedName name="D_MONTHLY_WORKING_SMR" localSheetId="3">[4]TableDesign!#REF!</definedName>
    <definedName name="D_MONTHLY_WORKING_SMR">[4]TableDesign!#REF!</definedName>
    <definedName name="D_MONTLY_LOAD" localSheetId="7">[4]TableDesign!#REF!</definedName>
    <definedName name="D_MONTLY_LOAD" localSheetId="3">[4]TableDesign!#REF!</definedName>
    <definedName name="D_MONTLY_LOAD">[4]TableDesign!#REF!</definedName>
    <definedName name="D_MULTI_OPE" localSheetId="7">[3]ﾃﾞｰﾀﾍﾞｰｽ変更点!#REF!</definedName>
    <definedName name="D_MULTI_OPE" localSheetId="3">[3]ﾃﾞｰﾀﾍﾞｰｽ変更点!#REF!</definedName>
    <definedName name="D_MULTI_OPE">[3]ﾃﾞｰﾀﾍﾞｰｽ変更点!#REF!</definedName>
    <definedName name="D_MULTI_OPE_DATA" localSheetId="7">[5]テーブル設計!#REF!</definedName>
    <definedName name="D_MULTI_OPE_DATA" localSheetId="3">[5]テーブル設計!#REF!</definedName>
    <definedName name="D_MULTI_OPE_DATA">[5]テーブル設計!#REF!</definedName>
    <definedName name="D_NLS_DB_RESOURCE" localSheetId="7">[4]TableDesign!#REF!</definedName>
    <definedName name="D_NLS_DB_RESOURCE" localSheetId="3">[4]TableDesign!#REF!</definedName>
    <definedName name="D_NLS_DB_RESOURCE">[4]TableDesign!#REF!</definedName>
    <definedName name="D_NLS_LANG" localSheetId="7">[4]TableDesign!#REF!</definedName>
    <definedName name="D_NLS_LANG" localSheetId="3">[4]TableDesign!#REF!</definedName>
    <definedName name="D_NLS_LANG">[4]TableDesign!#REF!</definedName>
    <definedName name="D_NLS_RESOURCE" localSheetId="7">[4]TableDesign!#REF!</definedName>
    <definedName name="D_NLS_RESOURCE" localSheetId="3">[4]TableDesign!#REF!</definedName>
    <definedName name="D_NLS_RESOURCE">[4]TableDesign!#REF!</definedName>
    <definedName name="D_NOT_ACTIVE" localSheetId="7">[3]ﾃﾞｰﾀﾍﾞｰｽ変更点!#REF!</definedName>
    <definedName name="D_NOT_ACTIVE" localSheetId="3">[3]ﾃﾞｰﾀﾍﾞｰｽ変更点!#REF!</definedName>
    <definedName name="D_NOT_ACTIVE">[3]ﾃﾞｰﾀﾍﾞｰｽ変更点!#REF!</definedName>
    <definedName name="D_OPERATION_CATEGORY" localSheetId="7">[4]TableDesign!#REF!</definedName>
    <definedName name="D_OPERATION_CATEGORY" localSheetId="3">[4]TableDesign!#REF!</definedName>
    <definedName name="D_OPERATION_CATEGORY">[4]TableDesign!#REF!</definedName>
    <definedName name="D_OPERATION_CLASS" localSheetId="7">[5]テーブル設計!#REF!</definedName>
    <definedName name="D_OPERATION_CLASS" localSheetId="3">[5]テーブル設計!#REF!</definedName>
    <definedName name="D_OPERATION_CLASS">[5]テーブル設計!#REF!</definedName>
    <definedName name="D_OPERATION_LOG" localSheetId="7">[3]ﾃﾞｰﾀﾍﾞｰｽ変更点!#REF!</definedName>
    <definedName name="D_OPERATION_LOG" localSheetId="3">[3]ﾃﾞｰﾀﾍﾞｰｽ変更点!#REF!</definedName>
    <definedName name="D_OPERATION_LOG">[3]ﾃﾞｰﾀﾍﾞｰｽ変更点!#REF!</definedName>
    <definedName name="D_OPERATION_LOG2" localSheetId="7">[5]テーブル設計!#REF!</definedName>
    <definedName name="D_OPERATION_LOG2" localSheetId="3">[5]テーブル設計!#REF!</definedName>
    <definedName name="D_OPERATION_LOG2">[5]テーブル設計!#REF!</definedName>
    <definedName name="D_OPERATION_MAP" localSheetId="7">[4]TableDesign!#REF!</definedName>
    <definedName name="D_OPERATION_MAP" localSheetId="3">[4]TableDesign!#REF!</definedName>
    <definedName name="D_OPERATION_MAP">[4]TableDesign!#REF!</definedName>
    <definedName name="D_OPERATION_MASTER" localSheetId="7">[5]テーブル設計!#REF!</definedName>
    <definedName name="D_OPERATION_MASTER" localSheetId="3">[5]テーブル設計!#REF!</definedName>
    <definedName name="D_OPERATION_MASTER">[5]テーブル設計!#REF!</definedName>
    <definedName name="D_ORBCOMM" localSheetId="7">[3]ﾃﾞｰﾀﾍﾞｰｽ変更点!#REF!</definedName>
    <definedName name="D_ORBCOMM" localSheetId="3">[3]ﾃﾞｰﾀﾍﾞｰｽ変更点!#REF!</definedName>
    <definedName name="D_ORBCOMM">[3]ﾃﾞｰﾀﾍﾞｰｽ変更点!#REF!</definedName>
    <definedName name="D_ORBCOMM_OWNER_HISTORY" localSheetId="7">[3]ﾃﾞｰﾀﾍﾞｰｽ変更点!#REF!</definedName>
    <definedName name="D_ORBCOMM_OWNER_HISTORY" localSheetId="3">[3]ﾃﾞｰﾀﾍﾞｰｽ変更点!#REF!</definedName>
    <definedName name="D_ORBCOMM_OWNER_HISTORY">[3]ﾃﾞｰﾀﾍﾞｰｽ変更点!#REF!</definedName>
    <definedName name="D_PLANT_CAR" localSheetId="7">[5]テーブル設計!#REF!</definedName>
    <definedName name="D_PLANT_CAR" localSheetId="3">[5]テーブル設計!#REF!</definedName>
    <definedName name="D_PLANT_CAR">[5]テーブル設計!#REF!</definedName>
    <definedName name="D_PLANT_ERROR" localSheetId="7">[5]テーブル設計!#REF!</definedName>
    <definedName name="D_PLANT_ERROR" localSheetId="3">[5]テーブル設計!#REF!</definedName>
    <definedName name="D_PLANT_ERROR">[5]テーブル設計!#REF!</definedName>
    <definedName name="D_PLANT_GPS" localSheetId="7">[5]テーブル設計!#REF!</definedName>
    <definedName name="D_PLANT_GPS" localSheetId="3">[5]テーブル設計!#REF!</definedName>
    <definedName name="D_PLANT_GPS">[5]テーブル設計!#REF!</definedName>
    <definedName name="D_PREVENT_THEFT_KEY" localSheetId="7">[3]ﾃﾞｰﾀﾍﾞｰｽ変更点!#REF!</definedName>
    <definedName name="D_PREVENT_THEFT_KEY" localSheetId="3">[3]ﾃﾞｰﾀﾍﾞｰｽ変更点!#REF!</definedName>
    <definedName name="D_PREVENT_THEFT_KEY">[3]ﾃﾞｰﾀﾍﾞｰｽ変更点!#REF!</definedName>
    <definedName name="D_PRIVATE_TARGET_CAR" localSheetId="7">[3]ﾃﾞｰﾀﾍﾞｰｽ変更点!#REF!</definedName>
    <definedName name="D_PRIVATE_TARGET_CAR" localSheetId="3">[3]ﾃﾞｰﾀﾍﾞｰｽ変更点!#REF!</definedName>
    <definedName name="D_PRIVATE_TARGET_CAR">[3]ﾃﾞｰﾀﾍﾞｰｽ変更点!#REF!</definedName>
    <definedName name="D_RECEIVE_LIST" localSheetId="7">[5]テーブル設計!#REF!</definedName>
    <definedName name="D_RECEIVE_LIST" localSheetId="3">[5]テーブル設計!#REF!</definedName>
    <definedName name="D_RECEIVE_LIST">[5]テーブル設計!#REF!</definedName>
    <definedName name="D_RECEIVE_LOG" localSheetId="7">[3]ﾃﾞｰﾀﾍﾞｰｽ変更点!#REF!</definedName>
    <definedName name="D_RECEIVE_LOG" localSheetId="3">[3]ﾃﾞｰﾀﾍﾞｰｽ変更点!#REF!</definedName>
    <definedName name="D_RECEIVE_LOG">[3]ﾃﾞｰﾀﾍﾞｰｽ変更点!#REF!</definedName>
    <definedName name="D_REGION_DATA" localSheetId="7">[4]TableDesign!#REF!</definedName>
    <definedName name="D_REGION_DATA" localSheetId="3">[4]TableDesign!#REF!</definedName>
    <definedName name="D_REGION_DATA">[4]TableDesign!#REF!</definedName>
    <definedName name="D_REGION_MASTER" localSheetId="7">[4]TableDesign!#REF!</definedName>
    <definedName name="D_REGION_MASTER" localSheetId="3">[4]TableDesign!#REF!</definedName>
    <definedName name="D_REGION_MASTER">[4]TableDesign!#REF!</definedName>
    <definedName name="D_RENTAL_TERMINAL" localSheetId="7">[5]テーブル設計!#REF!</definedName>
    <definedName name="D_RENTAL_TERMINAL" localSheetId="3">[5]テーブル設計!#REF!</definedName>
    <definedName name="D_RENTAL_TERMINAL">[5]テーブル設計!#REF!</definedName>
    <definedName name="D_REQUEST" localSheetId="7">[3]ﾃﾞｰﾀﾍﾞｰｽ変更点!#REF!</definedName>
    <definedName name="D_REQUEST" localSheetId="3">[3]ﾃﾞｰﾀﾍﾞｰｽ変更点!#REF!</definedName>
    <definedName name="D_REQUEST">[3]ﾃﾞｰﾀﾍﾞｰｽ変更点!#REF!</definedName>
    <definedName name="D_REQUEST_COUNT" localSheetId="7">[3]ﾃﾞｰﾀﾍﾞｰｽ変更点!#REF!</definedName>
    <definedName name="D_REQUEST_COUNT" localSheetId="3">[3]ﾃﾞｰﾀﾍﾞｰｽ変更点!#REF!</definedName>
    <definedName name="D_REQUEST_COUNT">[3]ﾃﾞｰﾀﾍﾞｰｽ変更点!#REF!</definedName>
    <definedName name="D_REQUEST_LOG" localSheetId="7">[3]ﾃﾞｰﾀﾍﾞｰｽ変更点!#REF!</definedName>
    <definedName name="D_REQUEST_LOG" localSheetId="3">[3]ﾃﾞｰﾀﾍﾞｰｽ変更点!#REF!</definedName>
    <definedName name="D_REQUEST_LOG">[3]ﾃﾞｰﾀﾍﾞｰｽ変更点!#REF!</definedName>
    <definedName name="D_RIVATE_TARGET_CAR" localSheetId="7">[4]TableDesign!#REF!</definedName>
    <definedName name="D_RIVATE_TARGET_CAR" localSheetId="3">[4]TableDesign!#REF!</definedName>
    <definedName name="D_RIVATE_TARGET_CAR">[4]TableDesign!#REF!</definedName>
    <definedName name="D_RUNNING_LOG" localSheetId="7">[3]ﾃﾞｰﾀﾍﾞｰｽ変更点!#REF!</definedName>
    <definedName name="D_RUNNING_LOG" localSheetId="3">[3]ﾃﾞｰﾀﾍﾞｰｽ変更点!#REF!</definedName>
    <definedName name="D_RUNNING_LOG">[3]ﾃﾞｰﾀﾍﾞｰｽ変更点!#REF!</definedName>
    <definedName name="D_SAVE_INFORMATION" localSheetId="7">[5]テーブル設計!#REF!</definedName>
    <definedName name="D_SAVE_INFORMATION" localSheetId="3">[5]テーブル設計!#REF!</definedName>
    <definedName name="D_SAVE_INFORMATION">[5]テーブル設計!#REF!</definedName>
    <definedName name="D_SELFCARINSPECTION" localSheetId="7">[3]ﾃﾞｰﾀﾍﾞｰｽ変更点!#REF!</definedName>
    <definedName name="D_SELFCARINSPECTION" localSheetId="3">[3]ﾃﾞｰﾀﾍﾞｰｽ変更点!#REF!</definedName>
    <definedName name="D_SELFCARINSPECTION">[3]ﾃﾞｰﾀﾍﾞｰｽ変更点!#REF!</definedName>
    <definedName name="D_SEND_LIST" localSheetId="7">[5]テーブル設計!#REF!</definedName>
    <definedName name="D_SEND_LIST" localSheetId="3">[5]テーブル設計!#REF!</definedName>
    <definedName name="D_SEND_LIST">[5]テーブル設計!#REF!</definedName>
    <definedName name="D_SEND_LOG" localSheetId="7">[5]テーブル設計!#REF!</definedName>
    <definedName name="D_SEND_LOG" localSheetId="3">[5]テーブル設計!#REF!</definedName>
    <definedName name="D_SEND_LOG">[5]テーブル設計!#REF!</definedName>
    <definedName name="D_SERVER_COMMUNICATION" localSheetId="7">[4]TableDesign!#REF!</definedName>
    <definedName name="D_SERVER_COMMUNICATION" localSheetId="3">[4]TableDesign!#REF!</definedName>
    <definedName name="D_SERVER_COMMUNICATION">[4]TableDesign!#REF!</definedName>
    <definedName name="D_SERVER_INFORMATION" localSheetId="7">[3]ﾃﾞｰﾀﾍﾞｰｽ変更点!#REF!</definedName>
    <definedName name="D_SERVER_INFORMATION" localSheetId="3">[3]ﾃﾞｰﾀﾍﾞｰｽ変更点!#REF!</definedName>
    <definedName name="D_SERVER_INFORMATION">[3]ﾃﾞｰﾀﾍﾞｰｽ変更点!#REF!</definedName>
    <definedName name="D_SERVICE_METER" localSheetId="7">[3]ﾃﾞｰﾀﾍﾞｰｽ変更点!#REF!</definedName>
    <definedName name="D_SERVICE_METER" localSheetId="3">[3]ﾃﾞｰﾀﾍﾞｰｽ変更点!#REF!</definedName>
    <definedName name="D_SERVICE_METER">[3]ﾃﾞｰﾀﾍﾞｰｽ変更点!#REF!</definedName>
    <definedName name="D_SERVICE_METER2" localSheetId="7">[5]テーブル設計!#REF!</definedName>
    <definedName name="D_SERVICE_METER2" localSheetId="3">[5]テーブル設計!#REF!</definedName>
    <definedName name="D_SERVICE_METER2">[5]テーブル設計!#REF!</definedName>
    <definedName name="D_SERVICEMAN" localSheetId="7">[5]テーブル設計!#REF!</definedName>
    <definedName name="D_SERVICEMAN" localSheetId="3">[5]テーブル設計!#REF!</definedName>
    <definedName name="D_SERVICEMAN">[5]テーブル設計!#REF!</definedName>
    <definedName name="D_SERVICEMAN_CHARGE" localSheetId="7">[5]テーブル設計!#REF!</definedName>
    <definedName name="D_SERVICEMAN_CHARGE" localSheetId="3">[5]テーブル設計!#REF!</definedName>
    <definedName name="D_SERVICEMAN_CHARGE">[5]テーブル設計!#REF!</definedName>
    <definedName name="D_SHIPMENT" localSheetId="7">[3]ﾃﾞｰﾀﾍﾞｰｽ変更点!#REF!</definedName>
    <definedName name="D_SHIPMENT" localSheetId="3">[3]ﾃﾞｰﾀﾍﾞｰｽ変更点!#REF!</definedName>
    <definedName name="D_SHIPMENT">[3]ﾃﾞｰﾀﾍﾞｰｽ変更点!#REF!</definedName>
    <definedName name="D_SHOW" localSheetId="7">[3]ﾃﾞｰﾀﾍﾞｰｽ変更点!#REF!</definedName>
    <definedName name="D_SHOW" localSheetId="3">[3]ﾃﾞｰﾀﾍﾞｰｽ変更点!#REF!</definedName>
    <definedName name="D_SHOW">[3]ﾃﾞｰﾀﾍﾞｰｽ変更点!#REF!</definedName>
    <definedName name="D_SHOW_GROUP" localSheetId="7">[3]ﾃﾞｰﾀﾍﾞｰｽ変更点!#REF!</definedName>
    <definedName name="D_SHOW_GROUP" localSheetId="3">[3]ﾃﾞｰﾀﾍﾞｰｽ変更点!#REF!</definedName>
    <definedName name="D_SHOW_GROUP">[3]ﾃﾞｰﾀﾍﾞｰｽ変更点!#REF!</definedName>
    <definedName name="D_SPECIAL_AREA" localSheetId="7">[3]ﾃﾞｰﾀﾍﾞｰｽ変更点!#REF!</definedName>
    <definedName name="D_SPECIAL_AREA" localSheetId="3">[3]ﾃﾞｰﾀﾍﾞｰｽ変更点!#REF!</definedName>
    <definedName name="D_SPECIAL_AREA">[3]ﾃﾞｰﾀﾍﾞｰｽ変更点!#REF!</definedName>
    <definedName name="D_SUB_GROUP" localSheetId="7">[4]TableDesign!#REF!</definedName>
    <definedName name="D_SUB_GROUP" localSheetId="3">[4]TableDesign!#REF!</definedName>
    <definedName name="D_SUB_GROUP">[4]TableDesign!#REF!</definedName>
    <definedName name="D_SUB_GROUP_CAR" localSheetId="7">[4]TableDesign!#REF!</definedName>
    <definedName name="D_SUB_GROUP_CAR" localSheetId="3">[4]TableDesign!#REF!</definedName>
    <definedName name="D_SUB_GROUP_CAR">[4]TableDesign!#REF!</definedName>
    <definedName name="D_SYSTEM_COMMTERM_INFO" localSheetId="7">[3]ﾃﾞｰﾀﾍﾞｰｽ変更点!#REF!</definedName>
    <definedName name="D_SYSTEM_COMMTERM_INFO" localSheetId="3">[3]ﾃﾞｰﾀﾍﾞｰｽ変更点!#REF!</definedName>
    <definedName name="D_SYSTEM_COMMTERM_INFO">[3]ﾃﾞｰﾀﾍﾞｰｽ変更点!#REF!</definedName>
    <definedName name="D_SYSTEM_LOG" localSheetId="7">[3]ﾃﾞｰﾀﾍﾞｰｽ変更点!#REF!</definedName>
    <definedName name="D_SYSTEM_LOG" localSheetId="3">[3]ﾃﾞｰﾀﾍﾞｰｽ変更点!#REF!</definedName>
    <definedName name="D_SYSTEM_LOG">[3]ﾃﾞｰﾀﾍﾞｰｽ変更点!#REF!</definedName>
    <definedName name="D_SYSTEM_NOTICE" localSheetId="7">[3]ﾃﾞｰﾀﾍﾞｰｽ変更点!#REF!</definedName>
    <definedName name="D_SYSTEM_NOTICE" localSheetId="3">[3]ﾃﾞｰﾀﾍﾞｰｽ変更点!#REF!</definedName>
    <definedName name="D_SYSTEM_NOTICE">[3]ﾃﾞｰﾀﾍﾞｰｽ変更点!#REF!</definedName>
    <definedName name="D_TARGET" localSheetId="7">[3]ﾃﾞｰﾀﾍﾞｰｽ変更点!#REF!</definedName>
    <definedName name="D_TARGET" localSheetId="3">[3]ﾃﾞｰﾀﾍﾞｰｽ変更点!#REF!</definedName>
    <definedName name="D_TARGET">[3]ﾃﾞｰﾀﾍﾞｰｽ変更点!#REF!</definedName>
    <definedName name="D_TARGET_CAR" localSheetId="7">[3]ﾃﾞｰﾀﾍﾞｰｽ変更点!#REF!</definedName>
    <definedName name="D_TARGET_CAR" localSheetId="3">[3]ﾃﾞｰﾀﾍﾞｰｽ変更点!#REF!</definedName>
    <definedName name="D_TARGET_CAR">[3]ﾃﾞｰﾀﾍﾞｰｽ変更点!#REF!</definedName>
    <definedName name="D_TERMINAL_AREA" localSheetId="7">[3]ﾃﾞｰﾀﾍﾞｰｽ変更点!#REF!</definedName>
    <definedName name="D_TERMINAL_AREA" localSheetId="3">[3]ﾃﾞｰﾀﾍﾞｰｽ変更点!#REF!</definedName>
    <definedName name="D_TERMINAL_AREA">[3]ﾃﾞｰﾀﾍﾞｰｽ変更点!#REF!</definedName>
    <definedName name="D_TERMINAL_CAUTION" localSheetId="7">[3]ﾃﾞｰﾀﾍﾞｰｽ変更点!#REF!</definedName>
    <definedName name="D_TERMINAL_CAUTION" localSheetId="3">[3]ﾃﾞｰﾀﾍﾞｰｽ変更点!#REF!</definedName>
    <definedName name="D_TERMINAL_CAUTION">[3]ﾃﾞｰﾀﾍﾞｰｽ変更点!#REF!</definedName>
    <definedName name="D_TERMINAL_ERROR" localSheetId="7">[3]ﾃﾞｰﾀﾍﾞｰｽ変更点!#REF!</definedName>
    <definedName name="D_TERMINAL_ERROR" localSheetId="3">[3]ﾃﾞｰﾀﾍﾞｰｽ変更点!#REF!</definedName>
    <definedName name="D_TERMINAL_ERROR">[3]ﾃﾞｰﾀﾍﾞｰｽ変更点!#REF!</definedName>
    <definedName name="D_TERMINAL_KIND" localSheetId="7">[3]ﾃﾞｰﾀﾍﾞｰｽ変更点!#REF!</definedName>
    <definedName name="D_TERMINAL_KIND" localSheetId="3">[3]ﾃﾞｰﾀﾍﾞｰｽ変更点!#REF!</definedName>
    <definedName name="D_TERMINAL_KIND">[3]ﾃﾞｰﾀﾍﾞｰｽ変更点!#REF!</definedName>
    <definedName name="D_TERMINAL_MASTER" localSheetId="7">[3]ﾃﾞｰﾀﾍﾞｰｽ変更点!#REF!</definedName>
    <definedName name="D_TERMINAL_MASTER" localSheetId="3">[3]ﾃﾞｰﾀﾍﾞｰｽ変更点!#REF!</definedName>
    <definedName name="D_TERMINAL_MASTER">[3]ﾃﾞｰﾀﾍﾞｰｽ変更点!#REF!</definedName>
    <definedName name="D_TERMINAL_PART_MASTER" localSheetId="7">[3]ﾃﾞｰﾀﾍﾞｰｽ変更点!#REF!</definedName>
    <definedName name="D_TERMINAL_PART_MASTER" localSheetId="3">[3]ﾃﾞｰﾀﾍﾞｰｽ変更点!#REF!</definedName>
    <definedName name="D_TERMINAL_PART_MASTER">[3]ﾃﾞｰﾀﾍﾞｰｽ変更点!#REF!</definedName>
    <definedName name="D_TYPE_MASTER" localSheetId="7">[3]ﾃﾞｰﾀﾍﾞｰｽ変更点!#REF!</definedName>
    <definedName name="D_TYPE_MASTER" localSheetId="3">[3]ﾃﾞｰﾀﾍﾞｰｽ変更点!#REF!</definedName>
    <definedName name="D_TYPE_MASTER">[3]ﾃﾞｰﾀﾍﾞｰｽ変更点!#REF!</definedName>
    <definedName name="D_UFO" localSheetId="7">[3]ﾃﾞｰﾀﾍﾞｰｽ変更点!#REF!</definedName>
    <definedName name="D_UFO" localSheetId="3">[3]ﾃﾞｰﾀﾍﾞｰｽ変更点!#REF!</definedName>
    <definedName name="D_UFO">[3]ﾃﾞｰﾀﾍﾞｰｽ変更点!#REF!</definedName>
    <definedName name="D_UNRELIABLE_RECEIVE" localSheetId="7">[3]ﾃﾞｰﾀﾍﾞｰｽ変更点!#REF!</definedName>
    <definedName name="D_UNRELIABLE_RECEIVE" localSheetId="3">[3]ﾃﾞｰﾀﾍﾞｰｽ変更点!#REF!</definedName>
    <definedName name="D_UNRELIABLE_RECEIVE">[3]ﾃﾞｰﾀﾍﾞｰｽ変更点!#REF!</definedName>
    <definedName name="D_USER_MASTER" localSheetId="7">[3]ﾃﾞｰﾀﾍﾞｰｽ変更点!#REF!</definedName>
    <definedName name="D_USER_MASTER" localSheetId="3">[3]ﾃﾞｰﾀﾍﾞｰｽ変更点!#REF!</definedName>
    <definedName name="D_USER_MASTER">[3]ﾃﾞｰﾀﾍﾞｰｽ変更点!#REF!</definedName>
    <definedName name="D_USER_TEMP" localSheetId="7">[3]ﾃﾞｰﾀﾍﾞｰｽ変更点!#REF!</definedName>
    <definedName name="D_USER_TEMP" localSheetId="3">[3]ﾃﾞｰﾀﾍﾞｰｽ変更点!#REF!</definedName>
    <definedName name="D_USER_TEMP">[3]ﾃﾞｰﾀﾍﾞｰｽ変更点!#REF!</definedName>
    <definedName name="D_WATER_TEMP_GAUGE" localSheetId="7">[4]TableDesign!#REF!</definedName>
    <definedName name="D_WATER_TEMP_GAUGE" localSheetId="3">[4]TableDesign!#REF!</definedName>
    <definedName name="D_WATER_TEMP_GAUGE">[4]TableDesign!#REF!</definedName>
    <definedName name="DBI" localSheetId="7">#REF!</definedName>
    <definedName name="DBI" localSheetId="3">#REF!</definedName>
    <definedName name="DBI">#REF!</definedName>
    <definedName name="DD" localSheetId="7">'[6]DATA-COMMUNICATION-FORMAT'!#REF!</definedName>
    <definedName name="DD" localSheetId="3">'[6]DATA-COMMUNICATION-FORMAT'!#REF!</definedName>
    <definedName name="DD">'[6]DATA-COMMUNICATION-FORMAT'!#REF!</definedName>
    <definedName name="ddd" localSheetId="7" hidden="1">[7]基本仕様１!#REF!</definedName>
    <definedName name="ddd" localSheetId="3"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7">[3]ﾃﾞｰﾀﾍﾞｰｽ変更点!#REF!</definedName>
    <definedName name="E_ACT_DATA" localSheetId="3">[3]ﾃﾞｰﾀﾍﾞｰｽ変更点!#REF!</definedName>
    <definedName name="E_ACT_DATA">[3]ﾃﾞｰﾀﾍﾞｰｽ変更点!#REF!</definedName>
    <definedName name="E_ACTUAL_OPERATION" localSheetId="7">[4]TableDesign!#REF!</definedName>
    <definedName name="E_ACTUAL_OPERATION" localSheetId="3">[4]TableDesign!#REF!</definedName>
    <definedName name="E_ACTUAL_OPERATION">[4]TableDesign!#REF!</definedName>
    <definedName name="E_AREA" localSheetId="7">[3]ﾃﾞｰﾀﾍﾞｰｽ変更点!#REF!</definedName>
    <definedName name="E_AREA" localSheetId="3">[3]ﾃﾞｰﾀﾍﾞｰｽ変更点!#REF!</definedName>
    <definedName name="E_AREA">[3]ﾃﾞｰﾀﾍﾞｰｽ変更点!#REF!</definedName>
    <definedName name="E_AREA_DEFINE" localSheetId="7">[3]ﾃﾞｰﾀﾍﾞｰｽ変更点!#REF!</definedName>
    <definedName name="E_AREA_DEFINE" localSheetId="3">[3]ﾃﾞｰﾀﾍﾞｰｽ変更点!#REF!</definedName>
    <definedName name="E_AREA_DEFINE">[3]ﾃﾞｰﾀﾍﾞｰｽ変更点!#REF!</definedName>
    <definedName name="E_AREA_INIT" localSheetId="7">[3]ﾃﾞｰﾀﾍﾞｰｽ変更点!#REF!</definedName>
    <definedName name="E_AREA_INIT" localSheetId="3">[3]ﾃﾞｰﾀﾍﾞｰｽ変更点!#REF!</definedName>
    <definedName name="E_AREA_INIT">[3]ﾃﾞｰﾀﾍﾞｰｽ変更点!#REF!</definedName>
    <definedName name="E_AREA_MASTER" localSheetId="7">[3]ﾃﾞｰﾀﾍﾞｰｽ変更点!#REF!</definedName>
    <definedName name="E_AREA_MASTER" localSheetId="3">[3]ﾃﾞｰﾀﾍﾞｰｽ変更点!#REF!</definedName>
    <definedName name="E_AREA_MASTER">[3]ﾃﾞｰﾀﾍﾞｰｽ変更点!#REF!</definedName>
    <definedName name="E_ASK" localSheetId="7">[3]ﾃﾞｰﾀﾍﾞｰｽ変更点!#REF!</definedName>
    <definedName name="E_ASK" localSheetId="3">[3]ﾃﾞｰﾀﾍﾞｰｽ変更点!#REF!</definedName>
    <definedName name="E_ASK">[3]ﾃﾞｰﾀﾍﾞｰｽ変更点!#REF!</definedName>
    <definedName name="E_ASK_LOG" localSheetId="7">[5]テーブル設計!#REF!</definedName>
    <definedName name="E_ASK_LOG" localSheetId="3">[5]テーブル設計!#REF!</definedName>
    <definedName name="E_ASK_LOG">[5]テーブル設計!#REF!</definedName>
    <definedName name="E_ASK_SYSTEM" localSheetId="7">[3]ﾃﾞｰﾀﾍﾞｰｽ変更点!#REF!</definedName>
    <definedName name="E_ASK_SYSTEM" localSheetId="3">[3]ﾃﾞｰﾀﾍﾞｰｽ変更点!#REF!</definedName>
    <definedName name="E_ASK_SYSTEM">[3]ﾃﾞｰﾀﾍﾞｰｽ変更点!#REF!</definedName>
    <definedName name="E_ATC_ERROR" localSheetId="7">[5]テーブル設計!#REF!</definedName>
    <definedName name="E_ATC_ERROR" localSheetId="3">[5]テーブル設計!#REF!</definedName>
    <definedName name="E_ATC_ERROR">[5]テーブル設計!#REF!</definedName>
    <definedName name="E_AUTHORITY_GROUP" localSheetId="7">[3]ﾃﾞｰﾀﾍﾞｰｽ変更点!#REF!</definedName>
    <definedName name="E_AUTHORITY_GROUP" localSheetId="3">[3]ﾃﾞｰﾀﾍﾞｰｽ変更点!#REF!</definedName>
    <definedName name="E_AUTHORITY_GROUP">[3]ﾃﾞｰﾀﾍﾞｰｽ変更点!#REF!</definedName>
    <definedName name="E_AUTHORITY_GROUP_DATA" localSheetId="7">[3]ﾃﾞｰﾀﾍﾞｰｽ変更点!#REF!</definedName>
    <definedName name="E_AUTHORITY_GROUP_DATA" localSheetId="3">[3]ﾃﾞｰﾀﾍﾞｰｽ変更点!#REF!</definedName>
    <definedName name="E_AUTHORITY_GROUP_DATA">[3]ﾃﾞｰﾀﾍﾞｰｽ変更点!#REF!</definedName>
    <definedName name="E_AUTHORITY_MASTER" localSheetId="7">[5]テーブル設計!#REF!</definedName>
    <definedName name="E_AUTHORITY_MASTER" localSheetId="3">[5]テーブル設計!#REF!</definedName>
    <definedName name="E_AUTHORITY_MASTER">[5]テーブル設計!#REF!</definedName>
    <definedName name="E_BONDED_STORE" localSheetId="7">[5]テーブル設計!#REF!</definedName>
    <definedName name="E_BONDED_STORE" localSheetId="3">[5]テーブル設計!#REF!</definedName>
    <definedName name="E_BONDED_STORE">[5]テーブル設計!#REF!</definedName>
    <definedName name="E_CAR_DATA" localSheetId="7">[3]ﾃﾞｰﾀﾍﾞｰｽ変更点!#REF!</definedName>
    <definedName name="E_CAR_DATA" localSheetId="3">[3]ﾃﾞｰﾀﾍﾞｰｽ変更点!#REF!</definedName>
    <definedName name="E_CAR_DATA">[3]ﾃﾞｰﾀﾍﾞｰｽ変更点!#REF!</definedName>
    <definedName name="E_CAR_MASTER" localSheetId="7">[3]ﾃﾞｰﾀﾍﾞｰｽ変更点!#REF!</definedName>
    <definedName name="E_CAR_MASTER" localSheetId="3">[3]ﾃﾞｰﾀﾍﾞｰｽ変更点!#REF!</definedName>
    <definedName name="E_CAR_MASTER">[3]ﾃﾞｰﾀﾍﾞｰｽ変更点!#REF!</definedName>
    <definedName name="E_CAR_MONTHLY_DATA" localSheetId="7">[3]ﾃﾞｰﾀﾍﾞｰｽ変更点!#REF!</definedName>
    <definedName name="E_CAR_MONTHLY_DATA" localSheetId="3">[3]ﾃﾞｰﾀﾍﾞｰｽ変更点!#REF!</definedName>
    <definedName name="E_CAR_MONTHLY_DATA">[3]ﾃﾞｰﾀﾍﾞｰｽ変更点!#REF!</definedName>
    <definedName name="E_CAR_OWNER_HISTORY" localSheetId="7">[3]ﾃﾞｰﾀﾍﾞｰｽ変更点!#REF!</definedName>
    <definedName name="E_CAR_OWNER_HISTORY" localSheetId="3">[3]ﾃﾞｰﾀﾍﾞｰｽ変更点!#REF!</definedName>
    <definedName name="E_CAR_OWNER_HISTORY">[3]ﾃﾞｰﾀﾍﾞｰｽ変更点!#REF!</definedName>
    <definedName name="E_CAUTION" localSheetId="7">[4]TableDesign!#REF!</definedName>
    <definedName name="E_CAUTION" localSheetId="3">[4]TableDesign!#REF!</definedName>
    <definedName name="E_CAUTION">[4]TableDesign!#REF!</definedName>
    <definedName name="E_CAUTION_DATA" localSheetId="7">[3]ﾃﾞｰﾀﾍﾞｰｽ変更点!#REF!</definedName>
    <definedName name="E_CAUTION_DATA" localSheetId="3">[3]ﾃﾞｰﾀﾍﾞｰｽ変更点!#REF!</definedName>
    <definedName name="E_CAUTION_DATA">[3]ﾃﾞｰﾀﾍﾞｰｽ変更点!#REF!</definedName>
    <definedName name="E_CAUTION_ENABLED" localSheetId="7">[3]ﾃﾞｰﾀﾍﾞｰｽ変更点!#REF!</definedName>
    <definedName name="E_CAUTION_ENABLED" localSheetId="3">[3]ﾃﾞｰﾀﾍﾞｰｽ変更点!#REF!</definedName>
    <definedName name="E_CAUTION_ENABLED">[3]ﾃﾞｰﾀﾍﾞｰｽ変更点!#REF!</definedName>
    <definedName name="E_CAUTION_ICON" localSheetId="7">[3]ﾃﾞｰﾀﾍﾞｰｽ変更点!#REF!</definedName>
    <definedName name="E_CAUTION_ICON" localSheetId="3">[3]ﾃﾞｰﾀﾍﾞｰｽ変更点!#REF!</definedName>
    <definedName name="E_CAUTION_ICON">[3]ﾃﾞｰﾀﾍﾞｰｽ変更点!#REF!</definedName>
    <definedName name="E_CAUTION_INIT" localSheetId="7">[3]ﾃﾞｰﾀﾍﾞｰｽ変更点!#REF!</definedName>
    <definedName name="E_CAUTION_INIT" localSheetId="3">[3]ﾃﾞｰﾀﾍﾞｰｽ変更点!#REF!</definedName>
    <definedName name="E_CAUTION_INIT">[3]ﾃﾞｰﾀﾍﾞｰｽ変更点!#REF!</definedName>
    <definedName name="E_CAUTION_MASTER" localSheetId="7">[3]ﾃﾞｰﾀﾍﾞｰｽ変更点!#REF!</definedName>
    <definedName name="E_CAUTION_MASTER" localSheetId="3">[3]ﾃﾞｰﾀﾍﾞｰｽ変更点!#REF!</definedName>
    <definedName name="E_CAUTION_MASTER">[3]ﾃﾞｰﾀﾍﾞｰｽ変更点!#REF!</definedName>
    <definedName name="E_CLASS1_MASTER" localSheetId="7">[3]ﾃﾞｰﾀﾍﾞｰｽ変更点!#REF!</definedName>
    <definedName name="E_CLASS1_MASTER" localSheetId="3">[3]ﾃﾞｰﾀﾍﾞｰｽ変更点!#REF!</definedName>
    <definedName name="E_CLASS1_MASTER">[3]ﾃﾞｰﾀﾍﾞｰｽ変更点!#REF!</definedName>
    <definedName name="E_CLASS2_MASTER" localSheetId="7">[3]ﾃﾞｰﾀﾍﾞｰｽ変更点!#REF!</definedName>
    <definedName name="E_CLASS2_MASTER" localSheetId="3">[3]ﾃﾞｰﾀﾍﾞｰｽ変更点!#REF!</definedName>
    <definedName name="E_CLASS2_MASTER">[3]ﾃﾞｰﾀﾍﾞｰｽ変更点!#REF!</definedName>
    <definedName name="E_COMM_DATA" localSheetId="7">[3]ﾃﾞｰﾀﾍﾞｰｽ変更点!#REF!</definedName>
    <definedName name="E_COMM_DATA" localSheetId="3">[3]ﾃﾞｰﾀﾍﾞｰｽ変更点!#REF!</definedName>
    <definedName name="E_COMM_DATA">[3]ﾃﾞｰﾀﾍﾞｰｽ変更点!#REF!</definedName>
    <definedName name="E_COMM_STATUS_MASTER" localSheetId="7">[3]ﾃﾞｰﾀﾍﾞｰｽ変更点!#REF!</definedName>
    <definedName name="E_COMM_STATUS_MASTER" localSheetId="3">[3]ﾃﾞｰﾀﾍﾞｰｽ変更点!#REF!</definedName>
    <definedName name="E_COMM_STATUS_MASTER">[3]ﾃﾞｰﾀﾍﾞｰｽ変更点!#REF!</definedName>
    <definedName name="E_CONFIG_DEFINE" localSheetId="7">[3]ﾃﾞｰﾀﾍﾞｰｽ変更点!#REF!</definedName>
    <definedName name="E_CONFIG_DEFINE" localSheetId="3">[3]ﾃﾞｰﾀﾍﾞｰｽ変更点!#REF!</definedName>
    <definedName name="E_CONFIG_DEFINE">[3]ﾃﾞｰﾀﾍﾞｰｽ変更点!#REF!</definedName>
    <definedName name="E_CONFIG_FLAG" localSheetId="7">[5]テーブル設計!#REF!</definedName>
    <definedName name="E_CONFIG_FLAG" localSheetId="3">[5]テーブル設計!#REF!</definedName>
    <definedName name="E_CONFIG_FLAG">[5]テーブル設計!#REF!</definedName>
    <definedName name="E_CONFIG_INIT" localSheetId="7">[3]ﾃﾞｰﾀﾍﾞｰｽ変更点!#REF!</definedName>
    <definedName name="E_CONFIG_INIT" localSheetId="3">[3]ﾃﾞｰﾀﾍﾞｰｽ変更点!#REF!</definedName>
    <definedName name="E_CONFIG_INIT">[3]ﾃﾞｰﾀﾍﾞｰｽ変更点!#REF!</definedName>
    <definedName name="E_CONFIG_PATTERN" localSheetId="7">[3]ﾃﾞｰﾀﾍﾞｰｽ変更点!#REF!</definedName>
    <definedName name="E_CONFIG_PATTERN" localSheetId="3">[3]ﾃﾞｰﾀﾍﾞｰｽ変更点!#REF!</definedName>
    <definedName name="E_CONFIG_PATTERN">[3]ﾃﾞｰﾀﾍﾞｰｽ変更点!#REF!</definedName>
    <definedName name="E_CONFIG_PATTERN_DATA" localSheetId="7">[3]ﾃﾞｰﾀﾍﾞｰｽ変更点!#REF!</definedName>
    <definedName name="E_CONFIG_PATTERN_DATA" localSheetId="3">[3]ﾃﾞｰﾀﾍﾞｰｽ変更点!#REF!</definedName>
    <definedName name="E_CONFIG_PATTERN_DATA">[3]ﾃﾞｰﾀﾍﾞｰｽ変更点!#REF!</definedName>
    <definedName name="E_CONFIG_USER_FLAG" localSheetId="7">[5]テーブル設計!#REF!</definedName>
    <definedName name="E_CONFIG_USER_FLAG" localSheetId="3">[5]テーブル設計!#REF!</definedName>
    <definedName name="E_CONFIG_USER_FLAG">[5]テーブル設計!#REF!</definedName>
    <definedName name="E_CONTRACT" localSheetId="7">[5]テーブル設計!#REF!</definedName>
    <definedName name="E_CONTRACT" localSheetId="3">[5]テーブル設計!#REF!</definedName>
    <definedName name="E_CONTRACT">[5]テーブル設計!#REF!</definedName>
    <definedName name="E_CUSTOMER" localSheetId="7">[3]ﾃﾞｰﾀﾍﾞｰｽ変更点!#REF!</definedName>
    <definedName name="E_CUSTOMER" localSheetId="3">[3]ﾃﾞｰﾀﾍﾞｰｽ変更点!#REF!</definedName>
    <definedName name="E_CUSTOMER">[3]ﾃﾞｰﾀﾍﾞｰｽ変更点!#REF!</definedName>
    <definedName name="E_CUSTOMER_CAR" localSheetId="7">[3]ﾃﾞｰﾀﾍﾞｰｽ変更点!#REF!</definedName>
    <definedName name="E_CUSTOMER_CAR" localSheetId="3">[3]ﾃﾞｰﾀﾍﾞｰｽ変更点!#REF!</definedName>
    <definedName name="E_CUSTOMER_CAR">[3]ﾃﾞｰﾀﾍﾞｰｽ変更点!#REF!</definedName>
    <definedName name="E_CUSTOMER_MASTER" localSheetId="7">[4]TableDesign!#REF!</definedName>
    <definedName name="E_CUSTOMER_MASTER" localSheetId="3">[4]TableDesign!#REF!</definedName>
    <definedName name="E_CUSTOMER_MASTER">[4]TableDesign!#REF!</definedName>
    <definedName name="E_DIVISION_MASTER" localSheetId="7">[3]ﾃﾞｰﾀﾍﾞｰｽ変更点!#REF!</definedName>
    <definedName name="E_DIVISION_MASTER" localSheetId="3">[3]ﾃﾞｰﾀﾍﾞｰｽ変更点!#REF!</definedName>
    <definedName name="E_DIVISION_MASTER">[3]ﾃﾞｰﾀﾍﾞｰｽ変更点!#REF!</definedName>
    <definedName name="E_DOPA" localSheetId="7">[3]ﾃﾞｰﾀﾍﾞｰｽ変更点!#REF!</definedName>
    <definedName name="E_DOPA" localSheetId="3">[3]ﾃﾞｰﾀﾍﾞｰｽ変更点!#REF!</definedName>
    <definedName name="E_DOPA">[3]ﾃﾞｰﾀﾍﾞｰｽ変更点!#REF!</definedName>
    <definedName name="E_DOPA_OWNER_HISTORY" localSheetId="7">[3]ﾃﾞｰﾀﾍﾞｰｽ変更点!#REF!</definedName>
    <definedName name="E_DOPA_OWNER_HISTORY" localSheetId="3">[3]ﾃﾞｰﾀﾍﾞｰｽ変更点!#REF!</definedName>
    <definedName name="E_DOPA_OWNER_HISTORY">[3]ﾃﾞｰﾀﾍﾞｰｽ変更点!#REF!</definedName>
    <definedName name="E_DOPA_SERVER" localSheetId="7">[3]ﾃﾞｰﾀﾍﾞｰｽ変更点!#REF!</definedName>
    <definedName name="E_DOPA_SERVER" localSheetId="3">[3]ﾃﾞｰﾀﾍﾞｰｽ変更点!#REF!</definedName>
    <definedName name="E_DOPA_SERVER">[3]ﾃﾞｰﾀﾍﾞｰｽ変更点!#REF!</definedName>
    <definedName name="E_EQUIPMENT_HISTORY" localSheetId="7">[3]ﾃﾞｰﾀﾍﾞｰｽ変更点!#REF!</definedName>
    <definedName name="E_EQUIPMENT_HISTORY" localSheetId="3">[3]ﾃﾞｰﾀﾍﾞｰｽ変更点!#REF!</definedName>
    <definedName name="E_EQUIPMENT_HISTORY">[3]ﾃﾞｰﾀﾍﾞｰｽ変更点!#REF!</definedName>
    <definedName name="E_ERROR" localSheetId="7">[3]ﾃﾞｰﾀﾍﾞｰｽ変更点!#REF!</definedName>
    <definedName name="E_ERROR" localSheetId="3">[3]ﾃﾞｰﾀﾍﾞｰｽ変更点!#REF!</definedName>
    <definedName name="E_ERROR">[3]ﾃﾞｰﾀﾍﾞｰｽ変更点!#REF!</definedName>
    <definedName name="E_ERROR_ENABLED" localSheetId="7">[3]ﾃﾞｰﾀﾍﾞｰｽ変更点!#REF!</definedName>
    <definedName name="E_ERROR_ENABLED" localSheetId="3">[3]ﾃﾞｰﾀﾍﾞｰｽ変更点!#REF!</definedName>
    <definedName name="E_ERROR_ENABLED">[3]ﾃﾞｰﾀﾍﾞｰｽ変更点!#REF!</definedName>
    <definedName name="E_ERROR_MASTER" localSheetId="7">[3]ﾃﾞｰﾀﾍﾞｰｽ変更点!#REF!</definedName>
    <definedName name="E_ERROR_MASTER" localSheetId="3">[3]ﾃﾞｰﾀﾍﾞｰｽ変更点!#REF!</definedName>
    <definedName name="E_ERROR_MASTER">[3]ﾃﾞｰﾀﾍﾞｰｽ変更点!#REF!</definedName>
    <definedName name="E_EVENT_CATEGORY" localSheetId="7">[4]TableDesign!#REF!</definedName>
    <definedName name="E_EVENT_CATEGORY" localSheetId="3">[4]TableDesign!#REF!</definedName>
    <definedName name="E_EVENT_CATEGORY">[4]TableDesign!#REF!</definedName>
    <definedName name="E_EVENT_DIVISION" localSheetId="7">[3]ﾃﾞｰﾀﾍﾞｰｽ変更点!#REF!</definedName>
    <definedName name="E_EVENT_DIVISION" localSheetId="3">[3]ﾃﾞｰﾀﾍﾞｰｽ変更点!#REF!</definedName>
    <definedName name="E_EVENT_DIVISION">[3]ﾃﾞｰﾀﾍﾞｰｽ変更点!#REF!</definedName>
    <definedName name="E_EVENT_MASTER" localSheetId="7">[3]ﾃﾞｰﾀﾍﾞｰｽ変更点!#REF!</definedName>
    <definedName name="E_EVENT_MASTER" localSheetId="3">[3]ﾃﾞｰﾀﾍﾞｰｽ変更点!#REF!</definedName>
    <definedName name="E_EVENT_MASTER">[3]ﾃﾞｰﾀﾍﾞｰｽ変更点!#REF!</definedName>
    <definedName name="E_EVENT_NOTICE" localSheetId="7">[3]ﾃﾞｰﾀﾍﾞｰｽ変更点!#REF!</definedName>
    <definedName name="E_EVENT_NOTICE" localSheetId="3">[3]ﾃﾞｰﾀﾍﾞｰｽ変更点!#REF!</definedName>
    <definedName name="E_EVENT_NOTICE">[3]ﾃﾞｰﾀﾍﾞｰｽ変更点!#REF!</definedName>
    <definedName name="E_FUEL_GAUGE" localSheetId="7">[4]TableDesign!#REF!</definedName>
    <definedName name="E_FUEL_GAUGE" localSheetId="3">[4]TableDesign!#REF!</definedName>
    <definedName name="E_FUEL_GAUGE">[4]TableDesign!#REF!</definedName>
    <definedName name="E_GAUGE_FUEL_WTTEMP" localSheetId="7">[3]ﾃﾞｰﾀﾍﾞｰｽ変更点!#REF!</definedName>
    <definedName name="E_GAUGE_FUEL_WTTEMP" localSheetId="3">[3]ﾃﾞｰﾀﾍﾞｰｽ変更点!#REF!</definedName>
    <definedName name="E_GAUGE_FUEL_WTTEMP">[3]ﾃﾞｰﾀﾍﾞｰｽ変更点!#REF!</definedName>
    <definedName name="E_GIS_DEFINE" localSheetId="7">[4]TableDesign!#REF!</definedName>
    <definedName name="E_GIS_DEFINE" localSheetId="3">[4]TableDesign!#REF!</definedName>
    <definedName name="E_GIS_DEFINE">[4]TableDesign!#REF!</definedName>
    <definedName name="E_GPS" localSheetId="7">[3]ﾃﾞｰﾀﾍﾞｰｽ変更点!#REF!</definedName>
    <definedName name="E_GPS" localSheetId="3">[3]ﾃﾞｰﾀﾍﾞｰｽ変更点!#REF!</definedName>
    <definedName name="E_GPS">[3]ﾃﾞｰﾀﾍﾞｰｽ変更点!#REF!</definedName>
    <definedName name="E_GRANT_AUTHORITY" localSheetId="7">[3]ﾃﾞｰﾀﾍﾞｰｽ変更点!#REF!</definedName>
    <definedName name="E_GRANT_AUTHORITY" localSheetId="3">[3]ﾃﾞｰﾀﾍﾞｰｽ変更点!#REF!</definedName>
    <definedName name="E_GRANT_AUTHORITY">[3]ﾃﾞｰﾀﾍﾞｰｽ変更点!#REF!</definedName>
    <definedName name="E_GROUP_MASTER" localSheetId="7">[3]ﾃﾞｰﾀﾍﾞｰｽ変更点!#REF!</definedName>
    <definedName name="E_GROUP_MASTER" localSheetId="3">[3]ﾃﾞｰﾀﾍﾞｰｽ変更点!#REF!</definedName>
    <definedName name="E_GROUP_MASTER">[3]ﾃﾞｰﾀﾍﾞｰｽ変更点!#REF!</definedName>
    <definedName name="E_IGNORE_CAUTION" localSheetId="7">[5]テーブル設計!#REF!</definedName>
    <definedName name="E_IGNORE_CAUTION" localSheetId="3">[5]テーブル設計!#REF!</definedName>
    <definedName name="E_IGNORE_CAUTION">[5]テーブル設計!#REF!</definedName>
    <definedName name="E_IGNORE_ERROR" localSheetId="7">[5]テーブル設計!#REF!</definedName>
    <definedName name="E_IGNORE_ERROR" localSheetId="3">[5]テーブル設計!#REF!</definedName>
    <definedName name="E_IGNORE_ERROR">[5]テーブル設計!#REF!</definedName>
    <definedName name="E_INFORM_MASTER" localSheetId="7">[3]ﾃﾞｰﾀﾍﾞｰｽ変更点!#REF!</definedName>
    <definedName name="E_INFORM_MASTER" localSheetId="3">[3]ﾃﾞｰﾀﾍﾞｰｽ変更点!#REF!</definedName>
    <definedName name="E_INFORM_MASTER">[3]ﾃﾞｰﾀﾍﾞｰｽ変更点!#REF!</definedName>
    <definedName name="E_INFORMATION" localSheetId="7">[3]ﾃﾞｰﾀﾍﾞｰｽ変更点!#REF!</definedName>
    <definedName name="E_INFORMATION" localSheetId="3">[3]ﾃﾞｰﾀﾍﾞｰｽ変更点!#REF!</definedName>
    <definedName name="E_INFORMATION">[3]ﾃﾞｰﾀﾍﾞｰｽ変更点!#REF!</definedName>
    <definedName name="E_INFORMATION_READED" localSheetId="7">[3]ﾃﾞｰﾀﾍﾞｰｽ変更点!#REF!</definedName>
    <definedName name="E_INFORMATION_READED" localSheetId="3">[3]ﾃﾞｰﾀﾍﾞｰｽ変更点!#REF!</definedName>
    <definedName name="E_INFORMATION_READED">[3]ﾃﾞｰﾀﾍﾞｰｽ変更点!#REF!</definedName>
    <definedName name="E_INVALID_PART_TERMINAL" localSheetId="7">[5]テーブル設計!#REF!</definedName>
    <definedName name="E_INVALID_PART_TERMINAL" localSheetId="3">[5]テーブル設計!#REF!</definedName>
    <definedName name="E_INVALID_PART_TERMINAL">[5]テーブル設計!#REF!</definedName>
    <definedName name="E_KIND_MASTER" localSheetId="7">[3]ﾃﾞｰﾀﾍﾞｰｽ変更点!#REF!</definedName>
    <definedName name="E_KIND_MASTER" localSheetId="3">[3]ﾃﾞｰﾀﾍﾞｰｽ変更点!#REF!</definedName>
    <definedName name="E_KIND_MASTER">[3]ﾃﾞｰﾀﾍﾞｰｽ変更点!#REF!</definedName>
    <definedName name="E_KRO_APPLICATION" localSheetId="7">[3]ﾃﾞｰﾀﾍﾞｰｽ変更点!#REF!</definedName>
    <definedName name="E_KRO_APPLICATION" localSheetId="3">[3]ﾃﾞｰﾀﾍﾞｰｽ変更点!#REF!</definedName>
    <definedName name="E_KRO_APPLICATION">[3]ﾃﾞｰﾀﾍﾞｰｽ変更点!#REF!</definedName>
    <definedName name="E_KRO_APPLICATION_DATA" localSheetId="7">[3]ﾃﾞｰﾀﾍﾞｰｽ変更点!#REF!</definedName>
    <definedName name="E_KRO_APPLICATION_DATA" localSheetId="3">[3]ﾃﾞｰﾀﾍﾞｰｽ変更点!#REF!</definedName>
    <definedName name="E_KRO_APPLICATION_DATA">[3]ﾃﾞｰﾀﾍﾞｰｽ変更点!#REF!</definedName>
    <definedName name="E_KRO_COMPLETION" localSheetId="7">[3]ﾃﾞｰﾀﾍﾞｰｽ変更点!#REF!</definedName>
    <definedName name="E_KRO_COMPLETION" localSheetId="3">[3]ﾃﾞｰﾀﾍﾞｰｽ変更点!#REF!</definedName>
    <definedName name="E_KRO_COMPLETION">[3]ﾃﾞｰﾀﾍﾞｰｽ変更点!#REF!</definedName>
    <definedName name="E_KRO_COMPLETION_DATA" localSheetId="7">[3]ﾃﾞｰﾀﾍﾞｰｽ変更点!#REF!</definedName>
    <definedName name="E_KRO_COMPLETION_DATA" localSheetId="3">[3]ﾃﾞｰﾀﾍﾞｰｽ変更点!#REF!</definedName>
    <definedName name="E_KRO_COMPLETION_DATA">[3]ﾃﾞｰﾀﾍﾞｰｽ変更点!#REF!</definedName>
    <definedName name="E_KRO_EMERGENCY" localSheetId="7">[5]テーブル設計!#REF!</definedName>
    <definedName name="E_KRO_EMERGENCY" localSheetId="3">[5]テーブル設計!#REF!</definedName>
    <definedName name="E_KRO_EMERGENCY">[5]テーブル設計!#REF!</definedName>
    <definedName name="E_KRO_REPORT" localSheetId="7">[3]ﾃﾞｰﾀﾍﾞｰｽ変更点!#REF!</definedName>
    <definedName name="E_KRO_REPORT" localSheetId="3">[3]ﾃﾞｰﾀﾍﾞｰｽ変更点!#REF!</definedName>
    <definedName name="E_KRO_REPORT">[3]ﾃﾞｰﾀﾍﾞｰｽ変更点!#REF!</definedName>
    <definedName name="E_LANDMARK" localSheetId="7">[3]ﾃﾞｰﾀﾍﾞｰｽ変更点!#REF!</definedName>
    <definedName name="E_LANDMARK" localSheetId="3">[3]ﾃﾞｰﾀﾍﾞｰｽ変更点!#REF!</definedName>
    <definedName name="E_LANDMARK">[3]ﾃﾞｰﾀﾍﾞｰｽ変更点!#REF!</definedName>
    <definedName name="E_LANDMARK_CLASS" localSheetId="7">[3]ﾃﾞｰﾀﾍﾞｰｽ変更点!#REF!</definedName>
    <definedName name="E_LANDMARK_CLASS" localSheetId="3">[3]ﾃﾞｰﾀﾍﾞｰｽ変更点!#REF!</definedName>
    <definedName name="E_LANDMARK_CLASS">[3]ﾃﾞｰﾀﾍﾞｰｽ変更点!#REF!</definedName>
    <definedName name="E_LOGON_HISTORY" localSheetId="7">[3]ﾃﾞｰﾀﾍﾞｰｽ変更点!#REF!</definedName>
    <definedName name="E_LOGON_HISTORY" localSheetId="3">[3]ﾃﾞｰﾀﾍﾞｰｽ変更点!#REF!</definedName>
    <definedName name="E_LOGON_HISTORY">[3]ﾃﾞｰﾀﾍﾞｰｽ変更点!#REF!</definedName>
    <definedName name="E_MACHINE_ERROR" localSheetId="7">[4]TableDesign!#REF!</definedName>
    <definedName name="E_MACHINE_ERROR" localSheetId="3">[4]TableDesign!#REF!</definedName>
    <definedName name="E_MACHINE_ERROR">[4]TableDesign!#REF!</definedName>
    <definedName name="E_MACHINE_STATUS_MASTER" localSheetId="7">[3]ﾃﾞｰﾀﾍﾞｰｽ変更点!#REF!</definedName>
    <definedName name="E_MACHINE_STATUS_MASTER" localSheetId="3">[3]ﾃﾞｰﾀﾍﾞｰｽ変更点!#REF!</definedName>
    <definedName name="E_MACHINE_STATUS_MASTER">[3]ﾃﾞｰﾀﾍﾞｰｽ変更点!#REF!</definedName>
    <definedName name="E_MAINTENANCE_DATA" localSheetId="7">[3]ﾃﾞｰﾀﾍﾞｰｽ変更点!#REF!</definedName>
    <definedName name="E_MAINTENANCE_DATA" localSheetId="3">[3]ﾃﾞｰﾀﾍﾞｰｽ変更点!#REF!</definedName>
    <definedName name="E_MAINTENANCE_DATA">[3]ﾃﾞｰﾀﾍﾞｰｽ変更点!#REF!</definedName>
    <definedName name="E_MAINTENANCE_INFORM" localSheetId="7">[3]ﾃﾞｰﾀﾍﾞｰｽ変更点!#REF!</definedName>
    <definedName name="E_MAINTENANCE_INFORM" localSheetId="3">[3]ﾃﾞｰﾀﾍﾞｰｽ変更点!#REF!</definedName>
    <definedName name="E_MAINTENANCE_INFORM">[3]ﾃﾞｰﾀﾍﾞｰｽ変更点!#REF!</definedName>
    <definedName name="E_MAINTENANCE_MASTER" localSheetId="7">[3]ﾃﾞｰﾀﾍﾞｰｽ変更点!#REF!</definedName>
    <definedName name="E_MAINTENANCE_MASTER" localSheetId="3">[3]ﾃﾞｰﾀﾍﾞｰｽ変更点!#REF!</definedName>
    <definedName name="E_MAINTENANCE_MASTER">[3]ﾃﾞｰﾀﾍﾞｰｽ変更点!#REF!</definedName>
    <definedName name="E_MAINTENANCE_TIME" localSheetId="7">[4]TableDesign!#REF!</definedName>
    <definedName name="E_MAINTENANCE_TIME" localSheetId="3">[4]TableDesign!#REF!</definedName>
    <definedName name="E_MAINTENANCE_TIME">[4]TableDesign!#REF!</definedName>
    <definedName name="E_MAKER_MASTER" localSheetId="7">[3]ﾃﾞｰﾀﾍﾞｰｽ変更点!#REF!</definedName>
    <definedName name="E_MAKER_MASTER" localSheetId="3">[3]ﾃﾞｰﾀﾍﾞｰｽ変更点!#REF!</definedName>
    <definedName name="E_MAKER_MASTER">[3]ﾃﾞｰﾀﾍﾞｰｽ変更点!#REF!</definedName>
    <definedName name="E_MARK_MACHINE" localSheetId="7">[4]TableDesign!#REF!</definedName>
    <definedName name="E_MARK_MACHINE" localSheetId="3">[4]TableDesign!#REF!</definedName>
    <definedName name="E_MARK_MACHINE">[4]TableDesign!#REF!</definedName>
    <definedName name="E_MARK_NOTIFICATION" localSheetId="7">[4]TableDesign!#REF!</definedName>
    <definedName name="E_MARK_NOTIFICATION" localSheetId="3">[4]TableDesign!#REF!</definedName>
    <definedName name="E_MARK_NOTIFICATION">[4]TableDesign!#REF!</definedName>
    <definedName name="E_MARK_NOTIFICATION_DETAIL" localSheetId="7">[4]TableDesign!#REF!</definedName>
    <definedName name="E_MARK_NOTIFICATION_DETAIL" localSheetId="3">[4]TableDesign!#REF!</definedName>
    <definedName name="E_MARK_NOTIFICATION_DETAIL">[4]TableDesign!#REF!</definedName>
    <definedName name="E_MEMO" localSheetId="7">[3]ﾃﾞｰﾀﾍﾞｰｽ変更点!#REF!</definedName>
    <definedName name="E_MEMO" localSheetId="3">[3]ﾃﾞｰﾀﾍﾞｰｽ変更点!#REF!</definedName>
    <definedName name="E_MEMO">[3]ﾃﾞｰﾀﾍﾞｰｽ変更点!#REF!</definedName>
    <definedName name="E_MEMORY_MODIFY" localSheetId="7">[3]ﾃﾞｰﾀﾍﾞｰｽ変更点!#REF!</definedName>
    <definedName name="E_MEMORY_MODIFY" localSheetId="3">[3]ﾃﾞｰﾀﾍﾞｰｽ変更点!#REF!</definedName>
    <definedName name="E_MEMORY_MODIFY">[3]ﾃﾞｰﾀﾍﾞｰｽ変更点!#REF!</definedName>
    <definedName name="E_MEMORY_MODIFY_DATA" localSheetId="7">[3]ﾃﾞｰﾀﾍﾞｰｽ変更点!#REF!</definedName>
    <definedName name="E_MEMORY_MODIFY_DATA" localSheetId="3">[3]ﾃﾞｰﾀﾍﾞｰｽ変更点!#REF!</definedName>
    <definedName name="E_MEMORY_MODIFY_DATA">[3]ﾃﾞｰﾀﾍﾞｰｽ変更点!#REF!</definedName>
    <definedName name="E_MESSAGE" localSheetId="7">[3]ﾃﾞｰﾀﾍﾞｰｽ変更点!#REF!</definedName>
    <definedName name="E_MESSAGE" localSheetId="3">[3]ﾃﾞｰﾀﾍﾞｰｽ変更点!#REF!</definedName>
    <definedName name="E_MESSAGE">[3]ﾃﾞｰﾀﾍﾞｰｽ変更点!#REF!</definedName>
    <definedName name="E_MESSAGE_MASTER" localSheetId="7">[3]ﾃﾞｰﾀﾍﾞｰｽ変更点!#REF!</definedName>
    <definedName name="E_MESSAGE_MASTER" localSheetId="3">[3]ﾃﾞｰﾀﾍﾞｰｽ変更点!#REF!</definedName>
    <definedName name="E_MESSAGE_MASTER">[3]ﾃﾞｰﾀﾍﾞｰｽ変更点!#REF!</definedName>
    <definedName name="E_MONTHLY_ATT_SMR" localSheetId="7">[4]TableDesign!#REF!</definedName>
    <definedName name="E_MONTHLY_ATT_SMR" localSheetId="3">[4]TableDesign!#REF!</definedName>
    <definedName name="E_MONTHLY_ATT_SMR">[4]TableDesign!#REF!</definedName>
    <definedName name="E_MONTHLY_ERROR" localSheetId="7">[4]TableDesign!#REF!</definedName>
    <definedName name="E_MONTHLY_ERROR" localSheetId="3">[4]TableDesign!#REF!</definedName>
    <definedName name="E_MONTHLY_ERROR">[4]TableDesign!#REF!</definedName>
    <definedName name="E_MONTHLY_LOAD" localSheetId="7">[4]TableDesign!#REF!</definedName>
    <definedName name="E_MONTHLY_LOAD" localSheetId="3">[4]TableDesign!#REF!</definedName>
    <definedName name="E_MONTHLY_LOAD">[4]TableDesign!#REF!</definedName>
    <definedName name="E_MONTHLY_MOVEMENT" localSheetId="7">[4]TableDesign!#REF!</definedName>
    <definedName name="E_MONTHLY_MOVEMENT" localSheetId="3">[4]TableDesign!#REF!</definedName>
    <definedName name="E_MONTHLY_MOVEMENT">[4]TableDesign!#REF!</definedName>
    <definedName name="E_MONTHLY_OPERATION" localSheetId="7">[4]TableDesign!#REF!</definedName>
    <definedName name="E_MONTHLY_OPERATION" localSheetId="3">[4]TableDesign!#REF!</definedName>
    <definedName name="E_MONTHLY_OPERATION">[4]TableDesign!#REF!</definedName>
    <definedName name="E_MONTHLY_SMR" localSheetId="7">[4]TableDesign!#REF!</definedName>
    <definedName name="E_MONTHLY_SMR" localSheetId="3">[4]TableDesign!#REF!</definedName>
    <definedName name="E_MONTHLY_SMR">[4]TableDesign!#REF!</definedName>
    <definedName name="E_MONTHLY_WORKING_SMR" localSheetId="7">[4]TableDesign!#REF!</definedName>
    <definedName name="E_MONTHLY_WORKING_SMR" localSheetId="3">[4]TableDesign!#REF!</definedName>
    <definedName name="E_MONTHLY_WORKING_SMR">[4]TableDesign!#REF!</definedName>
    <definedName name="E_MONTLY_LOAD" localSheetId="7">[4]TableDesign!#REF!</definedName>
    <definedName name="E_MONTLY_LOAD" localSheetId="3">[4]TableDesign!#REF!</definedName>
    <definedName name="E_MONTLY_LOAD">[4]TableDesign!#REF!</definedName>
    <definedName name="E_MULTI_OPE" localSheetId="7">[3]ﾃﾞｰﾀﾍﾞｰｽ変更点!#REF!</definedName>
    <definedName name="E_MULTI_OPE" localSheetId="3">[3]ﾃﾞｰﾀﾍﾞｰｽ変更点!#REF!</definedName>
    <definedName name="E_MULTI_OPE">[3]ﾃﾞｰﾀﾍﾞｰｽ変更点!#REF!</definedName>
    <definedName name="E_MULTI_OPE_DATA" localSheetId="7">[5]テーブル設計!#REF!</definedName>
    <definedName name="E_MULTI_OPE_DATA" localSheetId="3">[5]テーブル設計!#REF!</definedName>
    <definedName name="E_MULTI_OPE_DATA">[5]テーブル設計!#REF!</definedName>
    <definedName name="E_NLS_DB_RESOURCE" localSheetId="7">[4]TableDesign!#REF!</definedName>
    <definedName name="E_NLS_DB_RESOURCE" localSheetId="3">[4]TableDesign!#REF!</definedName>
    <definedName name="E_NLS_DB_RESOURCE">[4]TableDesign!#REF!</definedName>
    <definedName name="E_NLS_LANG" localSheetId="7">[4]TableDesign!#REF!</definedName>
    <definedName name="E_NLS_LANG" localSheetId="3">[4]TableDesign!#REF!</definedName>
    <definedName name="E_NLS_LANG">[4]TableDesign!#REF!</definedName>
    <definedName name="E_NLS_RESOURCE" localSheetId="7">[4]TableDesign!#REF!</definedName>
    <definedName name="E_NLS_RESOURCE" localSheetId="3">[4]TableDesign!#REF!</definedName>
    <definedName name="E_NLS_RESOURCE">[4]TableDesign!#REF!</definedName>
    <definedName name="E_NOT_ACTIVE" localSheetId="7">[3]ﾃﾞｰﾀﾍﾞｰｽ変更点!#REF!</definedName>
    <definedName name="E_NOT_ACTIVE" localSheetId="3">[3]ﾃﾞｰﾀﾍﾞｰｽ変更点!#REF!</definedName>
    <definedName name="E_NOT_ACTIVE">[3]ﾃﾞｰﾀﾍﾞｰｽ変更点!#REF!</definedName>
    <definedName name="E_OPERATION_CATEGORY" localSheetId="7">[4]TableDesign!#REF!</definedName>
    <definedName name="E_OPERATION_CATEGORY" localSheetId="3">[4]TableDesign!#REF!</definedName>
    <definedName name="E_OPERATION_CATEGORY">[4]TableDesign!#REF!</definedName>
    <definedName name="E_OPERATION_CLASS" localSheetId="7">[5]テーブル設計!#REF!</definedName>
    <definedName name="E_OPERATION_CLASS" localSheetId="3">[5]テーブル設計!#REF!</definedName>
    <definedName name="E_OPERATION_CLASS">[5]テーブル設計!#REF!</definedName>
    <definedName name="E_OPERATION_LOG" localSheetId="7">[3]ﾃﾞｰﾀﾍﾞｰｽ変更点!#REF!</definedName>
    <definedName name="E_OPERATION_LOG" localSheetId="3">[3]ﾃﾞｰﾀﾍﾞｰｽ変更点!#REF!</definedName>
    <definedName name="E_OPERATION_LOG">[3]ﾃﾞｰﾀﾍﾞｰｽ変更点!#REF!</definedName>
    <definedName name="E_OPERATION_LOG2" localSheetId="7">[5]テーブル設計!#REF!</definedName>
    <definedName name="E_OPERATION_LOG2" localSheetId="3">[5]テーブル設計!#REF!</definedName>
    <definedName name="E_OPERATION_LOG2">[5]テーブル設計!#REF!</definedName>
    <definedName name="E_OPERATION_MAP" localSheetId="7">[4]TableDesign!#REF!</definedName>
    <definedName name="E_OPERATION_MAP" localSheetId="3">[4]TableDesign!#REF!</definedName>
    <definedName name="E_OPERATION_MAP">[4]TableDesign!#REF!</definedName>
    <definedName name="E_OPERATION_MASTER" localSheetId="7">[5]テーブル設計!#REF!</definedName>
    <definedName name="E_OPERATION_MASTER" localSheetId="3">[5]テーブル設計!#REF!</definedName>
    <definedName name="E_OPERATION_MASTER">[5]テーブル設計!#REF!</definedName>
    <definedName name="E_ORBCOMM" localSheetId="7">[3]ﾃﾞｰﾀﾍﾞｰｽ変更点!#REF!</definedName>
    <definedName name="E_ORBCOMM" localSheetId="3">[3]ﾃﾞｰﾀﾍﾞｰｽ変更点!#REF!</definedName>
    <definedName name="E_ORBCOMM">[3]ﾃﾞｰﾀﾍﾞｰｽ変更点!#REF!</definedName>
    <definedName name="E_ORBCOMM_OWNER_HISTORY" localSheetId="7">[3]ﾃﾞｰﾀﾍﾞｰｽ変更点!#REF!</definedName>
    <definedName name="E_ORBCOMM_OWNER_HISTORY" localSheetId="3">[3]ﾃﾞｰﾀﾍﾞｰｽ変更点!#REF!</definedName>
    <definedName name="E_ORBCOMM_OWNER_HISTORY">[3]ﾃﾞｰﾀﾍﾞｰｽ変更点!#REF!</definedName>
    <definedName name="E_PLANT_CAR" localSheetId="7">[5]テーブル設計!#REF!</definedName>
    <definedName name="E_PLANT_CAR" localSheetId="3">[5]テーブル設計!#REF!</definedName>
    <definedName name="E_PLANT_CAR">[5]テーブル設計!#REF!</definedName>
    <definedName name="E_PLANT_ERROR" localSheetId="7">[5]テーブル設計!#REF!</definedName>
    <definedName name="E_PLANT_ERROR" localSheetId="3">[5]テーブル設計!#REF!</definedName>
    <definedName name="E_PLANT_ERROR">[5]テーブル設計!#REF!</definedName>
    <definedName name="E_PLANT_GPS" localSheetId="7">[5]テーブル設計!#REF!</definedName>
    <definedName name="E_PLANT_GPS" localSheetId="3">[5]テーブル設計!#REF!</definedName>
    <definedName name="E_PLANT_GPS">[5]テーブル設計!#REF!</definedName>
    <definedName name="E_PREVENT_THEFT_KEY" localSheetId="7">[3]ﾃﾞｰﾀﾍﾞｰｽ変更点!#REF!</definedName>
    <definedName name="E_PREVENT_THEFT_KEY" localSheetId="3">[3]ﾃﾞｰﾀﾍﾞｰｽ変更点!#REF!</definedName>
    <definedName name="E_PREVENT_THEFT_KEY">[3]ﾃﾞｰﾀﾍﾞｰｽ変更点!#REF!</definedName>
    <definedName name="E_PRIVATE_TARGET_CAR" localSheetId="7">[3]ﾃﾞｰﾀﾍﾞｰｽ変更点!#REF!</definedName>
    <definedName name="E_PRIVATE_TARGET_CAR" localSheetId="3">[3]ﾃﾞｰﾀﾍﾞｰｽ変更点!#REF!</definedName>
    <definedName name="E_PRIVATE_TARGET_CAR">[3]ﾃﾞｰﾀﾍﾞｰｽ変更点!#REF!</definedName>
    <definedName name="E_RECEIVE_LIST" localSheetId="7">[5]テーブル設計!#REF!</definedName>
    <definedName name="E_RECEIVE_LIST" localSheetId="3">[5]テーブル設計!#REF!</definedName>
    <definedName name="E_RECEIVE_LIST">[5]テーブル設計!#REF!</definedName>
    <definedName name="E_RECEIVE_LOG" localSheetId="7">[3]ﾃﾞｰﾀﾍﾞｰｽ変更点!#REF!</definedName>
    <definedName name="E_RECEIVE_LOG" localSheetId="3">[3]ﾃﾞｰﾀﾍﾞｰｽ変更点!#REF!</definedName>
    <definedName name="E_RECEIVE_LOG">[3]ﾃﾞｰﾀﾍﾞｰｽ変更点!#REF!</definedName>
    <definedName name="E_REGION_DATA" localSheetId="7">[4]TableDesign!#REF!</definedName>
    <definedName name="E_REGION_DATA" localSheetId="3">[4]TableDesign!#REF!</definedName>
    <definedName name="E_REGION_DATA">[4]TableDesign!#REF!</definedName>
    <definedName name="E_REGION_MASTER" localSheetId="7">[4]TableDesign!#REF!</definedName>
    <definedName name="E_REGION_MASTER" localSheetId="3">[4]TableDesign!#REF!</definedName>
    <definedName name="E_REGION_MASTER">[4]TableDesign!#REF!</definedName>
    <definedName name="E_RENTAL_TERMINAL" localSheetId="7">[5]テーブル設計!#REF!</definedName>
    <definedName name="E_RENTAL_TERMINAL" localSheetId="3">[5]テーブル設計!#REF!</definedName>
    <definedName name="E_RENTAL_TERMINAL">[5]テーブル設計!#REF!</definedName>
    <definedName name="E_REQUEST" localSheetId="7">[3]ﾃﾞｰﾀﾍﾞｰｽ変更点!#REF!</definedName>
    <definedName name="E_REQUEST" localSheetId="3">[3]ﾃﾞｰﾀﾍﾞｰｽ変更点!#REF!</definedName>
    <definedName name="E_REQUEST">[3]ﾃﾞｰﾀﾍﾞｰｽ変更点!#REF!</definedName>
    <definedName name="E_REQUEST_COUNT" localSheetId="7">[3]ﾃﾞｰﾀﾍﾞｰｽ変更点!#REF!</definedName>
    <definedName name="E_REQUEST_COUNT" localSheetId="3">[3]ﾃﾞｰﾀﾍﾞｰｽ変更点!#REF!</definedName>
    <definedName name="E_REQUEST_COUNT">[3]ﾃﾞｰﾀﾍﾞｰｽ変更点!#REF!</definedName>
    <definedName name="E_REQUEST_LOG" localSheetId="7">[3]ﾃﾞｰﾀﾍﾞｰｽ変更点!#REF!</definedName>
    <definedName name="E_REQUEST_LOG" localSheetId="3">[3]ﾃﾞｰﾀﾍﾞｰｽ変更点!#REF!</definedName>
    <definedName name="E_REQUEST_LOG">[3]ﾃﾞｰﾀﾍﾞｰｽ変更点!#REF!</definedName>
    <definedName name="E_RIVATE_TARGET_CAR" localSheetId="7">[4]TableDesign!#REF!</definedName>
    <definedName name="E_RIVATE_TARGET_CAR" localSheetId="3">[4]TableDesign!#REF!</definedName>
    <definedName name="E_RIVATE_TARGET_CAR">[4]TableDesign!#REF!</definedName>
    <definedName name="E_RUNNING_LOG" localSheetId="7">[3]ﾃﾞｰﾀﾍﾞｰｽ変更点!#REF!</definedName>
    <definedName name="E_RUNNING_LOG" localSheetId="3">[3]ﾃﾞｰﾀﾍﾞｰｽ変更点!#REF!</definedName>
    <definedName name="E_RUNNING_LOG">[3]ﾃﾞｰﾀﾍﾞｰｽ変更点!#REF!</definedName>
    <definedName name="E_SAVE_INFORMATION" localSheetId="7">[5]テーブル設計!#REF!</definedName>
    <definedName name="E_SAVE_INFORMATION" localSheetId="3">[5]テーブル設計!#REF!</definedName>
    <definedName name="E_SAVE_INFORMATION">[5]テーブル設計!#REF!</definedName>
    <definedName name="E_SELFCARINSPECTION" localSheetId="7">[3]ﾃﾞｰﾀﾍﾞｰｽ変更点!#REF!</definedName>
    <definedName name="E_SELFCARINSPECTION" localSheetId="3">[3]ﾃﾞｰﾀﾍﾞｰｽ変更点!#REF!</definedName>
    <definedName name="E_SELFCARINSPECTION">[3]ﾃﾞｰﾀﾍﾞｰｽ変更点!#REF!</definedName>
    <definedName name="E_SEND_LIST" localSheetId="7">[5]テーブル設計!#REF!</definedName>
    <definedName name="E_SEND_LIST" localSheetId="3">[5]テーブル設計!#REF!</definedName>
    <definedName name="E_SEND_LIST">[5]テーブル設計!#REF!</definedName>
    <definedName name="E_SEND_LOG" localSheetId="7">[5]テーブル設計!#REF!</definedName>
    <definedName name="E_SEND_LOG" localSheetId="3">[5]テーブル設計!#REF!</definedName>
    <definedName name="E_SEND_LOG">[5]テーブル設計!#REF!</definedName>
    <definedName name="E_SERVER_COMMUNICATION" localSheetId="7">[4]TableDesign!#REF!</definedName>
    <definedName name="E_SERVER_COMMUNICATION" localSheetId="3">[4]TableDesign!#REF!</definedName>
    <definedName name="E_SERVER_COMMUNICATION">[4]TableDesign!#REF!</definedName>
    <definedName name="E_SERVER_INFORMATION" localSheetId="7">[3]ﾃﾞｰﾀﾍﾞｰｽ変更点!#REF!</definedName>
    <definedName name="E_SERVER_INFORMATION" localSheetId="3">[3]ﾃﾞｰﾀﾍﾞｰｽ変更点!#REF!</definedName>
    <definedName name="E_SERVER_INFORMATION">[3]ﾃﾞｰﾀﾍﾞｰｽ変更点!#REF!</definedName>
    <definedName name="E_SERVICE_METER" localSheetId="7">[3]ﾃﾞｰﾀﾍﾞｰｽ変更点!#REF!</definedName>
    <definedName name="E_SERVICE_METER" localSheetId="3">[3]ﾃﾞｰﾀﾍﾞｰｽ変更点!#REF!</definedName>
    <definedName name="E_SERVICE_METER">[3]ﾃﾞｰﾀﾍﾞｰｽ変更点!#REF!</definedName>
    <definedName name="E_SERVICE_METER2" localSheetId="7">[5]テーブル設計!#REF!</definedName>
    <definedName name="E_SERVICE_METER2" localSheetId="3">[5]テーブル設計!#REF!</definedName>
    <definedName name="E_SERVICE_METER2">[5]テーブル設計!#REF!</definedName>
    <definedName name="E_SERVICEMAN" localSheetId="7">[5]テーブル設計!#REF!</definedName>
    <definedName name="E_SERVICEMAN" localSheetId="3">[5]テーブル設計!#REF!</definedName>
    <definedName name="E_SERVICEMAN">[5]テーブル設計!#REF!</definedName>
    <definedName name="E_SERVICEMAN_CHARGE" localSheetId="7">[5]テーブル設計!#REF!</definedName>
    <definedName name="E_SERVICEMAN_CHARGE" localSheetId="3">[5]テーブル設計!#REF!</definedName>
    <definedName name="E_SERVICEMAN_CHARGE">[5]テーブル設計!#REF!</definedName>
    <definedName name="E_SHIPMENT" localSheetId="7">[3]ﾃﾞｰﾀﾍﾞｰｽ変更点!#REF!</definedName>
    <definedName name="E_SHIPMENT" localSheetId="3">[3]ﾃﾞｰﾀﾍﾞｰｽ変更点!#REF!</definedName>
    <definedName name="E_SHIPMENT">[3]ﾃﾞｰﾀﾍﾞｰｽ変更点!#REF!</definedName>
    <definedName name="E_SHOW" localSheetId="7">[3]ﾃﾞｰﾀﾍﾞｰｽ変更点!#REF!</definedName>
    <definedName name="E_SHOW" localSheetId="3">[3]ﾃﾞｰﾀﾍﾞｰｽ変更点!#REF!</definedName>
    <definedName name="E_SHOW">[3]ﾃﾞｰﾀﾍﾞｰｽ変更点!#REF!</definedName>
    <definedName name="E_SHOW_GROUP" localSheetId="7">[3]ﾃﾞｰﾀﾍﾞｰｽ変更点!#REF!</definedName>
    <definedName name="E_SHOW_GROUP" localSheetId="3">[3]ﾃﾞｰﾀﾍﾞｰｽ変更点!#REF!</definedName>
    <definedName name="E_SHOW_GROUP">[3]ﾃﾞｰﾀﾍﾞｰｽ変更点!#REF!</definedName>
    <definedName name="E_SPECIAL_AREA" localSheetId="7">[3]ﾃﾞｰﾀﾍﾞｰｽ変更点!#REF!</definedName>
    <definedName name="E_SPECIAL_AREA" localSheetId="3">[3]ﾃﾞｰﾀﾍﾞｰｽ変更点!#REF!</definedName>
    <definedName name="E_SPECIAL_AREA">[3]ﾃﾞｰﾀﾍﾞｰｽ変更点!#REF!</definedName>
    <definedName name="E_SUB_GROUP" localSheetId="7">[4]TableDesign!#REF!</definedName>
    <definedName name="E_SUB_GROUP" localSheetId="3">[4]TableDesign!#REF!</definedName>
    <definedName name="E_SUB_GROUP">[4]TableDesign!#REF!</definedName>
    <definedName name="E_SUB_GROUP_CAR" localSheetId="7">[4]TableDesign!#REF!</definedName>
    <definedName name="E_SUB_GROUP_CAR" localSheetId="3">[4]TableDesign!#REF!</definedName>
    <definedName name="E_SUB_GROUP_CAR">[4]TableDesign!#REF!</definedName>
    <definedName name="E_SYSTEM_COMMTERM_INFO" localSheetId="7">[3]ﾃﾞｰﾀﾍﾞｰｽ変更点!#REF!</definedName>
    <definedName name="E_SYSTEM_COMMTERM_INFO" localSheetId="3">[3]ﾃﾞｰﾀﾍﾞｰｽ変更点!#REF!</definedName>
    <definedName name="E_SYSTEM_COMMTERM_INFO">[3]ﾃﾞｰﾀﾍﾞｰｽ変更点!#REF!</definedName>
    <definedName name="E_SYSTEM_LOG" localSheetId="7">[3]ﾃﾞｰﾀﾍﾞｰｽ変更点!#REF!</definedName>
    <definedName name="E_SYSTEM_LOG" localSheetId="3">[3]ﾃﾞｰﾀﾍﾞｰｽ変更点!#REF!</definedName>
    <definedName name="E_SYSTEM_LOG">[3]ﾃﾞｰﾀﾍﾞｰｽ変更点!#REF!</definedName>
    <definedName name="E_SYSTEM_NOTICE" localSheetId="7">[3]ﾃﾞｰﾀﾍﾞｰｽ変更点!#REF!</definedName>
    <definedName name="E_SYSTEM_NOTICE" localSheetId="3">[3]ﾃﾞｰﾀﾍﾞｰｽ変更点!#REF!</definedName>
    <definedName name="E_SYSTEM_NOTICE">[3]ﾃﾞｰﾀﾍﾞｰｽ変更点!#REF!</definedName>
    <definedName name="E_TARGET" localSheetId="7">[3]ﾃﾞｰﾀﾍﾞｰｽ変更点!#REF!</definedName>
    <definedName name="E_TARGET" localSheetId="3">[3]ﾃﾞｰﾀﾍﾞｰｽ変更点!#REF!</definedName>
    <definedName name="E_TARGET">[3]ﾃﾞｰﾀﾍﾞｰｽ変更点!#REF!</definedName>
    <definedName name="E_TARGET_CAR" localSheetId="7">[3]ﾃﾞｰﾀﾍﾞｰｽ変更点!#REF!</definedName>
    <definedName name="E_TARGET_CAR" localSheetId="3">[3]ﾃﾞｰﾀﾍﾞｰｽ変更点!#REF!</definedName>
    <definedName name="E_TARGET_CAR">[3]ﾃﾞｰﾀﾍﾞｰｽ変更点!#REF!</definedName>
    <definedName name="E_TERMINAL_AREA" localSheetId="7">[3]ﾃﾞｰﾀﾍﾞｰｽ変更点!#REF!</definedName>
    <definedName name="E_TERMINAL_AREA" localSheetId="3">[3]ﾃﾞｰﾀﾍﾞｰｽ変更点!#REF!</definedName>
    <definedName name="E_TERMINAL_AREA">[3]ﾃﾞｰﾀﾍﾞｰｽ変更点!#REF!</definedName>
    <definedName name="E_TERMINAL_CAUTION" localSheetId="7">[3]ﾃﾞｰﾀﾍﾞｰｽ変更点!#REF!</definedName>
    <definedName name="E_TERMINAL_CAUTION" localSheetId="3">[3]ﾃﾞｰﾀﾍﾞｰｽ変更点!#REF!</definedName>
    <definedName name="E_TERMINAL_CAUTION">[3]ﾃﾞｰﾀﾍﾞｰｽ変更点!#REF!</definedName>
    <definedName name="E_TERMINAL_ERROR" localSheetId="7">[3]ﾃﾞｰﾀﾍﾞｰｽ変更点!#REF!</definedName>
    <definedName name="E_TERMINAL_ERROR" localSheetId="3">[3]ﾃﾞｰﾀﾍﾞｰｽ変更点!#REF!</definedName>
    <definedName name="E_TERMINAL_ERROR">[3]ﾃﾞｰﾀﾍﾞｰｽ変更点!#REF!</definedName>
    <definedName name="E_TERMINAL_KIND" localSheetId="7">[3]ﾃﾞｰﾀﾍﾞｰｽ変更点!#REF!</definedName>
    <definedName name="E_TERMINAL_KIND" localSheetId="3">[3]ﾃﾞｰﾀﾍﾞｰｽ変更点!#REF!</definedName>
    <definedName name="E_TERMINAL_KIND">[3]ﾃﾞｰﾀﾍﾞｰｽ変更点!#REF!</definedName>
    <definedName name="E_TERMINAL_MASTER" localSheetId="7">[3]ﾃﾞｰﾀﾍﾞｰｽ変更点!#REF!</definedName>
    <definedName name="E_TERMINAL_MASTER" localSheetId="3">[3]ﾃﾞｰﾀﾍﾞｰｽ変更点!#REF!</definedName>
    <definedName name="E_TERMINAL_MASTER">[3]ﾃﾞｰﾀﾍﾞｰｽ変更点!#REF!</definedName>
    <definedName name="E_TERMINAL_PART_MASTER" localSheetId="7">[3]ﾃﾞｰﾀﾍﾞｰｽ変更点!#REF!</definedName>
    <definedName name="E_TERMINAL_PART_MASTER" localSheetId="3">[3]ﾃﾞｰﾀﾍﾞｰｽ変更点!#REF!</definedName>
    <definedName name="E_TERMINAL_PART_MASTER">[3]ﾃﾞｰﾀﾍﾞｰｽ変更点!#REF!</definedName>
    <definedName name="E_TYPE_MASTER" localSheetId="7">[3]ﾃﾞｰﾀﾍﾞｰｽ変更点!#REF!</definedName>
    <definedName name="E_TYPE_MASTER" localSheetId="3">[3]ﾃﾞｰﾀﾍﾞｰｽ変更点!#REF!</definedName>
    <definedName name="E_TYPE_MASTER">[3]ﾃﾞｰﾀﾍﾞｰｽ変更点!#REF!</definedName>
    <definedName name="E_UFO" localSheetId="7">[3]ﾃﾞｰﾀﾍﾞｰｽ変更点!#REF!</definedName>
    <definedName name="E_UFO" localSheetId="3">[3]ﾃﾞｰﾀﾍﾞｰｽ変更点!#REF!</definedName>
    <definedName name="E_UFO">[3]ﾃﾞｰﾀﾍﾞｰｽ変更点!#REF!</definedName>
    <definedName name="E_UNRELIABLE_RECEIVE" localSheetId="7">[3]ﾃﾞｰﾀﾍﾞｰｽ変更点!#REF!</definedName>
    <definedName name="E_UNRELIABLE_RECEIVE" localSheetId="3">[3]ﾃﾞｰﾀﾍﾞｰｽ変更点!#REF!</definedName>
    <definedName name="E_UNRELIABLE_RECEIVE">[3]ﾃﾞｰﾀﾍﾞｰｽ変更点!#REF!</definedName>
    <definedName name="E_USER_MASTER" localSheetId="7">[3]ﾃﾞｰﾀﾍﾞｰｽ変更点!#REF!</definedName>
    <definedName name="E_USER_MASTER" localSheetId="3">[3]ﾃﾞｰﾀﾍﾞｰｽ変更点!#REF!</definedName>
    <definedName name="E_USER_MASTER">[3]ﾃﾞｰﾀﾍﾞｰｽ変更点!#REF!</definedName>
    <definedName name="E_USER_TEMP" localSheetId="7">[3]ﾃﾞｰﾀﾍﾞｰｽ変更点!#REF!</definedName>
    <definedName name="E_USER_TEMP" localSheetId="3">[3]ﾃﾞｰﾀﾍﾞｰｽ変更点!#REF!</definedName>
    <definedName name="E_USER_TEMP">[3]ﾃﾞｰﾀﾍﾞｰｽ変更点!#REF!</definedName>
    <definedName name="E_WATER_TEMP_GAUGE" localSheetId="7">[4]TableDesign!#REF!</definedName>
    <definedName name="E_WATER_TEMP_GAUGE" localSheetId="3">[4]TableDesign!#REF!</definedName>
    <definedName name="E_WATER_TEMP_GAUGE">[4]TableDesign!#REF!</definedName>
    <definedName name="EE" localSheetId="7">'[6]DATA-COMMUNICATION-FORMAT'!#REF!</definedName>
    <definedName name="EE" localSheetId="3">'[6]DATA-COMMUNICATION-FORMAT'!#REF!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7">[3]ﾃﾞｰﾀﾍﾞｰｽ変更点!#REF!</definedName>
    <definedName name="F_ACT_DATA" localSheetId="3">[3]ﾃﾞｰﾀﾍﾞｰｽ変更点!#REF!</definedName>
    <definedName name="F_ACT_DATA">[3]ﾃﾞｰﾀﾍﾞｰｽ変更点!#REF!</definedName>
    <definedName name="F_ACTUAL_OPERATION" localSheetId="7">[4]TableDesign!#REF!</definedName>
    <definedName name="F_ACTUAL_OPERATION" localSheetId="3">[4]TableDesign!#REF!</definedName>
    <definedName name="F_ACTUAL_OPERATION">[4]TableDesign!#REF!</definedName>
    <definedName name="F_AREA" localSheetId="7">[3]ﾃﾞｰﾀﾍﾞｰｽ変更点!#REF!</definedName>
    <definedName name="F_AREA" localSheetId="3">[3]ﾃﾞｰﾀﾍﾞｰｽ変更点!#REF!</definedName>
    <definedName name="F_AREA">[3]ﾃﾞｰﾀﾍﾞｰｽ変更点!#REF!</definedName>
    <definedName name="F_AREA_DEFINE" localSheetId="7">[3]ﾃﾞｰﾀﾍﾞｰｽ変更点!#REF!</definedName>
    <definedName name="F_AREA_DEFINE" localSheetId="3">[3]ﾃﾞｰﾀﾍﾞｰｽ変更点!#REF!</definedName>
    <definedName name="F_AREA_DEFINE">[3]ﾃﾞｰﾀﾍﾞｰｽ変更点!#REF!</definedName>
    <definedName name="F_AREA_INIT" localSheetId="7">[3]ﾃﾞｰﾀﾍﾞｰｽ変更点!#REF!</definedName>
    <definedName name="F_AREA_INIT" localSheetId="3">[3]ﾃﾞｰﾀﾍﾞｰｽ変更点!#REF!</definedName>
    <definedName name="F_AREA_INIT">[3]ﾃﾞｰﾀﾍﾞｰｽ変更点!#REF!</definedName>
    <definedName name="F_AREA_MASTER" localSheetId="7">[3]ﾃﾞｰﾀﾍﾞｰｽ変更点!#REF!</definedName>
    <definedName name="F_AREA_MASTER" localSheetId="3">[3]ﾃﾞｰﾀﾍﾞｰｽ変更点!#REF!</definedName>
    <definedName name="F_AREA_MASTER">[3]ﾃﾞｰﾀﾍﾞｰｽ変更点!#REF!</definedName>
    <definedName name="F_ASK" localSheetId="7">[3]ﾃﾞｰﾀﾍﾞｰｽ変更点!#REF!</definedName>
    <definedName name="F_ASK" localSheetId="3">[3]ﾃﾞｰﾀﾍﾞｰｽ変更点!#REF!</definedName>
    <definedName name="F_ASK">[3]ﾃﾞｰﾀﾍﾞｰｽ変更点!#REF!</definedName>
    <definedName name="F_ASK_LOG" localSheetId="7">[5]テーブル設計!#REF!</definedName>
    <definedName name="F_ASK_LOG" localSheetId="3">[5]テーブル設計!#REF!</definedName>
    <definedName name="F_ASK_LOG">[5]テーブル設計!#REF!</definedName>
    <definedName name="F_ASK_SYSTEM" localSheetId="7">[3]ﾃﾞｰﾀﾍﾞｰｽ変更点!#REF!</definedName>
    <definedName name="F_ASK_SYSTEM" localSheetId="3">[3]ﾃﾞｰﾀﾍﾞｰｽ変更点!#REF!</definedName>
    <definedName name="F_ASK_SYSTEM">[3]ﾃﾞｰﾀﾍﾞｰｽ変更点!#REF!</definedName>
    <definedName name="F_ATC_ERROR" localSheetId="7">[5]テーブル設計!#REF!</definedName>
    <definedName name="F_ATC_ERROR" localSheetId="3">[5]テーブル設計!#REF!</definedName>
    <definedName name="F_ATC_ERROR">[5]テーブル設計!#REF!</definedName>
    <definedName name="F_AUTHORITY_GROUP" localSheetId="7">[3]ﾃﾞｰﾀﾍﾞｰｽ変更点!#REF!</definedName>
    <definedName name="F_AUTHORITY_GROUP" localSheetId="3">[3]ﾃﾞｰﾀﾍﾞｰｽ変更点!#REF!</definedName>
    <definedName name="F_AUTHORITY_GROUP">[3]ﾃﾞｰﾀﾍﾞｰｽ変更点!#REF!</definedName>
    <definedName name="F_AUTHORITY_GROUP_DATA" localSheetId="7">[3]ﾃﾞｰﾀﾍﾞｰｽ変更点!#REF!</definedName>
    <definedName name="F_AUTHORITY_GROUP_DATA" localSheetId="3">[3]ﾃﾞｰﾀﾍﾞｰｽ変更点!#REF!</definedName>
    <definedName name="F_AUTHORITY_GROUP_DATA">[3]ﾃﾞｰﾀﾍﾞｰｽ変更点!#REF!</definedName>
    <definedName name="F_AUTHORITY_MASTER" localSheetId="7">[5]テーブル設計!#REF!</definedName>
    <definedName name="F_AUTHORITY_MASTER" localSheetId="3">[5]テーブル設計!#REF!</definedName>
    <definedName name="F_AUTHORITY_MASTER">[5]テーブル設計!#REF!</definedName>
    <definedName name="F_BELNR">[9]Dictionary!$D$22</definedName>
    <definedName name="F_BONDED_STORE" localSheetId="7">[5]テーブル設計!#REF!</definedName>
    <definedName name="F_BONDED_STORE" localSheetId="3">[5]テーブル設計!#REF!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7">[3]ﾃﾞｰﾀﾍﾞｰｽ変更点!#REF!</definedName>
    <definedName name="F_CAR_DATA" localSheetId="3">[3]ﾃﾞｰﾀﾍﾞｰｽ変更点!#REF!</definedName>
    <definedName name="F_CAR_DATA">[3]ﾃﾞｰﾀﾍﾞｰｽ変更点!#REF!</definedName>
    <definedName name="F_CAR_MASTER" localSheetId="7">[3]ﾃﾞｰﾀﾍﾞｰｽ変更点!#REF!</definedName>
    <definedName name="F_CAR_MASTER" localSheetId="3">[3]ﾃﾞｰﾀﾍﾞｰｽ変更点!#REF!</definedName>
    <definedName name="F_CAR_MASTER">[3]ﾃﾞｰﾀﾍﾞｰｽ変更点!#REF!</definedName>
    <definedName name="F_CAR_MONTHLY_DATA" localSheetId="7">[3]ﾃﾞｰﾀﾍﾞｰｽ変更点!#REF!</definedName>
    <definedName name="F_CAR_MONTHLY_DATA" localSheetId="3">[3]ﾃﾞｰﾀﾍﾞｰｽ変更点!#REF!</definedName>
    <definedName name="F_CAR_MONTHLY_DATA">[3]ﾃﾞｰﾀﾍﾞｰｽ変更点!#REF!</definedName>
    <definedName name="F_CAR_OWNER_HISTORY" localSheetId="7">[3]ﾃﾞｰﾀﾍﾞｰｽ変更点!#REF!</definedName>
    <definedName name="F_CAR_OWNER_HISTORY" localSheetId="3">[3]ﾃﾞｰﾀﾍﾞｰｽ変更点!#REF!</definedName>
    <definedName name="F_CAR_OWNER_HISTORY">[3]ﾃﾞｰﾀﾍﾞｰｽ変更点!#REF!</definedName>
    <definedName name="F_CAUTION" localSheetId="7">[4]TableDesign!#REF!</definedName>
    <definedName name="F_CAUTION" localSheetId="3">[4]TableDesign!#REF!</definedName>
    <definedName name="F_CAUTION">[4]TableDesign!#REF!</definedName>
    <definedName name="F_CAUTION_DATA" localSheetId="7">[3]ﾃﾞｰﾀﾍﾞｰｽ変更点!#REF!</definedName>
    <definedName name="F_CAUTION_DATA" localSheetId="3">[3]ﾃﾞｰﾀﾍﾞｰｽ変更点!#REF!</definedName>
    <definedName name="F_CAUTION_DATA">[3]ﾃﾞｰﾀﾍﾞｰｽ変更点!#REF!</definedName>
    <definedName name="F_CAUTION_ENABLED" localSheetId="7">[3]ﾃﾞｰﾀﾍﾞｰｽ変更点!#REF!</definedName>
    <definedName name="F_CAUTION_ENABLED" localSheetId="3">[3]ﾃﾞｰﾀﾍﾞｰｽ変更点!#REF!</definedName>
    <definedName name="F_CAUTION_ENABLED">[3]ﾃﾞｰﾀﾍﾞｰｽ変更点!#REF!</definedName>
    <definedName name="F_CAUTION_ICON" localSheetId="7">[3]ﾃﾞｰﾀﾍﾞｰｽ変更点!#REF!</definedName>
    <definedName name="F_CAUTION_ICON" localSheetId="3">[3]ﾃﾞｰﾀﾍﾞｰｽ変更点!#REF!</definedName>
    <definedName name="F_CAUTION_ICON">[3]ﾃﾞｰﾀﾍﾞｰｽ変更点!#REF!</definedName>
    <definedName name="F_CAUTION_INIT" localSheetId="7">[3]ﾃﾞｰﾀﾍﾞｰｽ変更点!#REF!</definedName>
    <definedName name="F_CAUTION_INIT" localSheetId="3">[3]ﾃﾞｰﾀﾍﾞｰｽ変更点!#REF!</definedName>
    <definedName name="F_CAUTION_INIT">[3]ﾃﾞｰﾀﾍﾞｰｽ変更点!#REF!</definedName>
    <definedName name="F_CAUTION_MASTER" localSheetId="7">[3]ﾃﾞｰﾀﾍﾞｰｽ変更点!#REF!</definedName>
    <definedName name="F_CAUTION_MASTER" localSheetId="3">[3]ﾃﾞｰﾀﾍﾞｰｽ変更点!#REF!</definedName>
    <definedName name="F_CAUTION_MASTER">[3]ﾃﾞｰﾀﾍﾞｰｽ変更点!#REF!</definedName>
    <definedName name="F_CLASS1_MASTER" localSheetId="7">[3]ﾃﾞｰﾀﾍﾞｰｽ変更点!#REF!</definedName>
    <definedName name="F_CLASS1_MASTER" localSheetId="3">[3]ﾃﾞｰﾀﾍﾞｰｽ変更点!#REF!</definedName>
    <definedName name="F_CLASS1_MASTER">[3]ﾃﾞｰﾀﾍﾞｰｽ変更点!#REF!</definedName>
    <definedName name="F_CLASS2_MASTER" localSheetId="7">[3]ﾃﾞｰﾀﾍﾞｰｽ変更点!#REF!</definedName>
    <definedName name="F_CLASS2_MASTER" localSheetId="3">[3]ﾃﾞｰﾀﾍﾞｰｽ変更点!#REF!</definedName>
    <definedName name="F_CLASS2_MASTER">[3]ﾃﾞｰﾀﾍﾞｰｽ変更点!#REF!</definedName>
    <definedName name="F_COMM_DATA" localSheetId="7">[3]ﾃﾞｰﾀﾍﾞｰｽ変更点!#REF!</definedName>
    <definedName name="F_COMM_DATA" localSheetId="3">[3]ﾃﾞｰﾀﾍﾞｰｽ変更点!#REF!</definedName>
    <definedName name="F_COMM_DATA">[3]ﾃﾞｰﾀﾍﾞｰｽ変更点!#REF!</definedName>
    <definedName name="F_COMM_STATUS_MASTER" localSheetId="7">[3]ﾃﾞｰﾀﾍﾞｰｽ変更点!#REF!</definedName>
    <definedName name="F_COMM_STATUS_MASTER" localSheetId="3">[3]ﾃﾞｰﾀﾍﾞｰｽ変更点!#REF!</definedName>
    <definedName name="F_COMM_STATUS_MASTER">[3]ﾃﾞｰﾀﾍﾞｰｽ変更点!#REF!</definedName>
    <definedName name="F_CONFIG_DEFINE" localSheetId="7">[3]ﾃﾞｰﾀﾍﾞｰｽ変更点!#REF!</definedName>
    <definedName name="F_CONFIG_DEFINE" localSheetId="3">[3]ﾃﾞｰﾀﾍﾞｰｽ変更点!#REF!</definedName>
    <definedName name="F_CONFIG_DEFINE">[3]ﾃﾞｰﾀﾍﾞｰｽ変更点!#REF!</definedName>
    <definedName name="F_CONFIG_FLAG" localSheetId="7">[5]テーブル設計!#REF!</definedName>
    <definedName name="F_CONFIG_FLAG" localSheetId="3">[5]テーブル設計!#REF!</definedName>
    <definedName name="F_CONFIG_FLAG">[5]テーブル設計!#REF!</definedName>
    <definedName name="F_CONFIG_INIT" localSheetId="7">[3]ﾃﾞｰﾀﾍﾞｰｽ変更点!#REF!</definedName>
    <definedName name="F_CONFIG_INIT" localSheetId="3">[3]ﾃﾞｰﾀﾍﾞｰｽ変更点!#REF!</definedName>
    <definedName name="F_CONFIG_INIT">[3]ﾃﾞｰﾀﾍﾞｰｽ変更点!#REF!</definedName>
    <definedName name="F_CONFIG_PATTERN" localSheetId="7">[3]ﾃﾞｰﾀﾍﾞｰｽ変更点!#REF!</definedName>
    <definedName name="F_CONFIG_PATTERN" localSheetId="3">[3]ﾃﾞｰﾀﾍﾞｰｽ変更点!#REF!</definedName>
    <definedName name="F_CONFIG_PATTERN">[3]ﾃﾞｰﾀﾍﾞｰｽ変更点!#REF!</definedName>
    <definedName name="F_CONFIG_PATTERN_DATA" localSheetId="7">[3]ﾃﾞｰﾀﾍﾞｰｽ変更点!#REF!</definedName>
    <definedName name="F_CONFIG_PATTERN_DATA" localSheetId="3">[3]ﾃﾞｰﾀﾍﾞｰｽ変更点!#REF!</definedName>
    <definedName name="F_CONFIG_PATTERN_DATA">[3]ﾃﾞｰﾀﾍﾞｰｽ変更点!#REF!</definedName>
    <definedName name="F_CONFIG_USER_FLAG" localSheetId="7">[5]テーブル設計!#REF!</definedName>
    <definedName name="F_CONFIG_USER_FLAG" localSheetId="3">[5]テーブル設計!#REF!</definedName>
    <definedName name="F_CONFIG_USER_FLAG">[5]テーブル設計!#REF!</definedName>
    <definedName name="F_CONTRACT" localSheetId="7">[5]テーブル設計!#REF!</definedName>
    <definedName name="F_CONTRACT" localSheetId="3">[5]テーブル設計!#REF!</definedName>
    <definedName name="F_CONTRACT">[5]テーブル設計!#REF!</definedName>
    <definedName name="F_CUSTOMER" localSheetId="7">[3]ﾃﾞｰﾀﾍﾞｰｽ変更点!#REF!</definedName>
    <definedName name="F_CUSTOMER" localSheetId="3">[3]ﾃﾞｰﾀﾍﾞｰｽ変更点!#REF!</definedName>
    <definedName name="F_CUSTOMER">[3]ﾃﾞｰﾀﾍﾞｰｽ変更点!#REF!</definedName>
    <definedName name="F_CUSTOMER_CAR" localSheetId="7">[3]ﾃﾞｰﾀﾍﾞｰｽ変更点!#REF!</definedName>
    <definedName name="F_CUSTOMER_CAR" localSheetId="3">[3]ﾃﾞｰﾀﾍﾞｰｽ変更点!#REF!</definedName>
    <definedName name="F_CUSTOMER_CAR">[3]ﾃﾞｰﾀﾍﾞｰｽ変更点!#REF!</definedName>
    <definedName name="F_CUSTOMER_MASTER" localSheetId="7">[4]TableDesign!#REF!</definedName>
    <definedName name="F_CUSTOMER_MASTER" localSheetId="3">[4]TableDesign!#REF!</definedName>
    <definedName name="F_CUSTOMER_MASTER">[4]TableDesign!#REF!</definedName>
    <definedName name="F_DIVISION_MASTER" localSheetId="7">[3]ﾃﾞｰﾀﾍﾞｰｽ変更点!#REF!</definedName>
    <definedName name="F_DIVISION_MASTER" localSheetId="3">[3]ﾃﾞｰﾀﾍﾞｰｽ変更点!#REF!</definedName>
    <definedName name="F_DIVISION_MASTER">[3]ﾃﾞｰﾀﾍﾞｰｽ変更点!#REF!</definedName>
    <definedName name="F_DOPA" localSheetId="7">[3]ﾃﾞｰﾀﾍﾞｰｽ変更点!#REF!</definedName>
    <definedName name="F_DOPA" localSheetId="3">[3]ﾃﾞｰﾀﾍﾞｰｽ変更点!#REF!</definedName>
    <definedName name="F_DOPA">[3]ﾃﾞｰﾀﾍﾞｰｽ変更点!#REF!</definedName>
    <definedName name="F_DOPA_OWNER_HISTORY" localSheetId="7">[3]ﾃﾞｰﾀﾍﾞｰｽ変更点!#REF!</definedName>
    <definedName name="F_DOPA_OWNER_HISTORY" localSheetId="3">[3]ﾃﾞｰﾀﾍﾞｰｽ変更点!#REF!</definedName>
    <definedName name="F_DOPA_OWNER_HISTORY">[3]ﾃﾞｰﾀﾍﾞｰｽ変更点!#REF!</definedName>
    <definedName name="F_DOPA_SERVER" localSheetId="7">[3]ﾃﾞｰﾀﾍﾞｰｽ変更点!#REF!</definedName>
    <definedName name="F_DOPA_SERVER" localSheetId="3">[3]ﾃﾞｰﾀﾍﾞｰｽ変更点!#REF!</definedName>
    <definedName name="F_DOPA_SERVER">[3]ﾃﾞｰﾀﾍﾞｰｽ変更点!#REF!</definedName>
    <definedName name="F_EQUIPMENT_HISTORY" localSheetId="7">[3]ﾃﾞｰﾀﾍﾞｰｽ変更点!#REF!</definedName>
    <definedName name="F_EQUIPMENT_HISTORY" localSheetId="3">[3]ﾃﾞｰﾀﾍﾞｰｽ変更点!#REF!</definedName>
    <definedName name="F_EQUIPMENT_HISTORY">[3]ﾃﾞｰﾀﾍﾞｰｽ変更点!#REF!</definedName>
    <definedName name="F_ERROR" localSheetId="7">[3]ﾃﾞｰﾀﾍﾞｰｽ変更点!#REF!</definedName>
    <definedName name="F_ERROR" localSheetId="3">[3]ﾃﾞｰﾀﾍﾞｰｽ変更点!#REF!</definedName>
    <definedName name="F_ERROR">[3]ﾃﾞｰﾀﾍﾞｰｽ変更点!#REF!</definedName>
    <definedName name="F_ERROR_ENABLED" localSheetId="7">[3]ﾃﾞｰﾀﾍﾞｰｽ変更点!#REF!</definedName>
    <definedName name="F_ERROR_ENABLED" localSheetId="3">[3]ﾃﾞｰﾀﾍﾞｰｽ変更点!#REF!</definedName>
    <definedName name="F_ERROR_ENABLED">[3]ﾃﾞｰﾀﾍﾞｰｽ変更点!#REF!</definedName>
    <definedName name="F_ERROR_MASTER" localSheetId="7">[3]ﾃﾞｰﾀﾍﾞｰｽ変更点!#REF!</definedName>
    <definedName name="F_ERROR_MASTER" localSheetId="3">[3]ﾃﾞｰﾀﾍﾞｰｽ変更点!#REF!</definedName>
    <definedName name="F_ERROR_MASTER">[3]ﾃﾞｰﾀﾍﾞｰｽ変更点!#REF!</definedName>
    <definedName name="F_EVENT_CATEGORY" localSheetId="7">[4]TableDesign!#REF!</definedName>
    <definedName name="F_EVENT_CATEGORY" localSheetId="3">[4]TableDesign!#REF!</definedName>
    <definedName name="F_EVENT_CATEGORY">[4]TableDesign!#REF!</definedName>
    <definedName name="F_EVENT_DIVISION" localSheetId="7">[3]ﾃﾞｰﾀﾍﾞｰｽ変更点!#REF!</definedName>
    <definedName name="F_EVENT_DIVISION" localSheetId="3">[3]ﾃﾞｰﾀﾍﾞｰｽ変更点!#REF!</definedName>
    <definedName name="F_EVENT_DIVISION">[3]ﾃﾞｰﾀﾍﾞｰｽ変更点!#REF!</definedName>
    <definedName name="F_EVENT_MASTER" localSheetId="7">[3]ﾃﾞｰﾀﾍﾞｰｽ変更点!#REF!</definedName>
    <definedName name="F_EVENT_MASTER" localSheetId="3">[3]ﾃﾞｰﾀﾍﾞｰｽ変更点!#REF!</definedName>
    <definedName name="F_EVENT_MASTER">[3]ﾃﾞｰﾀﾍﾞｰｽ変更点!#REF!</definedName>
    <definedName name="F_EVENT_NOTICE" localSheetId="7">[3]ﾃﾞｰﾀﾍﾞｰｽ変更点!#REF!</definedName>
    <definedName name="F_EVENT_NOTICE" localSheetId="3">[3]ﾃﾞｰﾀﾍﾞｰｽ変更点!#REF!</definedName>
    <definedName name="F_EVENT_NOTICE">[3]ﾃﾞｰﾀﾍﾞｰｽ変更点!#REF!</definedName>
    <definedName name="F_FILKD">[9]Dictionary!$D$18</definedName>
    <definedName name="F_FUEL_GAUGE" localSheetId="7">[4]TableDesign!#REF!</definedName>
    <definedName name="F_FUEL_GAUGE" localSheetId="3">[4]TableDesign!#REF!</definedName>
    <definedName name="F_FUEL_GAUGE">[4]TableDesign!#REF!</definedName>
    <definedName name="F_GAUGE_FUEL_WTTEMP" localSheetId="7">[3]ﾃﾞｰﾀﾍﾞｰｽ変更点!#REF!</definedName>
    <definedName name="F_GAUGE_FUEL_WTTEMP" localSheetId="3">[3]ﾃﾞｰﾀﾍﾞｰｽ変更点!#REF!</definedName>
    <definedName name="F_GAUGE_FUEL_WTTEMP">[3]ﾃﾞｰﾀﾍﾞｰｽ変更点!#REF!</definedName>
    <definedName name="F_GIS_DEFINE" localSheetId="7">[4]TableDesign!#REF!</definedName>
    <definedName name="F_GIS_DEFINE" localSheetId="3">[4]TableDesign!#REF!</definedName>
    <definedName name="F_GIS_DEFINE">[4]TableDesign!#REF!</definedName>
    <definedName name="F_GJAHR">[9]Dictionary!$D$21</definedName>
    <definedName name="F_GPS" localSheetId="7">[3]ﾃﾞｰﾀﾍﾞｰｽ変更点!#REF!</definedName>
    <definedName name="F_GPS" localSheetId="3">[3]ﾃﾞｰﾀﾍﾞｰｽ変更点!#REF!</definedName>
    <definedName name="F_GPS">[3]ﾃﾞｰﾀﾍﾞｰｽ変更点!#REF!</definedName>
    <definedName name="F_GRANT_AUTHORITY" localSheetId="7">[3]ﾃﾞｰﾀﾍﾞｰｽ変更点!#REF!</definedName>
    <definedName name="F_GRANT_AUTHORITY" localSheetId="3">[3]ﾃﾞｰﾀﾍﾞｰｽ変更点!#REF!</definedName>
    <definedName name="F_GRANT_AUTHORITY">[3]ﾃﾞｰﾀﾍﾞｰｽ変更点!#REF!</definedName>
    <definedName name="F_GROUP_MASTER" localSheetId="7">[3]ﾃﾞｰﾀﾍﾞｰｽ変更点!#REF!</definedName>
    <definedName name="F_GROUP_MASTER" localSheetId="3">[3]ﾃﾞｰﾀﾍﾞｰｽ変更点!#REF!</definedName>
    <definedName name="F_GROUP_MASTER">[3]ﾃﾞｰﾀﾍﾞｰｽ変更点!#REF!</definedName>
    <definedName name="F_IGNORE_CAUTION" localSheetId="7">[5]テーブル設計!#REF!</definedName>
    <definedName name="F_IGNORE_CAUTION" localSheetId="3">[5]テーブル設計!#REF!</definedName>
    <definedName name="F_IGNORE_CAUTION">[5]テーブル設計!#REF!</definedName>
    <definedName name="F_IGNORE_ERROR" localSheetId="7">[5]テーブル設計!#REF!</definedName>
    <definedName name="F_IGNORE_ERROR" localSheetId="3">[5]テーブル設計!#REF!</definedName>
    <definedName name="F_IGNORE_ERROR">[5]テーブル設計!#REF!</definedName>
    <definedName name="F_INFORM_MASTER" localSheetId="7">[3]ﾃﾞｰﾀﾍﾞｰｽ変更点!#REF!</definedName>
    <definedName name="F_INFORM_MASTER" localSheetId="3">[3]ﾃﾞｰﾀﾍﾞｰｽ変更点!#REF!</definedName>
    <definedName name="F_INFORM_MASTER">[3]ﾃﾞｰﾀﾍﾞｰｽ変更点!#REF!</definedName>
    <definedName name="F_INFORMATION" localSheetId="7">[3]ﾃﾞｰﾀﾍﾞｰｽ変更点!#REF!</definedName>
    <definedName name="F_INFORMATION" localSheetId="3">[3]ﾃﾞｰﾀﾍﾞｰｽ変更点!#REF!</definedName>
    <definedName name="F_INFORMATION">[3]ﾃﾞｰﾀﾍﾞｰｽ変更点!#REF!</definedName>
    <definedName name="F_INFORMATION_READED" localSheetId="7">[3]ﾃﾞｰﾀﾍﾞｰｽ変更点!#REF!</definedName>
    <definedName name="F_INFORMATION_READED" localSheetId="3">[3]ﾃﾞｰﾀﾍﾞｰｽ変更点!#REF!</definedName>
    <definedName name="F_INFORMATION_READED">[3]ﾃﾞｰﾀﾍﾞｰｽ変更点!#REF!</definedName>
    <definedName name="F_INVALID_PART_TERMINAL" localSheetId="7">[5]テーブル設計!#REF!</definedName>
    <definedName name="F_INVALID_PART_TERMINAL" localSheetId="3">[5]テーブル設計!#REF!</definedName>
    <definedName name="F_INVALID_PART_TERMINAL">[5]テーブル設計!#REF!</definedName>
    <definedName name="F_KIND_MASTER" localSheetId="7">[3]ﾃﾞｰﾀﾍﾞｰｽ変更点!#REF!</definedName>
    <definedName name="F_KIND_MASTER" localSheetId="3">[3]ﾃﾞｰﾀﾍﾞｰｽ変更点!#REF!</definedName>
    <definedName name="F_KIND_MASTER">[3]ﾃﾞｰﾀﾍﾞｰｽ変更点!#REF!</definedName>
    <definedName name="F_KRO_APPLICATION" localSheetId="7">[3]ﾃﾞｰﾀﾍﾞｰｽ変更点!#REF!</definedName>
    <definedName name="F_KRO_APPLICATION" localSheetId="3">[3]ﾃﾞｰﾀﾍﾞｰｽ変更点!#REF!</definedName>
    <definedName name="F_KRO_APPLICATION">[3]ﾃﾞｰﾀﾍﾞｰｽ変更点!#REF!</definedName>
    <definedName name="F_KRO_APPLICATION_DATA" localSheetId="7">[3]ﾃﾞｰﾀﾍﾞｰｽ変更点!#REF!</definedName>
    <definedName name="F_KRO_APPLICATION_DATA" localSheetId="3">[3]ﾃﾞｰﾀﾍﾞｰｽ変更点!#REF!</definedName>
    <definedName name="F_KRO_APPLICATION_DATA">[3]ﾃﾞｰﾀﾍﾞｰｽ変更点!#REF!</definedName>
    <definedName name="F_KRO_COMPLETION" localSheetId="7">[3]ﾃﾞｰﾀﾍﾞｰｽ変更点!#REF!</definedName>
    <definedName name="F_KRO_COMPLETION" localSheetId="3">[3]ﾃﾞｰﾀﾍﾞｰｽ変更点!#REF!</definedName>
    <definedName name="F_KRO_COMPLETION">[3]ﾃﾞｰﾀﾍﾞｰｽ変更点!#REF!</definedName>
    <definedName name="F_KRO_COMPLETION_DATA" localSheetId="7">[3]ﾃﾞｰﾀﾍﾞｰｽ変更点!#REF!</definedName>
    <definedName name="F_KRO_COMPLETION_DATA" localSheetId="3">[3]ﾃﾞｰﾀﾍﾞｰｽ変更点!#REF!</definedName>
    <definedName name="F_KRO_COMPLETION_DATA">[3]ﾃﾞｰﾀﾍﾞｰｽ変更点!#REF!</definedName>
    <definedName name="F_KRO_EMERGENCY" localSheetId="7">[5]テーブル設計!#REF!</definedName>
    <definedName name="F_KRO_EMERGENCY" localSheetId="3">[5]テーブル設計!#REF!</definedName>
    <definedName name="F_KRO_EMERGENCY">[5]テーブル設計!#REF!</definedName>
    <definedName name="F_KRO_REPORT" localSheetId="7">[3]ﾃﾞｰﾀﾍﾞｰｽ変更点!#REF!</definedName>
    <definedName name="F_KRO_REPORT" localSheetId="3">[3]ﾃﾞｰﾀﾍﾞｰｽ変更点!#REF!</definedName>
    <definedName name="F_KRO_REPORT">[3]ﾃﾞｰﾀﾍﾞｰｽ変更点!#REF!</definedName>
    <definedName name="F_KUNNR">[9]Dictionary!$D$24</definedName>
    <definedName name="F_LANDMARK" localSheetId="7">[3]ﾃﾞｰﾀﾍﾞｰｽ変更点!#REF!</definedName>
    <definedName name="F_LANDMARK" localSheetId="3">[3]ﾃﾞｰﾀﾍﾞｰｽ変更点!#REF!</definedName>
    <definedName name="F_LANDMARK">[3]ﾃﾞｰﾀﾍﾞｰｽ変更点!#REF!</definedName>
    <definedName name="F_LANDMARK_CLASS" localSheetId="7">[3]ﾃﾞｰﾀﾍﾞｰｽ変更点!#REF!</definedName>
    <definedName name="F_LANDMARK_CLASS" localSheetId="3">[3]ﾃﾞｰﾀﾍﾞｰｽ変更点!#REF!</definedName>
    <definedName name="F_LANDMARK_CLASS">[3]ﾃﾞｰﾀﾍﾞｰｽ変更点!#REF!</definedName>
    <definedName name="F_LOGON_HISTORY" localSheetId="7">[3]ﾃﾞｰﾀﾍﾞｰｽ変更点!#REF!</definedName>
    <definedName name="F_LOGON_HISTORY" localSheetId="3">[3]ﾃﾞｰﾀﾍﾞｰｽ変更点!#REF!</definedName>
    <definedName name="F_LOGON_HISTORY">[3]ﾃﾞｰﾀﾍﾞｰｽ変更点!#REF!</definedName>
    <definedName name="F_MACHINE_ERROR" localSheetId="7">[4]TableDesign!#REF!</definedName>
    <definedName name="F_MACHINE_ERROR" localSheetId="3">[4]TableDesign!#REF!</definedName>
    <definedName name="F_MACHINE_ERROR">[4]TableDesign!#REF!</definedName>
    <definedName name="F_MACHINE_STATUS_MASTER" localSheetId="7">[3]ﾃﾞｰﾀﾍﾞｰｽ変更点!#REF!</definedName>
    <definedName name="F_MACHINE_STATUS_MASTER" localSheetId="3">[3]ﾃﾞｰﾀﾍﾞｰｽ変更点!#REF!</definedName>
    <definedName name="F_MACHINE_STATUS_MASTER">[3]ﾃﾞｰﾀﾍﾞｰｽ変更点!#REF!</definedName>
    <definedName name="F_MAINTENANCE_DATA" localSheetId="7">[3]ﾃﾞｰﾀﾍﾞｰｽ変更点!#REF!</definedName>
    <definedName name="F_MAINTENANCE_DATA" localSheetId="3">[3]ﾃﾞｰﾀﾍﾞｰｽ変更点!#REF!</definedName>
    <definedName name="F_MAINTENANCE_DATA">[3]ﾃﾞｰﾀﾍﾞｰｽ変更点!#REF!</definedName>
    <definedName name="F_MAINTENANCE_INFORM" localSheetId="7">[3]ﾃﾞｰﾀﾍﾞｰｽ変更点!#REF!</definedName>
    <definedName name="F_MAINTENANCE_INFORM" localSheetId="3">[3]ﾃﾞｰﾀﾍﾞｰｽ変更点!#REF!</definedName>
    <definedName name="F_MAINTENANCE_INFORM">[3]ﾃﾞｰﾀﾍﾞｰｽ変更点!#REF!</definedName>
    <definedName name="F_MAINTENANCE_MASTER" localSheetId="7">[3]ﾃﾞｰﾀﾍﾞｰｽ変更点!#REF!</definedName>
    <definedName name="F_MAINTENANCE_MASTER" localSheetId="3">[3]ﾃﾞｰﾀﾍﾞｰｽ変更点!#REF!</definedName>
    <definedName name="F_MAINTENANCE_MASTER">[3]ﾃﾞｰﾀﾍﾞｰｽ変更点!#REF!</definedName>
    <definedName name="F_MAINTENANCE_TIME" localSheetId="7">[4]TableDesign!#REF!</definedName>
    <definedName name="F_MAINTENANCE_TIME" localSheetId="3">[4]TableDesign!#REF!</definedName>
    <definedName name="F_MAINTENANCE_TIME">[4]TableDesign!#REF!</definedName>
    <definedName name="F_MAKER_MASTER" localSheetId="7">[3]ﾃﾞｰﾀﾍﾞｰｽ変更点!#REF!</definedName>
    <definedName name="F_MAKER_MASTER" localSheetId="3">[3]ﾃﾞｰﾀﾍﾞｰｽ変更点!#REF!</definedName>
    <definedName name="F_MAKER_MASTER">[3]ﾃﾞｰﾀﾍﾞｰｽ変更点!#REF!</definedName>
    <definedName name="F_MARK_MACHINE" localSheetId="7">[4]TableDesign!#REF!</definedName>
    <definedName name="F_MARK_MACHINE" localSheetId="3">[4]TableDesign!#REF!</definedName>
    <definedName name="F_MARK_MACHINE">[4]TableDesign!#REF!</definedName>
    <definedName name="F_MARK_NOTIFICATION" localSheetId="7">[4]TableDesign!#REF!</definedName>
    <definedName name="F_MARK_NOTIFICATION" localSheetId="3">[4]TableDesign!#REF!</definedName>
    <definedName name="F_MARK_NOTIFICATION">[4]TableDesign!#REF!</definedName>
    <definedName name="F_MARK_NOTIFICATION_DETAIL" localSheetId="7">[4]TableDesign!#REF!</definedName>
    <definedName name="F_MARK_NOTIFICATION_DETAIL" localSheetId="3">[4]TableDesign!#REF!</definedName>
    <definedName name="F_MARK_NOTIFICATION_DETAIL">[4]TableDesign!#REF!</definedName>
    <definedName name="F_MEMO" localSheetId="7">[3]ﾃﾞｰﾀﾍﾞｰｽ変更点!#REF!</definedName>
    <definedName name="F_MEMO" localSheetId="3">[3]ﾃﾞｰﾀﾍﾞｰｽ変更点!#REF!</definedName>
    <definedName name="F_MEMO">[3]ﾃﾞｰﾀﾍﾞｰｽ変更点!#REF!</definedName>
    <definedName name="F_MEMORY_MODIFY" localSheetId="7">[3]ﾃﾞｰﾀﾍﾞｰｽ変更点!#REF!</definedName>
    <definedName name="F_MEMORY_MODIFY" localSheetId="3">[3]ﾃﾞｰﾀﾍﾞｰｽ変更点!#REF!</definedName>
    <definedName name="F_MEMORY_MODIFY">[3]ﾃﾞｰﾀﾍﾞｰｽ変更点!#REF!</definedName>
    <definedName name="F_MEMORY_MODIFY_DATA" localSheetId="7">[3]ﾃﾞｰﾀﾍﾞｰｽ変更点!#REF!</definedName>
    <definedName name="F_MEMORY_MODIFY_DATA" localSheetId="3">[3]ﾃﾞｰﾀﾍﾞｰｽ変更点!#REF!</definedName>
    <definedName name="F_MEMORY_MODIFY_DATA">[3]ﾃﾞｰﾀﾍﾞｰｽ変更点!#REF!</definedName>
    <definedName name="F_MESSAGE" localSheetId="7">[3]ﾃﾞｰﾀﾍﾞｰｽ変更点!#REF!</definedName>
    <definedName name="F_MESSAGE" localSheetId="3">[3]ﾃﾞｰﾀﾍﾞｰｽ変更点!#REF!</definedName>
    <definedName name="F_MESSAGE">[3]ﾃﾞｰﾀﾍﾞｰｽ変更点!#REF!</definedName>
    <definedName name="F_MESSAGE_MASTER" localSheetId="7">[3]ﾃﾞｰﾀﾍﾞｰｽ変更点!#REF!</definedName>
    <definedName name="F_MESSAGE_MASTER" localSheetId="3">[3]ﾃﾞｰﾀﾍﾞｰｽ変更点!#REF!</definedName>
    <definedName name="F_MESSAGE_MASTER">[3]ﾃﾞｰﾀﾍﾞｰｽ変更点!#REF!</definedName>
    <definedName name="F_MONTHLY_ATT_SMR" localSheetId="7">[4]TableDesign!#REF!</definedName>
    <definedName name="F_MONTHLY_ATT_SMR" localSheetId="3">[4]TableDesign!#REF!</definedName>
    <definedName name="F_MONTHLY_ATT_SMR">[4]TableDesign!#REF!</definedName>
    <definedName name="F_MONTHLY_ERROR" localSheetId="7">[4]TableDesign!#REF!</definedName>
    <definedName name="F_MONTHLY_ERROR" localSheetId="3">[4]TableDesign!#REF!</definedName>
    <definedName name="F_MONTHLY_ERROR">[4]TableDesign!#REF!</definedName>
    <definedName name="F_MONTHLY_LOAD" localSheetId="7">[4]TableDesign!#REF!</definedName>
    <definedName name="F_MONTHLY_LOAD" localSheetId="3">[4]TableDesign!#REF!</definedName>
    <definedName name="F_MONTHLY_LOAD">[4]TableDesign!#REF!</definedName>
    <definedName name="F_MONTHLY_MOVEMENT" localSheetId="7">[4]TableDesign!#REF!</definedName>
    <definedName name="F_MONTHLY_MOVEMENT" localSheetId="3">[4]TableDesign!#REF!</definedName>
    <definedName name="F_MONTHLY_MOVEMENT">[4]TableDesign!#REF!</definedName>
    <definedName name="F_MONTHLY_OPERATION" localSheetId="7">[4]TableDesign!#REF!</definedName>
    <definedName name="F_MONTHLY_OPERATION" localSheetId="3">[4]TableDesign!#REF!</definedName>
    <definedName name="F_MONTHLY_OPERATION">[4]TableDesign!#REF!</definedName>
    <definedName name="F_MONTHLY_SMR" localSheetId="7">[4]TableDesign!#REF!</definedName>
    <definedName name="F_MONTHLY_SMR" localSheetId="3">[4]TableDesign!#REF!</definedName>
    <definedName name="F_MONTHLY_SMR">[4]TableDesign!#REF!</definedName>
    <definedName name="F_MONTHLY_WORKING_SMR" localSheetId="7">[4]TableDesign!#REF!</definedName>
    <definedName name="F_MONTHLY_WORKING_SMR" localSheetId="3">[4]TableDesign!#REF!</definedName>
    <definedName name="F_MONTHLY_WORKING_SMR">[4]TableDesign!#REF!</definedName>
    <definedName name="F_MONTLY_LOAD" localSheetId="7">[4]TableDesign!#REF!</definedName>
    <definedName name="F_MONTLY_LOAD" localSheetId="3">[4]TableDesign!#REF!</definedName>
    <definedName name="F_MONTLY_LOAD">[4]TableDesign!#REF!</definedName>
    <definedName name="F_MULTI_OPE" localSheetId="7">[3]ﾃﾞｰﾀﾍﾞｰｽ変更点!#REF!</definedName>
    <definedName name="F_MULTI_OPE" localSheetId="3">[3]ﾃﾞｰﾀﾍﾞｰｽ変更点!#REF!</definedName>
    <definedName name="F_MULTI_OPE">[3]ﾃﾞｰﾀﾍﾞｰｽ変更点!#REF!</definedName>
    <definedName name="F_MULTI_OPE_DATA" localSheetId="7">[5]テーブル設計!#REF!</definedName>
    <definedName name="F_MULTI_OPE_DATA" localSheetId="3">[5]テーブル設計!#REF!</definedName>
    <definedName name="F_MULTI_OPE_DATA">[5]テーブル設計!#REF!</definedName>
    <definedName name="F_NLS_DB_RESOURCE" localSheetId="7">[4]TableDesign!#REF!</definedName>
    <definedName name="F_NLS_DB_RESOURCE" localSheetId="3">[4]TableDesign!#REF!</definedName>
    <definedName name="F_NLS_DB_RESOURCE">[4]TableDesign!#REF!</definedName>
    <definedName name="F_NLS_LANG" localSheetId="7">[4]TableDesign!#REF!</definedName>
    <definedName name="F_NLS_LANG" localSheetId="3">[4]TableDesign!#REF!</definedName>
    <definedName name="F_NLS_LANG">[4]TableDesign!#REF!</definedName>
    <definedName name="F_NLS_RESOURCE" localSheetId="7">[4]TableDesign!#REF!</definedName>
    <definedName name="F_NLS_RESOURCE" localSheetId="3">[4]TableDesign!#REF!</definedName>
    <definedName name="F_NLS_RESOURCE">[4]TableDesign!#REF!</definedName>
    <definedName name="F_NOT_ACTIVE" localSheetId="7">[3]ﾃﾞｰﾀﾍﾞｰｽ変更点!#REF!</definedName>
    <definedName name="F_NOT_ACTIVE" localSheetId="3">[3]ﾃﾞｰﾀﾍﾞｰｽ変更点!#REF!</definedName>
    <definedName name="F_NOT_ACTIVE">[3]ﾃﾞｰﾀﾍﾞｰｽ変更点!#REF!</definedName>
    <definedName name="F_OPERATION_CATEGORY" localSheetId="7">[4]TableDesign!#REF!</definedName>
    <definedName name="F_OPERATION_CATEGORY" localSheetId="3">[4]TableDesign!#REF!</definedName>
    <definedName name="F_OPERATION_CATEGORY">[4]TableDesign!#REF!</definedName>
    <definedName name="F_OPERATION_CLASS" localSheetId="7">[5]テーブル設計!#REF!</definedName>
    <definedName name="F_OPERATION_CLASS" localSheetId="3">[5]テーブル設計!#REF!</definedName>
    <definedName name="F_OPERATION_CLASS">[5]テーブル設計!#REF!</definedName>
    <definedName name="F_OPERATION_LOG" localSheetId="7">[3]ﾃﾞｰﾀﾍﾞｰｽ変更点!#REF!</definedName>
    <definedName name="F_OPERATION_LOG" localSheetId="3">[3]ﾃﾞｰﾀﾍﾞｰｽ変更点!#REF!</definedName>
    <definedName name="F_OPERATION_LOG">[3]ﾃﾞｰﾀﾍﾞｰｽ変更点!#REF!</definedName>
    <definedName name="F_OPERATION_LOG2" localSheetId="7">[5]テーブル設計!#REF!</definedName>
    <definedName name="F_OPERATION_LOG2" localSheetId="3">[5]テーブル設計!#REF!</definedName>
    <definedName name="F_OPERATION_LOG2">[5]テーブル設計!#REF!</definedName>
    <definedName name="F_OPERATION_MAP" localSheetId="7">[4]TableDesign!#REF!</definedName>
    <definedName name="F_OPERATION_MAP" localSheetId="3">[4]TableDesign!#REF!</definedName>
    <definedName name="F_OPERATION_MAP">[4]TableDesign!#REF!</definedName>
    <definedName name="F_OPERATION_MASTER" localSheetId="7">[5]テーブル設計!#REF!</definedName>
    <definedName name="F_OPERATION_MASTER" localSheetId="3">[5]テーブル設計!#REF!</definedName>
    <definedName name="F_OPERATION_MASTER">[5]テーブル設計!#REF!</definedName>
    <definedName name="F_ORBCOMM" localSheetId="7">[3]ﾃﾞｰﾀﾍﾞｰｽ変更点!#REF!</definedName>
    <definedName name="F_ORBCOMM" localSheetId="3">[3]ﾃﾞｰﾀﾍﾞｰｽ変更点!#REF!</definedName>
    <definedName name="F_ORBCOMM">[3]ﾃﾞｰﾀﾍﾞｰｽ変更点!#REF!</definedName>
    <definedName name="F_ORBCOMM_OWNER_HISTORY" localSheetId="7">[3]ﾃﾞｰﾀﾍﾞｰｽ変更点!#REF!</definedName>
    <definedName name="F_ORBCOMM_OWNER_HISTORY" localSheetId="3">[3]ﾃﾞｰﾀﾍﾞｰｽ変更点!#REF!</definedName>
    <definedName name="F_ORBCOMM_OWNER_HISTORY">[3]ﾃﾞｰﾀﾍﾞｰｽ変更点!#REF!</definedName>
    <definedName name="F_PLANT_CAR" localSheetId="7">[5]テーブル設計!#REF!</definedName>
    <definedName name="F_PLANT_CAR" localSheetId="3">[5]テーブル設計!#REF!</definedName>
    <definedName name="F_PLANT_CAR">[5]テーブル設計!#REF!</definedName>
    <definedName name="F_PLANT_ERROR" localSheetId="7">[5]テーブル設計!#REF!</definedName>
    <definedName name="F_PLANT_ERROR" localSheetId="3">[5]テーブル設計!#REF!</definedName>
    <definedName name="F_PLANT_ERROR">[5]テーブル設計!#REF!</definedName>
    <definedName name="F_PLANT_GPS" localSheetId="7">[5]テーブル設計!#REF!</definedName>
    <definedName name="F_PLANT_GPS" localSheetId="3">[5]テーブル設計!#REF!</definedName>
    <definedName name="F_PLANT_GPS">[5]テーブル設計!#REF!</definedName>
    <definedName name="F_PREVENT_THEFT_KEY" localSheetId="7">[3]ﾃﾞｰﾀﾍﾞｰｽ変更点!#REF!</definedName>
    <definedName name="F_PREVENT_THEFT_KEY" localSheetId="3">[3]ﾃﾞｰﾀﾍﾞｰｽ変更点!#REF!</definedName>
    <definedName name="F_PREVENT_THEFT_KEY">[3]ﾃﾞｰﾀﾍﾞｰｽ変更点!#REF!</definedName>
    <definedName name="F_PRIVATE_TARGET_CAR" localSheetId="7">[3]ﾃﾞｰﾀﾍﾞｰｽ変更点!#REF!</definedName>
    <definedName name="F_PRIVATE_TARGET_CAR" localSheetId="3">[3]ﾃﾞｰﾀﾍﾞｰｽ変更点!#REF!</definedName>
    <definedName name="F_PRIVATE_TARGET_CAR">[3]ﾃﾞｰﾀﾍﾞｰｽ変更点!#REF!</definedName>
    <definedName name="F_RECEIVE_LIST" localSheetId="7">[5]テーブル設計!#REF!</definedName>
    <definedName name="F_RECEIVE_LIST" localSheetId="3">[5]テーブル設計!#REF!</definedName>
    <definedName name="F_RECEIVE_LIST">[5]テーブル設計!#REF!</definedName>
    <definedName name="F_RECEIVE_LOG" localSheetId="7">[3]ﾃﾞｰﾀﾍﾞｰｽ変更点!#REF!</definedName>
    <definedName name="F_RECEIVE_LOG" localSheetId="3">[3]ﾃﾞｰﾀﾍﾞｰｽ変更点!#REF!</definedName>
    <definedName name="F_RECEIVE_LOG">[3]ﾃﾞｰﾀﾍﾞｰｽ変更点!#REF!</definedName>
    <definedName name="F_REGION_DATA" localSheetId="7">[4]TableDesign!#REF!</definedName>
    <definedName name="F_REGION_DATA" localSheetId="3">[4]TableDesign!#REF!</definedName>
    <definedName name="F_REGION_DATA">[4]TableDesign!#REF!</definedName>
    <definedName name="F_REGION_MASTER" localSheetId="7">[4]TableDesign!#REF!</definedName>
    <definedName name="F_REGION_MASTER" localSheetId="3">[4]TableDesign!#REF!</definedName>
    <definedName name="F_REGION_MASTER">[4]TableDesign!#REF!</definedName>
    <definedName name="F_RENTAL_TERMINAL" localSheetId="7">[5]テーブル設計!#REF!</definedName>
    <definedName name="F_RENTAL_TERMINAL" localSheetId="3">[5]テーブル設計!#REF!</definedName>
    <definedName name="F_RENTAL_TERMINAL">[5]テーブル設計!#REF!</definedName>
    <definedName name="F_REQUEST" localSheetId="7">[3]ﾃﾞｰﾀﾍﾞｰｽ変更点!#REF!</definedName>
    <definedName name="F_REQUEST" localSheetId="3">[3]ﾃﾞｰﾀﾍﾞｰｽ変更点!#REF!</definedName>
    <definedName name="F_REQUEST">[3]ﾃﾞｰﾀﾍﾞｰｽ変更点!#REF!</definedName>
    <definedName name="F_REQUEST_COUNT" localSheetId="7">[3]ﾃﾞｰﾀﾍﾞｰｽ変更点!#REF!</definedName>
    <definedName name="F_REQUEST_COUNT" localSheetId="3">[3]ﾃﾞｰﾀﾍﾞｰｽ変更点!#REF!</definedName>
    <definedName name="F_REQUEST_COUNT">[3]ﾃﾞｰﾀﾍﾞｰｽ変更点!#REF!</definedName>
    <definedName name="F_REQUEST_LOG" localSheetId="7">[3]ﾃﾞｰﾀﾍﾞｰｽ変更点!#REF!</definedName>
    <definedName name="F_REQUEST_LOG" localSheetId="3">[3]ﾃﾞｰﾀﾍﾞｰｽ変更点!#REF!</definedName>
    <definedName name="F_REQUEST_LOG">[3]ﾃﾞｰﾀﾍﾞｰｽ変更点!#REF!</definedName>
    <definedName name="F_RIVATE_TARGET_CAR" localSheetId="7">[4]TableDesign!#REF!</definedName>
    <definedName name="F_RIVATE_TARGET_CAR" localSheetId="3">[4]TableDesign!#REF!</definedName>
    <definedName name="F_RIVATE_TARGET_CAR">[4]TableDesign!#REF!</definedName>
    <definedName name="F_RUNNING_LOG" localSheetId="7">[3]ﾃﾞｰﾀﾍﾞｰｽ変更点!#REF!</definedName>
    <definedName name="F_RUNNING_LOG" localSheetId="3">[3]ﾃﾞｰﾀﾍﾞｰｽ変更点!#REF!</definedName>
    <definedName name="F_RUNNING_LOG">[3]ﾃﾞｰﾀﾍﾞｰｽ変更点!#REF!</definedName>
    <definedName name="F_SAVE_INFORMATION" localSheetId="7">[5]テーブル設計!#REF!</definedName>
    <definedName name="F_SAVE_INFORMATION" localSheetId="3">[5]テーブル設計!#REF!</definedName>
    <definedName name="F_SAVE_INFORMATION">[5]テーブル設計!#REF!</definedName>
    <definedName name="F_SELFCARINSPECTION" localSheetId="7">[3]ﾃﾞｰﾀﾍﾞｰｽ変更点!#REF!</definedName>
    <definedName name="F_SELFCARINSPECTION" localSheetId="3">[3]ﾃﾞｰﾀﾍﾞｰｽ変更点!#REF!</definedName>
    <definedName name="F_SELFCARINSPECTION">[3]ﾃﾞｰﾀﾍﾞｰｽ変更点!#REF!</definedName>
    <definedName name="F_SEND_LIST" localSheetId="7">[5]テーブル設計!#REF!</definedName>
    <definedName name="F_SEND_LIST" localSheetId="3">[5]テーブル設計!#REF!</definedName>
    <definedName name="F_SEND_LIST">[5]テーブル設計!#REF!</definedName>
    <definedName name="F_SEND_LOG" localSheetId="7">[5]テーブル設計!#REF!</definedName>
    <definedName name="F_SEND_LOG" localSheetId="3">[5]テーブル設計!#REF!</definedName>
    <definedName name="F_SEND_LOG">[5]テーブル設計!#REF!</definedName>
    <definedName name="F_SERVER_COMMUNICATION" localSheetId="7">[4]TableDesign!#REF!</definedName>
    <definedName name="F_SERVER_COMMUNICATION" localSheetId="3">[4]TableDesign!#REF!</definedName>
    <definedName name="F_SERVER_COMMUNICATION">[4]TableDesign!#REF!</definedName>
    <definedName name="F_SERVER_INFORMATION" localSheetId="7">[3]ﾃﾞｰﾀﾍﾞｰｽ変更点!#REF!</definedName>
    <definedName name="F_SERVER_INFORMATION" localSheetId="3">[3]ﾃﾞｰﾀﾍﾞｰｽ変更点!#REF!</definedName>
    <definedName name="F_SERVER_INFORMATION">[3]ﾃﾞｰﾀﾍﾞｰｽ変更点!#REF!</definedName>
    <definedName name="F_SERVICE_METER" localSheetId="7">[3]ﾃﾞｰﾀﾍﾞｰｽ変更点!#REF!</definedName>
    <definedName name="F_SERVICE_METER" localSheetId="3">[3]ﾃﾞｰﾀﾍﾞｰｽ変更点!#REF!</definedName>
    <definedName name="F_SERVICE_METER">[3]ﾃﾞｰﾀﾍﾞｰｽ変更点!#REF!</definedName>
    <definedName name="F_SERVICE_METER2" localSheetId="7">[5]テーブル設計!#REF!</definedName>
    <definedName name="F_SERVICE_METER2" localSheetId="3">[5]テーブル設計!#REF!</definedName>
    <definedName name="F_SERVICE_METER2">[5]テーブル設計!#REF!</definedName>
    <definedName name="F_SERVICEMAN" localSheetId="7">[5]テーブル設計!#REF!</definedName>
    <definedName name="F_SERVICEMAN" localSheetId="3">[5]テーブル設計!#REF!</definedName>
    <definedName name="F_SERVICEMAN">[5]テーブル設計!#REF!</definedName>
    <definedName name="F_SERVICEMAN_CHARGE" localSheetId="7">[5]テーブル設計!#REF!</definedName>
    <definedName name="F_SERVICEMAN_CHARGE" localSheetId="3">[5]テーブル設計!#REF!</definedName>
    <definedName name="F_SERVICEMAN_CHARGE">[5]テーブル設計!#REF!</definedName>
    <definedName name="F_SGTXT">[9]Dictionary!$D$31</definedName>
    <definedName name="F_SHIPMENT" localSheetId="7">[3]ﾃﾞｰﾀﾍﾞｰｽ変更点!#REF!</definedName>
    <definedName name="F_SHIPMENT" localSheetId="3">[3]ﾃﾞｰﾀﾍﾞｰｽ変更点!#REF!</definedName>
    <definedName name="F_SHIPMENT">[3]ﾃﾞｰﾀﾍﾞｰｽ変更点!#REF!</definedName>
    <definedName name="F_SHOW" localSheetId="7">[3]ﾃﾞｰﾀﾍﾞｰｽ変更点!#REF!</definedName>
    <definedName name="F_SHOW" localSheetId="3">[3]ﾃﾞｰﾀﾍﾞｰｽ変更点!#REF!</definedName>
    <definedName name="F_SHOW">[3]ﾃﾞｰﾀﾍﾞｰｽ変更点!#REF!</definedName>
    <definedName name="F_SHOW_GROUP" localSheetId="7">[3]ﾃﾞｰﾀﾍﾞｰｽ変更点!#REF!</definedName>
    <definedName name="F_SHOW_GROUP" localSheetId="3">[3]ﾃﾞｰﾀﾍﾞｰｽ変更点!#REF!</definedName>
    <definedName name="F_SHOW_GROUP">[3]ﾃﾞｰﾀﾍﾞｰｽ変更点!#REF!</definedName>
    <definedName name="F_SPECIAL_AREA" localSheetId="7">[3]ﾃﾞｰﾀﾍﾞｰｽ変更点!#REF!</definedName>
    <definedName name="F_SPECIAL_AREA" localSheetId="3">[3]ﾃﾞｰﾀﾍﾞｰｽ変更点!#REF!</definedName>
    <definedName name="F_SPECIAL_AREA">[3]ﾃﾞｰﾀﾍﾞｰｽ変更点!#REF!</definedName>
    <definedName name="F_SUB_GROUP" localSheetId="7">[4]TableDesign!#REF!</definedName>
    <definedName name="F_SUB_GROUP" localSheetId="3">[4]TableDesign!#REF!</definedName>
    <definedName name="F_SUB_GROUP">[4]TableDesign!#REF!</definedName>
    <definedName name="F_SUB_GROUP_CAR" localSheetId="7">[4]TableDesign!#REF!</definedName>
    <definedName name="F_SUB_GROUP_CAR" localSheetId="3">[4]TableDesign!#REF!</definedName>
    <definedName name="F_SUB_GROUP_CAR">[4]TableDesign!#REF!</definedName>
    <definedName name="F_SYSTEM_COMMTERM_INFO" localSheetId="7">[3]ﾃﾞｰﾀﾍﾞｰｽ変更点!#REF!</definedName>
    <definedName name="F_SYSTEM_COMMTERM_INFO" localSheetId="3">[3]ﾃﾞｰﾀﾍﾞｰｽ変更点!#REF!</definedName>
    <definedName name="F_SYSTEM_COMMTERM_INFO">[3]ﾃﾞｰﾀﾍﾞｰｽ変更点!#REF!</definedName>
    <definedName name="F_SYSTEM_LOG" localSheetId="7">[3]ﾃﾞｰﾀﾍﾞｰｽ変更点!#REF!</definedName>
    <definedName name="F_SYSTEM_LOG" localSheetId="3">[3]ﾃﾞｰﾀﾍﾞｰｽ変更点!#REF!</definedName>
    <definedName name="F_SYSTEM_LOG">[3]ﾃﾞｰﾀﾍﾞｰｽ変更点!#REF!</definedName>
    <definedName name="F_SYSTEM_NOTICE" localSheetId="7">[3]ﾃﾞｰﾀﾍﾞｰｽ変更点!#REF!</definedName>
    <definedName name="F_SYSTEM_NOTICE" localSheetId="3">[3]ﾃﾞｰﾀﾍﾞｰｽ変更点!#REF!</definedName>
    <definedName name="F_SYSTEM_NOTICE">[3]ﾃﾞｰﾀﾍﾞｰｽ変更点!#REF!</definedName>
    <definedName name="F_TARGET" localSheetId="7">[3]ﾃﾞｰﾀﾍﾞｰｽ変更点!#REF!</definedName>
    <definedName name="F_TARGET" localSheetId="3">[3]ﾃﾞｰﾀﾍﾞｰｽ変更点!#REF!</definedName>
    <definedName name="F_TARGET">[3]ﾃﾞｰﾀﾍﾞｰｽ変更点!#REF!</definedName>
    <definedName name="F_TARGET_CAR" localSheetId="7">[3]ﾃﾞｰﾀﾍﾞｰｽ変更点!#REF!</definedName>
    <definedName name="F_TARGET_CAR" localSheetId="3">[3]ﾃﾞｰﾀﾍﾞｰｽ変更点!#REF!</definedName>
    <definedName name="F_TARGET_CAR">[3]ﾃﾞｰﾀﾍﾞｰｽ変更点!#REF!</definedName>
    <definedName name="F_TERMINAL_AREA" localSheetId="7">[3]ﾃﾞｰﾀﾍﾞｰｽ変更点!#REF!</definedName>
    <definedName name="F_TERMINAL_AREA" localSheetId="3">[3]ﾃﾞｰﾀﾍﾞｰｽ変更点!#REF!</definedName>
    <definedName name="F_TERMINAL_AREA">[3]ﾃﾞｰﾀﾍﾞｰｽ変更点!#REF!</definedName>
    <definedName name="F_TERMINAL_CAUTION" localSheetId="7">[3]ﾃﾞｰﾀﾍﾞｰｽ変更点!#REF!</definedName>
    <definedName name="F_TERMINAL_CAUTION" localSheetId="3">[3]ﾃﾞｰﾀﾍﾞｰｽ変更点!#REF!</definedName>
    <definedName name="F_TERMINAL_CAUTION">[3]ﾃﾞｰﾀﾍﾞｰｽ変更点!#REF!</definedName>
    <definedName name="F_TERMINAL_ERROR" localSheetId="7">[3]ﾃﾞｰﾀﾍﾞｰｽ変更点!#REF!</definedName>
    <definedName name="F_TERMINAL_ERROR" localSheetId="3">[3]ﾃﾞｰﾀﾍﾞｰｽ変更点!#REF!</definedName>
    <definedName name="F_TERMINAL_ERROR">[3]ﾃﾞｰﾀﾍﾞｰｽ変更点!#REF!</definedName>
    <definedName name="F_TERMINAL_KIND" localSheetId="7">[3]ﾃﾞｰﾀﾍﾞｰｽ変更点!#REF!</definedName>
    <definedName name="F_TERMINAL_KIND" localSheetId="3">[3]ﾃﾞｰﾀﾍﾞｰｽ変更点!#REF!</definedName>
    <definedName name="F_TERMINAL_KIND">[3]ﾃﾞｰﾀﾍﾞｰｽ変更点!#REF!</definedName>
    <definedName name="F_TERMINAL_MASTER" localSheetId="7">[3]ﾃﾞｰﾀﾍﾞｰｽ変更点!#REF!</definedName>
    <definedName name="F_TERMINAL_MASTER" localSheetId="3">[3]ﾃﾞｰﾀﾍﾞｰｽ変更点!#REF!</definedName>
    <definedName name="F_TERMINAL_MASTER">[3]ﾃﾞｰﾀﾍﾞｰｽ変更点!#REF!</definedName>
    <definedName name="F_TERMINAL_PART_MASTER" localSheetId="7">[3]ﾃﾞｰﾀﾍﾞｰｽ変更点!#REF!</definedName>
    <definedName name="F_TERMINAL_PART_MASTER" localSheetId="3">[3]ﾃﾞｰﾀﾍﾞｰｽ変更点!#REF!</definedName>
    <definedName name="F_TERMINAL_PART_MASTER">[3]ﾃﾞｰﾀﾍﾞｰｽ変更点!#REF!</definedName>
    <definedName name="F_TYPE_MASTER" localSheetId="7">[3]ﾃﾞｰﾀﾍﾞｰｽ変更点!#REF!</definedName>
    <definedName name="F_TYPE_MASTER" localSheetId="3">[3]ﾃﾞｰﾀﾍﾞｰｽ変更点!#REF!</definedName>
    <definedName name="F_TYPE_MASTER">[3]ﾃﾞｰﾀﾍﾞｰｽ変更点!#REF!</definedName>
    <definedName name="F_UFO" localSheetId="7">[3]ﾃﾞｰﾀﾍﾞｰｽ変更点!#REF!</definedName>
    <definedName name="F_UFO" localSheetId="3">[3]ﾃﾞｰﾀﾍﾞｰｽ変更点!#REF!</definedName>
    <definedName name="F_UFO">[3]ﾃﾞｰﾀﾍﾞｰｽ変更点!#REF!</definedName>
    <definedName name="F_UNRELIABLE_RECEIVE" localSheetId="7">[3]ﾃﾞｰﾀﾍﾞｰｽ変更点!#REF!</definedName>
    <definedName name="F_UNRELIABLE_RECEIVE" localSheetId="3">[3]ﾃﾞｰﾀﾍﾞｰｽ変更点!#REF!</definedName>
    <definedName name="F_UNRELIABLE_RECEIVE">[3]ﾃﾞｰﾀﾍﾞｰｽ変更点!#REF!</definedName>
    <definedName name="F_USER_MASTER" localSheetId="7">[3]ﾃﾞｰﾀﾍﾞｰｽ変更点!#REF!</definedName>
    <definedName name="F_USER_MASTER" localSheetId="3">[3]ﾃﾞｰﾀﾍﾞｰｽ変更点!#REF!</definedName>
    <definedName name="F_USER_MASTER">[3]ﾃﾞｰﾀﾍﾞｰｽ変更点!#REF!</definedName>
    <definedName name="F_USER_TEMP" localSheetId="7">[3]ﾃﾞｰﾀﾍﾞｰｽ変更点!#REF!</definedName>
    <definedName name="F_USER_TEMP" localSheetId="3">[3]ﾃﾞｰﾀﾍﾞｰｽ変更点!#REF!</definedName>
    <definedName name="F_USER_TEMP">[3]ﾃﾞｰﾀﾍﾞｰｽ変更点!#REF!</definedName>
    <definedName name="F_WATER_TEMP_GAUGE" localSheetId="7">[4]TableDesign!#REF!</definedName>
    <definedName name="F_WATER_TEMP_GAUGE" localSheetId="3">[4]TableDesign!#REF!</definedName>
    <definedName name="F_WATER_TEMP_GAUGE">[4]TableDesign!#REF!</definedName>
    <definedName name="F_XREF1">[9]Dictionary!$D$32</definedName>
    <definedName name="F_XREF3">[9]Dictionary!$D$30</definedName>
    <definedName name="F_ZFBDT">[9]Dictionary!$D$19</definedName>
    <definedName name="FF" localSheetId="7">'[6]DATA-COMMUNICATION-FORMAT'!#REF!</definedName>
    <definedName name="FF" localSheetId="3">'[6]DATA-COMMUNICATION-FORMAT'!#REF!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7">#REF!</definedName>
    <definedName name="Freepage" localSheetId="3">#REF!</definedName>
    <definedName name="Freepage">#REF!</definedName>
    <definedName name="Freepage2" localSheetId="7">#REF!</definedName>
    <definedName name="Freepage2" localSheetId="3">#REF!</definedName>
    <definedName name="Freepage2">#REF!</definedName>
    <definedName name="Freepage3" localSheetId="7">#REF!</definedName>
    <definedName name="Freepage3" localSheetId="3">#REF!</definedName>
    <definedName name="Freepage3">#REF!</definedName>
    <definedName name="Freespace" localSheetId="7">#REF!</definedName>
    <definedName name="Freespace" localSheetId="3">#REF!</definedName>
    <definedName name="Freespace">#REF!</definedName>
    <definedName name="Freespace2" localSheetId="7">#REF!</definedName>
    <definedName name="Freespace2" localSheetId="3">#REF!</definedName>
    <definedName name="Freespace2">#REF!</definedName>
    <definedName name="Freespace3" localSheetId="7">#REF!</definedName>
    <definedName name="Freespace3" localSheetId="3">#REF!</definedName>
    <definedName name="Freespace3">#REF!</definedName>
    <definedName name="G_ACT_DATA" localSheetId="7">[3]ﾃﾞｰﾀﾍﾞｰｽ変更点!#REF!</definedName>
    <definedName name="G_ACT_DATA" localSheetId="3">[3]ﾃﾞｰﾀﾍﾞｰｽ変更点!#REF!</definedName>
    <definedName name="G_ACT_DATA">[3]ﾃﾞｰﾀﾍﾞｰｽ変更点!#REF!</definedName>
    <definedName name="G_ACTUAL_OPERATION" localSheetId="7">[4]TableDesign!#REF!</definedName>
    <definedName name="G_ACTUAL_OPERATION" localSheetId="3">[4]TableDesign!#REF!</definedName>
    <definedName name="G_ACTUAL_OPERATION">[4]TableDesign!#REF!</definedName>
    <definedName name="G_AREA" localSheetId="7">[3]ﾃﾞｰﾀﾍﾞｰｽ変更点!#REF!</definedName>
    <definedName name="G_AREA" localSheetId="3">[3]ﾃﾞｰﾀﾍﾞｰｽ変更点!#REF!</definedName>
    <definedName name="G_AREA">[3]ﾃﾞｰﾀﾍﾞｰｽ変更点!#REF!</definedName>
    <definedName name="G_AREA_DEFINE" localSheetId="7">[3]ﾃﾞｰﾀﾍﾞｰｽ変更点!#REF!</definedName>
    <definedName name="G_AREA_DEFINE" localSheetId="3">[3]ﾃﾞｰﾀﾍﾞｰｽ変更点!#REF!</definedName>
    <definedName name="G_AREA_DEFINE">[3]ﾃﾞｰﾀﾍﾞｰｽ変更点!#REF!</definedName>
    <definedName name="G_AREA_INIT" localSheetId="7">[3]ﾃﾞｰﾀﾍﾞｰｽ変更点!#REF!</definedName>
    <definedName name="G_AREA_INIT" localSheetId="3">[3]ﾃﾞｰﾀﾍﾞｰｽ変更点!#REF!</definedName>
    <definedName name="G_AREA_INIT">[3]ﾃﾞｰﾀﾍﾞｰｽ変更点!#REF!</definedName>
    <definedName name="G_AREA_MASTER" localSheetId="7">[3]ﾃﾞｰﾀﾍﾞｰｽ変更点!#REF!</definedName>
    <definedName name="G_AREA_MASTER" localSheetId="3">[3]ﾃﾞｰﾀﾍﾞｰｽ変更点!#REF!</definedName>
    <definedName name="G_AREA_MASTER">[3]ﾃﾞｰﾀﾍﾞｰｽ変更点!#REF!</definedName>
    <definedName name="G_ASK" localSheetId="7">[3]ﾃﾞｰﾀﾍﾞｰｽ変更点!#REF!</definedName>
    <definedName name="G_ASK" localSheetId="3">[3]ﾃﾞｰﾀﾍﾞｰｽ変更点!#REF!</definedName>
    <definedName name="G_ASK">[3]ﾃﾞｰﾀﾍﾞｰｽ変更点!#REF!</definedName>
    <definedName name="G_ASK_LOG" localSheetId="7">[5]テーブル設計!#REF!</definedName>
    <definedName name="G_ASK_LOG" localSheetId="3">[5]テーブル設計!#REF!</definedName>
    <definedName name="G_ASK_LOG">[5]テーブル設計!#REF!</definedName>
    <definedName name="G_ASK_SYSTEM" localSheetId="7">[3]ﾃﾞｰﾀﾍﾞｰｽ変更点!#REF!</definedName>
    <definedName name="G_ASK_SYSTEM" localSheetId="3">[3]ﾃﾞｰﾀﾍﾞｰｽ変更点!#REF!</definedName>
    <definedName name="G_ASK_SYSTEM">[3]ﾃﾞｰﾀﾍﾞｰｽ変更点!#REF!</definedName>
    <definedName name="G_ATC_ERROR" localSheetId="7">[5]テーブル設計!#REF!</definedName>
    <definedName name="G_ATC_ERROR" localSheetId="3">[5]テーブル設計!#REF!</definedName>
    <definedName name="G_ATC_ERROR">[5]テーブル設計!#REF!</definedName>
    <definedName name="G_AUTHORITY_GROUP" localSheetId="7">[3]ﾃﾞｰﾀﾍﾞｰｽ変更点!#REF!</definedName>
    <definedName name="G_AUTHORITY_GROUP" localSheetId="3">[3]ﾃﾞｰﾀﾍﾞｰｽ変更点!#REF!</definedName>
    <definedName name="G_AUTHORITY_GROUP">[3]ﾃﾞｰﾀﾍﾞｰｽ変更点!#REF!</definedName>
    <definedName name="G_AUTHORITY_GROUP_DATA" localSheetId="7">[3]ﾃﾞｰﾀﾍﾞｰｽ変更点!#REF!</definedName>
    <definedName name="G_AUTHORITY_GROUP_DATA" localSheetId="3">[3]ﾃﾞｰﾀﾍﾞｰｽ変更点!#REF!</definedName>
    <definedName name="G_AUTHORITY_GROUP_DATA">[3]ﾃﾞｰﾀﾍﾞｰｽ変更点!#REF!</definedName>
    <definedName name="G_AUTHORITY_MASTER" localSheetId="7">[5]テーブル設計!#REF!</definedName>
    <definedName name="G_AUTHORITY_MASTER" localSheetId="3">[5]テーブル設計!#REF!</definedName>
    <definedName name="G_AUTHORITY_MASTER">[5]テーブル設計!#REF!</definedName>
    <definedName name="G_BONDED_STORE" localSheetId="7">[5]テーブル設計!#REF!</definedName>
    <definedName name="G_BONDED_STORE" localSheetId="3">[5]テーブル設計!#REF!</definedName>
    <definedName name="G_BONDED_STORE">[5]テーブル設計!#REF!</definedName>
    <definedName name="G_CAR_DATA" localSheetId="7">[3]ﾃﾞｰﾀﾍﾞｰｽ変更点!#REF!</definedName>
    <definedName name="G_CAR_DATA" localSheetId="3">[3]ﾃﾞｰﾀﾍﾞｰｽ変更点!#REF!</definedName>
    <definedName name="G_CAR_DATA">[3]ﾃﾞｰﾀﾍﾞｰｽ変更点!#REF!</definedName>
    <definedName name="G_CAR_MASTER" localSheetId="7">[3]ﾃﾞｰﾀﾍﾞｰｽ変更点!#REF!</definedName>
    <definedName name="G_CAR_MASTER" localSheetId="3">[3]ﾃﾞｰﾀﾍﾞｰｽ変更点!#REF!</definedName>
    <definedName name="G_CAR_MASTER">[3]ﾃﾞｰﾀﾍﾞｰｽ変更点!#REF!</definedName>
    <definedName name="G_CAR_MONTHLY_DATA" localSheetId="7">[3]ﾃﾞｰﾀﾍﾞｰｽ変更点!#REF!</definedName>
    <definedName name="G_CAR_MONTHLY_DATA" localSheetId="3">[3]ﾃﾞｰﾀﾍﾞｰｽ変更点!#REF!</definedName>
    <definedName name="G_CAR_MONTHLY_DATA">[3]ﾃﾞｰﾀﾍﾞｰｽ変更点!#REF!</definedName>
    <definedName name="G_CAR_OWNER_HISTORY" localSheetId="7">[3]ﾃﾞｰﾀﾍﾞｰｽ変更点!#REF!</definedName>
    <definedName name="G_CAR_OWNER_HISTORY" localSheetId="3">[3]ﾃﾞｰﾀﾍﾞｰｽ変更点!#REF!</definedName>
    <definedName name="G_CAR_OWNER_HISTORY">[3]ﾃﾞｰﾀﾍﾞｰｽ変更点!#REF!</definedName>
    <definedName name="G_CAUTION" localSheetId="7">[4]TableDesign!#REF!</definedName>
    <definedName name="G_CAUTION" localSheetId="3">[4]TableDesign!#REF!</definedName>
    <definedName name="G_CAUTION">[4]TableDesign!#REF!</definedName>
    <definedName name="G_CAUTION_DATA" localSheetId="7">[3]ﾃﾞｰﾀﾍﾞｰｽ変更点!#REF!</definedName>
    <definedName name="G_CAUTION_DATA" localSheetId="3">[3]ﾃﾞｰﾀﾍﾞｰｽ変更点!#REF!</definedName>
    <definedName name="G_CAUTION_DATA">[3]ﾃﾞｰﾀﾍﾞｰｽ変更点!#REF!</definedName>
    <definedName name="G_CAUTION_ENABLED" localSheetId="7">[3]ﾃﾞｰﾀﾍﾞｰｽ変更点!#REF!</definedName>
    <definedName name="G_CAUTION_ENABLED" localSheetId="3">[3]ﾃﾞｰﾀﾍﾞｰｽ変更点!#REF!</definedName>
    <definedName name="G_CAUTION_ENABLED">[3]ﾃﾞｰﾀﾍﾞｰｽ変更点!#REF!</definedName>
    <definedName name="G_CAUTION_ICON" localSheetId="7">[3]ﾃﾞｰﾀﾍﾞｰｽ変更点!#REF!</definedName>
    <definedName name="G_CAUTION_ICON" localSheetId="3">[3]ﾃﾞｰﾀﾍﾞｰｽ変更点!#REF!</definedName>
    <definedName name="G_CAUTION_ICON">[3]ﾃﾞｰﾀﾍﾞｰｽ変更点!#REF!</definedName>
    <definedName name="G_CAUTION_INIT" localSheetId="7">[3]ﾃﾞｰﾀﾍﾞｰｽ変更点!#REF!</definedName>
    <definedName name="G_CAUTION_INIT" localSheetId="3">[3]ﾃﾞｰﾀﾍﾞｰｽ変更点!#REF!</definedName>
    <definedName name="G_CAUTION_INIT">[3]ﾃﾞｰﾀﾍﾞｰｽ変更点!#REF!</definedName>
    <definedName name="G_CAUTION_MASTER" localSheetId="7">[3]ﾃﾞｰﾀﾍﾞｰｽ変更点!#REF!</definedName>
    <definedName name="G_CAUTION_MASTER" localSheetId="3">[3]ﾃﾞｰﾀﾍﾞｰｽ変更点!#REF!</definedName>
    <definedName name="G_CAUTION_MASTER">[3]ﾃﾞｰﾀﾍﾞｰｽ変更点!#REF!</definedName>
    <definedName name="G_CLASS1_MASTER" localSheetId="7">[3]ﾃﾞｰﾀﾍﾞｰｽ変更点!#REF!</definedName>
    <definedName name="G_CLASS1_MASTER" localSheetId="3">[3]ﾃﾞｰﾀﾍﾞｰｽ変更点!#REF!</definedName>
    <definedName name="G_CLASS1_MASTER">[3]ﾃﾞｰﾀﾍﾞｰｽ変更点!#REF!</definedName>
    <definedName name="G_CLASS2_MASTER" localSheetId="7">[3]ﾃﾞｰﾀﾍﾞｰｽ変更点!#REF!</definedName>
    <definedName name="G_CLASS2_MASTER" localSheetId="3">[3]ﾃﾞｰﾀﾍﾞｰｽ変更点!#REF!</definedName>
    <definedName name="G_CLASS2_MASTER">[3]ﾃﾞｰﾀﾍﾞｰｽ変更点!#REF!</definedName>
    <definedName name="G_COMM_DATA" localSheetId="7">[3]ﾃﾞｰﾀﾍﾞｰｽ変更点!#REF!</definedName>
    <definedName name="G_COMM_DATA" localSheetId="3">[3]ﾃﾞｰﾀﾍﾞｰｽ変更点!#REF!</definedName>
    <definedName name="G_COMM_DATA">[3]ﾃﾞｰﾀﾍﾞｰｽ変更点!#REF!</definedName>
    <definedName name="G_COMM_STATUS_MASTER" localSheetId="7">[3]ﾃﾞｰﾀﾍﾞｰｽ変更点!#REF!</definedName>
    <definedName name="G_COMM_STATUS_MASTER" localSheetId="3">[3]ﾃﾞｰﾀﾍﾞｰｽ変更点!#REF!</definedName>
    <definedName name="G_COMM_STATUS_MASTER">[3]ﾃﾞｰﾀﾍﾞｰｽ変更点!#REF!</definedName>
    <definedName name="G_CONFIG_DEFINE" localSheetId="7">[3]ﾃﾞｰﾀﾍﾞｰｽ変更点!#REF!</definedName>
    <definedName name="G_CONFIG_DEFINE" localSheetId="3">[3]ﾃﾞｰﾀﾍﾞｰｽ変更点!#REF!</definedName>
    <definedName name="G_CONFIG_DEFINE">[3]ﾃﾞｰﾀﾍﾞｰｽ変更点!#REF!</definedName>
    <definedName name="G_CONFIG_FLAG" localSheetId="7">[5]テーブル設計!#REF!</definedName>
    <definedName name="G_CONFIG_FLAG" localSheetId="3">[5]テーブル設計!#REF!</definedName>
    <definedName name="G_CONFIG_FLAG">[5]テーブル設計!#REF!</definedName>
    <definedName name="G_CONFIG_INIT" localSheetId="7">[3]ﾃﾞｰﾀﾍﾞｰｽ変更点!#REF!</definedName>
    <definedName name="G_CONFIG_INIT" localSheetId="3">[3]ﾃﾞｰﾀﾍﾞｰｽ変更点!#REF!</definedName>
    <definedName name="G_CONFIG_INIT">[3]ﾃﾞｰﾀﾍﾞｰｽ変更点!#REF!</definedName>
    <definedName name="G_CONFIG_PATTERN" localSheetId="7">[3]ﾃﾞｰﾀﾍﾞｰｽ変更点!#REF!</definedName>
    <definedName name="G_CONFIG_PATTERN" localSheetId="3">[3]ﾃﾞｰﾀﾍﾞｰｽ変更点!#REF!</definedName>
    <definedName name="G_CONFIG_PATTERN">[3]ﾃﾞｰﾀﾍﾞｰｽ変更点!#REF!</definedName>
    <definedName name="G_CONFIG_PATTERN_DATA" localSheetId="7">[3]ﾃﾞｰﾀﾍﾞｰｽ変更点!#REF!</definedName>
    <definedName name="G_CONFIG_PATTERN_DATA" localSheetId="3">[3]ﾃﾞｰﾀﾍﾞｰｽ変更点!#REF!</definedName>
    <definedName name="G_CONFIG_PATTERN_DATA">[3]ﾃﾞｰﾀﾍﾞｰｽ変更点!#REF!</definedName>
    <definedName name="G_CONFIG_USER_FLAG" localSheetId="7">[5]テーブル設計!#REF!</definedName>
    <definedName name="G_CONFIG_USER_FLAG" localSheetId="3">[5]テーブル設計!#REF!</definedName>
    <definedName name="G_CONFIG_USER_FLAG">[5]テーブル設計!#REF!</definedName>
    <definedName name="G_CONTRACT" localSheetId="7">[5]テーブル設計!#REF!</definedName>
    <definedName name="G_CONTRACT" localSheetId="3">[5]テーブル設計!#REF!</definedName>
    <definedName name="G_CONTRACT">[5]テーブル設計!#REF!</definedName>
    <definedName name="G_CUSTOMER" localSheetId="7">[3]ﾃﾞｰﾀﾍﾞｰｽ変更点!#REF!</definedName>
    <definedName name="G_CUSTOMER" localSheetId="3">[3]ﾃﾞｰﾀﾍﾞｰｽ変更点!#REF!</definedName>
    <definedName name="G_CUSTOMER">[3]ﾃﾞｰﾀﾍﾞｰｽ変更点!#REF!</definedName>
    <definedName name="G_CUSTOMER_CAR" localSheetId="7">[3]ﾃﾞｰﾀﾍﾞｰｽ変更点!#REF!</definedName>
    <definedName name="G_CUSTOMER_CAR" localSheetId="3">[3]ﾃﾞｰﾀﾍﾞｰｽ変更点!#REF!</definedName>
    <definedName name="G_CUSTOMER_CAR">[3]ﾃﾞｰﾀﾍﾞｰｽ変更点!#REF!</definedName>
    <definedName name="G_CUSTOMER_MASTER" localSheetId="7">[4]TableDesign!#REF!</definedName>
    <definedName name="G_CUSTOMER_MASTER" localSheetId="3">[4]TableDesign!#REF!</definedName>
    <definedName name="G_CUSTOMER_MASTER">[4]TableDesign!#REF!</definedName>
    <definedName name="G_DIVISION_MASTER" localSheetId="7">[3]ﾃﾞｰﾀﾍﾞｰｽ変更点!#REF!</definedName>
    <definedName name="G_DIVISION_MASTER" localSheetId="3">[3]ﾃﾞｰﾀﾍﾞｰｽ変更点!#REF!</definedName>
    <definedName name="G_DIVISION_MASTER">[3]ﾃﾞｰﾀﾍﾞｰｽ変更点!#REF!</definedName>
    <definedName name="G_DOPA" localSheetId="7">[3]ﾃﾞｰﾀﾍﾞｰｽ変更点!#REF!</definedName>
    <definedName name="G_DOPA" localSheetId="3">[3]ﾃﾞｰﾀﾍﾞｰｽ変更点!#REF!</definedName>
    <definedName name="G_DOPA">[3]ﾃﾞｰﾀﾍﾞｰｽ変更点!#REF!</definedName>
    <definedName name="G_DOPA_OWNER_HISTORY" localSheetId="7">[3]ﾃﾞｰﾀﾍﾞｰｽ変更点!#REF!</definedName>
    <definedName name="G_DOPA_OWNER_HISTORY" localSheetId="3">[3]ﾃﾞｰﾀﾍﾞｰｽ変更点!#REF!</definedName>
    <definedName name="G_DOPA_OWNER_HISTORY">[3]ﾃﾞｰﾀﾍﾞｰｽ変更点!#REF!</definedName>
    <definedName name="G_DOPA_SERVER" localSheetId="7">[3]ﾃﾞｰﾀﾍﾞｰｽ変更点!#REF!</definedName>
    <definedName name="G_DOPA_SERVER" localSheetId="3">[3]ﾃﾞｰﾀﾍﾞｰｽ変更点!#REF!</definedName>
    <definedName name="G_DOPA_SERVER">[3]ﾃﾞｰﾀﾍﾞｰｽ変更点!#REF!</definedName>
    <definedName name="G_EQUIPMENT_HISTORY" localSheetId="7">[3]ﾃﾞｰﾀﾍﾞｰｽ変更点!#REF!</definedName>
    <definedName name="G_EQUIPMENT_HISTORY" localSheetId="3">[3]ﾃﾞｰﾀﾍﾞｰｽ変更点!#REF!</definedName>
    <definedName name="G_EQUIPMENT_HISTORY">[3]ﾃﾞｰﾀﾍﾞｰｽ変更点!#REF!</definedName>
    <definedName name="G_ERROR" localSheetId="7">[3]ﾃﾞｰﾀﾍﾞｰｽ変更点!#REF!</definedName>
    <definedName name="G_ERROR" localSheetId="3">[3]ﾃﾞｰﾀﾍﾞｰｽ変更点!#REF!</definedName>
    <definedName name="G_ERROR">[3]ﾃﾞｰﾀﾍﾞｰｽ変更点!#REF!</definedName>
    <definedName name="G_ERROR_ENABLED" localSheetId="7">[3]ﾃﾞｰﾀﾍﾞｰｽ変更点!#REF!</definedName>
    <definedName name="G_ERROR_ENABLED" localSheetId="3">[3]ﾃﾞｰﾀﾍﾞｰｽ変更点!#REF!</definedName>
    <definedName name="G_ERROR_ENABLED">[3]ﾃﾞｰﾀﾍﾞｰｽ変更点!#REF!</definedName>
    <definedName name="G_ERROR_ENABLED_ERROR_ENABLED" localSheetId="7">[3]ﾃﾞｰﾀﾍﾞｰｽ変更点!#REF!</definedName>
    <definedName name="G_ERROR_ENABLED_ERROR_ENABLED" localSheetId="3">[3]ﾃﾞｰﾀﾍﾞｰｽ変更点!#REF!</definedName>
    <definedName name="G_ERROR_ENABLED_ERROR_ENABLED">[3]ﾃﾞｰﾀﾍﾞｰｽ変更点!#REF!</definedName>
    <definedName name="G_ERROR_MASTER" localSheetId="7">[3]ﾃﾞｰﾀﾍﾞｰｽ変更点!#REF!</definedName>
    <definedName name="G_ERROR_MASTER" localSheetId="3">[3]ﾃﾞｰﾀﾍﾞｰｽ変更点!#REF!</definedName>
    <definedName name="G_ERROR_MASTER">[3]ﾃﾞｰﾀﾍﾞｰｽ変更点!#REF!</definedName>
    <definedName name="G_EVENT_CATEGORY" localSheetId="7">[4]TableDesign!#REF!</definedName>
    <definedName name="G_EVENT_CATEGORY" localSheetId="3">[4]TableDesign!#REF!</definedName>
    <definedName name="G_EVENT_CATEGORY">[4]TableDesign!#REF!</definedName>
    <definedName name="G_EVENT_DIVISION" localSheetId="7">[3]ﾃﾞｰﾀﾍﾞｰｽ変更点!#REF!</definedName>
    <definedName name="G_EVENT_DIVISION" localSheetId="3">[3]ﾃﾞｰﾀﾍﾞｰｽ変更点!#REF!</definedName>
    <definedName name="G_EVENT_DIVISION">[3]ﾃﾞｰﾀﾍﾞｰｽ変更点!#REF!</definedName>
    <definedName name="G_EVENT_MASTER" localSheetId="7">[3]ﾃﾞｰﾀﾍﾞｰｽ変更点!#REF!</definedName>
    <definedName name="G_EVENT_MASTER" localSheetId="3">[3]ﾃﾞｰﾀﾍﾞｰｽ変更点!#REF!</definedName>
    <definedName name="G_EVENT_MASTER">[3]ﾃﾞｰﾀﾍﾞｰｽ変更点!#REF!</definedName>
    <definedName name="G_EVENT_NOTICE" localSheetId="7">[3]ﾃﾞｰﾀﾍﾞｰｽ変更点!#REF!</definedName>
    <definedName name="G_EVENT_NOTICE" localSheetId="3">[3]ﾃﾞｰﾀﾍﾞｰｽ変更点!#REF!</definedName>
    <definedName name="G_EVENT_NOTICE">[3]ﾃﾞｰﾀﾍﾞｰｽ変更点!#REF!</definedName>
    <definedName name="G_FUEL_GAUGE" localSheetId="7">[4]TableDesign!#REF!</definedName>
    <definedName name="G_FUEL_GAUGE" localSheetId="3">[4]TableDesign!#REF!</definedName>
    <definedName name="G_FUEL_GAUGE">[4]TableDesign!#REF!</definedName>
    <definedName name="G_GAUGE_FUEL_WTTEMP" localSheetId="7">[3]ﾃﾞｰﾀﾍﾞｰｽ変更点!#REF!</definedName>
    <definedName name="G_GAUGE_FUEL_WTTEMP" localSheetId="3">[3]ﾃﾞｰﾀﾍﾞｰｽ変更点!#REF!</definedName>
    <definedName name="G_GAUGE_FUEL_WTTEMP">[3]ﾃﾞｰﾀﾍﾞｰｽ変更点!#REF!</definedName>
    <definedName name="G_GIS_DEFINE" localSheetId="7">[4]TableDesign!#REF!</definedName>
    <definedName name="G_GIS_DEFINE" localSheetId="3">[4]TableDesign!#REF!</definedName>
    <definedName name="G_GIS_DEFINE">[4]TableDesign!#REF!</definedName>
    <definedName name="G_GPS" localSheetId="7">[3]ﾃﾞｰﾀﾍﾞｰｽ変更点!#REF!</definedName>
    <definedName name="G_GPS" localSheetId="3">[3]ﾃﾞｰﾀﾍﾞｰｽ変更点!#REF!</definedName>
    <definedName name="G_GPS">[3]ﾃﾞｰﾀﾍﾞｰｽ変更点!#REF!</definedName>
    <definedName name="G_GRANT_AUTHORITY" localSheetId="7">[3]ﾃﾞｰﾀﾍﾞｰｽ変更点!#REF!</definedName>
    <definedName name="G_GRANT_AUTHORITY" localSheetId="3">[3]ﾃﾞｰﾀﾍﾞｰｽ変更点!#REF!</definedName>
    <definedName name="G_GRANT_AUTHORITY">[3]ﾃﾞｰﾀﾍﾞｰｽ変更点!#REF!</definedName>
    <definedName name="G_GROUP_MASTER" localSheetId="7">[3]ﾃﾞｰﾀﾍﾞｰｽ変更点!#REF!</definedName>
    <definedName name="G_GROUP_MASTER" localSheetId="3">[3]ﾃﾞｰﾀﾍﾞｰｽ変更点!#REF!</definedName>
    <definedName name="G_GROUP_MASTER">[3]ﾃﾞｰﾀﾍﾞｰｽ変更点!#REF!</definedName>
    <definedName name="G_IGNORE_CAUTION" localSheetId="7">[5]テーブル設計!#REF!</definedName>
    <definedName name="G_IGNORE_CAUTION" localSheetId="3">[5]テーブル設計!#REF!</definedName>
    <definedName name="G_IGNORE_CAUTION">[5]テーブル設計!#REF!</definedName>
    <definedName name="G_IGNORE_ERROR" localSheetId="7">[5]テーブル設計!#REF!</definedName>
    <definedName name="G_IGNORE_ERROR" localSheetId="3">[5]テーブル設計!#REF!</definedName>
    <definedName name="G_IGNORE_ERROR">[5]テーブル設計!#REF!</definedName>
    <definedName name="G_INFORM_MASTER" localSheetId="7">[3]ﾃﾞｰﾀﾍﾞｰｽ変更点!#REF!</definedName>
    <definedName name="G_INFORM_MASTER" localSheetId="3">[3]ﾃﾞｰﾀﾍﾞｰｽ変更点!#REF!</definedName>
    <definedName name="G_INFORM_MASTER">[3]ﾃﾞｰﾀﾍﾞｰｽ変更点!#REF!</definedName>
    <definedName name="G_INFORMATION" localSheetId="7">[3]ﾃﾞｰﾀﾍﾞｰｽ変更点!#REF!</definedName>
    <definedName name="G_INFORMATION" localSheetId="3">[3]ﾃﾞｰﾀﾍﾞｰｽ変更点!#REF!</definedName>
    <definedName name="G_INFORMATION">[3]ﾃﾞｰﾀﾍﾞｰｽ変更点!#REF!</definedName>
    <definedName name="G_INFORMATION_READED" localSheetId="7">[3]ﾃﾞｰﾀﾍﾞｰｽ変更点!#REF!</definedName>
    <definedName name="G_INFORMATION_READED" localSheetId="3">[3]ﾃﾞｰﾀﾍﾞｰｽ変更点!#REF!</definedName>
    <definedName name="G_INFORMATION_READED">[3]ﾃﾞｰﾀﾍﾞｰｽ変更点!#REF!</definedName>
    <definedName name="G_INVALID_PART_TERMINAL" localSheetId="7">[5]テーブル設計!#REF!</definedName>
    <definedName name="G_INVALID_PART_TERMINAL" localSheetId="3">[5]テーブル設計!#REF!</definedName>
    <definedName name="G_INVALID_PART_TERMINAL">[5]テーブル設計!#REF!</definedName>
    <definedName name="G_KIND_MASTER" localSheetId="7">[3]ﾃﾞｰﾀﾍﾞｰｽ変更点!#REF!</definedName>
    <definedName name="G_KIND_MASTER" localSheetId="3">[3]ﾃﾞｰﾀﾍﾞｰｽ変更点!#REF!</definedName>
    <definedName name="G_KIND_MASTER">[3]ﾃﾞｰﾀﾍﾞｰｽ変更点!#REF!</definedName>
    <definedName name="G_KRO_APPLICATION" localSheetId="7">[3]ﾃﾞｰﾀﾍﾞｰｽ変更点!#REF!</definedName>
    <definedName name="G_KRO_APPLICATION" localSheetId="3">[3]ﾃﾞｰﾀﾍﾞｰｽ変更点!#REF!</definedName>
    <definedName name="G_KRO_APPLICATION">[3]ﾃﾞｰﾀﾍﾞｰｽ変更点!#REF!</definedName>
    <definedName name="G_KRO_APPLICATION_DATA" localSheetId="7">[3]ﾃﾞｰﾀﾍﾞｰｽ変更点!#REF!</definedName>
    <definedName name="G_KRO_APPLICATION_DATA" localSheetId="3">[3]ﾃﾞｰﾀﾍﾞｰｽ変更点!#REF!</definedName>
    <definedName name="G_KRO_APPLICATION_DATA">[3]ﾃﾞｰﾀﾍﾞｰｽ変更点!#REF!</definedName>
    <definedName name="G_KRO_COMPLETION" localSheetId="7">[3]ﾃﾞｰﾀﾍﾞｰｽ変更点!#REF!</definedName>
    <definedName name="G_KRO_COMPLETION" localSheetId="3">[3]ﾃﾞｰﾀﾍﾞｰｽ変更点!#REF!</definedName>
    <definedName name="G_KRO_COMPLETION">[3]ﾃﾞｰﾀﾍﾞｰｽ変更点!#REF!</definedName>
    <definedName name="G_KRO_COMPLETION_DATA" localSheetId="7">[3]ﾃﾞｰﾀﾍﾞｰｽ変更点!#REF!</definedName>
    <definedName name="G_KRO_COMPLETION_DATA" localSheetId="3">[3]ﾃﾞｰﾀﾍﾞｰｽ変更点!#REF!</definedName>
    <definedName name="G_KRO_COMPLETION_DATA">[3]ﾃﾞｰﾀﾍﾞｰｽ変更点!#REF!</definedName>
    <definedName name="G_KRO_EMERGENCY" localSheetId="7">[5]テーブル設計!#REF!</definedName>
    <definedName name="G_KRO_EMERGENCY" localSheetId="3">[5]テーブル設計!#REF!</definedName>
    <definedName name="G_KRO_EMERGENCY">[5]テーブル設計!#REF!</definedName>
    <definedName name="G_KRO_REPORT" localSheetId="7">[3]ﾃﾞｰﾀﾍﾞｰｽ変更点!#REF!</definedName>
    <definedName name="G_KRO_REPORT" localSheetId="3">[3]ﾃﾞｰﾀﾍﾞｰｽ変更点!#REF!</definedName>
    <definedName name="G_KRO_REPORT">[3]ﾃﾞｰﾀﾍﾞｰｽ変更点!#REF!</definedName>
    <definedName name="G_LANDMARK" localSheetId="7">[3]ﾃﾞｰﾀﾍﾞｰｽ変更点!#REF!</definedName>
    <definedName name="G_LANDMARK" localSheetId="3">[3]ﾃﾞｰﾀﾍﾞｰｽ変更点!#REF!</definedName>
    <definedName name="G_LANDMARK">[3]ﾃﾞｰﾀﾍﾞｰｽ変更点!#REF!</definedName>
    <definedName name="G_LANDMARK_CLASS" localSheetId="7">[3]ﾃﾞｰﾀﾍﾞｰｽ変更点!#REF!</definedName>
    <definedName name="G_LANDMARK_CLASS" localSheetId="3">[3]ﾃﾞｰﾀﾍﾞｰｽ変更点!#REF!</definedName>
    <definedName name="G_LANDMARK_CLASS">[3]ﾃﾞｰﾀﾍﾞｰｽ変更点!#REF!</definedName>
    <definedName name="G_LOGON_HISTORY" localSheetId="7">[3]ﾃﾞｰﾀﾍﾞｰｽ変更点!#REF!</definedName>
    <definedName name="G_LOGON_HISTORY" localSheetId="3">[3]ﾃﾞｰﾀﾍﾞｰｽ変更点!#REF!</definedName>
    <definedName name="G_LOGON_HISTORY">[3]ﾃﾞｰﾀﾍﾞｰｽ変更点!#REF!</definedName>
    <definedName name="G_MACHINE_ERROR" localSheetId="7">[4]TableDesign!#REF!</definedName>
    <definedName name="G_MACHINE_ERROR" localSheetId="3">[4]TableDesign!#REF!</definedName>
    <definedName name="G_MACHINE_ERROR">[4]TableDesign!#REF!</definedName>
    <definedName name="G_MACHINE_STATUS_MASTER" localSheetId="7">[3]ﾃﾞｰﾀﾍﾞｰｽ変更点!#REF!</definedName>
    <definedName name="G_MACHINE_STATUS_MASTER" localSheetId="3">[3]ﾃﾞｰﾀﾍﾞｰｽ変更点!#REF!</definedName>
    <definedName name="G_MACHINE_STATUS_MASTER">[3]ﾃﾞｰﾀﾍﾞｰｽ変更点!#REF!</definedName>
    <definedName name="G_MAINTENANCE_DATA" localSheetId="7">[3]ﾃﾞｰﾀﾍﾞｰｽ変更点!#REF!</definedName>
    <definedName name="G_MAINTENANCE_DATA" localSheetId="3">[3]ﾃﾞｰﾀﾍﾞｰｽ変更点!#REF!</definedName>
    <definedName name="G_MAINTENANCE_DATA">[3]ﾃﾞｰﾀﾍﾞｰｽ変更点!#REF!</definedName>
    <definedName name="G_MAINTENANCE_INFORM" localSheetId="7">[3]ﾃﾞｰﾀﾍﾞｰｽ変更点!#REF!</definedName>
    <definedName name="G_MAINTENANCE_INFORM" localSheetId="3">[3]ﾃﾞｰﾀﾍﾞｰｽ変更点!#REF!</definedName>
    <definedName name="G_MAINTENANCE_INFORM">[3]ﾃﾞｰﾀﾍﾞｰｽ変更点!#REF!</definedName>
    <definedName name="G_MAINTENANCE_MASTER" localSheetId="7">[3]ﾃﾞｰﾀﾍﾞｰｽ変更点!#REF!</definedName>
    <definedName name="G_MAINTENANCE_MASTER" localSheetId="3">[3]ﾃﾞｰﾀﾍﾞｰｽ変更点!#REF!</definedName>
    <definedName name="G_MAINTENANCE_MASTER">[3]ﾃﾞｰﾀﾍﾞｰｽ変更点!#REF!</definedName>
    <definedName name="G_MAINTENANCE_TIME" localSheetId="7">[4]TableDesign!#REF!</definedName>
    <definedName name="G_MAINTENANCE_TIME" localSheetId="3">[4]TableDesign!#REF!</definedName>
    <definedName name="G_MAINTENANCE_TIME">[4]TableDesign!#REF!</definedName>
    <definedName name="G_MAKER_MASTER" localSheetId="7">[3]ﾃﾞｰﾀﾍﾞｰｽ変更点!#REF!</definedName>
    <definedName name="G_MAKER_MASTER" localSheetId="3">[3]ﾃﾞｰﾀﾍﾞｰｽ変更点!#REF!</definedName>
    <definedName name="G_MAKER_MASTER">[3]ﾃﾞｰﾀﾍﾞｰｽ変更点!#REF!</definedName>
    <definedName name="G_MARK_MACHINE" localSheetId="7">[4]TableDesign!#REF!</definedName>
    <definedName name="G_MARK_MACHINE" localSheetId="3">[4]TableDesign!#REF!</definedName>
    <definedName name="G_MARK_MACHINE">[4]TableDesign!#REF!</definedName>
    <definedName name="G_MARK_NOTIFICATION" localSheetId="7">[4]TableDesign!#REF!</definedName>
    <definedName name="G_MARK_NOTIFICATION" localSheetId="3">[4]TableDesign!#REF!</definedName>
    <definedName name="G_MARK_NOTIFICATION">[4]TableDesign!#REF!</definedName>
    <definedName name="G_MARK_NOTIFICATION_DETAIL" localSheetId="7">[4]TableDesign!#REF!</definedName>
    <definedName name="G_MARK_NOTIFICATION_DETAIL" localSheetId="3">[4]TableDesign!#REF!</definedName>
    <definedName name="G_MARK_NOTIFICATION_DETAIL">[4]TableDesign!#REF!</definedName>
    <definedName name="G_MEMO" localSheetId="7">[3]ﾃﾞｰﾀﾍﾞｰｽ変更点!#REF!</definedName>
    <definedName name="G_MEMO" localSheetId="3">[3]ﾃﾞｰﾀﾍﾞｰｽ変更点!#REF!</definedName>
    <definedName name="G_MEMO">[3]ﾃﾞｰﾀﾍﾞｰｽ変更点!#REF!</definedName>
    <definedName name="G_MEMORY_MODIFY" localSheetId="7">[3]ﾃﾞｰﾀﾍﾞｰｽ変更点!#REF!</definedName>
    <definedName name="G_MEMORY_MODIFY" localSheetId="3">[3]ﾃﾞｰﾀﾍﾞｰｽ変更点!#REF!</definedName>
    <definedName name="G_MEMORY_MODIFY">[3]ﾃﾞｰﾀﾍﾞｰｽ変更点!#REF!</definedName>
    <definedName name="G_MEMORY_MODIFY_DATA" localSheetId="7">[3]ﾃﾞｰﾀﾍﾞｰｽ変更点!#REF!</definedName>
    <definedName name="G_MEMORY_MODIFY_DATA" localSheetId="3">[3]ﾃﾞｰﾀﾍﾞｰｽ変更点!#REF!</definedName>
    <definedName name="G_MEMORY_MODIFY_DATA">[3]ﾃﾞｰﾀﾍﾞｰｽ変更点!#REF!</definedName>
    <definedName name="G_MESSAGE" localSheetId="7">[3]ﾃﾞｰﾀﾍﾞｰｽ変更点!#REF!</definedName>
    <definedName name="G_MESSAGE" localSheetId="3">[3]ﾃﾞｰﾀﾍﾞｰｽ変更点!#REF!</definedName>
    <definedName name="G_MESSAGE">[3]ﾃﾞｰﾀﾍﾞｰｽ変更点!#REF!</definedName>
    <definedName name="G_MESSAGE_MASTER" localSheetId="7">[3]ﾃﾞｰﾀﾍﾞｰｽ変更点!#REF!</definedName>
    <definedName name="G_MESSAGE_MASTER" localSheetId="3">[3]ﾃﾞｰﾀﾍﾞｰｽ変更点!#REF!</definedName>
    <definedName name="G_MESSAGE_MASTER">[3]ﾃﾞｰﾀﾍﾞｰｽ変更点!#REF!</definedName>
    <definedName name="G_MONTHLY_ATT_SMR" localSheetId="7">[4]TableDesign!#REF!</definedName>
    <definedName name="G_MONTHLY_ATT_SMR" localSheetId="3">[4]TableDesign!#REF!</definedName>
    <definedName name="G_MONTHLY_ATT_SMR">[4]TableDesign!#REF!</definedName>
    <definedName name="G_MONTHLY_ERROR" localSheetId="7">[4]TableDesign!#REF!</definedName>
    <definedName name="G_MONTHLY_ERROR" localSheetId="3">[4]TableDesign!#REF!</definedName>
    <definedName name="G_MONTHLY_ERROR">[4]TableDesign!#REF!</definedName>
    <definedName name="G_MONTHLY_LOAD" localSheetId="7">[4]TableDesign!#REF!</definedName>
    <definedName name="G_MONTHLY_LOAD" localSheetId="3">[4]TableDesign!#REF!</definedName>
    <definedName name="G_MONTHLY_LOAD">[4]TableDesign!#REF!</definedName>
    <definedName name="G_MONTHLY_MOVEMENT" localSheetId="7">[4]TableDesign!#REF!</definedName>
    <definedName name="G_MONTHLY_MOVEMENT" localSheetId="3">[4]TableDesign!#REF!</definedName>
    <definedName name="G_MONTHLY_MOVEMENT">[4]TableDesign!#REF!</definedName>
    <definedName name="G_MONTHLY_OPERATION" localSheetId="7">[4]TableDesign!#REF!</definedName>
    <definedName name="G_MONTHLY_OPERATION" localSheetId="3">[4]TableDesign!#REF!</definedName>
    <definedName name="G_MONTHLY_OPERATION">[4]TableDesign!#REF!</definedName>
    <definedName name="G_MONTHLY_SMR" localSheetId="7">[4]TableDesign!#REF!</definedName>
    <definedName name="G_MONTHLY_SMR" localSheetId="3">[4]TableDesign!#REF!</definedName>
    <definedName name="G_MONTHLY_SMR">[4]TableDesign!#REF!</definedName>
    <definedName name="G_MONTHLY_WORKING_SMR" localSheetId="7">[4]TableDesign!#REF!</definedName>
    <definedName name="G_MONTHLY_WORKING_SMR" localSheetId="3">[4]TableDesign!#REF!</definedName>
    <definedName name="G_MONTHLY_WORKING_SMR">[4]TableDesign!#REF!</definedName>
    <definedName name="G_MONTLY_LOAD" localSheetId="7">[4]TableDesign!#REF!</definedName>
    <definedName name="G_MONTLY_LOAD" localSheetId="3">[4]TableDesign!#REF!</definedName>
    <definedName name="G_MONTLY_LOAD">[4]TableDesign!#REF!</definedName>
    <definedName name="G_MULTI_OPE" localSheetId="7">[3]ﾃﾞｰﾀﾍﾞｰｽ変更点!#REF!</definedName>
    <definedName name="G_MULTI_OPE" localSheetId="3">[3]ﾃﾞｰﾀﾍﾞｰｽ変更点!#REF!</definedName>
    <definedName name="G_MULTI_OPE">[3]ﾃﾞｰﾀﾍﾞｰｽ変更点!#REF!</definedName>
    <definedName name="G_MULTI_OPE_DATA" localSheetId="7">[5]テーブル設計!#REF!</definedName>
    <definedName name="G_MULTI_OPE_DATA" localSheetId="3">[5]テーブル設計!#REF!</definedName>
    <definedName name="G_MULTI_OPE_DATA">[5]テーブル設計!#REF!</definedName>
    <definedName name="G_NLS_DB_RESOURCE" localSheetId="7">[4]TableDesign!#REF!</definedName>
    <definedName name="G_NLS_DB_RESOURCE" localSheetId="3">[4]TableDesign!#REF!</definedName>
    <definedName name="G_NLS_DB_RESOURCE">[4]TableDesign!#REF!</definedName>
    <definedName name="G_NLS_LANG" localSheetId="7">[4]TableDesign!#REF!</definedName>
    <definedName name="G_NLS_LANG" localSheetId="3">[4]TableDesign!#REF!</definedName>
    <definedName name="G_NLS_LANG">[4]TableDesign!#REF!</definedName>
    <definedName name="G_NLS_RESOURCE" localSheetId="7">[4]TableDesign!#REF!</definedName>
    <definedName name="G_NLS_RESOURCE" localSheetId="3">[4]TableDesign!#REF!</definedName>
    <definedName name="G_NLS_RESOURCE">[4]TableDesign!#REF!</definedName>
    <definedName name="G_NOT_ACTIVE" localSheetId="7">[3]ﾃﾞｰﾀﾍﾞｰｽ変更点!#REF!</definedName>
    <definedName name="G_NOT_ACTIVE" localSheetId="3">[3]ﾃﾞｰﾀﾍﾞｰｽ変更点!#REF!</definedName>
    <definedName name="G_NOT_ACTIVE">[3]ﾃﾞｰﾀﾍﾞｰｽ変更点!#REF!</definedName>
    <definedName name="G_OPERATION_CATEGORY" localSheetId="7">[4]TableDesign!#REF!</definedName>
    <definedName name="G_OPERATION_CATEGORY" localSheetId="3">[4]TableDesign!#REF!</definedName>
    <definedName name="G_OPERATION_CATEGORY">[4]TableDesign!#REF!</definedName>
    <definedName name="G_OPERATION_CLASS" localSheetId="7">[5]テーブル設計!#REF!</definedName>
    <definedName name="G_OPERATION_CLASS" localSheetId="3">[5]テーブル設計!#REF!</definedName>
    <definedName name="G_OPERATION_CLASS">[5]テーブル設計!#REF!</definedName>
    <definedName name="G_OPERATION_LOG" localSheetId="7">[3]ﾃﾞｰﾀﾍﾞｰｽ変更点!#REF!</definedName>
    <definedName name="G_OPERATION_LOG" localSheetId="3">[3]ﾃﾞｰﾀﾍﾞｰｽ変更点!#REF!</definedName>
    <definedName name="G_OPERATION_LOG">[3]ﾃﾞｰﾀﾍﾞｰｽ変更点!#REF!</definedName>
    <definedName name="G_OPERATION_LOG2" localSheetId="7">[5]テーブル設計!#REF!</definedName>
    <definedName name="G_OPERATION_LOG2" localSheetId="3">[5]テーブル設計!#REF!</definedName>
    <definedName name="G_OPERATION_LOG2">[5]テーブル設計!#REF!</definedName>
    <definedName name="G_OPERATION_MAP" localSheetId="7">[4]TableDesign!#REF!</definedName>
    <definedName name="G_OPERATION_MAP" localSheetId="3">[4]TableDesign!#REF!</definedName>
    <definedName name="G_OPERATION_MAP">[4]TableDesign!#REF!</definedName>
    <definedName name="G_OPERATION_MASTER" localSheetId="7">[5]テーブル設計!#REF!</definedName>
    <definedName name="G_OPERATION_MASTER" localSheetId="3">[5]テーブル設計!#REF!</definedName>
    <definedName name="G_OPERATION_MASTER">[5]テーブル設計!#REF!</definedName>
    <definedName name="G_ORBCOMM" localSheetId="7">[3]ﾃﾞｰﾀﾍﾞｰｽ変更点!#REF!</definedName>
    <definedName name="G_ORBCOMM" localSheetId="3">[3]ﾃﾞｰﾀﾍﾞｰｽ変更点!#REF!</definedName>
    <definedName name="G_ORBCOMM">[3]ﾃﾞｰﾀﾍﾞｰｽ変更点!#REF!</definedName>
    <definedName name="G_ORBCOMM_OWNER_HISTORY" localSheetId="7">[3]ﾃﾞｰﾀﾍﾞｰｽ変更点!#REF!</definedName>
    <definedName name="G_ORBCOMM_OWNER_HISTORY" localSheetId="3">[3]ﾃﾞｰﾀﾍﾞｰｽ変更点!#REF!</definedName>
    <definedName name="G_ORBCOMM_OWNER_HISTORY">[3]ﾃﾞｰﾀﾍﾞｰｽ変更点!#REF!</definedName>
    <definedName name="G_PLANT_CAR" localSheetId="7">[5]テーブル設計!#REF!</definedName>
    <definedName name="G_PLANT_CAR" localSheetId="3">[5]テーブル設計!#REF!</definedName>
    <definedName name="G_PLANT_CAR">[5]テーブル設計!#REF!</definedName>
    <definedName name="G_PLANT_ERROR" localSheetId="7">[5]テーブル設計!#REF!</definedName>
    <definedName name="G_PLANT_ERROR" localSheetId="3">[5]テーブル設計!#REF!</definedName>
    <definedName name="G_PLANT_ERROR">[5]テーブル設計!#REF!</definedName>
    <definedName name="G_PLANT_GPS" localSheetId="7">[5]テーブル設計!#REF!</definedName>
    <definedName name="G_PLANT_GPS" localSheetId="3">[5]テーブル設計!#REF!</definedName>
    <definedName name="G_PLANT_GPS">[5]テーブル設計!#REF!</definedName>
    <definedName name="G_PREVENT_THEFT_KEY" localSheetId="7">[3]ﾃﾞｰﾀﾍﾞｰｽ変更点!#REF!</definedName>
    <definedName name="G_PREVENT_THEFT_KEY" localSheetId="3">[3]ﾃﾞｰﾀﾍﾞｰｽ変更点!#REF!</definedName>
    <definedName name="G_PREVENT_THEFT_KEY">[3]ﾃﾞｰﾀﾍﾞｰｽ変更点!#REF!</definedName>
    <definedName name="G_PRIVATE_TARGET_CAR" localSheetId="7">[3]ﾃﾞｰﾀﾍﾞｰｽ変更点!#REF!</definedName>
    <definedName name="G_PRIVATE_TARGET_CAR" localSheetId="3">[3]ﾃﾞｰﾀﾍﾞｰｽ変更点!#REF!</definedName>
    <definedName name="G_PRIVATE_TARGET_CAR">[3]ﾃﾞｰﾀﾍﾞｰｽ変更点!#REF!</definedName>
    <definedName name="G_RECEIVE_LIST" localSheetId="7">[5]テーブル設計!#REF!</definedName>
    <definedName name="G_RECEIVE_LIST" localSheetId="3">[5]テーブル設計!#REF!</definedName>
    <definedName name="G_RECEIVE_LIST">[5]テーブル設計!#REF!</definedName>
    <definedName name="G_RECEIVE_LOG" localSheetId="7">[3]ﾃﾞｰﾀﾍﾞｰｽ変更点!#REF!</definedName>
    <definedName name="G_RECEIVE_LOG" localSheetId="3">[3]ﾃﾞｰﾀﾍﾞｰｽ変更点!#REF!</definedName>
    <definedName name="G_RECEIVE_LOG">[3]ﾃﾞｰﾀﾍﾞｰｽ変更点!#REF!</definedName>
    <definedName name="G_REGION_DATA" localSheetId="7">[4]TableDesign!#REF!</definedName>
    <definedName name="G_REGION_DATA" localSheetId="3">[4]TableDesign!#REF!</definedName>
    <definedName name="G_REGION_DATA">[4]TableDesign!#REF!</definedName>
    <definedName name="G_REGION_MASTER" localSheetId="7">[4]TableDesign!#REF!</definedName>
    <definedName name="G_REGION_MASTER" localSheetId="3">[4]TableDesign!#REF!</definedName>
    <definedName name="G_REGION_MASTER">[4]TableDesign!#REF!</definedName>
    <definedName name="G_RENTAL_TERMINAL" localSheetId="7">[5]テーブル設計!#REF!</definedName>
    <definedName name="G_RENTAL_TERMINAL" localSheetId="3">[5]テーブル設計!#REF!</definedName>
    <definedName name="G_RENTAL_TERMINAL">[5]テーブル設計!#REF!</definedName>
    <definedName name="G_REQUEST" localSheetId="7">[3]ﾃﾞｰﾀﾍﾞｰｽ変更点!#REF!</definedName>
    <definedName name="G_REQUEST" localSheetId="3">[3]ﾃﾞｰﾀﾍﾞｰｽ変更点!#REF!</definedName>
    <definedName name="G_REQUEST">[3]ﾃﾞｰﾀﾍﾞｰｽ変更点!#REF!</definedName>
    <definedName name="G_REQUEST_COUNT" localSheetId="7">[3]ﾃﾞｰﾀﾍﾞｰｽ変更点!#REF!</definedName>
    <definedName name="G_REQUEST_COUNT" localSheetId="3">[3]ﾃﾞｰﾀﾍﾞｰｽ変更点!#REF!</definedName>
    <definedName name="G_REQUEST_COUNT">[3]ﾃﾞｰﾀﾍﾞｰｽ変更点!#REF!</definedName>
    <definedName name="G_REQUEST_LOG" localSheetId="7">[3]ﾃﾞｰﾀﾍﾞｰｽ変更点!#REF!</definedName>
    <definedName name="G_REQUEST_LOG" localSheetId="3">[3]ﾃﾞｰﾀﾍﾞｰｽ変更点!#REF!</definedName>
    <definedName name="G_REQUEST_LOG">[3]ﾃﾞｰﾀﾍﾞｰｽ変更点!#REF!</definedName>
    <definedName name="G_RIVATE_TARGET_CAR" localSheetId="7">[4]TableDesign!#REF!</definedName>
    <definedName name="G_RIVATE_TARGET_CAR" localSheetId="3">[4]TableDesign!#REF!</definedName>
    <definedName name="G_RIVATE_TARGET_CAR">[4]TableDesign!#REF!</definedName>
    <definedName name="G_RUNNING_LOG" localSheetId="7">[3]ﾃﾞｰﾀﾍﾞｰｽ変更点!#REF!</definedName>
    <definedName name="G_RUNNING_LOG" localSheetId="3">[3]ﾃﾞｰﾀﾍﾞｰｽ変更点!#REF!</definedName>
    <definedName name="G_RUNNING_LOG">[3]ﾃﾞｰﾀﾍﾞｰｽ変更点!#REF!</definedName>
    <definedName name="G_SAVE_INFORMATION" localSheetId="7">[5]テーブル設計!#REF!</definedName>
    <definedName name="G_SAVE_INFORMATION" localSheetId="3">[5]テーブル設計!#REF!</definedName>
    <definedName name="G_SAVE_INFORMATION">[5]テーブル設計!#REF!</definedName>
    <definedName name="G_SELFCARINSPECTION" localSheetId="7">[3]ﾃﾞｰﾀﾍﾞｰｽ変更点!#REF!</definedName>
    <definedName name="G_SELFCARINSPECTION" localSheetId="3">[3]ﾃﾞｰﾀﾍﾞｰｽ変更点!#REF!</definedName>
    <definedName name="G_SELFCARINSPECTION">[3]ﾃﾞｰﾀﾍﾞｰｽ変更点!#REF!</definedName>
    <definedName name="G_SEND_LIST" localSheetId="7">[5]テーブル設計!#REF!</definedName>
    <definedName name="G_SEND_LIST" localSheetId="3">[5]テーブル設計!#REF!</definedName>
    <definedName name="G_SEND_LIST">[5]テーブル設計!#REF!</definedName>
    <definedName name="G_SEND_LOG" localSheetId="7">[5]テーブル設計!#REF!</definedName>
    <definedName name="G_SEND_LOG" localSheetId="3">[5]テーブル設計!#REF!</definedName>
    <definedName name="G_SEND_LOG">[5]テーブル設計!#REF!</definedName>
    <definedName name="G_SERVER_COMMUNICATION" localSheetId="7">[4]TableDesign!#REF!</definedName>
    <definedName name="G_SERVER_COMMUNICATION" localSheetId="3">[4]TableDesign!#REF!</definedName>
    <definedName name="G_SERVER_COMMUNICATION">[4]TableDesign!#REF!</definedName>
    <definedName name="G_SERVER_INFORMATION" localSheetId="7">[3]ﾃﾞｰﾀﾍﾞｰｽ変更点!#REF!</definedName>
    <definedName name="G_SERVER_INFORMATION" localSheetId="3">[3]ﾃﾞｰﾀﾍﾞｰｽ変更点!#REF!</definedName>
    <definedName name="G_SERVER_INFORMATION">[3]ﾃﾞｰﾀﾍﾞｰｽ変更点!#REF!</definedName>
    <definedName name="G_SERVICE_METER" localSheetId="7">[3]ﾃﾞｰﾀﾍﾞｰｽ変更点!#REF!</definedName>
    <definedName name="G_SERVICE_METER" localSheetId="3">[3]ﾃﾞｰﾀﾍﾞｰｽ変更点!#REF!</definedName>
    <definedName name="G_SERVICE_METER">[3]ﾃﾞｰﾀﾍﾞｰｽ変更点!#REF!</definedName>
    <definedName name="G_SERVICE_METER2" localSheetId="7">[5]テーブル設計!#REF!</definedName>
    <definedName name="G_SERVICE_METER2" localSheetId="3">[5]テーブル設計!#REF!</definedName>
    <definedName name="G_SERVICE_METER2">[5]テーブル設計!#REF!</definedName>
    <definedName name="G_SERVICEMAN" localSheetId="7">[5]テーブル設計!#REF!</definedName>
    <definedName name="G_SERVICEMAN" localSheetId="3">[5]テーブル設計!#REF!</definedName>
    <definedName name="G_SERVICEMAN">[5]テーブル設計!#REF!</definedName>
    <definedName name="G_SERVICEMAN_CHARGE" localSheetId="7">[5]テーブル設計!#REF!</definedName>
    <definedName name="G_SERVICEMAN_CHARGE" localSheetId="3">[5]テーブル設計!#REF!</definedName>
    <definedName name="G_SERVICEMAN_CHARGE">[5]テーブル設計!#REF!</definedName>
    <definedName name="G_SHIPMENT" localSheetId="7">[3]ﾃﾞｰﾀﾍﾞｰｽ変更点!#REF!</definedName>
    <definedName name="G_SHIPMENT" localSheetId="3">[3]ﾃﾞｰﾀﾍﾞｰｽ変更点!#REF!</definedName>
    <definedName name="G_SHIPMENT">[3]ﾃﾞｰﾀﾍﾞｰｽ変更点!#REF!</definedName>
    <definedName name="G_SHOW" localSheetId="7">[3]ﾃﾞｰﾀﾍﾞｰｽ変更点!#REF!</definedName>
    <definedName name="G_SHOW" localSheetId="3">[3]ﾃﾞｰﾀﾍﾞｰｽ変更点!#REF!</definedName>
    <definedName name="G_SHOW">[3]ﾃﾞｰﾀﾍﾞｰｽ変更点!#REF!</definedName>
    <definedName name="G_SHOW_GROUP" localSheetId="7">[3]ﾃﾞｰﾀﾍﾞｰｽ変更点!#REF!</definedName>
    <definedName name="G_SHOW_GROUP" localSheetId="3">[3]ﾃﾞｰﾀﾍﾞｰｽ変更点!#REF!</definedName>
    <definedName name="G_SHOW_GROUP">[3]ﾃﾞｰﾀﾍﾞｰｽ変更点!#REF!</definedName>
    <definedName name="G_SPECIAL_AREA" localSheetId="7">[3]ﾃﾞｰﾀﾍﾞｰｽ変更点!#REF!</definedName>
    <definedName name="G_SPECIAL_AREA" localSheetId="3">[3]ﾃﾞｰﾀﾍﾞｰｽ変更点!#REF!</definedName>
    <definedName name="G_SPECIAL_AREA">[3]ﾃﾞｰﾀﾍﾞｰｽ変更点!#REF!</definedName>
    <definedName name="G_SUB_GROUP" localSheetId="7">[4]TableDesign!#REF!</definedName>
    <definedName name="G_SUB_GROUP" localSheetId="3">[4]TableDesign!#REF!</definedName>
    <definedName name="G_SUB_GROUP">[4]TableDesign!#REF!</definedName>
    <definedName name="G_SUB_GROUP_CAR" localSheetId="7">[4]TableDesign!#REF!</definedName>
    <definedName name="G_SUB_GROUP_CAR" localSheetId="3">[4]TableDesign!#REF!</definedName>
    <definedName name="G_SUB_GROUP_CAR">[4]TableDesign!#REF!</definedName>
    <definedName name="G_SYSTEM_COMMTERM_INFO" localSheetId="7">[3]ﾃﾞｰﾀﾍﾞｰｽ変更点!#REF!</definedName>
    <definedName name="G_SYSTEM_COMMTERM_INFO" localSheetId="3">[3]ﾃﾞｰﾀﾍﾞｰｽ変更点!#REF!</definedName>
    <definedName name="G_SYSTEM_COMMTERM_INFO">[3]ﾃﾞｰﾀﾍﾞｰｽ変更点!#REF!</definedName>
    <definedName name="G_SYSTEM_LOG" localSheetId="7">[3]ﾃﾞｰﾀﾍﾞｰｽ変更点!#REF!</definedName>
    <definedName name="G_SYSTEM_LOG" localSheetId="3">[3]ﾃﾞｰﾀﾍﾞｰｽ変更点!#REF!</definedName>
    <definedName name="G_SYSTEM_LOG">[3]ﾃﾞｰﾀﾍﾞｰｽ変更点!#REF!</definedName>
    <definedName name="G_SYSTEM_NOTICE" localSheetId="7">[3]ﾃﾞｰﾀﾍﾞｰｽ変更点!#REF!</definedName>
    <definedName name="G_SYSTEM_NOTICE" localSheetId="3">[3]ﾃﾞｰﾀﾍﾞｰｽ変更点!#REF!</definedName>
    <definedName name="G_SYSTEM_NOTICE">[3]ﾃﾞｰﾀﾍﾞｰｽ変更点!#REF!</definedName>
    <definedName name="G_TARGET" localSheetId="7">[3]ﾃﾞｰﾀﾍﾞｰｽ変更点!#REF!</definedName>
    <definedName name="G_TARGET" localSheetId="3">[3]ﾃﾞｰﾀﾍﾞｰｽ変更点!#REF!</definedName>
    <definedName name="G_TARGET">[3]ﾃﾞｰﾀﾍﾞｰｽ変更点!#REF!</definedName>
    <definedName name="G_TARGET_CAR" localSheetId="7">[3]ﾃﾞｰﾀﾍﾞｰｽ変更点!#REF!</definedName>
    <definedName name="G_TARGET_CAR" localSheetId="3">[3]ﾃﾞｰﾀﾍﾞｰｽ変更点!#REF!</definedName>
    <definedName name="G_TARGET_CAR">[3]ﾃﾞｰﾀﾍﾞｰｽ変更点!#REF!</definedName>
    <definedName name="G_TERMINAL_AREA" localSheetId="7">[3]ﾃﾞｰﾀﾍﾞｰｽ変更点!#REF!</definedName>
    <definedName name="G_TERMINAL_AREA" localSheetId="3">[3]ﾃﾞｰﾀﾍﾞｰｽ変更点!#REF!</definedName>
    <definedName name="G_TERMINAL_AREA">[3]ﾃﾞｰﾀﾍﾞｰｽ変更点!#REF!</definedName>
    <definedName name="G_TERMINAL_CAUTION" localSheetId="7">[3]ﾃﾞｰﾀﾍﾞｰｽ変更点!#REF!</definedName>
    <definedName name="G_TERMINAL_CAUTION" localSheetId="3">[3]ﾃﾞｰﾀﾍﾞｰｽ変更点!#REF!</definedName>
    <definedName name="G_TERMINAL_CAUTION">[3]ﾃﾞｰﾀﾍﾞｰｽ変更点!#REF!</definedName>
    <definedName name="G_TERMINAL_ERROR" localSheetId="7">[3]ﾃﾞｰﾀﾍﾞｰｽ変更点!#REF!</definedName>
    <definedName name="G_TERMINAL_ERROR" localSheetId="3">[3]ﾃﾞｰﾀﾍﾞｰｽ変更点!#REF!</definedName>
    <definedName name="G_TERMINAL_ERROR">[3]ﾃﾞｰﾀﾍﾞｰｽ変更点!#REF!</definedName>
    <definedName name="G_TERMINAL_KIND" localSheetId="7">[3]ﾃﾞｰﾀﾍﾞｰｽ変更点!#REF!</definedName>
    <definedName name="G_TERMINAL_KIND" localSheetId="3">[3]ﾃﾞｰﾀﾍﾞｰｽ変更点!#REF!</definedName>
    <definedName name="G_TERMINAL_KIND">[3]ﾃﾞｰﾀﾍﾞｰｽ変更点!#REF!</definedName>
    <definedName name="G_TERMINAL_MASTER" localSheetId="7">[3]ﾃﾞｰﾀﾍﾞｰｽ変更点!#REF!</definedName>
    <definedName name="G_TERMINAL_MASTER" localSheetId="3">[3]ﾃﾞｰﾀﾍﾞｰｽ変更点!#REF!</definedName>
    <definedName name="G_TERMINAL_MASTER">[3]ﾃﾞｰﾀﾍﾞｰｽ変更点!#REF!</definedName>
    <definedName name="G_TERMINAL_PART_MASTER" localSheetId="7">[3]ﾃﾞｰﾀﾍﾞｰｽ変更点!#REF!</definedName>
    <definedName name="G_TERMINAL_PART_MASTER" localSheetId="3">[3]ﾃﾞｰﾀﾍﾞｰｽ変更点!#REF!</definedName>
    <definedName name="G_TERMINAL_PART_MASTER">[3]ﾃﾞｰﾀﾍﾞｰｽ変更点!#REF!</definedName>
    <definedName name="G_TYPE_MASTER" localSheetId="7">[3]ﾃﾞｰﾀﾍﾞｰｽ変更点!#REF!</definedName>
    <definedName name="G_TYPE_MASTER" localSheetId="3">[3]ﾃﾞｰﾀﾍﾞｰｽ変更点!#REF!</definedName>
    <definedName name="G_TYPE_MASTER">[3]ﾃﾞｰﾀﾍﾞｰｽ変更点!#REF!</definedName>
    <definedName name="G_UFO" localSheetId="7">[3]ﾃﾞｰﾀﾍﾞｰｽ変更点!#REF!</definedName>
    <definedName name="G_UFO" localSheetId="3">[3]ﾃﾞｰﾀﾍﾞｰｽ変更点!#REF!</definedName>
    <definedName name="G_UFO">[3]ﾃﾞｰﾀﾍﾞｰｽ変更点!#REF!</definedName>
    <definedName name="G_UNRELIABLE_RECEIVE" localSheetId="7">[3]ﾃﾞｰﾀﾍﾞｰｽ変更点!#REF!</definedName>
    <definedName name="G_UNRELIABLE_RECEIVE" localSheetId="3">[3]ﾃﾞｰﾀﾍﾞｰｽ変更点!#REF!</definedName>
    <definedName name="G_UNRELIABLE_RECEIVE">[3]ﾃﾞｰﾀﾍﾞｰｽ変更点!#REF!</definedName>
    <definedName name="G_USER_MASTER" localSheetId="7">[3]ﾃﾞｰﾀﾍﾞｰｽ変更点!#REF!</definedName>
    <definedName name="G_USER_MASTER" localSheetId="3">[3]ﾃﾞｰﾀﾍﾞｰｽ変更点!#REF!</definedName>
    <definedName name="G_USER_MASTER">[3]ﾃﾞｰﾀﾍﾞｰｽ変更点!#REF!</definedName>
    <definedName name="G_USER_TEMP" localSheetId="7">[3]ﾃﾞｰﾀﾍﾞｰｽ変更点!#REF!</definedName>
    <definedName name="G_USER_TEMP" localSheetId="3">[3]ﾃﾞｰﾀﾍﾞｰｽ変更点!#REF!</definedName>
    <definedName name="G_USER_TEMP">[3]ﾃﾞｰﾀﾍﾞｰｽ変更点!#REF!</definedName>
    <definedName name="G_V" localSheetId="7">[4]TableDesign!#REF!</definedName>
    <definedName name="G_V" localSheetId="3">[4]TableDesign!#REF!</definedName>
    <definedName name="G_V">[4]TableDesign!#REF!</definedName>
    <definedName name="G_WATER_TEMP_GAUGE" localSheetId="7">[4]TableDesign!#REF!</definedName>
    <definedName name="G_WATER_TEMP_GAUGE" localSheetId="3">[4]TableDesign!#REF!</definedName>
    <definedName name="G_WATER_TEMP_GAUGE">[4]TableDesign!#REF!</definedName>
    <definedName name="GG" localSheetId="7">'[6]DATA-COMMUNICATION-FORMAT'!#REF!</definedName>
    <definedName name="GG" localSheetId="3">'[6]DATA-COMMUNICATION-FORMAT'!#REF!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7">[3]ﾃﾞｰﾀﾍﾞｰｽ変更点!#REF!</definedName>
    <definedName name="GROUP" localSheetId="3">[3]ﾃﾞｰﾀﾍﾞｰｽ変更点!#REF!</definedName>
    <definedName name="GROUP">[3]ﾃﾞｰﾀﾍﾞｰｽ変更点!#REF!</definedName>
    <definedName name="GROUP_NUM" localSheetId="7">[3]ﾃﾞｰﾀﾍﾞｰｽ変更点!#REF!</definedName>
    <definedName name="GROUP_NUM" localSheetId="3">[3]ﾃﾞｰﾀﾍﾞｰｽ変更点!#REF!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7">'[6]DATA-COMMUNICATION-FORMAT'!#REF!</definedName>
    <definedName name="HH" localSheetId="3">'[6]DATA-COMMUNICATION-FORMAT'!#REF!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7">#REF!</definedName>
    <definedName name="IF概要債権" localSheetId="3">#REF!</definedName>
    <definedName name="IF概要債権">#REF!</definedName>
    <definedName name="II" localSheetId="7">'[6]DATA-COMMUNICATION-FORMAT'!#REF!</definedName>
    <definedName name="II" localSheetId="3">'[6]DATA-COMMUNICATION-FORMAT'!#REF!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7">'[11]御見積り（旧）'!#REF!</definedName>
    <definedName name="KAKAKU_PG" localSheetId="3">'[11]御見積り（旧）'!#REF!</definedName>
    <definedName name="KAKAKU_PG">'[11]御見積り（旧）'!#REF!</definedName>
    <definedName name="KAKAKU_SE" localSheetId="7">'[11]御見積り（旧）'!#REF!</definedName>
    <definedName name="KAKAKU_SE" localSheetId="3">'[11]御見積り（旧）'!#REF!</definedName>
    <definedName name="KAKAKU_SE">'[11]御見積り（旧）'!#REF!</definedName>
    <definedName name="KBA_ID" localSheetId="7">#REF!</definedName>
    <definedName name="KBA_ID" localSheetId="3">#REF!</definedName>
    <definedName name="KBA_ID">#REF!</definedName>
    <definedName name="KK" localSheetId="7">'[6]DATA-COMMUNICATION-FORMAT'!#REF!</definedName>
    <definedName name="KK" localSheetId="3">'[6]DATA-COMMUNICATION-FORMAT'!#REF!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7">[4]TableDesign!#REF!</definedName>
    <definedName name="NLS_LANG" localSheetId="3">[4]TableDesign!#REF!</definedName>
    <definedName name="NLS_LANG">[4]TableDesign!#REF!</definedName>
    <definedName name="NotNull" localSheetId="2">#REF!</definedName>
    <definedName name="NotNull" localSheetId="3">#REF!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7">[3]ﾃﾞｰﾀﾍﾞｰｽ変更点!#REF!</definedName>
    <definedName name="PART" localSheetId="3">[3]ﾃﾞｰﾀﾍﾞｰｽ変更点!#REF!</definedName>
    <definedName name="PART">[3]ﾃﾞｰﾀﾍﾞｰｽ変更点!#REF!</definedName>
    <definedName name="PrimaryKey" localSheetId="2">#REF!</definedName>
    <definedName name="PrimaryKey" localSheetId="3">#REF!</definedName>
    <definedName name="PrimaryKey">#REF!</definedName>
    <definedName name="_xlnm.Print_Area" localSheetId="7">'IT、ST（案）テスト項目'!$A$1:$J$18</definedName>
    <definedName name="_xlnm.Print_Area" localSheetId="2">テスト項目!$A$1:$J$257</definedName>
    <definedName name="_xlnm.Print_Area" localSheetId="3">#REF!</definedName>
    <definedName name="_xlnm.Print_Area" localSheetId="1">#REF!</definedName>
    <definedName name="_xlnm.Print_Area">#REF!</definedName>
    <definedName name="PRINT_AREA_MI" localSheetId="7">#REF!</definedName>
    <definedName name="PRINT_AREA_MI" localSheetId="3">#REF!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 localSheetId="3">#REF!</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7">#REF!</definedName>
    <definedName name="Record" localSheetId="3">#REF!</definedName>
    <definedName name="Record">#REF!</definedName>
    <definedName name="Record2" localSheetId="7">#REF!</definedName>
    <definedName name="Record2" localSheetId="3">#REF!</definedName>
    <definedName name="Record2">#REF!</definedName>
    <definedName name="Record3" localSheetId="7">#REF!</definedName>
    <definedName name="Record3" localSheetId="3">#REF!</definedName>
    <definedName name="Record3">#REF!</definedName>
    <definedName name="Record4" localSheetId="7">#REF!</definedName>
    <definedName name="Record4" localSheetId="3">#REF!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7">[3]ﾃﾞｰﾀﾍﾞｰｽ変更点!#REF!</definedName>
    <definedName name="SERVER_INFORMATION_A" localSheetId="3">[3]ﾃﾞｰﾀﾍﾞｰｽ変更点!#REF!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7">[4]TableDesign!#REF!</definedName>
    <definedName name="SHOW_GROUP" localSheetId="3">[4]TableDesign!#REF!</definedName>
    <definedName name="SHOW_GROUP">[4]TableDesign!#REF!</definedName>
    <definedName name="solver_lin" hidden="1">0</definedName>
    <definedName name="solver_num" hidden="1">0</definedName>
    <definedName name="solver_opt" localSheetId="7" hidden="1">#REF!</definedName>
    <definedName name="solver_opt" localSheetId="2" hidden="1">#REF!</definedName>
    <definedName name="solver_opt" localSheetId="3"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7">'[12]DATA-COMMUNICATION-FORMAT'!#REF!</definedName>
    <definedName name="ＳＳＳＳ" localSheetId="3">'[12]DATA-COMMUNICATION-FORMAT'!#REF!</definedName>
    <definedName name="ＳＳＳＳ">'[12]DATA-COMMUNICATION-FORMAT'!#REF!</definedName>
    <definedName name="SUB_GROUP" localSheetId="7">[4]TableDesign!#REF!</definedName>
    <definedName name="SUB_GROUP" localSheetId="3">[4]TableDesign!#REF!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7">[4]TableDesign!#REF!</definedName>
    <definedName name="TARGET" localSheetId="3">[4]TableDesign!#REF!</definedName>
    <definedName name="TARGET">[4]TableDesign!#REF!</definedName>
    <definedName name="TBLNO" localSheetId="7">#REF!</definedName>
    <definedName name="TBLNO" localSheetId="3">#REF!</definedName>
    <definedName name="TBLNO">#REF!</definedName>
    <definedName name="TMS_CP" localSheetId="7">#REF!</definedName>
    <definedName name="TMS_CP" localSheetId="3">#REF!</definedName>
    <definedName name="TMS_CP">#REF!</definedName>
    <definedName name="Tracksize" localSheetId="7">#REF!</definedName>
    <definedName name="Tracksize" localSheetId="3">#REF!</definedName>
    <definedName name="Tracksize">#REF!</definedName>
    <definedName name="Tracksize2" localSheetId="7">#REF!</definedName>
    <definedName name="Tracksize2" localSheetId="3">#REF!</definedName>
    <definedName name="Tracksize2">#REF!</definedName>
    <definedName name="Tracksize3" localSheetId="7">#REF!</definedName>
    <definedName name="Tracksize3" localSheetId="3">#REF!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7">[3]ﾃﾞｰﾀﾍﾞｰｽ変更点!#REF!</definedName>
    <definedName name="USER" localSheetId="3">[3]ﾃﾞｰﾀﾍﾞｰｽ変更点!#REF!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7"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7">#REF!</definedName>
    <definedName name="あ" localSheetId="3">#REF!</definedName>
    <definedName name="あ">#REF!</definedName>
    <definedName name="ああ" localSheetId="7">'[12]DATA-COMMUNICATION-FORMAT'!#REF!</definedName>
    <definedName name="ああ" localSheetId="3">'[12]DATA-COMMUNICATION-FORMAT'!#REF!</definedName>
    <definedName name="ああ">'[12]DATA-COMMUNICATION-FORMAT'!#REF!</definedName>
    <definedName name="あああ" localSheetId="7">'[12]DATA-COMMUNICATION-FORMAT'!#REF!</definedName>
    <definedName name="あああ" localSheetId="3">'[12]DATA-COMMUNICATION-FORMAT'!#REF!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7">'[12]DATA-COMMUNICATION-FORMAT'!#REF!</definedName>
    <definedName name="あああああ" localSheetId="3">'[12]DATA-COMMUNICATION-FORMAT'!#REF!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7"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 localSheetId="3">#REF!</definedName>
    <definedName name="インデックスNO">#REF!</definedName>
    <definedName name="インデックス項目" localSheetId="2">#REF!</definedName>
    <definedName name="インデックス項目" localSheetId="3">#REF!</definedName>
    <definedName name="インデックス項目">#REF!</definedName>
    <definedName name="インデックス所有者" localSheetId="2">#REF!</definedName>
    <definedName name="インデックス所有者" localSheetId="3">#REF!</definedName>
    <definedName name="インデックス所有者">#REF!</definedName>
    <definedName name="インデックス属性" localSheetId="2">#REF!</definedName>
    <definedName name="インデックス属性" localSheetId="3">#REF!</definedName>
    <definedName name="インデックス属性">#REF!</definedName>
    <definedName name="インデックス表領域" localSheetId="2">#REF!</definedName>
    <definedName name="インデックス表領域" localSheetId="3">#REF!</definedName>
    <definedName name="インデックス表領域">#REF!</definedName>
    <definedName name="インデックス名" localSheetId="2">#REF!</definedName>
    <definedName name="インデックス名" localSheetId="3">#REF!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 localSheetId="3">#REF!</definedName>
    <definedName name="オブジェクトタイプ">#REF!</definedName>
    <definedName name="コンバート" localSheetId="7">'[12]DATA-COMMUNICATION-FORMAT'!#REF!</definedName>
    <definedName name="コンバート" localSheetId="3">'[12]DATA-COMMUNICATION-FORMAT'!#REF!</definedName>
    <definedName name="コンバート">'[12]DATA-COMMUNICATION-FORMAT'!#REF!</definedName>
    <definedName name="ｻｰﾎﾞﾚｽ性能" localSheetId="7" hidden="1">#REF!</definedName>
    <definedName name="ｻｰﾎﾞﾚｽ性能" localSheetId="2" hidden="1">#REF!</definedName>
    <definedName name="ｻｰﾎﾞﾚｽ性能" localSheetId="3"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7">#REF!</definedName>
    <definedName name="システム" localSheetId="3">#REF!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7">#REF!</definedName>
    <definedName name="タイトル" localSheetId="3">#REF!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 localSheetId="3">#REF!</definedName>
    <definedName name="テーブルNO">#REF!</definedName>
    <definedName name="テーブルサイズ1" localSheetId="2">#REF!</definedName>
    <definedName name="テーブルサイズ1" localSheetId="3">#REF!</definedName>
    <definedName name="テーブルサイズ1">#REF!</definedName>
    <definedName name="テーブルサイズ2" localSheetId="2">#REF!</definedName>
    <definedName name="テーブルサイズ2" localSheetId="3">#REF!</definedName>
    <definedName name="テーブルサイズ2">#REF!</definedName>
    <definedName name="テーブル型" localSheetId="2">#REF!</definedName>
    <definedName name="テーブル型" localSheetId="3">#REF!</definedName>
    <definedName name="テーブル型">#REF!</definedName>
    <definedName name="テーブル項目物理名" localSheetId="2">#REF!</definedName>
    <definedName name="テーブル項目物理名" localSheetId="3">#REF!</definedName>
    <definedName name="テーブル項目物理名">#REF!</definedName>
    <definedName name="テーブル項目論理名" localSheetId="2">#REF!</definedName>
    <definedName name="テーブル項目論理名" localSheetId="3">#REF!</definedName>
    <definedName name="テーブル項目論理名">#REF!</definedName>
    <definedName name="テーブル所有者" localSheetId="2">#REF!</definedName>
    <definedName name="テーブル所有者" localSheetId="3">#REF!</definedName>
    <definedName name="テーブル所有者">#REF!</definedName>
    <definedName name="テーブル備考" localSheetId="2">#REF!</definedName>
    <definedName name="テーブル備考" localSheetId="3">#REF!</definedName>
    <definedName name="テーブル備考">#REF!</definedName>
    <definedName name="テーブル表領域" localSheetId="2">#REF!</definedName>
    <definedName name="テーブル表領域" localSheetId="3">#REF!</definedName>
    <definedName name="テーブル表領域">#REF!</definedName>
    <definedName name="テーブル物理名" localSheetId="2">#REF!</definedName>
    <definedName name="テーブル物理名" localSheetId="3">#REF!</definedName>
    <definedName name="テーブル物理名">#REF!</definedName>
    <definedName name="テーブル論理名" localSheetId="2">#REF!</definedName>
    <definedName name="テーブル論理名" localSheetId="3">#REF!</definedName>
    <definedName name="テーブル論理名">#REF!</definedName>
    <definedName name="メモ" localSheetId="7">#REF!</definedName>
    <definedName name="メモ" localSheetId="3">#REF!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7"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7">#REF!</definedName>
    <definedName name="結AF" localSheetId="3">#REF!</definedName>
    <definedName name="結AF">#REF!</definedName>
    <definedName name="結AT" localSheetId="7">#REF!</definedName>
    <definedName name="結AT" localSheetId="3">#REF!</definedName>
    <definedName name="結AT">#REF!</definedName>
    <definedName name="結合子" localSheetId="7">#REF!</definedName>
    <definedName name="結合子" localSheetId="3">#REF!</definedName>
    <definedName name="結合子">#REF!</definedName>
    <definedName name="結合子A201" localSheetId="7">#REF!</definedName>
    <definedName name="結合子A201" localSheetId="3">#REF!</definedName>
    <definedName name="結合子A201">#REF!</definedName>
    <definedName name="結合子B101" localSheetId="7">#REF!</definedName>
    <definedName name="結合子B101" localSheetId="3">#REF!</definedName>
    <definedName name="結合子B101">#REF!</definedName>
    <definedName name="結合子B301" localSheetId="7">#REF!</definedName>
    <definedName name="結合子B301" localSheetId="3">#REF!</definedName>
    <definedName name="結合子B301">#REF!</definedName>
    <definedName name="結合子B501" localSheetId="7">#REF!</definedName>
    <definedName name="結合子B501" localSheetId="3">#REF!</definedName>
    <definedName name="結合子B501">#REF!</definedName>
    <definedName name="結合子D101" localSheetId="7">#REF!</definedName>
    <definedName name="結合子D101" localSheetId="3">#REF!</definedName>
    <definedName name="結合子D101">#REF!</definedName>
    <definedName name="結合子D201" localSheetId="7">#REF!</definedName>
    <definedName name="結合子D201" localSheetId="3">#REF!</definedName>
    <definedName name="結合子D201">#REF!</definedName>
    <definedName name="更新" localSheetId="7">#REF!</definedName>
    <definedName name="更新" localSheetId="3">#REF!</definedName>
    <definedName name="更新">#REF!</definedName>
    <definedName name="更新者" localSheetId="7">#REF!</definedName>
    <definedName name="更新者" localSheetId="3">#REF!</definedName>
    <definedName name="更新者">#REF!</definedName>
    <definedName name="更新日" localSheetId="7">#REF!</definedName>
    <definedName name="更新日" localSheetId="3">#REF!</definedName>
    <definedName name="更新日">#REF!</definedName>
    <definedName name="作成者" localSheetId="7">#REF!</definedName>
    <definedName name="作成者" localSheetId="3">#REF!</definedName>
    <definedName name="作成者">#REF!</definedName>
    <definedName name="作成日" localSheetId="7">#REF!</definedName>
    <definedName name="作成日" localSheetId="3">#REF!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 localSheetId="3">#REF!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7">#REF!</definedName>
    <definedName name="単価_IPｱﾄﾞﾚｽ登録" localSheetId="3">#REF!</definedName>
    <definedName name="単価_IPｱﾄﾞﾚｽ登録">#REF!</definedName>
    <definedName name="単価_NetWare関連_ﾌｧｲﾙ戻し_ｻｰﾊﾞ" localSheetId="7">#REF!</definedName>
    <definedName name="単価_NetWare関連_ﾌｧｲﾙ戻し_ｻｰﾊﾞ" localSheetId="3">#REF!</definedName>
    <definedName name="単価_NetWare関連_ﾌｧｲﾙ戻し_ｻｰﾊﾞ">#REF!</definedName>
    <definedName name="単価_NetWare関連_ﾌｧｲﾙ戻し_ﾃｰﾌﾟ" localSheetId="7">#REF!</definedName>
    <definedName name="単価_NetWare関連_ﾌｧｲﾙ戻し_ﾃｰﾌﾟ" localSheetId="3">#REF!</definedName>
    <definedName name="単価_NetWare関連_ﾌｧｲﾙ戻し_ﾃｰﾌﾟ">#REF!</definedName>
    <definedName name="単価_NetWare関連_申請関連" localSheetId="7">#REF!</definedName>
    <definedName name="単価_NetWare関連_申請関連" localSheetId="3">#REF!</definedName>
    <definedName name="単価_NetWare関連_申請関連">#REF!</definedName>
    <definedName name="単価_Notes関連_ﾃﾞｰﾀﾍﾞｰｽ戻し" localSheetId="7">#REF!</definedName>
    <definedName name="単価_Notes関連_ﾃﾞｰﾀﾍﾞｰｽ戻し" localSheetId="3">#REF!</definedName>
    <definedName name="単価_Notes関連_ﾃﾞｰﾀﾍﾞｰｽ戻し">#REF!</definedName>
    <definedName name="単価_Notes関連_申請関連" localSheetId="7">#REF!</definedName>
    <definedName name="単価_Notes関連_申請関連" localSheetId="3">#REF!</definedName>
    <definedName name="単価_Notes関連_申請関連">#REF!</definedName>
    <definedName name="単価_ｻｰﾊﾞに関する申請_DNS関連" localSheetId="7">#REF!</definedName>
    <definedName name="単価_ｻｰﾊﾞに関する申請_DNS関連" localSheetId="3">#REF!</definedName>
    <definedName name="単価_ｻｰﾊﾞに関する申請_DNS関連">#REF!</definedName>
    <definedName name="単価_ｻｰﾊﾞに関する申請_FireWallACL関連" localSheetId="7">#REF!</definedName>
    <definedName name="単価_ｻｰﾊﾞに関する申請_FireWallACL関連" localSheetId="3">#REF!</definedName>
    <definedName name="単価_ｻｰﾊﾞに関する申請_FireWallACL関連">#REF!</definedName>
    <definedName name="単価_ｻｰﾊﾞに関する申請_ﾄﾞﾒｲﾝ登録" localSheetId="7">#REF!</definedName>
    <definedName name="単価_ｻｰﾊﾞに関する申請_ﾄﾞﾒｲﾝ登録" localSheetId="3">#REF!</definedName>
    <definedName name="単価_ｻｰﾊﾞに関する申請_ﾄﾞﾒｲﾝ登録">#REF!</definedName>
    <definedName name="単価_ｻｰﾊﾞに関する申請_ﾒｰﾙﾙｰﾄ関連" localSheetId="7">#REF!</definedName>
    <definedName name="単価_ｻｰﾊﾞに関する申請_ﾒｰﾙﾙｰﾄ関連" localSheetId="3">#REF!</definedName>
    <definedName name="単価_ｻｰﾊﾞに関する申請_ﾒｰﾙﾙｰﾄ関連">#REF!</definedName>
    <definedName name="単価_ｻｰﾊﾞ証明書" localSheetId="7">#REF!</definedName>
    <definedName name="単価_ｻｰﾊﾞ証明書" localSheetId="3">#REF!</definedName>
    <definedName name="単価_ｻｰﾊﾞ証明書">#REF!</definedName>
    <definedName name="単価_ﾊﾟｿｺﾝﾌﾟﾘﾝﾀ移設" localSheetId="7">#REF!</definedName>
    <definedName name="単価_ﾊﾟｿｺﾝﾌﾟﾘﾝﾀ移設" localSheetId="3">#REF!</definedName>
    <definedName name="単価_ﾊﾟｿｺﾝﾌﾟﾘﾝﾀ移設">#REF!</definedName>
    <definedName name="単価_ﾊﾟｿｺﾝﾌﾟﾘﾝﾀ新設" localSheetId="7">#REF!</definedName>
    <definedName name="単価_ﾊﾟｿｺﾝﾌﾟﾘﾝﾀ新設" localSheetId="3">#REF!</definedName>
    <definedName name="単価_ﾊﾟｿｺﾝﾌﾟﾘﾝﾀ新設">#REF!</definedName>
    <definedName name="単価_ﾊﾟｿｺﾝ変更" localSheetId="7">#REF!</definedName>
    <definedName name="単価_ﾊﾟｿｺﾝ変更" localSheetId="3">#REF!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B425" i="19" l="1"/>
  <c r="B424" i="19"/>
  <c r="B423" i="19"/>
  <c r="B422" i="19"/>
  <c r="B421" i="19"/>
  <c r="B420" i="19"/>
  <c r="B419" i="19"/>
  <c r="B418" i="19"/>
  <c r="B417" i="19"/>
  <c r="B416" i="19"/>
  <c r="B415" i="19"/>
  <c r="B414" i="19"/>
  <c r="B413" i="19"/>
  <c r="B412" i="19"/>
  <c r="B411" i="19"/>
  <c r="B410" i="19"/>
  <c r="B409" i="19"/>
  <c r="B408" i="19"/>
  <c r="B407" i="19"/>
  <c r="B406" i="19"/>
  <c r="B405" i="19"/>
  <c r="B398" i="19"/>
  <c r="B397" i="19"/>
  <c r="B396" i="19"/>
  <c r="B395" i="19"/>
  <c r="B394" i="19"/>
  <c r="B393" i="19"/>
  <c r="B392" i="19"/>
  <c r="B391" i="19"/>
  <c r="B390" i="19"/>
  <c r="B389" i="19"/>
  <c r="B388" i="19"/>
  <c r="B387" i="19"/>
  <c r="B386" i="19"/>
  <c r="B385" i="19"/>
  <c r="B384" i="19"/>
  <c r="B383" i="19"/>
  <c r="B382" i="19"/>
  <c r="B381" i="19"/>
  <c r="B380" i="19"/>
  <c r="B379" i="19"/>
  <c r="B378" i="19"/>
  <c r="B377" i="19"/>
  <c r="B376" i="19"/>
  <c r="B375" i="19"/>
  <c r="B374" i="19"/>
  <c r="B373" i="19"/>
  <c r="B372" i="19"/>
  <c r="B371" i="19"/>
  <c r="B370" i="19"/>
  <c r="B369" i="19"/>
  <c r="B368" i="19"/>
  <c r="B363" i="19"/>
  <c r="B362" i="19"/>
  <c r="B361" i="19"/>
  <c r="B360" i="19"/>
  <c r="B359" i="19"/>
  <c r="B358" i="19"/>
  <c r="B357" i="19"/>
  <c r="B356" i="19"/>
  <c r="B355" i="19"/>
  <c r="B354" i="19"/>
  <c r="B353" i="19"/>
  <c r="B352" i="19"/>
  <c r="B351" i="19"/>
  <c r="B350" i="19"/>
  <c r="B349" i="19"/>
  <c r="B348" i="19"/>
  <c r="B347" i="19"/>
  <c r="B346" i="19"/>
  <c r="B345" i="19"/>
  <c r="B344" i="19"/>
  <c r="B343" i="19"/>
  <c r="B342" i="19"/>
  <c r="B341" i="19"/>
  <c r="B340" i="19"/>
  <c r="B339" i="19"/>
  <c r="B338" i="19"/>
  <c r="B337" i="19"/>
  <c r="B336" i="19"/>
  <c r="B335" i="19"/>
  <c r="B334" i="19"/>
  <c r="B333" i="19"/>
  <c r="B332" i="19"/>
  <c r="B331" i="19"/>
  <c r="B326" i="19"/>
  <c r="B325" i="19"/>
  <c r="B324" i="19"/>
  <c r="B323" i="19"/>
  <c r="B322" i="19"/>
  <c r="B321" i="19"/>
  <c r="B320" i="19"/>
  <c r="B319" i="19"/>
  <c r="B318" i="19"/>
  <c r="B317" i="19"/>
  <c r="B316" i="19"/>
  <c r="B315" i="19"/>
  <c r="B314" i="19"/>
  <c r="B313" i="19"/>
  <c r="B312" i="19"/>
  <c r="B311" i="19"/>
  <c r="B310" i="19"/>
  <c r="B309" i="19"/>
  <c r="B308" i="19"/>
  <c r="B307" i="19"/>
  <c r="B306" i="19"/>
  <c r="B305" i="19"/>
  <c r="B304" i="19"/>
  <c r="B303" i="19"/>
  <c r="B302" i="19"/>
  <c r="B294" i="19" l="1"/>
  <c r="N4" i="19" l="1"/>
  <c r="B83" i="19" l="1"/>
  <c r="B82" i="19"/>
  <c r="B81" i="19"/>
  <c r="B20" i="19" l="1"/>
  <c r="B19" i="19"/>
  <c r="B16" i="19" l="1"/>
  <c r="B15" i="19"/>
  <c r="B14" i="19"/>
  <c r="Q4" i="19" l="1"/>
  <c r="Q3" i="19"/>
  <c r="Q2" i="19"/>
  <c r="P4" i="19" l="1"/>
  <c r="O4" i="19"/>
  <c r="P3" i="19"/>
  <c r="O3" i="19"/>
  <c r="N3" i="19"/>
  <c r="P2" i="19"/>
  <c r="O2" i="19"/>
  <c r="N2" i="19"/>
  <c r="B292" i="19" l="1"/>
  <c r="B268" i="19"/>
  <c r="B264" i="19"/>
  <c r="B182" i="19"/>
  <c r="B30" i="19"/>
  <c r="B29" i="19"/>
  <c r="B28" i="19"/>
  <c r="B27" i="19"/>
  <c r="B26" i="19"/>
  <c r="B25" i="19"/>
  <c r="B22" i="19"/>
  <c r="B21" i="19"/>
  <c r="B114" i="19"/>
  <c r="B103" i="19"/>
  <c r="B102" i="19"/>
  <c r="B101" i="19"/>
  <c r="B100" i="19"/>
  <c r="B99" i="19"/>
  <c r="B98" i="19"/>
  <c r="B97" i="19"/>
  <c r="B96" i="19"/>
  <c r="B95" i="19"/>
  <c r="B94" i="19"/>
  <c r="B93" i="19"/>
  <c r="B92" i="19"/>
  <c r="B91" i="19"/>
  <c r="B90" i="19"/>
  <c r="B89" i="19"/>
  <c r="B88" i="19"/>
  <c r="B87" i="19"/>
  <c r="B86" i="19"/>
  <c r="B85" i="19"/>
  <c r="B84" i="19"/>
  <c r="B80" i="19"/>
  <c r="B79" i="19"/>
  <c r="B78" i="19"/>
  <c r="B77" i="19"/>
  <c r="B76" i="19"/>
  <c r="B75" i="19"/>
  <c r="B74" i="19"/>
  <c r="B73" i="19"/>
  <c r="B72" i="19"/>
  <c r="B71" i="19"/>
  <c r="B70" i="19"/>
  <c r="B69" i="19"/>
  <c r="B68" i="19"/>
  <c r="B67" i="19"/>
  <c r="B66" i="19"/>
  <c r="B65" i="19"/>
  <c r="B64" i="19"/>
  <c r="B63" i="19"/>
  <c r="B62" i="19"/>
  <c r="B61" i="19"/>
  <c r="B60" i="19"/>
  <c r="B59" i="19"/>
  <c r="B58" i="19"/>
  <c r="B57" i="19"/>
  <c r="B56" i="19"/>
  <c r="B55" i="19"/>
  <c r="B54" i="19"/>
  <c r="B53" i="19"/>
  <c r="B52" i="19"/>
  <c r="B51" i="19"/>
  <c r="B50" i="19"/>
  <c r="B49" i="19"/>
  <c r="B48" i="19"/>
  <c r="B47" i="19"/>
  <c r="B46" i="19"/>
  <c r="B45" i="19"/>
  <c r="B44" i="19"/>
  <c r="B43" i="19"/>
  <c r="B42" i="19"/>
  <c r="B41" i="19"/>
  <c r="B40" i="19"/>
  <c r="B39" i="19"/>
  <c r="B38" i="19"/>
  <c r="B37" i="19"/>
  <c r="B36" i="19"/>
  <c r="B35" i="19"/>
  <c r="B34" i="19"/>
  <c r="B33" i="19"/>
  <c r="B32" i="19"/>
  <c r="B31" i="19"/>
  <c r="B24" i="19"/>
  <c r="B23" i="19"/>
  <c r="B282" i="19"/>
  <c r="B278" i="19"/>
  <c r="B285" i="19"/>
  <c r="B284" i="19"/>
  <c r="B281" i="19"/>
  <c r="B280" i="19"/>
  <c r="B283" i="19"/>
  <c r="B277" i="19"/>
  <c r="B276" i="19"/>
  <c r="B274" i="19"/>
  <c r="B273" i="19"/>
  <c r="B272" i="19"/>
  <c r="B108" i="19"/>
  <c r="B113" i="19"/>
  <c r="B279" i="19"/>
  <c r="B275" i="19"/>
  <c r="B9" i="19"/>
  <c r="B10" i="19"/>
  <c r="B11" i="19"/>
  <c r="B12" i="19"/>
  <c r="B13" i="19"/>
  <c r="B286" i="19"/>
  <c r="B287" i="19"/>
  <c r="B288" i="19"/>
  <c r="B289" i="19"/>
  <c r="B290" i="19"/>
  <c r="B291" i="19"/>
  <c r="B17" i="19"/>
  <c r="B18" i="19"/>
  <c r="B104" i="19"/>
  <c r="B105" i="19"/>
  <c r="B106" i="19"/>
  <c r="B107" i="19"/>
  <c r="B109" i="19"/>
  <c r="B110" i="19"/>
  <c r="B111" i="19"/>
  <c r="B112" i="19"/>
  <c r="B115" i="19"/>
  <c r="B118" i="19"/>
  <c r="B119" i="19"/>
  <c r="B116" i="19"/>
  <c r="B117" i="19"/>
  <c r="B120" i="19"/>
  <c r="B121" i="19"/>
  <c r="B122" i="19"/>
  <c r="B123" i="19"/>
  <c r="B124" i="19"/>
  <c r="B125" i="19"/>
  <c r="B126" i="19"/>
  <c r="B127" i="19"/>
  <c r="B128" i="19"/>
  <c r="B129" i="19"/>
  <c r="B130" i="19"/>
  <c r="B131" i="19"/>
  <c r="B132" i="19"/>
  <c r="B133" i="19"/>
  <c r="B134" i="19"/>
  <c r="B135" i="19"/>
  <c r="B136" i="19"/>
  <c r="B137" i="19"/>
  <c r="B138" i="19"/>
  <c r="B139" i="19"/>
  <c r="B140" i="19"/>
  <c r="B141" i="19"/>
  <c r="B142" i="19"/>
  <c r="B143" i="19"/>
  <c r="B144" i="19"/>
  <c r="B145" i="19"/>
  <c r="B146" i="19"/>
  <c r="B147" i="19"/>
  <c r="B148" i="19"/>
  <c r="B149" i="19"/>
  <c r="B150" i="19"/>
  <c r="B151" i="19"/>
  <c r="B152" i="19"/>
  <c r="B153" i="19"/>
  <c r="B154" i="19"/>
  <c r="B155" i="19"/>
  <c r="B156" i="19"/>
  <c r="B157" i="19"/>
  <c r="B158" i="19"/>
  <c r="B159" i="19"/>
  <c r="B160" i="19"/>
  <c r="B161" i="19"/>
  <c r="B162" i="19"/>
  <c r="B163" i="19"/>
  <c r="B164" i="19"/>
  <c r="B165" i="19"/>
  <c r="B166" i="19"/>
  <c r="B167" i="19"/>
  <c r="B168" i="19"/>
  <c r="B169" i="19"/>
  <c r="B170" i="19"/>
  <c r="B171" i="19"/>
  <c r="B172" i="19"/>
  <c r="B173" i="19"/>
  <c r="B174" i="19"/>
  <c r="B175" i="19"/>
  <c r="B176" i="19"/>
  <c r="B177" i="19"/>
  <c r="B178" i="19"/>
  <c r="B179" i="19"/>
  <c r="B180" i="19"/>
  <c r="B181" i="19"/>
  <c r="B183" i="19"/>
  <c r="B184" i="19"/>
  <c r="B185" i="19"/>
  <c r="B186" i="19"/>
  <c r="B187" i="19"/>
  <c r="B191" i="19"/>
  <c r="B188" i="19"/>
  <c r="B189" i="19"/>
  <c r="B190" i="19"/>
  <c r="B192" i="19"/>
  <c r="B193" i="19"/>
  <c r="B194" i="19"/>
  <c r="B195" i="19"/>
  <c r="B196" i="19"/>
  <c r="B197" i="19"/>
  <c r="B198" i="19"/>
  <c r="B199" i="19"/>
  <c r="B200" i="19"/>
  <c r="B201" i="19"/>
  <c r="B202" i="19"/>
  <c r="B203" i="19"/>
  <c r="B204" i="19"/>
  <c r="B205" i="19"/>
  <c r="B206" i="19"/>
  <c r="B207" i="19"/>
  <c r="B208" i="19"/>
  <c r="B209" i="19"/>
  <c r="B210" i="19"/>
  <c r="B211" i="19"/>
  <c r="B212" i="19"/>
  <c r="B213" i="19"/>
  <c r="B214" i="19"/>
  <c r="B215" i="19"/>
  <c r="B216" i="19"/>
  <c r="B217" i="19"/>
  <c r="B218" i="19"/>
  <c r="B219" i="19"/>
  <c r="B220" i="19"/>
  <c r="B221" i="19"/>
  <c r="B222" i="19"/>
  <c r="B223" i="19"/>
  <c r="B224" i="19"/>
  <c r="B225" i="19"/>
  <c r="B226" i="19"/>
  <c r="B227" i="19"/>
  <c r="B228" i="19"/>
  <c r="B229" i="19"/>
  <c r="B230" i="19"/>
  <c r="B231" i="19"/>
  <c r="B232" i="19"/>
  <c r="B233" i="19"/>
  <c r="B234" i="19"/>
  <c r="B235" i="19"/>
  <c r="B236" i="19"/>
  <c r="B237" i="19"/>
  <c r="B238" i="19"/>
  <c r="B239" i="19"/>
  <c r="B240" i="19"/>
  <c r="B241" i="19"/>
  <c r="B242" i="19"/>
  <c r="B243" i="19"/>
  <c r="B244" i="19"/>
  <c r="B245" i="19"/>
  <c r="B246" i="19"/>
  <c r="B247" i="19"/>
  <c r="B248" i="19"/>
  <c r="B249" i="19"/>
  <c r="B250" i="19"/>
  <c r="B251" i="19"/>
  <c r="B252" i="19"/>
  <c r="B253" i="19"/>
  <c r="B254" i="19"/>
  <c r="B255" i="19"/>
  <c r="B256" i="19"/>
  <c r="B257" i="19"/>
  <c r="B258" i="19"/>
  <c r="B259" i="19"/>
  <c r="B260" i="19"/>
  <c r="B261" i="19"/>
  <c r="B262" i="19"/>
  <c r="B263" i="19"/>
  <c r="B265" i="19"/>
  <c r="B266" i="19"/>
  <c r="B267" i="19"/>
  <c r="B269" i="19"/>
  <c r="B270" i="19"/>
  <c r="B271" i="19"/>
  <c r="B293" i="19"/>
  <c r="B295" i="19"/>
  <c r="B296" i="19"/>
  <c r="B297" i="19"/>
  <c r="J3" i="19"/>
  <c r="I3" i="19"/>
  <c r="H3" i="19"/>
  <c r="M20" i="14"/>
  <c r="L20" i="14"/>
  <c r="K20" i="14"/>
  <c r="H20" i="14" s="1"/>
  <c r="N4" i="14"/>
  <c r="N3" i="14"/>
  <c r="J3" i="14" s="1"/>
  <c r="M4" i="14"/>
  <c r="M3" i="14"/>
  <c r="I3" i="14" s="1"/>
  <c r="L4" i="14"/>
  <c r="L3" i="14" s="1"/>
  <c r="H3" i="14" s="1"/>
  <c r="K4" i="14"/>
  <c r="H4" i="14" s="1"/>
  <c r="K3" i="14" l="1"/>
  <c r="G3" i="14" s="1"/>
  <c r="M4" i="19"/>
  <c r="M3" i="19"/>
  <c r="M2" i="19"/>
  <c r="G3" i="19" l="1"/>
</calcChain>
</file>

<file path=xl/sharedStrings.xml><?xml version="1.0" encoding="utf-8"?>
<sst xmlns="http://schemas.openxmlformats.org/spreadsheetml/2006/main" count="3075" uniqueCount="960">
  <si>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</si>
  <si>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</si>
  <si>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</si>
  <si>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</si>
  <si>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</si>
  <si>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</si>
  <si>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</si>
  <si>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</si>
  <si>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</si>
  <si>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</si>
  <si>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</si>
  <si>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</si>
  <si>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</si>
  <si>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</si>
  <si>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</si>
  <si>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</si>
  <si>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</si>
  <si>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</si>
  <si>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</si>
  <si>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</si>
  <si>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</si>
  <si>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</si>
  <si>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</si>
  <si>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</si>
  <si>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</si>
  <si>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</si>
  <si>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</si>
  <si>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</si>
  <si>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</si>
  <si>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</si>
  <si>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</si>
  <si>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</si>
  <si>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</si>
  <si>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</si>
  <si>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</si>
  <si>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</si>
  <si>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</si>
  <si>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</si>
  <si>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</si>
  <si>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</si>
  <si>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</si>
  <si>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</si>
  <si>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</si>
  <si>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</si>
  <si>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</si>
  <si>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</si>
  <si>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</si>
  <si>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</si>
  <si>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</si>
  <si>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</si>
  <si>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</si>
  <si>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</si>
  <si>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</si>
  <si>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</si>
  <si>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</si>
  <si>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</si>
  <si>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</si>
  <si>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</si>
  <si>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</si>
  <si>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</si>
  <si>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</si>
  <si>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</si>
  <si>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</si>
  <si>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</si>
  <si>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</si>
  <si>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</si>
  <si>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</si>
  <si>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</si>
  <si>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</si>
  <si>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</si>
  <si>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</si>
  <si>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</si>
  <si>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</si>
  <si>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</si>
  <si>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</si>
  <si>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</si>
  <si>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</si>
  <si>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</si>
  <si>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</si>
  <si>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</si>
  <si>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</si>
  <si>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</si>
  <si>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</si>
  <si>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</si>
  <si>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</si>
  <si>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</si>
  <si>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</si>
  <si>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</si>
  <si>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</si>
  <si>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</si>
  <si>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</si>
  <si>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</si>
  <si>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</si>
  <si>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</si>
  <si>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リクエストパラメータチェックシート</t>
    <phoneticPr fontId="28"/>
  </si>
  <si>
    <t>パラメータ名</t>
    <rPh sb="5" eb="6">
      <t>メイ</t>
    </rPh>
    <phoneticPr fontId="28"/>
  </si>
  <si>
    <t>論理名</t>
    <rPh sb="0" eb="2">
      <t>ロンリ</t>
    </rPh>
    <rPh sb="2" eb="3">
      <t>メイ</t>
    </rPh>
    <phoneticPr fontId="28"/>
  </si>
  <si>
    <t>備考</t>
    <rPh sb="0" eb="2">
      <t>ビコウ</t>
    </rPh>
    <phoneticPr fontId="28"/>
  </si>
  <si>
    <t>（EXE）塚田</t>
    <rPh sb="5" eb="7">
      <t>ツカダ</t>
    </rPh>
    <phoneticPr fontId="147"/>
  </si>
  <si>
    <t>-</t>
    <phoneticPr fontId="47"/>
  </si>
  <si>
    <t>折り畳みアイコンクリック</t>
    <rPh sb="0" eb="1">
      <t>オ</t>
    </rPh>
    <rPh sb="2" eb="3">
      <t>タタ</t>
    </rPh>
    <phoneticPr fontId="28"/>
  </si>
  <si>
    <t>検索項目表示時</t>
    <rPh sb="0" eb="2">
      <t>ケンサク</t>
    </rPh>
    <rPh sb="2" eb="4">
      <t>コウモク</t>
    </rPh>
    <rPh sb="4" eb="6">
      <t>ヒョウジ</t>
    </rPh>
    <rPh sb="6" eb="7">
      <t>ジ</t>
    </rPh>
    <phoneticPr fontId="47"/>
  </si>
  <si>
    <t>検索ボタン</t>
    <rPh sb="0" eb="2">
      <t>ケンサク</t>
    </rPh>
    <phoneticPr fontId="47"/>
  </si>
  <si>
    <t>非表示になること</t>
    <rPh sb="0" eb="3">
      <t>ヒヒョウジ</t>
    </rPh>
    <phoneticPr fontId="28"/>
  </si>
  <si>
    <t>検索項目非表示時</t>
    <rPh sb="0" eb="2">
      <t>ケンサク</t>
    </rPh>
    <rPh sb="2" eb="4">
      <t>コウモク</t>
    </rPh>
    <rPh sb="4" eb="5">
      <t>ヒ</t>
    </rPh>
    <rPh sb="5" eb="7">
      <t>ヒョウジ</t>
    </rPh>
    <rPh sb="7" eb="8">
      <t>ジ</t>
    </rPh>
    <phoneticPr fontId="47"/>
  </si>
  <si>
    <t>表示されること</t>
    <rPh sb="0" eb="2">
      <t>ヒョウジ</t>
    </rPh>
    <phoneticPr fontId="28"/>
  </si>
  <si>
    <t>初期表示</t>
    <rPh sb="0" eb="2">
      <t>ショキ</t>
    </rPh>
    <rPh sb="2" eb="4">
      <t>ヒョウジ</t>
    </rPh>
    <phoneticPr fontId="47"/>
  </si>
  <si>
    <t>header</t>
    <phoneticPr fontId="28"/>
  </si>
  <si>
    <t>body</t>
    <phoneticPr fontId="28"/>
  </si>
  <si>
    <t>screen_code</t>
    <phoneticPr fontId="28"/>
  </si>
  <si>
    <t>search_parameters</t>
    <phoneticPr fontId="28"/>
  </si>
  <si>
    <t>　kinds</t>
    <phoneticPr fontId="28"/>
  </si>
  <si>
    <t>　condition_sets</t>
    <phoneticPr fontId="28"/>
  </si>
  <si>
    <t>　　condition</t>
    <phoneticPr fontId="28"/>
  </si>
  <si>
    <t>リソース取得ＡＰＩ(post:/applications/views/resources/search)</t>
    <phoneticPr fontId="28"/>
  </si>
  <si>
    <t>空白になっている事</t>
    <rPh sb="0" eb="2">
      <t>クウハク</t>
    </rPh>
    <rPh sb="8" eb="9">
      <t>コト</t>
    </rPh>
    <phoneticPr fontId="28"/>
  </si>
  <si>
    <t>処理結果の確認</t>
    <rPh sb="0" eb="2">
      <t>ショリ</t>
    </rPh>
    <rPh sb="2" eb="4">
      <t>ケッカ</t>
    </rPh>
    <rPh sb="5" eb="7">
      <t>カクニン</t>
    </rPh>
    <phoneticPr fontId="28"/>
  </si>
  <si>
    <t>「データがありません。」と表示されること</t>
    <rPh sb="13" eb="15">
      <t>ヒョウジ</t>
    </rPh>
    <phoneticPr fontId="28"/>
  </si>
  <si>
    <t>「前ページ」ボタン</t>
    <phoneticPr fontId="28"/>
  </si>
  <si>
    <t>「次ページ」ボタン</t>
    <phoneticPr fontId="28"/>
  </si>
  <si>
    <t>「ページ選択」ボタン</t>
    <rPh sb="4" eb="6">
      <t>センタク</t>
    </rPh>
    <phoneticPr fontId="47"/>
  </si>
  <si>
    <t>ページ番号</t>
    <rPh sb="3" eb="5">
      <t>バンゴウ</t>
    </rPh>
    <phoneticPr fontId="47"/>
  </si>
  <si>
    <t>エラー確認</t>
    <rPh sb="3" eb="5">
      <t>カクニン</t>
    </rPh>
    <phoneticPr fontId="28"/>
  </si>
  <si>
    <t>非活性になっていること</t>
    <rPh sb="0" eb="1">
      <t>ヒ</t>
    </rPh>
    <rPh sb="1" eb="3">
      <t>カッセイ</t>
    </rPh>
    <phoneticPr fontId="28"/>
  </si>
  <si>
    <t>ページ数が「0/0 - 0/0」になっていること</t>
    <rPh sb="3" eb="4">
      <t>スウ</t>
    </rPh>
    <phoneticPr fontId="28"/>
  </si>
  <si>
    <t>活性化されていること</t>
    <rPh sb="0" eb="3">
      <t>カッセイカ</t>
    </rPh>
    <phoneticPr fontId="28"/>
  </si>
  <si>
    <t>「ページ選択」</t>
    <rPh sb="4" eb="6">
      <t>センタク</t>
    </rPh>
    <phoneticPr fontId="47"/>
  </si>
  <si>
    <t>「次ページ」ボタン</t>
    <phoneticPr fontId="28"/>
  </si>
  <si>
    <t>　　「次ページ」ボタンクリック</t>
    <phoneticPr fontId="47"/>
  </si>
  <si>
    <t>「前ページ」ボタン</t>
    <phoneticPr fontId="28"/>
  </si>
  <si>
    <t>1ページで表示されていること</t>
    <rPh sb="5" eb="7">
      <t>ヒョウジ</t>
    </rPh>
    <phoneticPr fontId="28"/>
  </si>
  <si>
    <t>2ページで表示されていること</t>
    <rPh sb="5" eb="7">
      <t>ヒョウジ</t>
    </rPh>
    <phoneticPr fontId="28"/>
  </si>
  <si>
    <t>　　「前ページ」ボタンクリック</t>
    <rPh sb="3" eb="4">
      <t>マエ</t>
    </rPh>
    <phoneticPr fontId="47"/>
  </si>
  <si>
    <t>3ページで表示されていること</t>
    <rPh sb="5" eb="7">
      <t>ヒョウジ</t>
    </rPh>
    <phoneticPr fontId="28"/>
  </si>
  <si>
    <t>画面表示</t>
    <rPh sb="0" eb="2">
      <t>ガメン</t>
    </rPh>
    <rPh sb="2" eb="4">
      <t>ヒョウジ</t>
    </rPh>
    <phoneticPr fontId="28"/>
  </si>
  <si>
    <t>多言語確認</t>
    <rPh sb="0" eb="3">
      <t>タゲンゴ</t>
    </rPh>
    <rPh sb="3" eb="5">
      <t>カクニン</t>
    </rPh>
    <phoneticPr fontId="28"/>
  </si>
  <si>
    <t>環境設定の言語をロシア語に変更</t>
    <rPh sb="0" eb="2">
      <t>カンキョウ</t>
    </rPh>
    <rPh sb="2" eb="4">
      <t>セッテイ</t>
    </rPh>
    <rPh sb="5" eb="7">
      <t>ゲンゴ</t>
    </rPh>
    <rPh sb="11" eb="12">
      <t>ゴ</t>
    </rPh>
    <rPh sb="13" eb="15">
      <t>ヘンコウ</t>
    </rPh>
    <phoneticPr fontId="28"/>
  </si>
  <si>
    <t>表示項目がロシア語になること</t>
    <rPh sb="0" eb="2">
      <t>ヒョウジ</t>
    </rPh>
    <rPh sb="2" eb="4">
      <t>コウモク</t>
    </rPh>
    <rPh sb="8" eb="9">
      <t>ゴ</t>
    </rPh>
    <phoneticPr fontId="28"/>
  </si>
  <si>
    <t>レイアウトが崩れないこと</t>
    <rPh sb="6" eb="7">
      <t>クズ</t>
    </rPh>
    <phoneticPr fontId="28"/>
  </si>
  <si>
    <t>想定外操作</t>
    <rPh sb="0" eb="2">
      <t>ソウテイ</t>
    </rPh>
    <rPh sb="2" eb="3">
      <t>ガイ</t>
    </rPh>
    <rPh sb="3" eb="5">
      <t>ソウサ</t>
    </rPh>
    <phoneticPr fontId="28"/>
  </si>
  <si>
    <t>ホーム画面に戻ること</t>
    <rPh sb="3" eb="5">
      <t>ガメン</t>
    </rPh>
    <rPh sb="6" eb="7">
      <t>モド</t>
    </rPh>
    <phoneticPr fontId="28"/>
  </si>
  <si>
    <t>再読み込み（Ｆ5）操作</t>
    <rPh sb="0" eb="2">
      <t>サイヨ</t>
    </rPh>
    <rPh sb="3" eb="4">
      <t>コ</t>
    </rPh>
    <rPh sb="9" eb="11">
      <t>ソウサ</t>
    </rPh>
    <phoneticPr fontId="28"/>
  </si>
  <si>
    <t>画面項目制御（データテーブル）</t>
    <rPh sb="0" eb="2">
      <t>ガメン</t>
    </rPh>
    <rPh sb="2" eb="4">
      <t>コウモク</t>
    </rPh>
    <rPh sb="4" eb="6">
      <t>セイギョ</t>
    </rPh>
    <phoneticPr fontId="28"/>
  </si>
  <si>
    <t>-</t>
  </si>
  <si>
    <t>車両一覧</t>
    <rPh sb="0" eb="2">
      <t>シャリョウ</t>
    </rPh>
    <rPh sb="2" eb="4">
      <t>イチラン</t>
    </rPh>
    <phoneticPr fontId="47"/>
  </si>
  <si>
    <t>車両一覧取得APIの取得結果が表示されていること</t>
    <rPh sb="0" eb="2">
      <t>シャリョウ</t>
    </rPh>
    <rPh sb="2" eb="4">
      <t>イチラン</t>
    </rPh>
    <rPh sb="4" eb="6">
      <t>シュトク</t>
    </rPh>
    <rPh sb="10" eb="12">
      <t>シュトク</t>
    </rPh>
    <rPh sb="12" eb="14">
      <t>ケッカ</t>
    </rPh>
    <rPh sb="15" eb="17">
      <t>ヒョウジ</t>
    </rPh>
    <phoneticPr fontId="28"/>
  </si>
  <si>
    <t>車両一覧ヘッダ項目</t>
    <rPh sb="0" eb="2">
      <t>シャリョウ</t>
    </rPh>
    <rPh sb="2" eb="4">
      <t>イチラン</t>
    </rPh>
    <rPh sb="7" eb="9">
      <t>コウモク</t>
    </rPh>
    <phoneticPr fontId="47"/>
  </si>
  <si>
    <t>環境設定の言語を英語に変更</t>
    <rPh sb="0" eb="2">
      <t>カンキョウ</t>
    </rPh>
    <rPh sb="2" eb="4">
      <t>セッテイ</t>
    </rPh>
    <rPh sb="5" eb="7">
      <t>ゲンゴ</t>
    </rPh>
    <rPh sb="8" eb="10">
      <t>エイゴ</t>
    </rPh>
    <rPh sb="11" eb="13">
      <t>ヘンコウ</t>
    </rPh>
    <phoneticPr fontId="28"/>
  </si>
  <si>
    <t>表示項目が英語になること</t>
    <rPh sb="0" eb="2">
      <t>ヒョウジ</t>
    </rPh>
    <rPh sb="2" eb="4">
      <t>コウモク</t>
    </rPh>
    <rPh sb="5" eb="7">
      <t>エイゴ</t>
    </rPh>
    <phoneticPr fontId="28"/>
  </si>
  <si>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</si>
  <si>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t>
    <rPh sb="0" eb="2">
      <t>ヒョウジ</t>
    </rPh>
    <rPh sb="2" eb="4">
      <t>コウモク</t>
    </rPh>
    <rPh sb="9" eb="10">
      <t>ゴ</t>
    </rPh>
    <phoneticPr fontId="28"/>
  </si>
  <si>
    <t>検索項目</t>
    <rPh sb="0" eb="2">
      <t>ケンサク</t>
    </rPh>
    <rPh sb="2" eb="4">
      <t>コウモク</t>
    </rPh>
    <phoneticPr fontId="47"/>
  </si>
  <si>
    <t>担当DB</t>
  </si>
  <si>
    <t>担当DB組織ｺｰﾄﾞ</t>
  </si>
  <si>
    <t>ｻｰﾋﾞｽDB</t>
  </si>
  <si>
    <t>ｻｰﾋﾞｽDB組織ｺｰﾄﾞ</t>
  </si>
  <si>
    <t>顧客</t>
  </si>
  <si>
    <t>顧客組織ｺｰﾄﾞ</t>
  </si>
  <si>
    <t>業種</t>
  </si>
  <si>
    <t>銀行</t>
  </si>
  <si>
    <t>債権</t>
  </si>
  <si>
    <t>車両種類</t>
  </si>
  <si>
    <t>ﾒｰｶ</t>
  </si>
  <si>
    <t>機種</t>
  </si>
  <si>
    <t>型式</t>
  </si>
  <si>
    <t>機番</t>
  </si>
  <si>
    <t>顧客管理番号</t>
  </si>
  <si>
    <t>顧客車両番号</t>
  </si>
  <si>
    <t>備考1</t>
  </si>
  <si>
    <t>備考2</t>
  </si>
  <si>
    <t>備考3</t>
  </si>
  <si>
    <t>備考4</t>
  </si>
  <si>
    <t>分類1</t>
  </si>
  <si>
    <t>分類2</t>
  </si>
  <si>
    <t>分類3</t>
  </si>
  <si>
    <t>分類4</t>
  </si>
  <si>
    <t>分類5</t>
  </si>
  <si>
    <t>資産状態(含む)</t>
  </si>
  <si>
    <t>資産所有者(含む)</t>
  </si>
  <si>
    <t>ｻﾌﾞｸﾞﾙｰﾌﾟ</t>
  </si>
  <si>
    <t>新車/中古車</t>
  </si>
  <si>
    <t>情報化施工</t>
  </si>
  <si>
    <t>ｺﾏﾂｵｰﾙｻﾎﾟｰﾄ</t>
  </si>
  <si>
    <t>広域顧客</t>
  </si>
  <si>
    <t>KBS車輛</t>
  </si>
  <si>
    <t>現場名</t>
  </si>
  <si>
    <t>オペ名</t>
  </si>
  <si>
    <t>保守責任者</t>
  </si>
  <si>
    <t>現在地</t>
  </si>
  <si>
    <t>初期値が表示されること(初期値は取得順で最初のものを表示）</t>
    <rPh sb="0" eb="2">
      <t>ショキ</t>
    </rPh>
    <rPh sb="2" eb="3">
      <t>アタイ</t>
    </rPh>
    <rPh sb="4" eb="6">
      <t>ヒョウジ</t>
    </rPh>
    <rPh sb="12" eb="14">
      <t>ショキ</t>
    </rPh>
    <rPh sb="14" eb="15">
      <t>アタイ</t>
    </rPh>
    <rPh sb="16" eb="18">
      <t>シュトク</t>
    </rPh>
    <rPh sb="18" eb="19">
      <t>ジュン</t>
    </rPh>
    <rPh sb="20" eb="22">
      <t>サイショ</t>
    </rPh>
    <rPh sb="26" eb="28">
      <t>ヒョウジ</t>
    </rPh>
    <phoneticPr fontId="28"/>
  </si>
  <si>
    <t>別シート"リクエストパラメータチェックシート：リソース取得API"参照
※プルダウン情報を取得</t>
    <rPh sb="0" eb="1">
      <t>ベツ</t>
    </rPh>
    <rPh sb="33" eb="35">
      <t>サンショウ</t>
    </rPh>
    <rPh sb="42" eb="44">
      <t>ジョウホウ</t>
    </rPh>
    <rPh sb="45" eb="47">
      <t>シュトク</t>
    </rPh>
    <phoneticPr fontId="28"/>
  </si>
  <si>
    <t>-</t>
    <phoneticPr fontId="47"/>
  </si>
  <si>
    <t>大項目2でテストを実施する</t>
    <rPh sb="0" eb="3">
      <t>ダイコウモク</t>
    </rPh>
    <rPh sb="9" eb="11">
      <t>ジッシ</t>
    </rPh>
    <phoneticPr fontId="47"/>
  </si>
  <si>
    <t>クリアボタン</t>
    <phoneticPr fontId="28"/>
  </si>
  <si>
    <t>初期表示</t>
    <rPh sb="0" eb="2">
      <t>ショキ</t>
    </rPh>
    <rPh sb="2" eb="4">
      <t>ヒョウジ</t>
    </rPh>
    <phoneticPr fontId="28"/>
  </si>
  <si>
    <t>クリック</t>
    <phoneticPr fontId="28"/>
  </si>
  <si>
    <t>一覧のチェックが全て外れること</t>
    <rPh sb="0" eb="2">
      <t>イチラン</t>
    </rPh>
    <rPh sb="8" eb="9">
      <t>スベ</t>
    </rPh>
    <rPh sb="10" eb="11">
      <t>ハズ</t>
    </rPh>
    <phoneticPr fontId="28"/>
  </si>
  <si>
    <t>担当DB一覧</t>
    <rPh sb="0" eb="2">
      <t>タントウ</t>
    </rPh>
    <rPh sb="4" eb="6">
      <t>イチラン</t>
    </rPh>
    <phoneticPr fontId="28"/>
  </si>
  <si>
    <t>活性化されること</t>
    <rPh sb="0" eb="3">
      <t>カッセイカ</t>
    </rPh>
    <phoneticPr fontId="28"/>
  </si>
  <si>
    <t>OKボタン</t>
    <phoneticPr fontId="28"/>
  </si>
  <si>
    <t>チェックされているデータがないこと</t>
    <phoneticPr fontId="28"/>
  </si>
  <si>
    <t>担当DB未選択時の確認</t>
    <rPh sb="0" eb="2">
      <t>タントウ</t>
    </rPh>
    <rPh sb="4" eb="5">
      <t>ミ</t>
    </rPh>
    <rPh sb="5" eb="7">
      <t>センタク</t>
    </rPh>
    <rPh sb="7" eb="8">
      <t>ジ</t>
    </rPh>
    <rPh sb="9" eb="11">
      <t>カクニン</t>
    </rPh>
    <phoneticPr fontId="28"/>
  </si>
  <si>
    <t>担当DB選択時の確認</t>
    <rPh sb="0" eb="2">
      <t>タントウ</t>
    </rPh>
    <rPh sb="4" eb="6">
      <t>センタク</t>
    </rPh>
    <rPh sb="6" eb="7">
      <t>ジ</t>
    </rPh>
    <rPh sb="8" eb="10">
      <t>カクニン</t>
    </rPh>
    <phoneticPr fontId="28"/>
  </si>
  <si>
    <t>選択されているデータがチェックされていること</t>
    <rPh sb="0" eb="2">
      <t>センタク</t>
    </rPh>
    <phoneticPr fontId="28"/>
  </si>
  <si>
    <t>チェックボックスON（未選択→1件選択）</t>
    <rPh sb="11" eb="12">
      <t>ミ</t>
    </rPh>
    <rPh sb="12" eb="14">
      <t>センタク</t>
    </rPh>
    <rPh sb="16" eb="17">
      <t>ケン</t>
    </rPh>
    <rPh sb="17" eb="19">
      <t>センタク</t>
    </rPh>
    <phoneticPr fontId="28"/>
  </si>
  <si>
    <t>チェックボックスOFF（1件選択→未選択）</t>
    <phoneticPr fontId="28"/>
  </si>
  <si>
    <t>非活性になっていること</t>
    <rPh sb="0" eb="1">
      <t>ヒ</t>
    </rPh>
    <rPh sb="1" eb="3">
      <t>カッセイ</t>
    </rPh>
    <phoneticPr fontId="28"/>
  </si>
  <si>
    <t>担当DB一覧</t>
    <phoneticPr fontId="28"/>
  </si>
  <si>
    <t>担当DB子画面</t>
    <phoneticPr fontId="28"/>
  </si>
  <si>
    <t>画面が閉じること</t>
    <rPh sb="0" eb="2">
      <t>ガメン</t>
    </rPh>
    <rPh sb="3" eb="4">
      <t>ト</t>
    </rPh>
    <phoneticPr fontId="28"/>
  </si>
  <si>
    <t>担当DB子画面</t>
    <rPh sb="0" eb="2">
      <t>タントウ</t>
    </rPh>
    <rPh sb="4" eb="5">
      <t>コ</t>
    </rPh>
    <rPh sb="5" eb="7">
      <t>ガメン</t>
    </rPh>
    <phoneticPr fontId="28"/>
  </si>
  <si>
    <t>担当DB</t>
    <phoneticPr fontId="28"/>
  </si>
  <si>
    <t>複数選択が表示されている事</t>
    <rPh sb="0" eb="2">
      <t>フクスウ</t>
    </rPh>
    <rPh sb="2" eb="4">
      <t>センタク</t>
    </rPh>
    <rPh sb="5" eb="7">
      <t>ヒョウジ</t>
    </rPh>
    <rPh sb="12" eb="13">
      <t>コト</t>
    </rPh>
    <phoneticPr fontId="28"/>
  </si>
  <si>
    <t>キャンセルボタン</t>
    <phoneticPr fontId="28"/>
  </si>
  <si>
    <t>担当DB子画面</t>
    <phoneticPr fontId="28"/>
  </si>
  <si>
    <t>担当DB子画面の表示前と値が変更されていないこと</t>
    <rPh sb="8" eb="10">
      <t>ヒョウジ</t>
    </rPh>
    <rPh sb="10" eb="11">
      <t>マエ</t>
    </rPh>
    <rPh sb="12" eb="13">
      <t>アタイ</t>
    </rPh>
    <rPh sb="14" eb="16">
      <t>ヘンコウ</t>
    </rPh>
    <phoneticPr fontId="28"/>
  </si>
  <si>
    <t>担当DB組織コード</t>
    <phoneticPr fontId="47"/>
  </si>
  <si>
    <t>非表示になること</t>
    <rPh sb="0" eb="3">
      <t>ヒヒョウジ</t>
    </rPh>
    <phoneticPr fontId="28"/>
  </si>
  <si>
    <t>テキストが表示されること</t>
    <rPh sb="5" eb="7">
      <t>ヒョウジ</t>
    </rPh>
    <phoneticPr fontId="28"/>
  </si>
  <si>
    <t>担当DB(テキスト)</t>
    <phoneticPr fontId="47"/>
  </si>
  <si>
    <t>表示されること</t>
    <rPh sb="0" eb="2">
      <t>ヒョウジ</t>
    </rPh>
    <phoneticPr fontId="28"/>
  </si>
  <si>
    <t>担当DBで選択した組織コードが表示されていること</t>
    <rPh sb="0" eb="2">
      <t>タントウ</t>
    </rPh>
    <rPh sb="5" eb="7">
      <t>センタク</t>
    </rPh>
    <rPh sb="9" eb="11">
      <t>ソシキ</t>
    </rPh>
    <rPh sb="15" eb="17">
      <t>ヒョウジ</t>
    </rPh>
    <phoneticPr fontId="28"/>
  </si>
  <si>
    <t>組織コードと一致する担当DBが表示されること</t>
    <rPh sb="0" eb="2">
      <t>ソシキ</t>
    </rPh>
    <rPh sb="6" eb="8">
      <t>イッチ</t>
    </rPh>
    <rPh sb="10" eb="12">
      <t>タントウ</t>
    </rPh>
    <rPh sb="15" eb="17">
      <t>ヒョウジ</t>
    </rPh>
    <phoneticPr fontId="28"/>
  </si>
  <si>
    <t>サービスDB組織コード</t>
    <rPh sb="6" eb="8">
      <t>ソシキ</t>
    </rPh>
    <phoneticPr fontId="28"/>
  </si>
  <si>
    <t>サービスDB</t>
    <phoneticPr fontId="28"/>
  </si>
  <si>
    <t>組織コードと一致するサービスDBが表示されること</t>
    <rPh sb="0" eb="2">
      <t>ソシキ</t>
    </rPh>
    <rPh sb="6" eb="8">
      <t>イッチ</t>
    </rPh>
    <rPh sb="17" eb="19">
      <t>ヒョウジ</t>
    </rPh>
    <phoneticPr fontId="28"/>
  </si>
  <si>
    <t>顧客組織コード</t>
  </si>
  <si>
    <t>顧客で選択した組織コードが表示されていること</t>
    <rPh sb="3" eb="5">
      <t>センタク</t>
    </rPh>
    <rPh sb="7" eb="9">
      <t>ソシキ</t>
    </rPh>
    <rPh sb="13" eb="15">
      <t>ヒョウジ</t>
    </rPh>
    <phoneticPr fontId="28"/>
  </si>
  <si>
    <t>顧客子画面</t>
  </si>
  <si>
    <t>顧客(テキスト)</t>
  </si>
  <si>
    <t>大項目3でテストを実施する</t>
    <rPh sb="0" eb="3">
      <t>ダイコウモク</t>
    </rPh>
    <rPh sb="9" eb="11">
      <t>ジッシ</t>
    </rPh>
    <phoneticPr fontId="47"/>
  </si>
  <si>
    <t>顧客子画面</t>
    <rPh sb="0" eb="2">
      <t>コキャク</t>
    </rPh>
    <rPh sb="2" eb="3">
      <t>コ</t>
    </rPh>
    <rPh sb="3" eb="5">
      <t>ガメン</t>
    </rPh>
    <phoneticPr fontId="28"/>
  </si>
  <si>
    <t>顧客一覧</t>
  </si>
  <si>
    <t>顧客一覧</t>
    <rPh sb="0" eb="2">
      <t>コキャク</t>
    </rPh>
    <rPh sb="2" eb="4">
      <t>イチラン</t>
    </rPh>
    <phoneticPr fontId="28"/>
  </si>
  <si>
    <t>初期表示</t>
    <phoneticPr fontId="28"/>
  </si>
  <si>
    <t>顧客検索条件項目</t>
    <rPh sb="0" eb="2">
      <t>コキャク</t>
    </rPh>
    <rPh sb="2" eb="4">
      <t>ケンサク</t>
    </rPh>
    <rPh sb="4" eb="6">
      <t>ジョウケン</t>
    </rPh>
    <rPh sb="6" eb="8">
      <t>コウモク</t>
    </rPh>
    <phoneticPr fontId="28"/>
  </si>
  <si>
    <t>*が表示されていること</t>
    <rPh sb="2" eb="4">
      <t>ヒョウジ</t>
    </rPh>
    <phoneticPr fontId="28"/>
  </si>
  <si>
    <t>検索ボタン</t>
    <rPh sb="0" eb="2">
      <t>ケンサク</t>
    </rPh>
    <phoneticPr fontId="28"/>
  </si>
  <si>
    <t>クリック（顧客未選択時）</t>
    <rPh sb="5" eb="7">
      <t>コキャク</t>
    </rPh>
    <rPh sb="7" eb="8">
      <t>ミ</t>
    </rPh>
    <rPh sb="8" eb="10">
      <t>センタク</t>
    </rPh>
    <rPh sb="10" eb="11">
      <t>ジ</t>
    </rPh>
    <phoneticPr fontId="28"/>
  </si>
  <si>
    <t>大項目3</t>
    <rPh sb="0" eb="3">
      <t>ダイコウモク</t>
    </rPh>
    <phoneticPr fontId="28"/>
  </si>
  <si>
    <t>「データがありません。」と表示されていること</t>
    <rPh sb="13" eb="15">
      <t>ヒョウジ</t>
    </rPh>
    <phoneticPr fontId="28"/>
  </si>
  <si>
    <t>顧客一覧子画面</t>
  </si>
  <si>
    <t>顧客一覧(テキスト)</t>
  </si>
  <si>
    <t>顧客一覧子画面の表示前と値が変更されていないこと</t>
    <rPh sb="8" eb="10">
      <t>ヒョウジ</t>
    </rPh>
    <rPh sb="10" eb="11">
      <t>マエ</t>
    </rPh>
    <rPh sb="12" eb="13">
      <t>アタイ</t>
    </rPh>
    <rPh sb="14" eb="16">
      <t>ヘンコウ</t>
    </rPh>
    <phoneticPr fontId="28"/>
  </si>
  <si>
    <t>顧客組織コード</t>
    <phoneticPr fontId="28"/>
  </si>
  <si>
    <t>顧客一覧子画面で選択したデータがセットされていること</t>
    <rPh sb="8" eb="10">
      <t>センタク</t>
    </rPh>
    <phoneticPr fontId="28"/>
  </si>
  <si>
    <t>複数選択されていたデータが表示されチェックがONになっていること</t>
    <rPh sb="0" eb="2">
      <t>フクスウ</t>
    </rPh>
    <rPh sb="2" eb="4">
      <t>センタク</t>
    </rPh>
    <rPh sb="13" eb="15">
      <t>ヒョウジ</t>
    </rPh>
    <phoneticPr fontId="28"/>
  </si>
  <si>
    <t>組織コードと一致する顧客が表示されること</t>
    <rPh sb="0" eb="2">
      <t>ソシキ</t>
    </rPh>
    <rPh sb="6" eb="8">
      <t>イッチ</t>
    </rPh>
    <rPh sb="10" eb="12">
      <t>コキャク</t>
    </rPh>
    <rPh sb="13" eb="15">
      <t>ヒョウジ</t>
    </rPh>
    <phoneticPr fontId="28"/>
  </si>
  <si>
    <t>選択された値がセットされること</t>
    <rPh sb="0" eb="2">
      <t>センタク</t>
    </rPh>
    <rPh sb="5" eb="6">
      <t>アタイ</t>
    </rPh>
    <phoneticPr fontId="28"/>
  </si>
  <si>
    <t>サブグループ</t>
  </si>
  <si>
    <t>サブグループ子画面</t>
  </si>
  <si>
    <t>サブグループ(テキスト)</t>
  </si>
  <si>
    <t>大項目4でテストを実施する</t>
    <rPh sb="0" eb="3">
      <t>ダイコウモク</t>
    </rPh>
    <rPh sb="9" eb="11">
      <t>ジッシ</t>
    </rPh>
    <phoneticPr fontId="47"/>
  </si>
  <si>
    <t>サブグループ</t>
    <phoneticPr fontId="28"/>
  </si>
  <si>
    <t>サブグループで選択したサブグループ名が表示されること</t>
    <rPh sb="7" eb="9">
      <t>センタク</t>
    </rPh>
    <rPh sb="17" eb="18">
      <t>メイ</t>
    </rPh>
    <rPh sb="19" eb="21">
      <t>ヒョウジ</t>
    </rPh>
    <phoneticPr fontId="28"/>
  </si>
  <si>
    <t>サブグループ子画面</t>
    <rPh sb="6" eb="7">
      <t>コ</t>
    </rPh>
    <rPh sb="7" eb="9">
      <t>ガメン</t>
    </rPh>
    <phoneticPr fontId="28"/>
  </si>
  <si>
    <t>大項目4</t>
    <rPh sb="0" eb="3">
      <t>ダイコウモク</t>
    </rPh>
    <phoneticPr fontId="28"/>
  </si>
  <si>
    <t>サブグループ検索条件項目</t>
    <rPh sb="6" eb="8">
      <t>ケンサク</t>
    </rPh>
    <rPh sb="8" eb="10">
      <t>ジョウケン</t>
    </rPh>
    <rPh sb="10" eb="12">
      <t>コウモク</t>
    </rPh>
    <phoneticPr fontId="28"/>
  </si>
  <si>
    <t>サブグループ一覧</t>
    <rPh sb="6" eb="8">
      <t>イチラン</t>
    </rPh>
    <phoneticPr fontId="28"/>
  </si>
  <si>
    <t>クリック（サブグループ未選択時）</t>
    <rPh sb="11" eb="12">
      <t>ミ</t>
    </rPh>
    <rPh sb="12" eb="14">
      <t>センタク</t>
    </rPh>
    <rPh sb="14" eb="15">
      <t>ジ</t>
    </rPh>
    <phoneticPr fontId="28"/>
  </si>
  <si>
    <t>クリック（サブグループ複数選択時）</t>
    <rPh sb="11" eb="13">
      <t>フクスウ</t>
    </rPh>
    <rPh sb="13" eb="15">
      <t>センタク</t>
    </rPh>
    <rPh sb="15" eb="16">
      <t>ジ</t>
    </rPh>
    <phoneticPr fontId="28"/>
  </si>
  <si>
    <t>サブグループ一覧(テキスト)</t>
  </si>
  <si>
    <t>サブグループ子画面で選択したデータがセットされていること</t>
    <rPh sb="10" eb="12">
      <t>センタク</t>
    </rPh>
    <phoneticPr fontId="28"/>
  </si>
  <si>
    <t>サブグループ子画面の表示前と値が変更されていないこと</t>
    <rPh sb="10" eb="12">
      <t>ヒョウジ</t>
    </rPh>
    <rPh sb="12" eb="13">
      <t>マエ</t>
    </rPh>
    <rPh sb="14" eb="15">
      <t>アタイ</t>
    </rPh>
    <rPh sb="16" eb="18">
      <t>ヘンコウ</t>
    </rPh>
    <phoneticPr fontId="28"/>
  </si>
  <si>
    <t>サブグループ子画面</t>
    <phoneticPr fontId="28"/>
  </si>
  <si>
    <t>大項目2</t>
    <rPh sb="0" eb="3">
      <t>ダイコウモク</t>
    </rPh>
    <phoneticPr fontId="28"/>
  </si>
  <si>
    <t>型式</t>
    <rPh sb="0" eb="2">
      <t>カタシキ</t>
    </rPh>
    <phoneticPr fontId="28"/>
  </si>
  <si>
    <t>顧客</t>
    <rPh sb="0" eb="2">
      <t>コキャク</t>
    </rPh>
    <phoneticPr fontId="28"/>
  </si>
  <si>
    <t>備考２</t>
  </si>
  <si>
    <t>備考３</t>
  </si>
  <si>
    <t>備考４</t>
  </si>
  <si>
    <t>備考５</t>
  </si>
  <si>
    <t>分類２ID</t>
  </si>
  <si>
    <t>分類３ID</t>
  </si>
  <si>
    <t>分類４ID</t>
  </si>
  <si>
    <t>分類５ID</t>
  </si>
  <si>
    <t>カスタム車両属性２詳細ID</t>
  </si>
  <si>
    <t>カスタム車両属性３詳細ID</t>
  </si>
  <si>
    <t>カスタム車両属性４詳細ID</t>
  </si>
  <si>
    <t>カスタム車両属性５詳細ID</t>
  </si>
  <si>
    <t>カスタム車両属性６詳細ID</t>
  </si>
  <si>
    <t>カスタム車両属性７詳細ID</t>
  </si>
  <si>
    <t>カスタム車両属性８詳細ID</t>
  </si>
  <si>
    <t>カスタム車両属性９詳細ID</t>
  </si>
  <si>
    <t>カスタム車両属性１０詳細ID</t>
  </si>
  <si>
    <t>別シート"リクエストパラメータチェックシート：車両一覧取得API "参照</t>
    <phoneticPr fontId="28"/>
  </si>
  <si>
    <t>件数が1/20 - 10/20 で表示されていること</t>
    <rPh sb="0" eb="2">
      <t>ケンスウ</t>
    </rPh>
    <rPh sb="17" eb="19">
      <t>ヒョウジ</t>
    </rPh>
    <phoneticPr fontId="28"/>
  </si>
  <si>
    <t>件数が1/30 - 10/30 で表示されていること</t>
    <rPh sb="0" eb="2">
      <t>ケンスウ</t>
    </rPh>
    <rPh sb="17" eb="19">
      <t>ヒョウジ</t>
    </rPh>
    <phoneticPr fontId="28"/>
  </si>
  <si>
    <t>件数が11/30 - 20/30 で表示されていること</t>
    <rPh sb="0" eb="2">
      <t>ケンスウ</t>
    </rPh>
    <rPh sb="18" eb="20">
      <t>ヒョウジ</t>
    </rPh>
    <phoneticPr fontId="28"/>
  </si>
  <si>
    <t>件数が21/30 - 30/30 で表示されていること</t>
    <rPh sb="0" eb="2">
      <t>ケンスウ</t>
    </rPh>
    <rPh sb="18" eb="20">
      <t>ヒョウジ</t>
    </rPh>
    <phoneticPr fontId="28"/>
  </si>
  <si>
    <t>クリック</t>
    <phoneticPr fontId="47"/>
  </si>
  <si>
    <t>query</t>
    <phoneticPr fontId="28"/>
  </si>
  <si>
    <t>-</t>
    <phoneticPr fontId="28"/>
  </si>
  <si>
    <t>-</t>
    <phoneticPr fontId="28"/>
  </si>
  <si>
    <t>禁則文字チェック</t>
    <rPh sb="0" eb="2">
      <t>キンソク</t>
    </rPh>
    <rPh sb="2" eb="4">
      <t>モジ</t>
    </rPh>
    <phoneticPr fontId="28"/>
  </si>
  <si>
    <t>クリック(チェック1件)</t>
    <rPh sb="10" eb="11">
      <t>ケン</t>
    </rPh>
    <phoneticPr fontId="28"/>
  </si>
  <si>
    <t>画面項目名</t>
    <rPh sb="0" eb="2">
      <t>ガメン</t>
    </rPh>
    <rPh sb="2" eb="4">
      <t>コウモク</t>
    </rPh>
    <rPh sb="4" eb="5">
      <t>メイ</t>
    </rPh>
    <phoneticPr fontId="28"/>
  </si>
  <si>
    <t>権限</t>
    <rPh sb="0" eb="2">
      <t>ケンゲン</t>
    </rPh>
    <phoneticPr fontId="28"/>
  </si>
  <si>
    <t>SMS権限あり</t>
    <rPh sb="3" eb="5">
      <t>ケンゲン</t>
    </rPh>
    <phoneticPr fontId="28"/>
  </si>
  <si>
    <t>SMS権限なし</t>
    <rPh sb="3" eb="5">
      <t>ケンゲン</t>
    </rPh>
    <phoneticPr fontId="28"/>
  </si>
  <si>
    <t>○</t>
  </si>
  <si>
    <t>×</t>
  </si>
  <si>
    <t>次世代対応を反映した画面設計書と画面を照らし合わせ、権限に合った項目が表示されていること。
テスト結果は「画面項目マトリックス」シートに記入</t>
    <rPh sb="0" eb="3">
      <t>ジセダイ</t>
    </rPh>
    <rPh sb="3" eb="5">
      <t>タイオウ</t>
    </rPh>
    <rPh sb="6" eb="8">
      <t>ハンエイ</t>
    </rPh>
    <rPh sb="10" eb="12">
      <t>ガメン</t>
    </rPh>
    <rPh sb="12" eb="15">
      <t>セッケイショ</t>
    </rPh>
    <rPh sb="16" eb="18">
      <t>ガメン</t>
    </rPh>
    <rPh sb="19" eb="20">
      <t>テ</t>
    </rPh>
    <rPh sb="22" eb="23">
      <t>ア</t>
    </rPh>
    <rPh sb="26" eb="28">
      <t>ケンゲン</t>
    </rPh>
    <rPh sb="29" eb="30">
      <t>ア</t>
    </rPh>
    <rPh sb="32" eb="34">
      <t>コウモク</t>
    </rPh>
    <rPh sb="35" eb="37">
      <t>ヒョウジ</t>
    </rPh>
    <rPh sb="50" eb="52">
      <t>ケッカ</t>
    </rPh>
    <rPh sb="69" eb="71">
      <t>キニュウ</t>
    </rPh>
    <phoneticPr fontId="47"/>
  </si>
  <si>
    <t>データテーブルのヘッダが表示されていないこと</t>
    <rPh sb="12" eb="14">
      <t>ヒョウジ</t>
    </rPh>
    <phoneticPr fontId="28"/>
  </si>
  <si>
    <t>条件選択</t>
    <phoneticPr fontId="28"/>
  </si>
  <si>
    <t>処理結果</t>
    <rPh sb="0" eb="2">
      <t>ショリ</t>
    </rPh>
    <rPh sb="2" eb="4">
      <t>ケッカ</t>
    </rPh>
    <phoneticPr fontId="28"/>
  </si>
  <si>
    <t>車両一覧にAPIで取得したデータが表示されていること</t>
    <rPh sb="0" eb="2">
      <t>シャリョウ</t>
    </rPh>
    <rPh sb="2" eb="4">
      <t>イチラン</t>
    </rPh>
    <rPh sb="9" eb="11">
      <t>シュトク</t>
    </rPh>
    <rPh sb="17" eb="19">
      <t>ヒョウジ</t>
    </rPh>
    <phoneticPr fontId="28"/>
  </si>
  <si>
    <t>表示</t>
    <rPh sb="0" eb="2">
      <t>ヒョウジ</t>
    </rPh>
    <phoneticPr fontId="28"/>
  </si>
  <si>
    <t>設定値</t>
    <rPh sb="0" eb="3">
      <t>セッテイチ</t>
    </rPh>
    <phoneticPr fontId="28"/>
  </si>
  <si>
    <t>　　担当DB組織コード</t>
    <phoneticPr fontId="47"/>
  </si>
  <si>
    <t>　　担当DB</t>
    <phoneticPr fontId="47"/>
  </si>
  <si>
    <t>サービスDB組織コード</t>
    <phoneticPr fontId="28"/>
  </si>
  <si>
    <t>件数が1/10 - 10/10 で表示されていること</t>
    <rPh sb="0" eb="2">
      <t>ケンスウ</t>
    </rPh>
    <rPh sb="17" eb="19">
      <t>ヒョウジ</t>
    </rPh>
    <phoneticPr fontId="28"/>
  </si>
  <si>
    <t>クリック時の処理</t>
    <rPh sb="4" eb="5">
      <t>ジ</t>
    </rPh>
    <rPh sb="6" eb="8">
      <t>ショリ</t>
    </rPh>
    <phoneticPr fontId="28"/>
  </si>
  <si>
    <t>「ヘッダ項目クリック_マトリックス」シートが全てOKになること</t>
    <rPh sb="22" eb="23">
      <t>スベ</t>
    </rPh>
    <phoneticPr fontId="28"/>
  </si>
  <si>
    <t>各ヘッダ項目
　クリック</t>
    <rPh sb="0" eb="1">
      <t>カク</t>
    </rPh>
    <rPh sb="4" eb="6">
      <t>コウモク</t>
    </rPh>
    <phoneticPr fontId="47"/>
  </si>
  <si>
    <t>ﾌﾟﾛﾌｧｲﾙ件数</t>
  </si>
  <si>
    <t>担当DB(英語)</t>
  </si>
  <si>
    <t>ｻｰﾋﾞｽDB(英語)</t>
  </si>
  <si>
    <t>顧客名称</t>
  </si>
  <si>
    <t>顧客名称(英語)</t>
  </si>
  <si>
    <t>備考5</t>
  </si>
  <si>
    <t>SMR</t>
  </si>
  <si>
    <t>最新通信時刻</t>
  </si>
  <si>
    <t>顧客車輛番号</t>
  </si>
  <si>
    <t>資産状態</t>
  </si>
  <si>
    <t>資産所有者</t>
  </si>
  <si>
    <t>場所</t>
  </si>
  <si>
    <t>測位時刻</t>
  </si>
  <si>
    <t>レイアウト編集ボタン</t>
    <rPh sb="5" eb="7">
      <t>ヘンシュウ</t>
    </rPh>
    <phoneticPr fontId="47"/>
  </si>
  <si>
    <t>表示されないこと</t>
    <rPh sb="0" eb="2">
      <t>ヒョウジ</t>
    </rPh>
    <phoneticPr fontId="28"/>
  </si>
  <si>
    <t>レイアウト編集画面</t>
    <rPh sb="5" eb="7">
      <t>ヘンシュウ</t>
    </rPh>
    <rPh sb="7" eb="9">
      <t>ガメン</t>
    </rPh>
    <phoneticPr fontId="28"/>
  </si>
  <si>
    <t>レイアウト編集画面が表示されること
表示後のテストは大項目5でテストを実施する</t>
    <rPh sb="5" eb="7">
      <t>ヘンシュウ</t>
    </rPh>
    <rPh sb="7" eb="9">
      <t>ガメン</t>
    </rPh>
    <rPh sb="10" eb="12">
      <t>ヒョウジ</t>
    </rPh>
    <rPh sb="19" eb="21">
      <t>ヒョウジ</t>
    </rPh>
    <rPh sb="21" eb="22">
      <t>ゴ</t>
    </rPh>
    <phoneticPr fontId="28"/>
  </si>
  <si>
    <t>別シート"リクエストパラメータチェックシート：指定項目取得API "参照</t>
    <rPh sb="0" eb="1">
      <t>ベツ</t>
    </rPh>
    <rPh sb="34" eb="36">
      <t>サンショウ</t>
    </rPh>
    <phoneticPr fontId="47"/>
  </si>
  <si>
    <t>指定項目取得API 　（get: /applications/fields）</t>
    <phoneticPr fontId="28"/>
  </si>
  <si>
    <t>function_code</t>
    <phoneticPr fontId="28"/>
  </si>
  <si>
    <t>field_set_no</t>
    <phoneticPr fontId="28"/>
  </si>
  <si>
    <t>機能コード</t>
    <phoneticPr fontId="28"/>
  </si>
  <si>
    <t>指定セットNo</t>
    <phoneticPr fontId="28"/>
  </si>
  <si>
    <t>例　　　　　：carlist_download</t>
    <phoneticPr fontId="28"/>
  </si>
  <si>
    <t>省略時は全セット取得する</t>
    <phoneticPr fontId="28"/>
  </si>
  <si>
    <t>画面項目制御</t>
    <rPh sb="0" eb="2">
      <t>ガメン</t>
    </rPh>
    <rPh sb="2" eb="4">
      <t>コウモク</t>
    </rPh>
    <rPh sb="4" eb="6">
      <t>セイギョ</t>
    </rPh>
    <phoneticPr fontId="28"/>
  </si>
  <si>
    <t>全選択</t>
    <rPh sb="0" eb="1">
      <t>ゼン</t>
    </rPh>
    <rPh sb="1" eb="3">
      <t>センタク</t>
    </rPh>
    <phoneticPr fontId="28"/>
  </si>
  <si>
    <t>ヘッダ項目</t>
    <rPh sb="3" eb="5">
      <t>コウモク</t>
    </rPh>
    <phoneticPr fontId="28"/>
  </si>
  <si>
    <t>指定項目取得APIで取得したヘッダ項目が表示されていること</t>
    <rPh sb="10" eb="12">
      <t>シュトク</t>
    </rPh>
    <rPh sb="17" eb="19">
      <t>コウモク</t>
    </rPh>
    <rPh sb="20" eb="22">
      <t>ヒョウジ</t>
    </rPh>
    <phoneticPr fontId="28"/>
  </si>
  <si>
    <t>クリック</t>
    <phoneticPr fontId="28"/>
  </si>
  <si>
    <t>全クリア</t>
    <rPh sb="0" eb="1">
      <t>ゼン</t>
    </rPh>
    <phoneticPr fontId="28"/>
  </si>
  <si>
    <t>全ての項目にチェックがONになること</t>
    <rPh sb="0" eb="1">
      <t>スベ</t>
    </rPh>
    <rPh sb="3" eb="5">
      <t>コウモク</t>
    </rPh>
    <phoneticPr fontId="28"/>
  </si>
  <si>
    <t>全ての項目にチェックがOFFになること</t>
    <rPh sb="0" eb="1">
      <t>スベ</t>
    </rPh>
    <rPh sb="3" eb="5">
      <t>コウモク</t>
    </rPh>
    <phoneticPr fontId="28"/>
  </si>
  <si>
    <t>OKボタンクリック</t>
    <phoneticPr fontId="28"/>
  </si>
  <si>
    <t>エラーメッセージが表示されること</t>
    <rPh sb="9" eb="11">
      <t>ヒョウジ</t>
    </rPh>
    <phoneticPr fontId="28"/>
  </si>
  <si>
    <t>チェック0件</t>
    <phoneticPr fontId="28"/>
  </si>
  <si>
    <t>別シート"リクエストパラメータチェックシート：指定項目更新API "参照</t>
    <rPh sb="0" eb="1">
      <t>ベツ</t>
    </rPh>
    <rPh sb="27" eb="29">
      <t>コウシン</t>
    </rPh>
    <rPh sb="34" eb="36">
      <t>サンショウ</t>
    </rPh>
    <phoneticPr fontId="47"/>
  </si>
  <si>
    <t>指定項目更新API 　（put: /applications/fields）</t>
    <rPh sb="4" eb="6">
      <t>コウシン</t>
    </rPh>
    <phoneticPr fontId="28"/>
  </si>
  <si>
    <t>body</t>
    <phoneticPr fontId="28"/>
  </si>
  <si>
    <t>field_set</t>
    <phoneticPr fontId="28"/>
  </si>
  <si>
    <t>指定セット</t>
    <phoneticPr fontId="28"/>
  </si>
  <si>
    <t>指定セットNo</t>
    <phoneticPr fontId="28"/>
  </si>
  <si>
    <t>　field_items</t>
    <phoneticPr fontId="28"/>
  </si>
  <si>
    <t>　　path</t>
    <phoneticPr fontId="28"/>
  </si>
  <si>
    <t>　　display_sequence_no</t>
    <phoneticPr fontId="28"/>
  </si>
  <si>
    <t>表示順序</t>
    <phoneticPr fontId="28"/>
  </si>
  <si>
    <t>指定項目パス</t>
    <phoneticPr fontId="28"/>
  </si>
  <si>
    <t>指定項目</t>
    <phoneticPr fontId="28"/>
  </si>
  <si>
    <t>画面のレイアウト崩れがないこと</t>
    <rPh sb="0" eb="2">
      <t>ガメン</t>
    </rPh>
    <rPh sb="8" eb="9">
      <t>クズ</t>
    </rPh>
    <phoneticPr fontId="47"/>
  </si>
  <si>
    <t>車両</t>
    <rPh sb="0" eb="2">
      <t>シャリョウ</t>
    </rPh>
    <phoneticPr fontId="28"/>
  </si>
  <si>
    <t>レイアウト編集画面 OKボタン正常終了後</t>
    <rPh sb="5" eb="7">
      <t>ヘンシュウ</t>
    </rPh>
    <rPh sb="7" eb="9">
      <t>ガメン</t>
    </rPh>
    <rPh sb="15" eb="17">
      <t>セイジョウ</t>
    </rPh>
    <rPh sb="17" eb="19">
      <t>シュウリョウ</t>
    </rPh>
    <rPh sb="19" eb="20">
      <t>ゴ</t>
    </rPh>
    <phoneticPr fontId="28"/>
  </si>
  <si>
    <t>車両一覧ヘッダ</t>
    <rPh sb="0" eb="2">
      <t>シャリョウ</t>
    </rPh>
    <rPh sb="2" eb="4">
      <t>イチラン</t>
    </rPh>
    <phoneticPr fontId="28"/>
  </si>
  <si>
    <t>レイアウト編集画面で選択した項目が表示されていること</t>
    <rPh sb="10" eb="12">
      <t>センタク</t>
    </rPh>
    <rPh sb="14" eb="16">
      <t>コウモク</t>
    </rPh>
    <rPh sb="17" eb="19">
      <t>ヒョウジ</t>
    </rPh>
    <phoneticPr fontId="28"/>
  </si>
  <si>
    <t>担当DB組織コード</t>
  </si>
  <si>
    <t>サービスDB</t>
  </si>
  <si>
    <t>サービスDB組織コード</t>
  </si>
  <si>
    <t>メーカ</t>
  </si>
  <si>
    <t>コマツオールサポート</t>
  </si>
  <si>
    <t>KBS車両</t>
  </si>
  <si>
    <t>検索条件取得ＡＰＩ(get: /applications/search_condition)</t>
    <rPh sb="0" eb="2">
      <t>ケンサク</t>
    </rPh>
    <rPh sb="2" eb="4">
      <t>ジョウケン</t>
    </rPh>
    <phoneticPr fontId="28"/>
  </si>
  <si>
    <t>search_set_no</t>
    <phoneticPr fontId="28"/>
  </si>
  <si>
    <t>検索条件セットNo</t>
    <phoneticPr fontId="28"/>
  </si>
  <si>
    <t>未指定時は全検索条件を返却</t>
    <phoneticPr fontId="28"/>
  </si>
  <si>
    <t>画面コード</t>
    <phoneticPr fontId="28"/>
  </si>
  <si>
    <t>機能、画面などを識別できるコード</t>
    <phoneticPr fontId="28"/>
  </si>
  <si>
    <t>大項目5</t>
    <rPh sb="0" eb="3">
      <t>ダイコウモク</t>
    </rPh>
    <phoneticPr fontId="28"/>
  </si>
  <si>
    <t>検索条件保管ボタン</t>
    <rPh sb="0" eb="2">
      <t>ケンサク</t>
    </rPh>
    <rPh sb="2" eb="4">
      <t>ジョウケン</t>
    </rPh>
    <rPh sb="4" eb="6">
      <t>ホカン</t>
    </rPh>
    <phoneticPr fontId="47"/>
  </si>
  <si>
    <t>別シート"リクエストパラメータチェックシート：検索条件更新API"参照</t>
    <phoneticPr fontId="28"/>
  </si>
  <si>
    <t xml:space="preserve">
検索条件更新API(put: /applications/search_condition)</t>
    <rPh sb="1" eb="3">
      <t>ケンサク</t>
    </rPh>
    <rPh sb="3" eb="5">
      <t>ジョウケン</t>
    </rPh>
    <rPh sb="5" eb="7">
      <t>コウシン</t>
    </rPh>
    <phoneticPr fontId="28"/>
  </si>
  <si>
    <t>label</t>
    <phoneticPr fontId="28"/>
  </si>
  <si>
    <t>検索条件名称</t>
    <phoneticPr fontId="28"/>
  </si>
  <si>
    <t>search_items</t>
    <phoneticPr fontId="28"/>
  </si>
  <si>
    <t>　path</t>
    <phoneticPr fontId="28"/>
  </si>
  <si>
    <t>　value</t>
    <phoneticPr fontId="28"/>
  </si>
  <si>
    <t>パス</t>
    <phoneticPr fontId="28"/>
  </si>
  <si>
    <t>検索条件の対象項目を示すオブジェクトの階層を"."で連結した文字列</t>
    <phoneticPr fontId="28"/>
  </si>
  <si>
    <t>前へボタン</t>
    <rPh sb="0" eb="1">
      <t>マエ</t>
    </rPh>
    <phoneticPr fontId="47"/>
  </si>
  <si>
    <t>次へボタン</t>
    <rPh sb="0" eb="1">
      <t>ツギ</t>
    </rPh>
    <phoneticPr fontId="47"/>
  </si>
  <si>
    <t>エラーになること</t>
    <phoneticPr fontId="28"/>
  </si>
  <si>
    <t>必須項目チェック
　条件選択を選択</t>
    <rPh sb="10" eb="12">
      <t>ジョウケン</t>
    </rPh>
    <rPh sb="12" eb="14">
      <t>センタク</t>
    </rPh>
    <rPh sb="15" eb="17">
      <t>センタク</t>
    </rPh>
    <phoneticPr fontId="28"/>
  </si>
  <si>
    <t>車両0件</t>
    <phoneticPr fontId="28"/>
  </si>
  <si>
    <t>車両一覧で未チェック</t>
    <rPh sb="0" eb="2">
      <t>シャリョウ</t>
    </rPh>
    <rPh sb="2" eb="4">
      <t>イチラン</t>
    </rPh>
    <rPh sb="5" eb="6">
      <t>ミ</t>
    </rPh>
    <phoneticPr fontId="28"/>
  </si>
  <si>
    <t>メッセージ言語リスト取得API （get: //）</t>
    <phoneticPr fontId="28"/>
  </si>
  <si>
    <t>お知らせ画面が表示されること</t>
    <rPh sb="1" eb="2">
      <t>シ</t>
    </rPh>
    <rPh sb="4" eb="6">
      <t>ガメン</t>
    </rPh>
    <rPh sb="7" eb="9">
      <t>ヒョウジ</t>
    </rPh>
    <phoneticPr fontId="28"/>
  </si>
  <si>
    <t>プロファイル画面が表示されること</t>
    <rPh sb="6" eb="8">
      <t>ガメン</t>
    </rPh>
    <rPh sb="9" eb="11">
      <t>ヒョウジ</t>
    </rPh>
    <phoneticPr fontId="28"/>
  </si>
  <si>
    <t>ボタン連打</t>
    <rPh sb="3" eb="5">
      <t>レンダ</t>
    </rPh>
    <phoneticPr fontId="28"/>
  </si>
  <si>
    <t>ブラウザ戻るボタン操作</t>
    <phoneticPr fontId="28"/>
  </si>
  <si>
    <t>メッセージ確認</t>
    <rPh sb="5" eb="7">
      <t>カクニン</t>
    </rPh>
    <phoneticPr fontId="28"/>
  </si>
  <si>
    <t>モーダルで、確認メッセージを表示する</t>
    <rPh sb="6" eb="8">
      <t>カクニン</t>
    </rPh>
    <rPh sb="14" eb="16">
      <t>ヒョウジ</t>
    </rPh>
    <phoneticPr fontId="28"/>
  </si>
  <si>
    <t>画面コード</t>
    <phoneticPr fontId="28"/>
  </si>
  <si>
    <t>example: opa_car_management_car_list</t>
    <phoneticPr fontId="28"/>
  </si>
  <si>
    <t>絞り込み条件</t>
    <phoneticPr fontId="28"/>
  </si>
  <si>
    <t>　resource_path</t>
    <phoneticPr fontId="28"/>
  </si>
  <si>
    <t>リソースパス</t>
    <phoneticPr fontId="28"/>
  </si>
  <si>
    <t>pattern: 対象項目を示すオブジェクトの階層を"."で連結した文字列
example: cars.identification.id</t>
    <phoneticPr fontId="28"/>
  </si>
  <si>
    <t>区分</t>
    <phoneticPr fontId="28"/>
  </si>
  <si>
    <t>絞り込み設定</t>
    <phoneticPr fontId="28"/>
  </si>
  <si>
    <t>　　values</t>
    <phoneticPr fontId="28"/>
  </si>
  <si>
    <t>絞り込み値</t>
    <phoneticPr fontId="28"/>
  </si>
  <si>
    <t>　no</t>
    <phoneticPr fontId="28"/>
  </si>
  <si>
    <t>　label</t>
    <phoneticPr fontId="28"/>
  </si>
  <si>
    <t>指定セット名</t>
    <phoneticPr fontId="28"/>
  </si>
  <si>
    <t>車両一覧取得API　（post: /emn/profile_cars/search）</t>
    <phoneticPr fontId="28"/>
  </si>
  <si>
    <t>header</t>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</si>
  <si>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</si>
  <si>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</si>
  <si>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</si>
  <si>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</si>
  <si>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</si>
  <si>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</si>
  <si>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X-Lang</t>
    <phoneticPr fontId="28"/>
  </si>
  <si>
    <t>言語タグ</t>
    <phoneticPr fontId="28"/>
  </si>
  <si>
    <t>X-AppCode</t>
    <phoneticPr fontId="28"/>
  </si>
  <si>
    <t>アプリコード</t>
    <phoneticPr fontId="28"/>
  </si>
  <si>
    <t>グループID</t>
    <phoneticPr fontId="28"/>
  </si>
  <si>
    <t>X-DateFormat</t>
    <phoneticPr fontId="28"/>
  </si>
  <si>
    <t>日付形式</t>
    <phoneticPr fontId="28"/>
  </si>
  <si>
    <t>X-DistanceUnit</t>
    <phoneticPr fontId="28"/>
  </si>
  <si>
    <t>距離単位</t>
    <phoneticPr fontId="28"/>
  </si>
  <si>
    <t>X-TemperatureUnit</t>
    <phoneticPr fontId="28"/>
  </si>
  <si>
    <t>温度単位</t>
    <phoneticPr fontId="28"/>
  </si>
  <si>
    <t>X-Fields</t>
    <phoneticPr fontId="28"/>
  </si>
  <si>
    <t>指定項目</t>
    <phoneticPr fontId="28"/>
  </si>
  <si>
    <t>車種</t>
    <rPh sb="0" eb="2">
      <t>シャシュ</t>
    </rPh>
    <phoneticPr fontId="28"/>
  </si>
  <si>
    <t>X-From</t>
    <phoneticPr fontId="28"/>
  </si>
  <si>
    <t>一覧取得系APIの取得開始位置</t>
    <rPh sb="0" eb="2">
      <t>イチラン</t>
    </rPh>
    <rPh sb="2" eb="4">
      <t>シュトク</t>
    </rPh>
    <rPh sb="4" eb="5">
      <t>ケイ</t>
    </rPh>
    <rPh sb="9" eb="11">
      <t>シュトク</t>
    </rPh>
    <rPh sb="11" eb="13">
      <t>カイシ</t>
    </rPh>
    <rPh sb="13" eb="15">
      <t>イチ</t>
    </rPh>
    <phoneticPr fontId="28"/>
  </si>
  <si>
    <t>X-Count</t>
    <phoneticPr fontId="28"/>
  </si>
  <si>
    <t>一覧取得系APIの取得件数</t>
    <rPh sb="0" eb="2">
      <t>イチラン</t>
    </rPh>
    <rPh sb="2" eb="4">
      <t>シュトク</t>
    </rPh>
    <rPh sb="4" eb="5">
      <t>ケイ</t>
    </rPh>
    <rPh sb="9" eb="11">
      <t>シュトク</t>
    </rPh>
    <rPh sb="11" eb="13">
      <t>ケンスウ</t>
    </rPh>
    <phoneticPr fontId="28"/>
  </si>
  <si>
    <t>X-Sort</t>
    <phoneticPr fontId="28"/>
  </si>
  <si>
    <t>一覧取得系APIのソートを指定</t>
    <rPh sb="0" eb="2">
      <t>イチラン</t>
    </rPh>
    <rPh sb="2" eb="4">
      <t>シュトク</t>
    </rPh>
    <rPh sb="4" eb="5">
      <t>ケイ</t>
    </rPh>
    <rPh sb="13" eb="15">
      <t>シテイ</t>
    </rPh>
    <phoneticPr fontId="28"/>
  </si>
  <si>
    <t>body</t>
    <phoneticPr fontId="28"/>
  </si>
  <si>
    <t>車両ID</t>
    <phoneticPr fontId="28"/>
  </si>
  <si>
    <t>型式(小変形含む)</t>
    <phoneticPr fontId="28"/>
  </si>
  <si>
    <t>-99:未指定と同等</t>
    <phoneticPr fontId="28"/>
  </si>
  <si>
    <t>その他お知らせ項目取得API 　（get: /emn/resources/other_notifications）</t>
    <phoneticPr fontId="28"/>
  </si>
  <si>
    <t>※リクエストはheaderのみ</t>
    <phoneticPr fontId="28"/>
  </si>
  <si>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</si>
  <si>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車両タブが起動すること</t>
    <rPh sb="0" eb="2">
      <t>シャリョウ</t>
    </rPh>
    <rPh sb="5" eb="7">
      <t>キドウ</t>
    </rPh>
    <phoneticPr fontId="47"/>
  </si>
  <si>
    <t>　　呼び出し失敗</t>
  </si>
  <si>
    <t>　　呼び出し失敗</t>
    <phoneticPr fontId="28"/>
  </si>
  <si>
    <t>　　呼び出し失敗</t>
    <phoneticPr fontId="47"/>
  </si>
  <si>
    <t>　　呼び出し失敗</t>
    <phoneticPr fontId="28"/>
  </si>
  <si>
    <t>　　「ページ選択」ボタンクリック：3ページ選択</t>
    <rPh sb="6" eb="8">
      <t>センタク</t>
    </rPh>
    <rPh sb="21" eb="23">
      <t>センタク</t>
    </rPh>
    <phoneticPr fontId="47"/>
  </si>
  <si>
    <t>　　エラー確認</t>
  </si>
  <si>
    <t>　　エラー確認</t>
    <phoneticPr fontId="47"/>
  </si>
  <si>
    <t>　　エラー確認</t>
    <phoneticPr fontId="28"/>
  </si>
  <si>
    <t>　　エラー確認</t>
    <phoneticPr fontId="28"/>
  </si>
  <si>
    <t>　　正常確認</t>
  </si>
  <si>
    <t>　　正常確認</t>
    <phoneticPr fontId="47"/>
  </si>
  <si>
    <t>　　正常確認：検索結果：10件</t>
  </si>
  <si>
    <t>　　正常確認：検索結果：20件</t>
  </si>
  <si>
    <t>　　正常確認：検索結果：30件</t>
  </si>
  <si>
    <t>　　正常確認</t>
    <phoneticPr fontId="28"/>
  </si>
  <si>
    <t>　　正常確認</t>
    <phoneticPr fontId="28"/>
  </si>
  <si>
    <t>リクエストパラメータ　確認②</t>
    <rPh sb="11" eb="13">
      <t>カクニン</t>
    </rPh>
    <phoneticPr fontId="47"/>
  </si>
  <si>
    <t>リクエストパラメータ　確認③</t>
    <rPh sb="11" eb="13">
      <t>カクニン</t>
    </rPh>
    <phoneticPr fontId="47"/>
  </si>
  <si>
    <t>プロファイル作成画面で実行した検索条件取得API の値がセットされていること</t>
    <rPh sb="6" eb="8">
      <t>サクセイ</t>
    </rPh>
    <rPh sb="8" eb="10">
      <t>ガメン</t>
    </rPh>
    <rPh sb="11" eb="13">
      <t>ジッコウ</t>
    </rPh>
    <rPh sb="15" eb="17">
      <t>ケンサク</t>
    </rPh>
    <rPh sb="26" eb="27">
      <t>アタイ</t>
    </rPh>
    <phoneticPr fontId="28"/>
  </si>
  <si>
    <t>　　顧客</t>
    <phoneticPr fontId="28"/>
  </si>
  <si>
    <t>　　顧客組織コード</t>
    <rPh sb="2" eb="4">
      <t>コキャク</t>
    </rPh>
    <rPh sb="4" eb="6">
      <t>ソシキ</t>
    </rPh>
    <phoneticPr fontId="28"/>
  </si>
  <si>
    <t>　　サブグループ</t>
  </si>
  <si>
    <t>　　サブグループ</t>
    <phoneticPr fontId="28"/>
  </si>
  <si>
    <t>リクエストパラメータ　確認①</t>
    <rPh sb="11" eb="13">
      <t>カクニン</t>
    </rPh>
    <phoneticPr fontId="28"/>
  </si>
  <si>
    <t>リクエストパラメータ　確認②</t>
    <rPh sb="11" eb="13">
      <t>カクニン</t>
    </rPh>
    <phoneticPr fontId="28"/>
  </si>
  <si>
    <t>担当DB子画面</t>
    <phoneticPr fontId="47"/>
  </si>
  <si>
    <t>　　担当DB子画面でデータ選択後</t>
    <rPh sb="2" eb="4">
      <t>タントウ</t>
    </rPh>
    <rPh sb="6" eb="7">
      <t>コ</t>
    </rPh>
    <rPh sb="7" eb="9">
      <t>ガメン</t>
    </rPh>
    <rPh sb="13" eb="15">
      <t>センタク</t>
    </rPh>
    <rPh sb="15" eb="16">
      <t>ゴ</t>
    </rPh>
    <phoneticPr fontId="28"/>
  </si>
  <si>
    <t>　　プルダウンで[複数選択]選択時 →
　　[複数選択]以外を選択</t>
    <rPh sb="14" eb="16">
      <t>センタク</t>
    </rPh>
    <rPh sb="16" eb="17">
      <t>ジ</t>
    </rPh>
    <rPh sb="23" eb="25">
      <t>フクスウ</t>
    </rPh>
    <rPh sb="25" eb="27">
      <t>センタク</t>
    </rPh>
    <rPh sb="28" eb="30">
      <t>イガイ</t>
    </rPh>
    <rPh sb="31" eb="33">
      <t>センタク</t>
    </rPh>
    <phoneticPr fontId="47"/>
  </si>
  <si>
    <t>　　顧客</t>
    <rPh sb="2" eb="4">
      <t>コキャク</t>
    </rPh>
    <phoneticPr fontId="28"/>
  </si>
  <si>
    <t>プルダウンリスト</t>
  </si>
  <si>
    <t>禁則文字で検索した場合、エラーになること
※禁則文字："#%&amp;'&lt;&gt;</t>
    <rPh sb="22" eb="24">
      <t>キンソク</t>
    </rPh>
    <rPh sb="24" eb="26">
      <t>モジ</t>
    </rPh>
    <phoneticPr fontId="28"/>
  </si>
  <si>
    <t>　担当DBリンククリック</t>
    <rPh sb="1" eb="3">
      <t>タントウ</t>
    </rPh>
    <phoneticPr fontId="47"/>
  </si>
  <si>
    <t>リソース取得API で取得した値がセットされていること</t>
    <rPh sb="11" eb="13">
      <t>シュトク</t>
    </rPh>
    <rPh sb="15" eb="16">
      <t>アタイ</t>
    </rPh>
    <phoneticPr fontId="28"/>
  </si>
  <si>
    <t>リクエストパラメータ　確認④</t>
    <rPh sb="11" eb="13">
      <t>カクニン</t>
    </rPh>
    <phoneticPr fontId="47"/>
  </si>
  <si>
    <t>リクエストパラメータ　確認⑤</t>
    <rPh sb="11" eb="13">
      <t>カクニン</t>
    </rPh>
    <phoneticPr fontId="28"/>
  </si>
  <si>
    <t>リクエストパラメータ　確認</t>
    <rPh sb="11" eb="13">
      <t>カクニン</t>
    </rPh>
    <phoneticPr fontId="28"/>
  </si>
  <si>
    <t>リクエストパラメータ　確認⑥</t>
    <rPh sb="11" eb="13">
      <t>カクニン</t>
    </rPh>
    <phoneticPr fontId="28"/>
  </si>
  <si>
    <t>リクエストパラメータ　確認⑦</t>
    <rPh sb="11" eb="13">
      <t>カクニン</t>
    </rPh>
    <phoneticPr fontId="28"/>
  </si>
  <si>
    <t>リクエストパラメータ　確認⑧</t>
    <rPh sb="11" eb="13">
      <t>カクニン</t>
    </rPh>
    <phoneticPr fontId="28"/>
  </si>
  <si>
    <t>リクエストパラメータ　確認</t>
    <phoneticPr fontId="47"/>
  </si>
  <si>
    <t>リクエストパラメータ　確認</t>
    <phoneticPr fontId="47"/>
  </si>
  <si>
    <t>クリック</t>
    <phoneticPr fontId="47"/>
  </si>
  <si>
    <t>お知らせタブ</t>
    <rPh sb="1" eb="2">
      <t>シ</t>
    </rPh>
    <phoneticPr fontId="47"/>
  </si>
  <si>
    <t>クリック</t>
    <phoneticPr fontId="47"/>
  </si>
  <si>
    <t>お知らせ画面に遷移すること</t>
    <rPh sb="1" eb="2">
      <t>シ</t>
    </rPh>
    <rPh sb="4" eb="6">
      <t>ガメン</t>
    </rPh>
    <rPh sb="7" eb="9">
      <t>センイ</t>
    </rPh>
    <phoneticPr fontId="28"/>
  </si>
  <si>
    <t>受信者タブ</t>
    <rPh sb="0" eb="3">
      <t>ジュシンシャ</t>
    </rPh>
    <phoneticPr fontId="47"/>
  </si>
  <si>
    <t>受信者画面に遷移すること</t>
    <rPh sb="0" eb="3">
      <t>ジュシンシャ</t>
    </rPh>
    <rPh sb="3" eb="5">
      <t>ガメン</t>
    </rPh>
    <rPh sb="6" eb="8">
      <t>センイ</t>
    </rPh>
    <phoneticPr fontId="28"/>
  </si>
  <si>
    <t>プロファイルタブ</t>
    <phoneticPr fontId="47"/>
  </si>
  <si>
    <t>プロファイル画面に遷移すること</t>
    <rPh sb="6" eb="8">
      <t>ガメン</t>
    </rPh>
    <rPh sb="9" eb="11">
      <t>センイ</t>
    </rPh>
    <phoneticPr fontId="28"/>
  </si>
  <si>
    <t>　　クリック</t>
    <phoneticPr fontId="47"/>
  </si>
  <si>
    <t>　　個別選択を選択</t>
    <rPh sb="7" eb="9">
      <t>センタク</t>
    </rPh>
    <phoneticPr fontId="28"/>
  </si>
  <si>
    <t>担当DB子画面が起動すること</t>
    <rPh sb="0" eb="2">
      <t>タントウ</t>
    </rPh>
    <rPh sb="4" eb="5">
      <t>コ</t>
    </rPh>
    <rPh sb="5" eb="7">
      <t>ガメン</t>
    </rPh>
    <rPh sb="8" eb="10">
      <t>キドウ</t>
    </rPh>
    <phoneticPr fontId="47"/>
  </si>
  <si>
    <t>１．［車両］画面の［担当DB］リンククリック</t>
    <rPh sb="3" eb="5">
      <t>シャリョウ</t>
    </rPh>
    <rPh sb="6" eb="8">
      <t>ガメン</t>
    </rPh>
    <rPh sb="10" eb="12">
      <t>タントウ</t>
    </rPh>
    <phoneticPr fontId="28"/>
  </si>
  <si>
    <t>顧客子画面が起動すること</t>
    <rPh sb="3" eb="5">
      <t>ガメン</t>
    </rPh>
    <rPh sb="6" eb="8">
      <t>キドウ</t>
    </rPh>
    <phoneticPr fontId="47"/>
  </si>
  <si>
    <t>１．［車両］画面の［顧客］リンククリック</t>
    <rPh sb="3" eb="5">
      <t>シャリョウ</t>
    </rPh>
    <rPh sb="6" eb="8">
      <t>ガメン</t>
    </rPh>
    <rPh sb="10" eb="12">
      <t>コキャク</t>
    </rPh>
    <phoneticPr fontId="28"/>
  </si>
  <si>
    <t>担当DB(ラベル)</t>
    <phoneticPr fontId="28"/>
  </si>
  <si>
    <t>車両画面の担当DBで選択されている担当DB名が表示されること</t>
    <rPh sb="0" eb="2">
      <t>シャリョウ</t>
    </rPh>
    <rPh sb="2" eb="4">
      <t>ガメン</t>
    </rPh>
    <rPh sb="5" eb="7">
      <t>タントウ</t>
    </rPh>
    <rPh sb="10" eb="12">
      <t>センタク</t>
    </rPh>
    <rPh sb="17" eb="19">
      <t>タントウ</t>
    </rPh>
    <rPh sb="21" eb="22">
      <t>メイ</t>
    </rPh>
    <rPh sb="23" eb="25">
      <t>ヒョウジ</t>
    </rPh>
    <phoneticPr fontId="28"/>
  </si>
  <si>
    <t>リソース取得APIで取得したデータがに表示されること</t>
    <rPh sb="10" eb="12">
      <t>シュトク</t>
    </rPh>
    <rPh sb="19" eb="21">
      <t>ヒョウジ</t>
    </rPh>
    <phoneticPr fontId="28"/>
  </si>
  <si>
    <t>サブグループ子画面が起動すること</t>
    <rPh sb="7" eb="9">
      <t>ガメン</t>
    </rPh>
    <rPh sb="10" eb="12">
      <t>キドウ</t>
    </rPh>
    <phoneticPr fontId="47"/>
  </si>
  <si>
    <t>レイアウト編集画面が起動すること</t>
    <rPh sb="7" eb="9">
      <t>ガメン</t>
    </rPh>
    <rPh sb="10" eb="12">
      <t>キドウ</t>
    </rPh>
    <phoneticPr fontId="47"/>
  </si>
  <si>
    <t>正常確認：検索結果：0件</t>
    <rPh sb="5" eb="7">
      <t>ケンサク</t>
    </rPh>
    <rPh sb="7" eb="9">
      <t>ケッカ</t>
    </rPh>
    <phoneticPr fontId="28"/>
  </si>
  <si>
    <t>　　車両画面</t>
  </si>
  <si>
    <t>　　車両画面</t>
    <phoneticPr fontId="28"/>
  </si>
  <si>
    <t>　　車両画面</t>
    <phoneticPr fontId="28"/>
  </si>
  <si>
    <t>１.メインメニュー［プロファイル］項目より［プロファイル作成］をクリック
2.プロファイル作成画面 「次へ」ボタンクリック</t>
    <rPh sb="48" eb="50">
      <t>ガメン</t>
    </rPh>
    <phoneticPr fontId="47"/>
  </si>
  <si>
    <t>チェック欄</t>
    <rPh sb="4" eb="5">
      <t>ラン</t>
    </rPh>
    <phoneticPr fontId="28"/>
  </si>
  <si>
    <t>①</t>
    <phoneticPr fontId="28"/>
  </si>
  <si>
    <t>①</t>
    <phoneticPr fontId="28"/>
  </si>
  <si>
    <t>②</t>
    <phoneticPr fontId="28"/>
  </si>
  <si>
    <t>③</t>
    <phoneticPr fontId="28"/>
  </si>
  <si>
    <t>③</t>
    <phoneticPr fontId="28"/>
  </si>
  <si>
    <t>④</t>
    <phoneticPr fontId="28"/>
  </si>
  <si>
    <t>④</t>
    <phoneticPr fontId="28"/>
  </si>
  <si>
    <t>⑤</t>
    <phoneticPr fontId="28"/>
  </si>
  <si>
    <t>⑥</t>
    <phoneticPr fontId="28"/>
  </si>
  <si>
    <t>⑦</t>
    <phoneticPr fontId="28"/>
  </si>
  <si>
    <t>⑧</t>
    <phoneticPr fontId="28"/>
  </si>
  <si>
    <t>⑤</t>
    <phoneticPr fontId="28"/>
  </si>
  <si>
    <t>⑥</t>
    <phoneticPr fontId="28"/>
  </si>
  <si>
    <t>１．［車両］画面の［サブグループ］リンククリック</t>
    <rPh sb="3" eb="5">
      <t>シャリョウ</t>
    </rPh>
    <rPh sb="6" eb="8">
      <t>ガメン</t>
    </rPh>
    <phoneticPr fontId="28"/>
  </si>
  <si>
    <t>１．［車両］画面の［レイアウト編集］ボタンクリック</t>
    <rPh sb="3" eb="5">
      <t>シャリョウ</t>
    </rPh>
    <rPh sb="6" eb="8">
      <t>ガメン</t>
    </rPh>
    <rPh sb="15" eb="17">
      <t>ヘンシュウ</t>
    </rPh>
    <phoneticPr fontId="28"/>
  </si>
  <si>
    <t>車両一覧</t>
    <rPh sb="0" eb="2">
      <t>シャリョウ</t>
    </rPh>
    <rPh sb="2" eb="4">
      <t>イチラン</t>
    </rPh>
    <phoneticPr fontId="28"/>
  </si>
  <si>
    <t>プロファイル名の左隣にチェックボックスが表示されること</t>
    <rPh sb="6" eb="7">
      <t>メイ</t>
    </rPh>
    <rPh sb="8" eb="9">
      <t>ヒダリ</t>
    </rPh>
    <rPh sb="9" eb="10">
      <t>トナリ</t>
    </rPh>
    <rPh sb="20" eb="22">
      <t>ヒョウジ</t>
    </rPh>
    <phoneticPr fontId="28"/>
  </si>
  <si>
    <t>プロファイル名の左隣にチェックボックスが表示されないこと</t>
    <rPh sb="6" eb="7">
      <t>メイ</t>
    </rPh>
    <rPh sb="8" eb="9">
      <t>ヒダリ</t>
    </rPh>
    <rPh sb="9" eb="10">
      <t>トナリ</t>
    </rPh>
    <rPh sb="20" eb="22">
      <t>ヒョウジ</t>
    </rPh>
    <phoneticPr fontId="28"/>
  </si>
  <si>
    <t>－</t>
    <phoneticPr fontId="47"/>
  </si>
  <si>
    <t>確定ボタン</t>
    <rPh sb="0" eb="2">
      <t>カクテイ</t>
    </rPh>
    <phoneticPr fontId="47"/>
  </si>
  <si>
    <t>－</t>
    <phoneticPr fontId="47"/>
  </si>
  <si>
    <t>－</t>
    <phoneticPr fontId="47"/>
  </si>
  <si>
    <t>クリック</t>
    <phoneticPr fontId="47"/>
  </si>
  <si>
    <t>確認画面に遷移すること</t>
    <rPh sb="0" eb="2">
      <t>カクニン</t>
    </rPh>
    <rPh sb="2" eb="4">
      <t>ガメン</t>
    </rPh>
    <rPh sb="5" eb="7">
      <t>センイ</t>
    </rPh>
    <phoneticPr fontId="28"/>
  </si>
  <si>
    <t>　　必須項目すべて入力済み</t>
    <rPh sb="2" eb="4">
      <t>ヒッス</t>
    </rPh>
    <rPh sb="4" eb="6">
      <t>コウモク</t>
    </rPh>
    <rPh sb="9" eb="11">
      <t>ニュウリョク</t>
    </rPh>
    <rPh sb="11" eb="12">
      <t>ズ</t>
    </rPh>
    <phoneticPr fontId="47"/>
  </si>
  <si>
    <t>ボタン制御</t>
    <rPh sb="3" eb="5">
      <t>セイギョ</t>
    </rPh>
    <phoneticPr fontId="47"/>
  </si>
  <si>
    <t>確定ボタンが活性化すること</t>
    <rPh sb="0" eb="2">
      <t>カクテイ</t>
    </rPh>
    <rPh sb="6" eb="9">
      <t>カッセイカ</t>
    </rPh>
    <phoneticPr fontId="28"/>
  </si>
  <si>
    <t>確定ボタンが非活性になること</t>
    <rPh sb="0" eb="2">
      <t>カクテイ</t>
    </rPh>
    <rPh sb="6" eb="7">
      <t>ヒ</t>
    </rPh>
    <rPh sb="7" eb="9">
      <t>カッセイ</t>
    </rPh>
    <phoneticPr fontId="28"/>
  </si>
  <si>
    <t>　　必須項目すべて入力済み→車両タブの件数0件</t>
    <rPh sb="2" eb="4">
      <t>ヒッス</t>
    </rPh>
    <rPh sb="4" eb="6">
      <t>コウモク</t>
    </rPh>
    <rPh sb="9" eb="11">
      <t>ニュウリョク</t>
    </rPh>
    <rPh sb="11" eb="12">
      <t>ズ</t>
    </rPh>
    <rPh sb="14" eb="16">
      <t>シャリョウ</t>
    </rPh>
    <rPh sb="19" eb="21">
      <t>ケンスウ</t>
    </rPh>
    <rPh sb="22" eb="23">
      <t>ケン</t>
    </rPh>
    <phoneticPr fontId="47"/>
  </si>
  <si>
    <t>初期表示（登録時）</t>
    <rPh sb="0" eb="2">
      <t>ショキ</t>
    </rPh>
    <rPh sb="2" eb="4">
      <t>ヒョウジ</t>
    </rPh>
    <phoneticPr fontId="28"/>
  </si>
  <si>
    <t>条件選択を選択</t>
    <rPh sb="5" eb="7">
      <t>センタク</t>
    </rPh>
    <phoneticPr fontId="28"/>
  </si>
  <si>
    <t>個別選択を選択</t>
    <rPh sb="5" eb="7">
      <t>センタク</t>
    </rPh>
    <phoneticPr fontId="28"/>
  </si>
  <si>
    <t>プルダウン選択</t>
    <phoneticPr fontId="47"/>
  </si>
  <si>
    <t>プルダウン選択</t>
    <phoneticPr fontId="47"/>
  </si>
  <si>
    <t>リンククリック</t>
    <phoneticPr fontId="47"/>
  </si>
  <si>
    <t>顧客子画面でデータ選択後</t>
    <rPh sb="2" eb="3">
      <t>コ</t>
    </rPh>
    <rPh sb="3" eb="5">
      <t>ガメン</t>
    </rPh>
    <rPh sb="9" eb="11">
      <t>センタク</t>
    </rPh>
    <rPh sb="11" eb="12">
      <t>ゴ</t>
    </rPh>
    <phoneticPr fontId="28"/>
  </si>
  <si>
    <t>プルダウンで[複数選択]選択時 →
[複数選択]以外を選択</t>
    <rPh sb="12" eb="14">
      <t>センタク</t>
    </rPh>
    <rPh sb="14" eb="15">
      <t>ジ</t>
    </rPh>
    <rPh sb="19" eb="21">
      <t>フクスウ</t>
    </rPh>
    <rPh sb="21" eb="23">
      <t>センタク</t>
    </rPh>
    <rPh sb="24" eb="26">
      <t>イガイ</t>
    </rPh>
    <rPh sb="27" eb="29">
      <t>センタク</t>
    </rPh>
    <phoneticPr fontId="47"/>
  </si>
  <si>
    <t>　　担当DB</t>
  </si>
  <si>
    <t>　　担当DB</t>
    <phoneticPr fontId="28"/>
  </si>
  <si>
    <t>　　ｻｰﾋﾞｽDB</t>
    <phoneticPr fontId="28"/>
  </si>
  <si>
    <t>　　サービスDB組織コード</t>
    <phoneticPr fontId="47"/>
  </si>
  <si>
    <t>　　顧客</t>
    <phoneticPr fontId="28"/>
  </si>
  <si>
    <t>　　顧客組織ｺｰﾄﾞ</t>
    <phoneticPr fontId="28"/>
  </si>
  <si>
    <t>　　業種</t>
    <phoneticPr fontId="28"/>
  </si>
  <si>
    <t>　　銀行</t>
    <phoneticPr fontId="28"/>
  </si>
  <si>
    <t>　　債権</t>
    <phoneticPr fontId="28"/>
  </si>
  <si>
    <t>　　車両種類</t>
    <phoneticPr fontId="28"/>
  </si>
  <si>
    <t>　　ﾒｰｶ</t>
    <phoneticPr fontId="28"/>
  </si>
  <si>
    <t>　　機種</t>
    <phoneticPr fontId="28"/>
  </si>
  <si>
    <t>　　型式</t>
    <phoneticPr fontId="28"/>
  </si>
  <si>
    <t>　　機番</t>
    <phoneticPr fontId="28"/>
  </si>
  <si>
    <t>　　顧客管理番号</t>
    <phoneticPr fontId="28"/>
  </si>
  <si>
    <t>　　顧客車両番号</t>
    <phoneticPr fontId="28"/>
  </si>
  <si>
    <t>　　備考1</t>
  </si>
  <si>
    <t>　　備考1</t>
    <phoneticPr fontId="28"/>
  </si>
  <si>
    <t>　　備考2</t>
  </si>
  <si>
    <t>　　備考2</t>
    <phoneticPr fontId="28"/>
  </si>
  <si>
    <t>　　備考3</t>
  </si>
  <si>
    <t>　　備考3</t>
    <phoneticPr fontId="28"/>
  </si>
  <si>
    <t>　　備考4</t>
  </si>
  <si>
    <t>　　備考4</t>
    <phoneticPr fontId="28"/>
  </si>
  <si>
    <t>　　備考5</t>
  </si>
  <si>
    <t>　　備考5</t>
    <phoneticPr fontId="28"/>
  </si>
  <si>
    <t>プルダウン選択</t>
    <phoneticPr fontId="47"/>
  </si>
  <si>
    <t>　　分類1</t>
  </si>
  <si>
    <t>　　分類1</t>
    <phoneticPr fontId="28"/>
  </si>
  <si>
    <t>　　分類2</t>
  </si>
  <si>
    <t>　　分類2</t>
    <phoneticPr fontId="28"/>
  </si>
  <si>
    <t>　　分類3</t>
  </si>
  <si>
    <t>　　分類3</t>
    <phoneticPr fontId="28"/>
  </si>
  <si>
    <t>　　分類5</t>
  </si>
  <si>
    <t>　　分類5</t>
    <phoneticPr fontId="28"/>
  </si>
  <si>
    <t>　　分類4</t>
  </si>
  <si>
    <t>　　分類4</t>
    <phoneticPr fontId="28"/>
  </si>
  <si>
    <t>　　資産状態(含む)</t>
    <phoneticPr fontId="28"/>
  </si>
  <si>
    <t>　　資産所有者(含む)</t>
    <phoneticPr fontId="28"/>
  </si>
  <si>
    <t>　　サブグループ</t>
    <phoneticPr fontId="28"/>
  </si>
  <si>
    <t>サブグループ子画面でデータ選択後</t>
    <rPh sb="6" eb="7">
      <t>コ</t>
    </rPh>
    <rPh sb="7" eb="9">
      <t>ガメン</t>
    </rPh>
    <rPh sb="13" eb="15">
      <t>センタク</t>
    </rPh>
    <rPh sb="15" eb="16">
      <t>ゴ</t>
    </rPh>
    <phoneticPr fontId="28"/>
  </si>
  <si>
    <t>サブグループ　＝　[複数選択]</t>
    <rPh sb="10" eb="12">
      <t>フクスウ</t>
    </rPh>
    <rPh sb="12" eb="14">
      <t>センタク</t>
    </rPh>
    <phoneticPr fontId="28"/>
  </si>
  <si>
    <t>表示されていること</t>
    <rPh sb="0" eb="2">
      <t>ヒョウジ</t>
    </rPh>
    <phoneticPr fontId="28"/>
  </si>
  <si>
    <t>サブグループ　＜＞　[複数選択]</t>
    <rPh sb="11" eb="13">
      <t>フクスウ</t>
    </rPh>
    <rPh sb="13" eb="15">
      <t>センタク</t>
    </rPh>
    <phoneticPr fontId="28"/>
  </si>
  <si>
    <t>非表示になっていること</t>
    <rPh sb="0" eb="3">
      <t>ヒヒョウジ</t>
    </rPh>
    <phoneticPr fontId="28"/>
  </si>
  <si>
    <t>　　サブグループ(テキスト)</t>
    <phoneticPr fontId="28"/>
  </si>
  <si>
    <t>　　新車/中古車</t>
    <phoneticPr fontId="28"/>
  </si>
  <si>
    <t>　　情報化施工</t>
    <phoneticPr fontId="28"/>
  </si>
  <si>
    <t>　　ｺﾏﾂｵｰﾙｻﾎﾟｰﾄ</t>
    <phoneticPr fontId="28"/>
  </si>
  <si>
    <t>　　広域顧客</t>
    <phoneticPr fontId="28"/>
  </si>
  <si>
    <t>　　KBS車輛</t>
    <phoneticPr fontId="28"/>
  </si>
  <si>
    <t>　　現場名</t>
    <phoneticPr fontId="28"/>
  </si>
  <si>
    <t>　　オペ名</t>
    <phoneticPr fontId="28"/>
  </si>
  <si>
    <t>　　保守責任者</t>
    <phoneticPr fontId="28"/>
  </si>
  <si>
    <t>　　現在地(テキスト)</t>
    <phoneticPr fontId="28"/>
  </si>
  <si>
    <t>　　現在地(プルダウン)</t>
    <phoneticPr fontId="28"/>
  </si>
  <si>
    <t>検索条件項目制御
　条件の選択</t>
    <rPh sb="0" eb="2">
      <t>ケンサク</t>
    </rPh>
    <rPh sb="2" eb="4">
      <t>ジョウケン</t>
    </rPh>
    <rPh sb="4" eb="6">
      <t>コウモク</t>
    </rPh>
    <rPh sb="6" eb="8">
      <t>セイギョ</t>
    </rPh>
    <phoneticPr fontId="47"/>
  </si>
  <si>
    <t>検索条件保管時</t>
    <rPh sb="0" eb="2">
      <t>ケンサク</t>
    </rPh>
    <rPh sb="2" eb="4">
      <t>ジョウケン</t>
    </rPh>
    <rPh sb="4" eb="6">
      <t>ホカン</t>
    </rPh>
    <rPh sb="6" eb="7">
      <t>ジ</t>
    </rPh>
    <phoneticPr fontId="28"/>
  </si>
  <si>
    <t>検索条件未保管時</t>
    <rPh sb="0" eb="2">
      <t>ケンサク</t>
    </rPh>
    <rPh sb="2" eb="4">
      <t>ジョウケン</t>
    </rPh>
    <rPh sb="4" eb="5">
      <t>ミ</t>
    </rPh>
    <rPh sb="5" eb="7">
      <t>ホカン</t>
    </rPh>
    <rPh sb="7" eb="8">
      <t>ジ</t>
    </rPh>
    <phoneticPr fontId="28"/>
  </si>
  <si>
    <t>選択されていること</t>
    <rPh sb="0" eb="2">
      <t>センタク</t>
    </rPh>
    <phoneticPr fontId="28"/>
  </si>
  <si>
    <t>選択されていないこと</t>
    <rPh sb="0" eb="2">
      <t>センタク</t>
    </rPh>
    <phoneticPr fontId="28"/>
  </si>
  <si>
    <t>検索条件項目初期値
　　条件の選択</t>
    <rPh sb="0" eb="2">
      <t>ケンサク</t>
    </rPh>
    <rPh sb="2" eb="4">
      <t>ジョウケン</t>
    </rPh>
    <rPh sb="4" eb="6">
      <t>コウモク</t>
    </rPh>
    <rPh sb="6" eb="9">
      <t>ショキチ</t>
    </rPh>
    <phoneticPr fontId="47"/>
  </si>
  <si>
    <t>　　注目車両グループ</t>
    <phoneticPr fontId="28"/>
  </si>
  <si>
    <t>すべてが表示されていること</t>
    <rPh sb="4" eb="6">
      <t>ヒョウジ</t>
    </rPh>
    <phoneticPr fontId="28"/>
  </si>
  <si>
    <t>　　注目車両グループ</t>
    <phoneticPr fontId="28"/>
  </si>
  <si>
    <t>　　担当DB組織コード</t>
    <phoneticPr fontId="28"/>
  </si>
  <si>
    <t>　　ｻｰﾋﾞｽDB</t>
    <phoneticPr fontId="28"/>
  </si>
  <si>
    <t>　　サービスDB組織コード</t>
    <phoneticPr fontId="28"/>
  </si>
  <si>
    <t>　　銀行</t>
    <phoneticPr fontId="28"/>
  </si>
  <si>
    <t>　　業種</t>
    <phoneticPr fontId="28"/>
  </si>
  <si>
    <t>　　債権</t>
    <phoneticPr fontId="28"/>
  </si>
  <si>
    <t>　　車両種類</t>
    <phoneticPr fontId="28"/>
  </si>
  <si>
    <t>　　ﾒｰｶ</t>
    <phoneticPr fontId="28"/>
  </si>
  <si>
    <t>　　機種</t>
    <phoneticPr fontId="28"/>
  </si>
  <si>
    <t>　　型式</t>
    <phoneticPr fontId="28"/>
  </si>
  <si>
    <t>　　機番</t>
    <phoneticPr fontId="28"/>
  </si>
  <si>
    <t>　　顧客車両番号</t>
    <phoneticPr fontId="28"/>
  </si>
  <si>
    <t>　　</t>
  </si>
  <si>
    <t>　　資産状態(含む)</t>
    <phoneticPr fontId="28"/>
  </si>
  <si>
    <t>　　資産所有者(含む)</t>
    <phoneticPr fontId="28"/>
  </si>
  <si>
    <t>非活性になっていること</t>
    <rPh sb="0" eb="3">
      <t>ヒカッセイ</t>
    </rPh>
    <phoneticPr fontId="28"/>
  </si>
  <si>
    <t>　　新車/中古車</t>
    <phoneticPr fontId="28"/>
  </si>
  <si>
    <t>　　情報化施工</t>
    <phoneticPr fontId="28"/>
  </si>
  <si>
    <t>　　ｺﾏﾂｵｰﾙｻﾎﾟｰﾄ</t>
    <phoneticPr fontId="28"/>
  </si>
  <si>
    <t>　　KBS車輛</t>
    <phoneticPr fontId="28"/>
  </si>
  <si>
    <t>　　オペ名</t>
    <phoneticPr fontId="28"/>
  </si>
  <si>
    <t>　　保守責任者</t>
    <phoneticPr fontId="28"/>
  </si>
  <si>
    <t>クリック
※1ページあたりの件数は10件になっていること</t>
    <rPh sb="14" eb="16">
      <t>ケンスウ</t>
    </rPh>
    <rPh sb="19" eb="20">
      <t>ケン</t>
    </rPh>
    <phoneticPr fontId="47"/>
  </si>
  <si>
    <t>検索条件保管クリック</t>
    <rPh sb="0" eb="2">
      <t>ケンサク</t>
    </rPh>
    <rPh sb="2" eb="4">
      <t>ジョウケン</t>
    </rPh>
    <rPh sb="4" eb="6">
      <t>ホカン</t>
    </rPh>
    <phoneticPr fontId="47"/>
  </si>
  <si>
    <t>空白になっていること</t>
    <rPh sb="0" eb="2">
      <t>クウハク</t>
    </rPh>
    <phoneticPr fontId="28"/>
  </si>
  <si>
    <t>初期表示：必須項目すべて入力済み</t>
    <rPh sb="0" eb="2">
      <t>ショキ</t>
    </rPh>
    <rPh sb="2" eb="4">
      <t>ヒョウジ</t>
    </rPh>
    <rPh sb="5" eb="7">
      <t>ヒッス</t>
    </rPh>
    <rPh sb="7" eb="9">
      <t>コウモク</t>
    </rPh>
    <rPh sb="12" eb="14">
      <t>ニュウリョク</t>
    </rPh>
    <rPh sb="14" eb="15">
      <t>ズ</t>
    </rPh>
    <phoneticPr fontId="47"/>
  </si>
  <si>
    <t>初期表示：必須項目に未入力項目有り</t>
    <rPh sb="0" eb="2">
      <t>ショキ</t>
    </rPh>
    <rPh sb="2" eb="4">
      <t>ヒョウジ</t>
    </rPh>
    <rPh sb="5" eb="7">
      <t>ヒッス</t>
    </rPh>
    <rPh sb="7" eb="9">
      <t>コウモク</t>
    </rPh>
    <rPh sb="10" eb="13">
      <t>ミニュウリョク</t>
    </rPh>
    <rPh sb="13" eb="15">
      <t>コウモク</t>
    </rPh>
    <rPh sb="15" eb="16">
      <t>ア</t>
    </rPh>
    <phoneticPr fontId="47"/>
  </si>
  <si>
    <t>別シート"リクエストパラメータチェックシート：SMRメッセージ一覧取得API "参照</t>
    <phoneticPr fontId="28"/>
  </si>
  <si>
    <t>　　リクエストパラメータ　確認②</t>
    <rPh sb="13" eb="15">
      <t>カクニン</t>
    </rPh>
    <phoneticPr fontId="47"/>
  </si>
  <si>
    <t>車両1件以上チェック
　　リクエストパラメータ　確認⑤</t>
    <rPh sb="4" eb="6">
      <t>イジョウ</t>
    </rPh>
    <phoneticPr fontId="28"/>
  </si>
  <si>
    <t>車両1件以上
　　リクエストパラメータ　確認④</t>
    <rPh sb="4" eb="6">
      <t>イジョウ</t>
    </rPh>
    <phoneticPr fontId="28"/>
  </si>
  <si>
    <t>　　リクエストパラメータ　確認①</t>
    <rPh sb="13" eb="15">
      <t>カクニン</t>
    </rPh>
    <phoneticPr fontId="47"/>
  </si>
  <si>
    <t>SMRメッセージ一覧取得API (get: /emn/smr_messages)</t>
    <phoneticPr fontId="28"/>
  </si>
  <si>
    <t>セキュリティテスト</t>
    <phoneticPr fontId="28"/>
  </si>
  <si>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</si>
  <si>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</si>
  <si>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未実施</t>
    <rPh sb="0" eb="3">
      <t>ミジッシ</t>
    </rPh>
    <phoneticPr fontId="28"/>
  </si>
  <si>
    <t>エビデンス</t>
    <phoneticPr fontId="28"/>
  </si>
  <si>
    <t>－</t>
    <phoneticPr fontId="47"/>
  </si>
  <si>
    <t>リサイズ</t>
    <phoneticPr fontId="47"/>
  </si>
  <si>
    <t>指定画面サイズ（横768）で表示した際、JSエラーなく表示されること</t>
    <rPh sb="0" eb="2">
      <t>シテイ</t>
    </rPh>
    <rPh sb="2" eb="4">
      <t>ガメン</t>
    </rPh>
    <rPh sb="8" eb="9">
      <t>ヨコ</t>
    </rPh>
    <rPh sb="14" eb="16">
      <t>ヒョウジ</t>
    </rPh>
    <rPh sb="18" eb="19">
      <t>サイ</t>
    </rPh>
    <phoneticPr fontId="47"/>
  </si>
  <si>
    <t>－</t>
    <phoneticPr fontId="47"/>
  </si>
  <si>
    <t>リサイズ</t>
    <phoneticPr fontId="47"/>
  </si>
  <si>
    <t>－</t>
    <phoneticPr fontId="47"/>
  </si>
  <si>
    <t>リサイズ</t>
    <phoneticPr fontId="47"/>
  </si>
  <si>
    <t>-</t>
    <phoneticPr fontId="28"/>
  </si>
  <si>
    <t>個別選択</t>
    <rPh sb="0" eb="2">
      <t>コベツ</t>
    </rPh>
    <rPh sb="2" eb="4">
      <t>センタク</t>
    </rPh>
    <phoneticPr fontId="28"/>
  </si>
  <si>
    <t>　　サブグループ(テキスト)</t>
  </si>
  <si>
    <t>検索条件保管時、かつプルダウンで複数選択時</t>
    <rPh sb="0" eb="2">
      <t>ケンサク</t>
    </rPh>
    <rPh sb="2" eb="4">
      <t>ジョウケン</t>
    </rPh>
    <rPh sb="4" eb="6">
      <t>ホカン</t>
    </rPh>
    <rPh sb="6" eb="7">
      <t>ジ</t>
    </rPh>
    <rPh sb="16" eb="18">
      <t>フクスウ</t>
    </rPh>
    <rPh sb="18" eb="20">
      <t>センタク</t>
    </rPh>
    <rPh sb="20" eb="21">
      <t>ジ</t>
    </rPh>
    <phoneticPr fontId="28"/>
  </si>
  <si>
    <t>サブグループで選択されているサブグループ名が表示されること</t>
    <rPh sb="7" eb="9">
      <t>センタク</t>
    </rPh>
    <rPh sb="20" eb="21">
      <t>メイ</t>
    </rPh>
    <rPh sb="22" eb="24">
      <t>ヒョウジ</t>
    </rPh>
    <phoneticPr fontId="28"/>
  </si>
  <si>
    <t>－</t>
  </si>
  <si>
    <t>－</t>
    <phoneticPr fontId="47"/>
  </si>
  <si>
    <t>－</t>
    <phoneticPr fontId="47"/>
  </si>
  <si>
    <t>検索条件未保管時、もしくはプルダウンで複数選択以外の場合</t>
    <rPh sb="0" eb="2">
      <t>ケンサク</t>
    </rPh>
    <rPh sb="2" eb="4">
      <t>ジョウケン</t>
    </rPh>
    <rPh sb="4" eb="5">
      <t>ミ</t>
    </rPh>
    <rPh sb="5" eb="7">
      <t>ホカン</t>
    </rPh>
    <rPh sb="7" eb="8">
      <t>ジ</t>
    </rPh>
    <rPh sb="19" eb="21">
      <t>フクスウ</t>
    </rPh>
    <rPh sb="21" eb="23">
      <t>センタク</t>
    </rPh>
    <rPh sb="23" eb="25">
      <t>イガイ</t>
    </rPh>
    <rPh sb="26" eb="28">
      <t>バアイ</t>
    </rPh>
    <phoneticPr fontId="28"/>
  </si>
  <si>
    <t>　　現在地(テキスト)</t>
    <phoneticPr fontId="28"/>
  </si>
  <si>
    <t>　　現地名</t>
    <rPh sb="2" eb="4">
      <t>ゲンチ</t>
    </rPh>
    <rPh sb="4" eb="5">
      <t>メイ</t>
    </rPh>
    <phoneticPr fontId="28"/>
  </si>
  <si>
    <t>一致するが表示されていること</t>
    <rPh sb="0" eb="2">
      <t>イッチ</t>
    </rPh>
    <rPh sb="5" eb="7">
      <t>ヒョウジ</t>
    </rPh>
    <phoneticPr fontId="28"/>
  </si>
  <si>
    <t>エビデンス</t>
    <phoneticPr fontId="28"/>
  </si>
  <si>
    <t>担当DB子画面で選択した担当DB名が表示されること</t>
    <rPh sb="8" eb="10">
      <t>センタク</t>
    </rPh>
    <rPh sb="12" eb="14">
      <t>タントウ</t>
    </rPh>
    <rPh sb="16" eb="17">
      <t>メイ</t>
    </rPh>
    <rPh sb="18" eb="20">
      <t>ヒョウジ</t>
    </rPh>
    <phoneticPr fontId="28"/>
  </si>
  <si>
    <t>エビデンス</t>
    <phoneticPr fontId="28"/>
  </si>
  <si>
    <t>禁則文字で検索した場合、エラーになること
※禁則文字：#%&amp;&lt;&gt;'"</t>
    <rPh sb="22" eb="24">
      <t>キンソク</t>
    </rPh>
    <rPh sb="24" eb="26">
      <t>モジ</t>
    </rPh>
    <phoneticPr fontId="28"/>
  </si>
  <si>
    <t>別シート"リクエストパラメータチェックシート：サブグループ取得API"参照
※プルダウン情報を取得</t>
    <rPh sb="0" eb="1">
      <t>ベツ</t>
    </rPh>
    <rPh sb="35" eb="37">
      <t>サンショウ</t>
    </rPh>
    <rPh sb="44" eb="46">
      <t>ジョウホウ</t>
    </rPh>
    <rPh sb="47" eb="49">
      <t>シュトク</t>
    </rPh>
    <phoneticPr fontId="28"/>
  </si>
  <si>
    <t>サブグループ一覧取得API 　（get: /groups/sub_groups）</t>
    <rPh sb="6" eb="8">
      <t>イチラン</t>
    </rPh>
    <rPh sb="8" eb="10">
      <t>シュトク</t>
    </rPh>
    <phoneticPr fontId="28"/>
  </si>
  <si>
    <t>sub_group_label</t>
    <phoneticPr fontId="28"/>
  </si>
  <si>
    <t>サブグループ名称</t>
    <phoneticPr fontId="28"/>
  </si>
  <si>
    <t>X-GroupId</t>
  </si>
  <si>
    <t>X-CarDivision</t>
  </si>
  <si>
    <t>①</t>
    <phoneticPr fontId="28"/>
  </si>
  <si>
    <t>②</t>
    <phoneticPr fontId="28"/>
  </si>
  <si>
    <t>画面項目</t>
    <rPh sb="0" eb="2">
      <t>ガメン</t>
    </rPh>
    <rPh sb="2" eb="4">
      <t>コウモク</t>
    </rPh>
    <phoneticPr fontId="28"/>
  </si>
  <si>
    <t>機種</t>
    <rPh sb="0" eb="2">
      <t>キシュ</t>
    </rPh>
    <phoneticPr fontId="28"/>
  </si>
  <si>
    <t>型式</t>
    <rPh sb="0" eb="2">
      <t>カタシキ</t>
    </rPh>
    <phoneticPr fontId="28"/>
  </si>
  <si>
    <t>機番</t>
    <rPh sb="0" eb="2">
      <t>キバン</t>
    </rPh>
    <phoneticPr fontId="28"/>
  </si>
  <si>
    <t>機種-型式</t>
    <rPh sb="0" eb="2">
      <t>キシュ</t>
    </rPh>
    <rPh sb="3" eb="5">
      <t>カタシキ</t>
    </rPh>
    <phoneticPr fontId="28"/>
  </si>
  <si>
    <t>担当DB組織コード</t>
    <phoneticPr fontId="28"/>
  </si>
  <si>
    <t>サービスDB組織コード</t>
    <phoneticPr fontId="28"/>
  </si>
  <si>
    <t>銀行</t>
    <rPh sb="0" eb="2">
      <t>ギンコウ</t>
    </rPh>
    <phoneticPr fontId="28"/>
  </si>
  <si>
    <t>顧客</t>
    <rPh sb="0" eb="2">
      <t>コキャク</t>
    </rPh>
    <phoneticPr fontId="28"/>
  </si>
  <si>
    <t>業種</t>
    <rPh sb="0" eb="1">
      <t>ギョウシュ</t>
    </rPh>
    <phoneticPr fontId="28"/>
  </si>
  <si>
    <t>保守責任者</t>
    <phoneticPr fontId="28"/>
  </si>
  <si>
    <t>顧客管理番号</t>
    <phoneticPr fontId="28"/>
  </si>
  <si>
    <t>債権</t>
    <rPh sb="0" eb="2">
      <t>サイケン</t>
    </rPh>
    <phoneticPr fontId="28"/>
  </si>
  <si>
    <t>メーカ</t>
    <phoneticPr fontId="28"/>
  </si>
  <si>
    <t>顧客車両番号</t>
    <phoneticPr fontId="28"/>
  </si>
  <si>
    <t>common</t>
  </si>
  <si>
    <t>　car_identification</t>
  </si>
  <si>
    <t>フリート共通検索条件</t>
    <phoneticPr fontId="28"/>
  </si>
  <si>
    <t>　　car_ids</t>
  </si>
  <si>
    <t>メーカID</t>
    <phoneticPr fontId="28"/>
  </si>
  <si>
    <t>　　division_codes</t>
  </si>
  <si>
    <t>車種ID</t>
    <phoneticPr fontId="28"/>
  </si>
  <si>
    <t>通常の車種IDまたはカスタム車種IDを指定可能 カスタム車種IDを指定する際はprefixに"C"を付与する</t>
    <phoneticPr fontId="28"/>
  </si>
  <si>
    <t>車両種類</t>
    <phoneticPr fontId="28"/>
  </si>
  <si>
    <t>　　models</t>
  </si>
  <si>
    <t>機種</t>
    <phoneticPr fontId="28"/>
  </si>
  <si>
    <t>ワイルドカード使用可能</t>
    <phoneticPr fontId="28"/>
  </si>
  <si>
    <t>ワイルドカード使用可能</t>
    <phoneticPr fontId="28"/>
  </si>
  <si>
    <t>　　revs</t>
  </si>
  <si>
    <t>小変形</t>
    <phoneticPr fontId="28"/>
  </si>
  <si>
    <t>機番</t>
    <phoneticPr fontId="28"/>
  </si>
  <si>
    <t xml:space="preserve">ワイルドカード使用可能/ハイフンマイナス区切り:From-To検索 </t>
    <phoneticPr fontId="28"/>
  </si>
  <si>
    <t>　　pins</t>
    <phoneticPr fontId="28"/>
  </si>
  <si>
    <t>車両PIN</t>
    <phoneticPr fontId="28"/>
  </si>
  <si>
    <t>機種-型式(小変形含む)</t>
    <phoneticPr fontId="28"/>
  </si>
  <si>
    <t>機種、型式(小変形含む)をハイフンマイナス区切りで指定。ワイルドカード指定不可</t>
    <phoneticPr fontId="28"/>
  </si>
  <si>
    <t>KOMTRAXユニット</t>
    <phoneticPr fontId="28"/>
  </si>
  <si>
    <t>　　terminal</t>
  </si>
  <si>
    <t>端末</t>
    <phoneticPr fontId="28"/>
  </si>
  <si>
    <t>1:KOMTRAXのみ/2:VHMSつき/-99:未指定と同等 TBD 端末種別の概要検討</t>
    <phoneticPr fontId="28"/>
  </si>
  <si>
    <t>注目車両グループID</t>
    <phoneticPr fontId="28"/>
  </si>
  <si>
    <t xml:space="preserve"> *-99:未指定と同等 </t>
    <phoneticPr fontId="28"/>
  </si>
  <si>
    <t>注目車両グループ</t>
    <phoneticPr fontId="28"/>
  </si>
  <si>
    <t>担当代理店</t>
    <phoneticPr fontId="28"/>
  </si>
  <si>
    <t>　　ids</t>
  </si>
  <si>
    <t>担当代理店ID</t>
    <phoneticPr fontId="28"/>
  </si>
  <si>
    <t>-99:未指定と同等</t>
    <phoneticPr fontId="28"/>
  </si>
  <si>
    <t>担当DB</t>
    <phoneticPr fontId="28"/>
  </si>
  <si>
    <t>　　organization_codes</t>
  </si>
  <si>
    <t>組織コード</t>
    <phoneticPr fontId="28"/>
  </si>
  <si>
    <t>サービス代理店</t>
    <phoneticPr fontId="28"/>
  </si>
  <si>
    <t>サービス代理店ID</t>
    <phoneticPr fontId="28"/>
  </si>
  <si>
    <t>-19：サービス責任車両/-3：サービス代理店契約あり/-4：サービス代理店契約なし/-99:未指定と同等</t>
    <phoneticPr fontId="28"/>
  </si>
  <si>
    <t>サービスDB</t>
    <phoneticPr fontId="28"/>
  </si>
  <si>
    <t>組織コード</t>
    <phoneticPr fontId="28"/>
  </si>
  <si>
    <t>　bank_ids</t>
    <phoneticPr fontId="28"/>
  </si>
  <si>
    <t>銀行ID</t>
    <phoneticPr fontId="28"/>
  </si>
  <si>
    <t>*-2:値が設定されていない/-99:未指定と同等</t>
    <phoneticPr fontId="28"/>
  </si>
  <si>
    <t>　insurance_ids</t>
    <phoneticPr fontId="28"/>
  </si>
  <si>
    <t>保険ID</t>
    <phoneticPr fontId="28"/>
  </si>
  <si>
    <t>　finance_ids</t>
    <phoneticPr fontId="28"/>
  </si>
  <si>
    <t>ファイナンスID</t>
    <phoneticPr fontId="28"/>
  </si>
  <si>
    <t>*-2:値が設定されていない/-99:未指定と同等</t>
    <phoneticPr fontId="28"/>
  </si>
  <si>
    <t>グループID</t>
    <phoneticPr fontId="28"/>
  </si>
  <si>
    <t xml:space="preserve">-2:is null(not exists)検索/-99:未指定と同等 </t>
    <phoneticPr fontId="28"/>
  </si>
  <si>
    <t>-99:未指定と同等</t>
    <phoneticPr fontId="28"/>
  </si>
  <si>
    <t>　　business_type_ids</t>
    <phoneticPr fontId="28"/>
  </si>
  <si>
    <t>業種ID</t>
    <phoneticPr fontId="28"/>
  </si>
  <si>
    <t>-99:未指定と同等</t>
    <phoneticPr fontId="28"/>
  </si>
  <si>
    <t>ユーザ車両パーミッション</t>
    <phoneticPr fontId="28"/>
  </si>
  <si>
    <t>サブグループID</t>
    <phoneticPr fontId="28"/>
  </si>
  <si>
    <t>サブグループ</t>
    <phoneticPr fontId="28"/>
  </si>
  <si>
    <t>顧客車両属性</t>
    <phoneticPr fontId="28"/>
  </si>
  <si>
    <t>　　operator_labels</t>
  </si>
  <si>
    <t>オペレータ名</t>
    <phoneticPr fontId="28"/>
  </si>
  <si>
    <t>-99:未指定と同等</t>
    <phoneticPr fontId="28"/>
  </si>
  <si>
    <t>オペレータ</t>
    <phoneticPr fontId="28"/>
  </si>
  <si>
    <t>　　mainte_in_charge</t>
  </si>
  <si>
    <t>　　customer_car_no</t>
  </si>
  <si>
    <t xml:space="preserve">ワイルドカード使用可能 </t>
    <phoneticPr fontId="28"/>
  </si>
  <si>
    <t>顧客車両番号</t>
    <phoneticPr fontId="28"/>
  </si>
  <si>
    <t>　　customer_management_no</t>
  </si>
  <si>
    <t xml:space="preserve">ワイルドカード使用可能 </t>
    <phoneticPr fontId="28"/>
  </si>
  <si>
    <t>顧客管理番号</t>
    <phoneticPr fontId="28"/>
  </si>
  <si>
    <t>代理店車両属性</t>
    <phoneticPr fontId="28"/>
  </si>
  <si>
    <t>　　debit_kinds</t>
  </si>
  <si>
    <t>債権区分</t>
    <phoneticPr fontId="28"/>
  </si>
  <si>
    <t>Enum:[ 1:債権あり, 2:債権なし, -99:未指定と同等 ]</t>
    <phoneticPr fontId="28"/>
  </si>
  <si>
    <t>　　elapsed_months_from</t>
  </si>
  <si>
    <t>経過月数(From)</t>
    <phoneticPr fontId="28"/>
  </si>
  <si>
    <t>　　elapsed_months_to</t>
  </si>
  <si>
    <t>経過月数(To)</t>
    <phoneticPr fontId="28"/>
  </si>
  <si>
    <t>　　new_used_kind</t>
  </si>
  <si>
    <t>新車中古車区分</t>
    <phoneticPr fontId="28"/>
  </si>
  <si>
    <t>Enum:[ 0:新車, 1:中古車, -99:未指定と同等 ]</t>
    <phoneticPr fontId="28"/>
  </si>
  <si>
    <t>　　delivery_date_from</t>
  </si>
  <si>
    <t>車両納入日(From)</t>
    <phoneticPr fontId="28"/>
  </si>
  <si>
    <t>　　delivery_date_to</t>
  </si>
  <si>
    <t>車両納入日(To)</t>
    <phoneticPr fontId="28"/>
  </si>
  <si>
    <t>　　eqp_delivery_date_from</t>
  </si>
  <si>
    <t>EQP車両納入日(From)</t>
    <phoneticPr fontId="28"/>
  </si>
  <si>
    <t>　　eqp_delivery_date_to</t>
  </si>
  <si>
    <t>EQP車両納入日(To)</t>
    <phoneticPr fontId="28"/>
  </si>
  <si>
    <t>　　used_delivery_date_from</t>
  </si>
  <si>
    <t>中古車両納入日(From)</t>
    <phoneticPr fontId="28"/>
  </si>
  <si>
    <t>　　used_delivery_date_to</t>
  </si>
  <si>
    <t>中古車両納入日(To)</t>
    <phoneticPr fontId="28"/>
  </si>
  <si>
    <t>　　eqp_used_delivery_date_from</t>
  </si>
  <si>
    <t>EQP中古車両納入日(From)</t>
    <phoneticPr fontId="28"/>
  </si>
  <si>
    <t>　　eqp_used_delivery_date_to</t>
  </si>
  <si>
    <t>EQP中古車両納入日(To)</t>
    <phoneticPr fontId="28"/>
  </si>
  <si>
    <t>　　production_year_month_from</t>
  </si>
  <si>
    <t>製造年月(From)</t>
    <phoneticPr fontId="28"/>
  </si>
  <si>
    <t>　　production_year_month_to</t>
  </si>
  <si>
    <t>製造年月(To)</t>
    <phoneticPr fontId="28"/>
  </si>
  <si>
    <t>資産状態区分</t>
    <phoneticPr fontId="28"/>
  </si>
  <si>
    <t>-99:未指定と同等</t>
    <phoneticPr fontId="28"/>
  </si>
  <si>
    <t>資産状態(含む)</t>
    <phoneticPr fontId="28"/>
  </si>
  <si>
    <t>　　asset_owner_ids</t>
  </si>
  <si>
    <t>資産所有者ID</t>
    <phoneticPr fontId="28"/>
  </si>
  <si>
    <t>資産所有者(含む)</t>
    <phoneticPr fontId="28"/>
  </si>
  <si>
    <t>　　note_1</t>
  </si>
  <si>
    <t>備考１</t>
    <phoneticPr fontId="28"/>
  </si>
  <si>
    <t>ワイルドカード使用可能</t>
    <phoneticPr fontId="28"/>
  </si>
  <si>
    <t>備考１</t>
    <phoneticPr fontId="28"/>
  </si>
  <si>
    <t>　　note_2</t>
  </si>
  <si>
    <t>　　note_3</t>
  </si>
  <si>
    <t>　　note_4</t>
  </si>
  <si>
    <t>ワイルドカード使用可能</t>
    <phoneticPr fontId="28"/>
  </si>
  <si>
    <t>　　note_5</t>
  </si>
  <si>
    <t>ワイルドカード使用可能</t>
    <phoneticPr fontId="28"/>
  </si>
  <si>
    <t>　　class_1_ids</t>
  </si>
  <si>
    <t>分類１ID</t>
    <phoneticPr fontId="28"/>
  </si>
  <si>
    <t xml:space="preserve">-2:is null(not exists)検索/-99:未指定と同等 </t>
    <phoneticPr fontId="28"/>
  </si>
  <si>
    <t>分類1</t>
    <phoneticPr fontId="147"/>
  </si>
  <si>
    <t>　　class_2_ids</t>
  </si>
  <si>
    <t xml:space="preserve">-2:is null(not exists)検索/-99:未指定と同等 </t>
    <phoneticPr fontId="28"/>
  </si>
  <si>
    <t>分類2</t>
    <phoneticPr fontId="147"/>
  </si>
  <si>
    <t>　　class_3_ids</t>
  </si>
  <si>
    <t xml:space="preserve">-2:is null(not exists)検索/-99:未指定と同等 </t>
    <phoneticPr fontId="28"/>
  </si>
  <si>
    <t>分類3</t>
    <phoneticPr fontId="147"/>
  </si>
  <si>
    <t>　　class_4_ids</t>
  </si>
  <si>
    <t>分類4</t>
    <phoneticPr fontId="147"/>
  </si>
  <si>
    <t>　　class_5_ids</t>
  </si>
  <si>
    <t>分類5</t>
    <phoneticPr fontId="147"/>
  </si>
  <si>
    <t>　　custom_car_attribute_1_detail_ids</t>
    <phoneticPr fontId="28"/>
  </si>
  <si>
    <t>カスタム車両属性１詳細ID</t>
    <phoneticPr fontId="28"/>
  </si>
  <si>
    <t>　　custom_car_attribute_2_detail_ids</t>
  </si>
  <si>
    <t>　　custom_car_attribute_3_detail_ids</t>
  </si>
  <si>
    <t xml:space="preserve">-2:is null(not exists)検索/-99:未指定と同等 </t>
    <phoneticPr fontId="28"/>
  </si>
  <si>
    <t>　　custom_car_attribute_4_detail_ids</t>
  </si>
  <si>
    <t>　　custom_car_attribute_5_detail_ids</t>
  </si>
  <si>
    <t>　　custom_car_attribute_6_detail_ids</t>
  </si>
  <si>
    <t>　　custom_car_attribute_7_detail_ids</t>
  </si>
  <si>
    <t>　　custom_car_attribute_8_detail_ids</t>
  </si>
  <si>
    <t>　　custom_car_attribute_9_detail_ids</t>
  </si>
  <si>
    <t xml:space="preserve">-2:is null(not exists)検索/-99:未指定と同等 </t>
    <phoneticPr fontId="28"/>
  </si>
  <si>
    <t>　　custom_car_attribute_10_detail_ids</t>
  </si>
  <si>
    <t>　lock_status</t>
  </si>
  <si>
    <t>ロック状態</t>
    <phoneticPr fontId="28"/>
  </si>
  <si>
    <t>　　forced_lock_kind</t>
  </si>
  <si>
    <t>強制ロック状態区分</t>
    <phoneticPr fontId="28"/>
  </si>
  <si>
    <t>0:ロック設定なし, 1:ロック設定あり, 2:現在ロック中, 3:ロック解除要求, 4:ロック設定要求中, -99:未指定と同等</t>
    <phoneticPr fontId="28"/>
  </si>
  <si>
    <t>　　night_lock_kind</t>
  </si>
  <si>
    <t>夜間予約ロック状態区分</t>
    <phoneticPr fontId="28"/>
  </si>
  <si>
    <t>0:ロック設定なし, 1:ロック設定あり, 2:現在ロック中, 3:ロック解除要求, 4:ロック設定要求中, -99:未指定と同等</t>
    <phoneticPr fontId="28"/>
  </si>
  <si>
    <t>　　calendar_lock_kind</t>
  </si>
  <si>
    <t>カレンダ予約ロック状態区分</t>
    <phoneticPr fontId="28"/>
  </si>
  <si>
    <t>0:ロック設定なし, 1:ロック設定あり, 2:現在ロック中, 3:ロック解除要求, 4:ロック設定要求中, -99:未指定と同等</t>
    <phoneticPr fontId="28"/>
  </si>
  <si>
    <t>　latest_status</t>
  </si>
  <si>
    <t>車両最新状態</t>
    <phoneticPr fontId="28"/>
  </si>
  <si>
    <t>　　smr_from</t>
  </si>
  <si>
    <t>SMR(From)</t>
    <phoneticPr fontId="28"/>
  </si>
  <si>
    <t>　　smr_to</t>
  </si>
  <si>
    <t>SMR(To)</t>
    <phoneticPr fontId="28"/>
  </si>
  <si>
    <t>　　odometer_from</t>
  </si>
  <si>
    <t>オドメータ(From)</t>
    <phoneticPr fontId="28"/>
  </si>
  <si>
    <t>[km] or [mile]単位。X-DistanceUnitヘッダ指定単位に基づく</t>
    <phoneticPr fontId="28"/>
  </si>
  <si>
    <t>　　odometer_to</t>
  </si>
  <si>
    <t>オドメータ(To)</t>
    <phoneticPr fontId="28"/>
  </si>
  <si>
    <t>[km] or [mile]単位。X-DistanceUnitヘッダ指定単位に基づく</t>
    <phoneticPr fontId="28"/>
  </si>
  <si>
    <t>　　places</t>
  </si>
  <si>
    <t>現在地</t>
    <phoneticPr fontId="28"/>
  </si>
  <si>
    <t>現在地</t>
    <phoneticPr fontId="28"/>
  </si>
  <si>
    <t>　　place_search_method</t>
  </si>
  <si>
    <t>現在地検索方法</t>
    <phoneticPr fontId="28"/>
  </si>
  <si>
    <t>0:一致しない, 1:一致する</t>
    <phoneticPr fontId="28"/>
  </si>
  <si>
    <t>一致しない</t>
    <phoneticPr fontId="28"/>
  </si>
  <si>
    <t>　　point_bounds</t>
  </si>
  <si>
    <t>現在位置境界</t>
    <phoneticPr fontId="28"/>
  </si>
  <si>
    <t>　　　south_west_point</t>
  </si>
  <si>
    <t>南西位置(世界測地系)</t>
    <phoneticPr fontId="28"/>
  </si>
  <si>
    <t>　　　　type</t>
  </si>
  <si>
    <t>　　　　coordinates</t>
  </si>
  <si>
    <t>　　　north_east_point</t>
  </si>
  <si>
    <t>北東位置(世界測地系)</t>
    <phoneticPr fontId="28"/>
  </si>
  <si>
    <t>　　communication_date_from</t>
  </si>
  <si>
    <t>通信日(From)</t>
    <phoneticPr fontId="28"/>
  </si>
  <si>
    <t>　　communication_date_to</t>
  </si>
  <si>
    <t>通信日(To)</t>
    <phoneticPr fontId="28"/>
  </si>
  <si>
    <t>　　operator_identification_status</t>
    <phoneticPr fontId="28"/>
  </si>
  <si>
    <t>オペレータ識別状態</t>
    <phoneticPr fontId="28"/>
  </si>
  <si>
    <t>Enum:-1:未対応, 0:無効, 1:有効, 2:不明, -99:未指定と同等</t>
    <phoneticPr fontId="28"/>
  </si>
  <si>
    <t>　current_status</t>
    <phoneticPr fontId="28"/>
  </si>
  <si>
    <t>車両現在状態</t>
    <phoneticPr fontId="28"/>
  </si>
  <si>
    <t>　　engine_status_kind</t>
  </si>
  <si>
    <t>エンジン状態区分</t>
    <phoneticPr fontId="28"/>
  </si>
  <si>
    <t>Enum:[ 0:OFF, 1:ON, -99:未指定と同等 ]</t>
    <phoneticPr fontId="28"/>
  </si>
  <si>
    <t>　　caution_kind</t>
    <phoneticPr fontId="28"/>
  </si>
  <si>
    <t>コーションON/OFF区分</t>
    <phoneticPr fontId="28"/>
  </si>
  <si>
    <t>Enum:[ 0:OFF, 1:ON, -99:未指定と同等 ]</t>
    <phoneticPr fontId="28"/>
  </si>
  <si>
    <t>　current_site_ids</t>
    <phoneticPr fontId="28"/>
  </si>
  <si>
    <t>現在現場ID</t>
    <phoneticPr fontId="28"/>
  </si>
  <si>
    <t>-1:値が設定されている/ -2:値が設定されていない/ -99:未指定と同等</t>
    <phoneticPr fontId="28"/>
  </si>
  <si>
    <t>ジョブサイト（現在サイト）</t>
    <phoneticPr fontId="28"/>
  </si>
  <si>
    <t>selected_car_ids</t>
  </si>
  <si>
    <t>選択済み車両ID</t>
    <phoneticPr fontId="28"/>
  </si>
  <si>
    <t>顧客組織コード</t>
    <rPh sb="0" eb="2">
      <t>コキャク</t>
    </rPh>
    <rPh sb="2" eb="4">
      <t>ソシキ</t>
    </rPh>
    <phoneticPr fontId="28"/>
  </si>
  <si>
    <t>　　maker_codes</t>
    <phoneticPr fontId="28"/>
  </si>
  <si>
    <t>　　types</t>
    <phoneticPr fontId="28"/>
  </si>
  <si>
    <t>　komtrax_unit</t>
    <phoneticPr fontId="28"/>
  </si>
  <si>
    <t>　　type_revs</t>
    <phoneticPr fontId="28"/>
  </si>
  <si>
    <t>　　serials</t>
    <phoneticPr fontId="28"/>
  </si>
  <si>
    <t>　　model_type_revs</t>
    <phoneticPr fontId="28"/>
  </si>
  <si>
    <t>　　id</t>
    <phoneticPr fontId="28"/>
  </si>
  <si>
    <t>　target_car_group</t>
    <phoneticPr fontId="28"/>
  </si>
  <si>
    <t>　support_distributor</t>
    <phoneticPr fontId="28"/>
  </si>
  <si>
    <t>　service_distributor</t>
    <phoneticPr fontId="28"/>
  </si>
  <si>
    <t>　customer</t>
    <phoneticPr fontId="28"/>
  </si>
  <si>
    <t>　　sub_group_ids</t>
    <phoneticPr fontId="28"/>
  </si>
  <si>
    <t>　user_permission</t>
    <phoneticPr fontId="28"/>
  </si>
  <si>
    <t>　customer_attribute</t>
    <phoneticPr fontId="28"/>
  </si>
  <si>
    <t>　distributor_attribute</t>
    <phoneticPr fontId="28"/>
  </si>
  <si>
    <t>　　asset_status_kinds</t>
    <phoneticPr fontId="28"/>
  </si>
  <si>
    <t>降順（アイコン▼）
※ヘッダ項目昇順時</t>
    <rPh sb="0" eb="2">
      <t>コウジュン</t>
    </rPh>
    <rPh sb="14" eb="16">
      <t>コウモク</t>
    </rPh>
    <rPh sb="16" eb="18">
      <t>ショウジュン</t>
    </rPh>
    <rPh sb="18" eb="19">
      <t>ジ</t>
    </rPh>
    <phoneticPr fontId="28"/>
  </si>
  <si>
    <t>昇順（アイコン▲）
※ヘッダ項目降順時</t>
    <rPh sb="0" eb="2">
      <t>ショウジュン</t>
    </rPh>
    <rPh sb="16" eb="18">
      <t>コウジュン</t>
    </rPh>
    <rPh sb="18" eb="19">
      <t>ジ</t>
    </rPh>
    <phoneticPr fontId="28"/>
  </si>
  <si>
    <t>車両一覧取得API
呼び出し（リクエストパラメータで確認：chromeのみ）</t>
    <rPh sb="26" eb="28">
      <t>カクニン</t>
    </rPh>
    <phoneticPr fontId="28"/>
  </si>
  <si>
    <t>別シート"リクエストパラメータチェックシート：指定項目リソース取得API "参照</t>
    <rPh sb="0" eb="1">
      <t>ベツ</t>
    </rPh>
    <rPh sb="38" eb="40">
      <t>サンショウ</t>
    </rPh>
    <phoneticPr fontId="47"/>
  </si>
  <si>
    <t>指定項目リソース取得API 　（get: /applications/fields/resources）</t>
    <rPh sb="8" eb="10">
      <t>シュトク</t>
    </rPh>
    <phoneticPr fontId="28"/>
  </si>
  <si>
    <t>query</t>
    <phoneticPr fontId="28"/>
  </si>
  <si>
    <t xml:space="preserve">search_parameter </t>
    <phoneticPr fontId="28"/>
  </si>
  <si>
    <t>絞り込み条件</t>
    <phoneticPr fontId="28"/>
  </si>
  <si>
    <t>車両（大項目5）のレイアウト編集画面（中項目）でテスト結果を確認する</t>
    <rPh sb="0" eb="2">
      <t>シャリョウ</t>
    </rPh>
    <rPh sb="3" eb="6">
      <t>ダイコウモク</t>
    </rPh>
    <rPh sb="14" eb="16">
      <t>ヘンシュウ</t>
    </rPh>
    <rPh sb="16" eb="18">
      <t>ガメン</t>
    </rPh>
    <rPh sb="19" eb="20">
      <t>チュウ</t>
    </rPh>
    <rPh sb="20" eb="22">
      <t>コウモク</t>
    </rPh>
    <rPh sb="27" eb="29">
      <t>ケッカ</t>
    </rPh>
    <rPh sb="30" eb="32">
      <t>カクニン</t>
    </rPh>
    <phoneticPr fontId="28"/>
  </si>
  <si>
    <t>リクエストパラメータ　確認①</t>
    <rPh sb="11" eb="13">
      <t>カクニン</t>
    </rPh>
    <phoneticPr fontId="47"/>
  </si>
  <si>
    <t>別シート"リクエストパラメータチェックシートリソース取得API"参照</t>
    <phoneticPr fontId="28"/>
  </si>
  <si>
    <t>注目車両グループ</t>
    <phoneticPr fontId="28"/>
  </si>
  <si>
    <t>機種-型式</t>
  </si>
  <si>
    <t>現地名</t>
    <rPh sb="0" eb="2">
      <t>ゲンチ</t>
    </rPh>
    <phoneticPr fontId="28"/>
  </si>
  <si>
    <t>現在地（プルダウン）</t>
    <phoneticPr fontId="28"/>
  </si>
  <si>
    <t>現在地（テキスト）</t>
    <phoneticPr fontId="28"/>
  </si>
  <si>
    <t>サブグループ</t>
    <phoneticPr fontId="28"/>
  </si>
  <si>
    <t>新車/中古車</t>
    <phoneticPr fontId="28"/>
  </si>
  <si>
    <t>条件の選択</t>
    <phoneticPr fontId="28"/>
  </si>
  <si>
    <t>車両種類</t>
    <phoneticPr fontId="28"/>
  </si>
  <si>
    <t>指定項目取得APIで取得した一覧のヘッダ情報が表示されていること</t>
    <rPh sb="0" eb="2">
      <t>シテイ</t>
    </rPh>
    <rPh sb="2" eb="4">
      <t>コウモク</t>
    </rPh>
    <rPh sb="4" eb="6">
      <t>シュトク</t>
    </rPh>
    <rPh sb="10" eb="12">
      <t>シュトク</t>
    </rPh>
    <rPh sb="14" eb="16">
      <t>イチラン</t>
    </rPh>
    <rPh sb="20" eb="22">
      <t>ジョウホウ</t>
    </rPh>
    <rPh sb="23" eb="25">
      <t>ヒョウジ</t>
    </rPh>
    <phoneticPr fontId="47"/>
  </si>
  <si>
    <t>指定項目取得APで取得した一覧のヘッダ情報が表示されていること</t>
    <rPh sb="0" eb="2">
      <t>シテイ</t>
    </rPh>
    <rPh sb="2" eb="4">
      <t>コウモク</t>
    </rPh>
    <rPh sb="4" eb="6">
      <t>シュトク</t>
    </rPh>
    <rPh sb="9" eb="11">
      <t>シュトク</t>
    </rPh>
    <rPh sb="13" eb="15">
      <t>イチラン</t>
    </rPh>
    <rPh sb="19" eb="21">
      <t>ジョウホウ</t>
    </rPh>
    <rPh sb="22" eb="24">
      <t>ヒョウジ</t>
    </rPh>
    <phoneticPr fontId="47"/>
  </si>
  <si>
    <t>リソ+D125:G125ース取得API で取得した値がセットされていること</t>
    <rPh sb="0" eb="2">
      <t>コキャク</t>
    </rPh>
    <phoneticPr fontId="28"/>
  </si>
  <si>
    <t>別シート"リクエストパラメータチェックシート：リソース取得API"参照</t>
    <phoneticPr fontId="28"/>
  </si>
  <si>
    <t>-</t>
    <phoneticPr fontId="28"/>
  </si>
  <si>
    <t>クリック（顧客入力時）</t>
    <rPh sb="5" eb="7">
      <t>コキャク</t>
    </rPh>
    <rPh sb="7" eb="9">
      <t>ニュウリョク</t>
    </rPh>
    <rPh sb="9" eb="10">
      <t>ジ</t>
    </rPh>
    <phoneticPr fontId="28"/>
  </si>
  <si>
    <t>ホーム画面（前ページ）に戻ること</t>
    <rPh sb="3" eb="5">
      <t>ガメン</t>
    </rPh>
    <rPh sb="6" eb="7">
      <t>マエ</t>
    </rPh>
    <rPh sb="12" eb="13">
      <t>モド</t>
    </rPh>
    <phoneticPr fontId="28"/>
  </si>
  <si>
    <t>１度押したら、LOADING画像が表示されること</t>
    <rPh sb="1" eb="2">
      <t>ド</t>
    </rPh>
    <rPh sb="2" eb="3">
      <t>オ</t>
    </rPh>
    <rPh sb="14" eb="16">
      <t>ガゾウ</t>
    </rPh>
    <rPh sb="17" eb="19">
      <t>ヒョウジ</t>
    </rPh>
    <phoneticPr fontId="28"/>
  </si>
  <si>
    <t>検索ボタンクリック時</t>
    <rPh sb="0" eb="2">
      <t>ケンサク</t>
    </rPh>
    <rPh sb="9" eb="10">
      <t>ジ</t>
    </rPh>
    <phoneticPr fontId="28"/>
  </si>
  <si>
    <t>検索条件保管ボタンクリック時</t>
    <rPh sb="0" eb="2">
      <t>ケンサク</t>
    </rPh>
    <rPh sb="2" eb="4">
      <t>ジョウケン</t>
    </rPh>
    <rPh sb="4" eb="6">
      <t>ホカン</t>
    </rPh>
    <phoneticPr fontId="28"/>
  </si>
  <si>
    <t>OKボタンクリック時</t>
    <rPh sb="9" eb="10">
      <t>ジ</t>
    </rPh>
    <phoneticPr fontId="28"/>
  </si>
  <si>
    <t>塚田</t>
    <rPh sb="0" eb="2">
      <t>ツカダ</t>
    </rPh>
    <phoneticPr fontId="28"/>
  </si>
  <si>
    <t>唐鎌</t>
    <rPh sb="0" eb="2">
      <t>カラカマ</t>
    </rPh>
    <phoneticPr fontId="28"/>
  </si>
  <si>
    <t>増田</t>
    <rPh sb="0" eb="2">
      <t>マスダ</t>
    </rPh>
    <phoneticPr fontId="28"/>
  </si>
  <si>
    <t>結合テスト仕様書　車両（プロファイル）</t>
    <rPh sb="0" eb="2">
      <t>ケツゴウ</t>
    </rPh>
    <rPh sb="5" eb="7">
      <t>シヨウ</t>
    </rPh>
    <rPh sb="7" eb="8">
      <t>ショ</t>
    </rPh>
    <rPh sb="9" eb="11">
      <t>シャリョウ</t>
    </rPh>
    <phoneticPr fontId="14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</si>
</sst>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52">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11"/>
      <color rgb="FFFF0000"/>
      <name val="ＭＳ Ｐゴシック"/>
      <family val="3"/>
      <charset val="128"/>
    </font>
    <font>
      <sz val="10"/>
      <color theme="1"/>
      <name val="ＭＳ Ｐゴシック"/>
      <family val="3"/>
      <charset val="128"/>
    </font>
    <font>
      <sz val="10"/>
      <name val="ＭＳ Ｐゴシック"/>
      <family val="3"/>
      <charset val="128"/>
    </font>
    <font>
      <sz val="9"/>
      <color rgb="FF333333"/>
      <name val="Arial"/>
      <family val="2"/>
    </font>
  </fonts>
  <fills count="65">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49998474074526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96">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0" fillId="0" borderId="0" xfId="0" applyAlignment="1"/>
    <xf numFmtId="0" fontId="0" fillId="61" borderId="3" xfId="0" applyFill="1" applyBorder="1"/>
    <xf numFmtId="0" fontId="23" fillId="0" borderId="0" xfId="0" applyFont="1" applyAlignment="1">
      <alignment vertical="top" wrapText="1"/>
    </xf>
    <xf numFmtId="0" fontId="0" fillId="0" borderId="3" xfId="0" applyFont="1" applyBorder="1" applyAlignment="1">
      <alignment vertical="top" wrapText="1"/>
    </xf>
    <xf numFmtId="0" fontId="0" fillId="0" borderId="3" xfId="0" applyBorder="1"/>
    <xf numFmtId="0" fontId="0" fillId="0" borderId="0" xfId="0" applyFont="1" applyFill="1" applyBorder="1" applyAlignment="1">
      <alignment vertical="top"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60" borderId="3" xfId="210" applyFont="1" applyFill="1" applyBorder="1" applyAlignment="1">
      <alignment horizontal="left" vertical="center"/>
    </xf>
    <xf numFmtId="0" fontId="91" fillId="60" borderId="3"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0" borderId="3" xfId="0" applyBorder="1" applyAlignment="1">
      <alignment wrapText="1"/>
    </xf>
    <xf numFmtId="0" fontId="0" fillId="0" borderId="0" xfId="0" applyFont="1" applyBorder="1" applyAlignment="1">
      <alignment vertical="top" wrapText="1"/>
    </xf>
    <xf numFmtId="0" fontId="0" fillId="0" borderId="0" xfId="0" applyBorder="1"/>
    <xf numFmtId="0" fontId="91" fillId="0" borderId="3" xfId="210" applyFont="1" applyFill="1" applyBorder="1" applyAlignment="1">
      <alignment horizontal="left" vertical="center" indent="2"/>
    </xf>
    <xf numFmtId="0" fontId="91" fillId="0" borderId="3" xfId="210" applyFont="1" applyFill="1" applyBorder="1" applyAlignment="1">
      <alignment horizontal="left" vertical="center" wrapText="1" indent="2"/>
    </xf>
    <xf numFmtId="0" fontId="91" fillId="60" borderId="17" xfId="210" applyFont="1" applyFill="1" applyBorder="1" applyAlignment="1">
      <alignment horizontal="center" vertical="center"/>
    </xf>
    <xf numFmtId="14" fontId="91" fillId="60" borderId="17" xfId="210" applyNumberFormat="1" applyFont="1" applyFill="1" applyBorder="1" applyAlignment="1">
      <alignment horizontal="center" vertical="center"/>
    </xf>
    <xf numFmtId="0" fontId="91" fillId="0" borderId="17" xfId="210" applyFont="1" applyFill="1" applyBorder="1" applyAlignment="1">
      <alignment vertical="center"/>
    </xf>
    <xf numFmtId="0" fontId="91" fillId="60" borderId="17" xfId="210" applyFont="1" applyFill="1" applyBorder="1" applyAlignment="1">
      <alignment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17" xfId="210" applyFont="1" applyFill="1" applyBorder="1" applyAlignment="1">
      <alignment horizontal="left" vertical="center"/>
    </xf>
    <xf numFmtId="0" fontId="91" fillId="0" borderId="0" xfId="210" applyFont="1" applyFill="1" applyBorder="1" applyAlignment="1">
      <alignment horizontal="center" vertical="center"/>
    </xf>
    <xf numFmtId="0" fontId="0" fillId="0" borderId="0" xfId="0" applyAlignment="1">
      <alignment horizontal="left"/>
    </xf>
    <xf numFmtId="0" fontId="0" fillId="60" borderId="3" xfId="0" applyFont="1" applyFill="1" applyBorder="1" applyAlignment="1">
      <alignment vertical="top" wrapText="1"/>
    </xf>
    <xf numFmtId="0" fontId="0" fillId="0" borderId="0" xfId="0" applyAlignment="1">
      <alignment vertical="top" wrapText="1"/>
    </xf>
    <xf numFmtId="0" fontId="0" fillId="0" borderId="56" xfId="0" applyFont="1" applyBorder="1" applyAlignment="1">
      <alignment vertical="top" wrapText="1"/>
    </xf>
    <xf numFmtId="0" fontId="0" fillId="60" borderId="56" xfId="0" applyFont="1" applyFill="1" applyBorder="1" applyAlignment="1">
      <alignment vertical="top" wrapText="1"/>
    </xf>
    <xf numFmtId="0" fontId="0" fillId="60" borderId="0" xfId="0" applyFont="1" applyFill="1" applyBorder="1" applyAlignment="1">
      <alignment vertical="top" wrapText="1"/>
    </xf>
    <xf numFmtId="0" fontId="0" fillId="0" borderId="3" xfId="0" applyFill="1" applyBorder="1"/>
    <xf numFmtId="0" fontId="0" fillId="0" borderId="3" xfId="0" quotePrefix="1" applyBorder="1" applyAlignment="1">
      <alignment wrapText="1"/>
    </xf>
    <xf numFmtId="0" fontId="148" fillId="0" borderId="0" xfId="0" applyFont="1" applyFill="1" applyBorder="1" applyAlignment="1">
      <alignment vertical="top" wrapText="1"/>
    </xf>
    <xf numFmtId="0" fontId="0" fillId="61" borderId="3" xfId="0" applyFill="1" applyBorder="1" applyAlignment="1">
      <alignment horizontal="center" vertical="center" wrapText="1"/>
    </xf>
    <xf numFmtId="0" fontId="91" fillId="0" borderId="18" xfId="210" applyFont="1" applyFill="1" applyBorder="1" applyAlignment="1">
      <alignment horizontal="center" vertical="center"/>
    </xf>
    <xf numFmtId="0" fontId="91" fillId="0" borderId="65" xfId="210" applyFont="1" applyFill="1" applyBorder="1" applyAlignment="1">
      <alignment horizontal="center" vertical="center"/>
    </xf>
    <xf numFmtId="0" fontId="91" fillId="2" borderId="3" xfId="210" applyFont="1" applyFill="1" applyBorder="1" applyAlignment="1">
      <alignment horizontal="center" vertical="center"/>
    </xf>
    <xf numFmtId="0" fontId="91" fillId="59" borderId="3" xfId="210" applyFont="1" applyFill="1" applyBorder="1" applyAlignment="1">
      <alignment horizontal="center" vertical="center"/>
    </xf>
    <xf numFmtId="0" fontId="0" fillId="61" borderId="3" xfId="0" applyFill="1" applyBorder="1" applyAlignment="1">
      <alignment horizontal="center" vertical="center"/>
    </xf>
    <xf numFmtId="0" fontId="91" fillId="2" borderId="3" xfId="210" applyFont="1" applyFill="1" applyBorder="1" applyAlignment="1">
      <alignment horizontal="center" vertical="center"/>
    </xf>
    <xf numFmtId="0" fontId="91" fillId="59"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62" borderId="17" xfId="210" applyFont="1" applyFill="1" applyBorder="1" applyAlignment="1">
      <alignment horizontal="center" vertical="center"/>
    </xf>
    <xf numFmtId="14" fontId="91" fillId="62" borderId="17" xfId="210" applyNumberFormat="1" applyFont="1" applyFill="1" applyBorder="1" applyAlignment="1">
      <alignment horizontal="center" vertical="center"/>
    </xf>
    <xf numFmtId="0" fontId="91" fillId="0" borderId="0" xfId="210" applyFont="1" applyFill="1" applyBorder="1" applyAlignment="1">
      <alignment horizontal="center" vertical="center"/>
    </xf>
    <xf numFmtId="0" fontId="0" fillId="0" borderId="3" xfId="0" applyFont="1" applyBorder="1" applyAlignment="1">
      <alignment vertical="center" wrapText="1"/>
    </xf>
    <xf numFmtId="0" fontId="91" fillId="0" borderId="0" xfId="210" applyFont="1" applyFill="1" applyBorder="1" applyAlignment="1">
      <alignment horizontal="center" vertical="center"/>
    </xf>
    <xf numFmtId="0" fontId="0" fillId="63" borderId="3" xfId="0" applyFill="1" applyBorder="1"/>
    <xf numFmtId="0" fontId="0" fillId="60" borderId="3" xfId="0" applyFill="1" applyBorder="1"/>
    <xf numFmtId="0" fontId="0" fillId="60" borderId="0" xfId="0" applyFill="1" applyBorder="1"/>
    <xf numFmtId="0" fontId="91" fillId="0" borderId="3" xfId="210" applyNumberFormat="1" applyFont="1" applyFill="1" applyBorder="1" applyAlignment="1">
      <alignment horizontal="center" vertical="center"/>
    </xf>
    <xf numFmtId="0" fontId="91" fillId="60" borderId="3" xfId="210" applyFont="1" applyFill="1" applyBorder="1" applyAlignment="1">
      <alignment vertical="center" wrapText="1"/>
    </xf>
    <xf numFmtId="0" fontId="0" fillId="0" borderId="0" xfId="0" applyAlignment="1">
      <alignment wrapText="1"/>
    </xf>
    <xf numFmtId="0" fontId="0" fillId="61" borderId="3" xfId="0" applyFill="1" applyBorder="1" applyAlignment="1">
      <alignment wrapText="1"/>
    </xf>
    <xf numFmtId="0" fontId="0" fillId="0" borderId="0" xfId="0" applyBorder="1" applyAlignment="1">
      <alignment wrapText="1"/>
    </xf>
    <xf numFmtId="0" fontId="0" fillId="0" borderId="3" xfId="0" applyFill="1" applyBorder="1" applyAlignment="1">
      <alignment wrapText="1"/>
    </xf>
    <xf numFmtId="0" fontId="0" fillId="0" borderId="56" xfId="0" applyBorder="1" applyAlignment="1">
      <alignment wrapText="1"/>
    </xf>
    <xf numFmtId="0" fontId="0" fillId="63" borderId="0" xfId="0" applyFill="1" applyAlignment="1">
      <alignment horizont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17" xfId="210" applyFont="1" applyFill="1" applyBorder="1" applyAlignment="1">
      <alignment horizontal="center" vertical="center" wrapText="1"/>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2" borderId="3" xfId="210" applyFont="1" applyFill="1" applyBorder="1" applyAlignment="1">
      <alignment horizontal="center" vertical="center"/>
    </xf>
    <xf numFmtId="0" fontId="91" fillId="59" borderId="3" xfId="210" applyFont="1" applyFill="1" applyBorder="1" applyAlignment="1">
      <alignment horizontal="center" vertical="center"/>
    </xf>
    <xf numFmtId="0" fontId="0" fillId="61" borderId="3" xfId="0" applyFill="1" applyBorder="1" applyAlignment="1">
      <alignment horizontal="center" vertical="center"/>
    </xf>
    <xf numFmtId="0" fontId="91" fillId="60" borderId="3" xfId="210" applyNumberFormat="1" applyFont="1" applyFill="1" applyBorder="1" applyAlignment="1">
      <alignment horizontal="center" vertical="center"/>
    </xf>
    <xf numFmtId="0" fontId="0" fillId="63" borderId="3" xfId="0" applyFill="1" applyBorder="1" applyAlignment="1">
      <alignment horizontal="center" vertical="center"/>
    </xf>
    <xf numFmtId="0" fontId="0" fillId="60" borderId="3" xfId="0" applyFill="1" applyBorder="1" applyAlignment="1">
      <alignment horizontal="center" vertical="center"/>
    </xf>
    <xf numFmtId="0" fontId="149" fillId="60" borderId="3" xfId="0" applyFont="1" applyFill="1" applyBorder="1" applyAlignment="1">
      <alignment vertical="center"/>
    </xf>
    <xf numFmtId="0" fontId="150" fillId="60" borderId="3" xfId="0" applyFont="1" applyFill="1" applyBorder="1" applyAlignment="1">
      <alignment vertical="center"/>
    </xf>
    <xf numFmtId="0" fontId="0" fillId="64" borderId="3" xfId="0" applyFill="1" applyBorder="1"/>
    <xf numFmtId="0" fontId="0" fillId="60" borderId="83" xfId="0" applyFill="1" applyBorder="1" applyAlignment="1">
      <alignment vertical="center" wrapText="1"/>
    </xf>
    <xf numFmtId="0" fontId="0" fillId="60" borderId="21" xfId="0" applyFill="1" applyBorder="1" applyAlignment="1">
      <alignment vertical="center" wrapText="1"/>
    </xf>
    <xf numFmtId="0" fontId="0" fillId="60" borderId="17" xfId="0" applyFill="1" applyBorder="1" applyAlignment="1">
      <alignment vertical="center" wrapText="1"/>
    </xf>
    <xf numFmtId="0" fontId="91" fillId="0" borderId="0" xfId="210" applyFont="1" applyFill="1" applyBorder="1" applyAlignment="1">
      <alignment horizontal="center" vertical="center"/>
    </xf>
    <xf numFmtId="0" fontId="91" fillId="64" borderId="17" xfId="210" applyFont="1" applyFill="1" applyBorder="1" applyAlignment="1">
      <alignment horizontal="center" vertical="center"/>
    </xf>
    <xf numFmtId="14" fontId="91" fillId="64" borderId="17" xfId="210" applyNumberFormat="1" applyFont="1" applyFill="1" applyBorder="1" applyAlignment="1">
      <alignment horizontal="center" vertical="center"/>
    </xf>
    <xf numFmtId="0" fontId="91" fillId="62" borderId="3" xfId="210" applyNumberFormat="1" applyFont="1" applyFill="1" applyBorder="1" applyAlignment="1">
      <alignment horizontal="center" vertical="center"/>
    </xf>
    <xf numFmtId="0" fontId="91" fillId="62" borderId="3" xfId="210" applyFont="1" applyFill="1" applyBorder="1" applyAlignment="1">
      <alignment horizontal="left" vertical="center"/>
    </xf>
    <xf numFmtId="0" fontId="91" fillId="62" borderId="3" xfId="210" applyFont="1" applyFill="1" applyBorder="1" applyAlignment="1">
      <alignment horizontal="center" vertical="center"/>
    </xf>
    <xf numFmtId="0" fontId="48" fillId="0" borderId="17" xfId="210" applyFont="1" applyFill="1" applyBorder="1" applyAlignment="1">
      <alignment horizontal="center" vertical="center"/>
    </xf>
    <xf numFmtId="14" fontId="48" fillId="0" borderId="17" xfId="210" applyNumberFormat="1" applyFont="1" applyFill="1" applyBorder="1" applyAlignment="1">
      <alignment horizontal="center" vertical="center"/>
    </xf>
    <xf numFmtId="0" fontId="48" fillId="0" borderId="17" xfId="210" applyFont="1" applyFill="1" applyBorder="1" applyAlignment="1">
      <alignment horizontal="center" vertical="center" wrapText="1"/>
    </xf>
    <xf numFmtId="0" fontId="91" fillId="62" borderId="17" xfId="210" applyFont="1" applyFill="1" applyBorder="1" applyAlignment="1">
      <alignment horizontal="center" vertical="center" wrapText="1"/>
    </xf>
    <xf numFmtId="0" fontId="91" fillId="62" borderId="3" xfId="210" applyFont="1" applyFill="1" applyBorder="1" applyAlignment="1">
      <alignment horizontal="left" vertical="center" wrapText="1"/>
    </xf>
    <xf numFmtId="0" fontId="48" fillId="0" borderId="3" xfId="210" applyFont="1" applyFill="1" applyBorder="1" applyAlignment="1">
      <alignment horizontal="left" vertical="center"/>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64" borderId="3" xfId="210" applyNumberFormat="1" applyFont="1" applyFill="1" applyBorder="1" applyAlignment="1">
      <alignment horizontal="center" vertical="center"/>
    </xf>
    <xf numFmtId="0" fontId="91" fillId="64" borderId="3" xfId="210" applyFont="1" applyFill="1" applyBorder="1" applyAlignment="1">
      <alignment vertical="center" wrapText="1"/>
    </xf>
    <xf numFmtId="0" fontId="91" fillId="64" borderId="17" xfId="210" applyFont="1" applyFill="1" applyBorder="1" applyAlignment="1">
      <alignment vertical="center"/>
    </xf>
    <xf numFmtId="0" fontId="91" fillId="64" borderId="3" xfId="210" applyFont="1" applyFill="1" applyBorder="1" applyAlignment="1">
      <alignment horizontal="left" vertical="center"/>
    </xf>
    <xf numFmtId="0" fontId="91" fillId="64" borderId="3" xfId="210" applyFont="1" applyFill="1" applyBorder="1" applyAlignment="1">
      <alignment horizontal="center" vertical="center"/>
    </xf>
    <xf numFmtId="0" fontId="151" fillId="0" borderId="0" xfId="0" applyFont="1" applyFill="1"/>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7" xfId="886" applyNumberFormat="1" applyBorder="1" applyAlignment="1">
      <alignment horizontal="right" vertical="center"/>
    </xf>
    <xf numFmtId="201" fontId="84" fillId="0" borderId="78" xfId="886" applyNumberFormat="1" applyBorder="1" applyAlignment="1">
      <alignment horizontal="right" vertical="center"/>
    </xf>
    <xf numFmtId="0" fontId="0" fillId="0" borderId="77" xfId="0" applyBorder="1"/>
    <xf numFmtId="0" fontId="0" fillId="0" borderId="78" xfId="0" applyBorder="1"/>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201" fontId="84" fillId="0" borderId="76" xfId="886" applyNumberFormat="1" applyBorder="1" applyAlignment="1">
      <alignment horizontal="right" vertical="center"/>
    </xf>
    <xf numFmtId="0" fontId="91" fillId="60" borderId="18" xfId="210" applyFont="1" applyFill="1" applyBorder="1" applyAlignment="1">
      <alignment vertical="center" wrapText="1"/>
    </xf>
    <xf numFmtId="0" fontId="91" fillId="60" borderId="20" xfId="210" applyFont="1" applyFill="1" applyBorder="1" applyAlignment="1">
      <alignment vertical="center" wrapText="1"/>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0" borderId="18" xfId="210" applyFont="1" applyFill="1" applyBorder="1" applyAlignment="1">
      <alignment vertical="center" wrapText="1"/>
    </xf>
    <xf numFmtId="0" fontId="91" fillId="0" borderId="20" xfId="210" applyFont="1" applyFill="1" applyBorder="1" applyAlignment="1">
      <alignment vertical="center" wrapText="1"/>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2" borderId="3"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59" borderId="3" xfId="210" applyFont="1" applyFill="1" applyBorder="1" applyAlignment="1">
      <alignment horizontal="center" vertical="center"/>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2" borderId="83" xfId="210" applyFont="1" applyFill="1" applyBorder="1" applyAlignment="1">
      <alignment horizontal="center" vertical="center"/>
    </xf>
    <xf numFmtId="0" fontId="91" fillId="62" borderId="18" xfId="210" applyFont="1" applyFill="1" applyBorder="1" applyAlignment="1">
      <alignment horizontal="left" vertical="center" wrapText="1"/>
    </xf>
    <xf numFmtId="0" fontId="91" fillId="62" borderId="20" xfId="210" applyFont="1" applyFill="1" applyBorder="1" applyAlignment="1">
      <alignment horizontal="left" vertical="center" wrapText="1"/>
    </xf>
    <xf numFmtId="0" fontId="91" fillId="62" borderId="18" xfId="210" applyFont="1" applyFill="1" applyBorder="1" applyAlignment="1">
      <alignment vertical="center" wrapText="1"/>
    </xf>
    <xf numFmtId="0" fontId="91" fillId="62" borderId="20" xfId="210" applyFont="1" applyFill="1" applyBorder="1" applyAlignment="1">
      <alignment vertical="center" wrapText="1"/>
    </xf>
    <xf numFmtId="0" fontId="91" fillId="64" borderId="18" xfId="210" applyFont="1" applyFill="1" applyBorder="1" applyAlignment="1">
      <alignment horizontal="left" vertical="center" wrapText="1"/>
    </xf>
    <xf numFmtId="0" fontId="91" fillId="64" borderId="20" xfId="210" applyFont="1" applyFill="1" applyBorder="1" applyAlignment="1">
      <alignment horizontal="left" vertical="center" wrapText="1"/>
    </xf>
    <xf numFmtId="0" fontId="0" fillId="61" borderId="3" xfId="0" applyFill="1" applyBorder="1" applyAlignment="1">
      <alignment horizontal="center" vertical="center"/>
    </xf>
    <xf numFmtId="0" fontId="0" fillId="61" borderId="3" xfId="0" applyFill="1" applyBorder="1" applyAlignment="1">
      <alignment horizontal="center"/>
    </xf>
    <xf numFmtId="0" fontId="91" fillId="2" borderId="3" xfId="210" applyFont="1" applyFill="1" applyBorder="1" applyAlignment="1">
      <alignment horizontal="center" vertical="center" wrapText="1"/>
    </xf>
    <xf numFmtId="0" fontId="0" fillId="60" borderId="3" xfId="0" applyFill="1" applyBorder="1" applyAlignment="1">
      <alignment horizontal="center" vertical="center" wrapText="1"/>
    </xf>
    <xf numFmtId="0" fontId="0" fillId="0" borderId="0" xfId="0" applyFont="1" applyFill="1" applyBorder="1" applyAlignment="1">
      <alignment horizontal="left" vertical="top" wrapText="1"/>
    </xf>
    <xf numFmtId="49" fontId="91" fillId="2" borderId="19" xfId="210" applyNumberFormat="1" applyFont="1" applyFill="1" applyBorder="1" applyAlignment="1">
      <alignment horizontal="center" vertical="center"/>
    </xf>
    <xf numFmtId="0" fontId="91" fillId="2" borderId="19" xfId="210"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1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CA_ZFBBR001（請求書）＿"/>
      <sheetName val="DATA-COMMUNICATION-FORMAT"/>
      <sheetName val="実施スケジュール"/>
      <sheetName val="I-O FLOW"/>
      <sheetName val="入力"/>
      <sheetName val="設定"/>
      <sheetName val="W Claim smt2"/>
      <sheetName val="Claim ratio smt I"/>
      <sheetName val="TableDesign"/>
      <sheetName val="Graphs"/>
      <sheetName val="工数詳細（ＲＤ・ＥＤ）"/>
      <sheetName val="社員リスト"/>
      <sheetName val="処理概説"/>
      <sheetName val="データブロックの各ヘッダサイズ"/>
      <sheetName val="ブロックサイズ"/>
      <sheetName val="エントリサイズ"/>
      <sheetName val="Datasheet"/>
      <sheetName val="ZAAM取り込み"/>
      <sheetName val="README"/>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CA_ZFBC001(自動入金消込：仮受金自動計上部）"/>
      <sheetName val="W Claim smt2"/>
      <sheetName val="Claim ratio smt I"/>
      <sheetName val="DATA-COMMUNICATION-FORMAT"/>
      <sheetName val="TableDesign"/>
      <sheetName val="実施スケジュール"/>
      <sheetName val="油圧馬力"/>
      <sheetName val="CA_ZFBC001(自動入金消込_仮受金自動計上部）"/>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ZAAM取り込み"/>
      <sheetName val="I-O FLOW"/>
      <sheetName val="Dictionary"/>
      <sheetName val="ENG完品"/>
      <sheetName val="W Claim smt2"/>
      <sheetName val="SALES"/>
      <sheetName val="GLOBAL1"/>
      <sheetName val="Overview"/>
      <sheetName val="General Assumptions"/>
      <sheetName val="TaskCounter"/>
      <sheetName val="Job Code"/>
      <sheetName val="README"/>
      <sheetName val="新旧対照"/>
      <sheetName val="実施スケジュー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4:FL40"/>
  <sheetViews>
    <sheetView showGridLines="0" tabSelected="1" zoomScaleNormal="100" zoomScaleSheetLayoutView="85" workbookViewId="0"/>
  </sheetViews>
  <sheetFormatPr defaultColWidth="0.75" defaultRowHeight="12"/>
  <cols>
    <col min="1" max="16384" width="0.75" style="61"/>
  </cols>
  <sheetData>
    <row r="4" spans="1:168" ht="13.5">
      <c r="EM4" s="240"/>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row>
    <row r="5" spans="1:168">
      <c r="A5" s="62"/>
      <c r="B5" s="62"/>
      <c r="C5" s="62"/>
      <c r="D5" s="62"/>
      <c r="E5" s="62"/>
      <c r="F5" s="62"/>
      <c r="G5" s="62"/>
      <c r="H5" s="62"/>
      <c r="I5" s="242" t="s">
        <v>63</v>
      </c>
      <c r="J5" s="242"/>
      <c r="K5" s="242"/>
      <c r="L5" s="242"/>
      <c r="M5" s="242"/>
      <c r="N5" s="242"/>
      <c r="O5" s="242"/>
      <c r="P5" s="242"/>
      <c r="Q5" s="242"/>
      <c r="R5" s="242"/>
      <c r="S5" s="242"/>
      <c r="T5" s="242"/>
      <c r="U5" s="242"/>
      <c r="V5" s="242"/>
      <c r="W5" s="242"/>
      <c r="X5" s="242"/>
      <c r="Y5" s="242"/>
      <c r="Z5" s="242"/>
      <c r="AA5" s="242"/>
      <c r="AB5" s="242"/>
      <c r="AC5" s="242"/>
      <c r="AD5" s="242"/>
      <c r="AE5" s="242"/>
      <c r="AF5" s="242"/>
      <c r="AG5" s="242"/>
      <c r="AH5" s="242"/>
      <c r="AI5" s="242"/>
      <c r="AJ5" s="242"/>
      <c r="AK5" s="242"/>
      <c r="AL5" s="242"/>
      <c r="AM5" s="242"/>
      <c r="AN5" s="242"/>
      <c r="AO5" s="242"/>
      <c r="AP5" s="242"/>
      <c r="AQ5" s="242"/>
      <c r="AR5" s="242"/>
      <c r="AS5" s="242"/>
      <c r="AT5" s="242"/>
      <c r="AU5" s="242"/>
      <c r="AV5" s="242"/>
      <c r="AW5" s="242"/>
      <c r="AX5" s="242"/>
      <c r="AY5" s="242"/>
      <c r="AZ5" s="242"/>
      <c r="BA5" s="242"/>
      <c r="BB5" s="242"/>
      <c r="BC5" s="242"/>
      <c r="BD5" s="242"/>
      <c r="BE5" s="242"/>
      <c r="BF5" s="242"/>
      <c r="BG5" s="242"/>
      <c r="BH5" s="242"/>
      <c r="BI5" s="242"/>
      <c r="BJ5" s="242"/>
      <c r="BK5" s="242"/>
      <c r="BL5" s="242"/>
      <c r="BM5" s="242"/>
      <c r="BN5" s="242"/>
      <c r="BO5" s="242"/>
      <c r="BP5" s="242"/>
      <c r="BQ5" s="242"/>
      <c r="BR5" s="242"/>
      <c r="BS5" s="242"/>
      <c r="BT5" s="242"/>
      <c r="BU5" s="242"/>
      <c r="BV5" s="242"/>
      <c r="BW5" s="242"/>
      <c r="BX5" s="242"/>
      <c r="BY5" s="242"/>
      <c r="BZ5" s="242"/>
      <c r="CA5" s="242"/>
      <c r="CB5" s="242"/>
      <c r="CC5" s="242"/>
      <c r="CD5" s="242"/>
      <c r="CE5" s="242"/>
      <c r="CF5" s="242"/>
      <c r="CG5" s="242"/>
      <c r="CH5" s="242"/>
      <c r="CI5" s="242"/>
      <c r="CJ5" s="242"/>
      <c r="CK5" s="242"/>
      <c r="CL5" s="242"/>
      <c r="CM5" s="242"/>
      <c r="CN5" s="242"/>
      <c r="CO5" s="242"/>
      <c r="CP5" s="242"/>
      <c r="CQ5" s="242"/>
      <c r="CR5" s="242"/>
      <c r="CS5" s="242"/>
      <c r="CT5" s="242"/>
      <c r="CU5" s="242"/>
      <c r="CV5" s="242"/>
      <c r="CW5" s="242"/>
      <c r="CX5" s="242"/>
      <c r="CY5" s="242"/>
      <c r="CZ5" s="242"/>
      <c r="DA5" s="242"/>
      <c r="DB5" s="242"/>
      <c r="DC5" s="242"/>
      <c r="DD5" s="242"/>
      <c r="DE5" s="242"/>
      <c r="DF5" s="242"/>
      <c r="DG5" s="242"/>
      <c r="DH5" s="242"/>
      <c r="DI5" s="242"/>
      <c r="DJ5" s="242"/>
      <c r="DK5" s="242"/>
      <c r="DL5" s="242"/>
      <c r="DM5" s="242"/>
      <c r="DN5" s="242"/>
      <c r="DO5" s="242"/>
      <c r="DP5" s="242"/>
      <c r="DQ5" s="242"/>
      <c r="DR5" s="242"/>
      <c r="DS5" s="242"/>
      <c r="DT5" s="242"/>
      <c r="DU5" s="242"/>
      <c r="DV5" s="242"/>
      <c r="DW5" s="242"/>
      <c r="DX5" s="242"/>
      <c r="DY5" s="242"/>
      <c r="DZ5" s="242"/>
      <c r="EA5" s="242"/>
      <c r="EB5" s="242"/>
      <c r="EC5" s="242"/>
      <c r="ED5" s="242"/>
      <c r="EE5" s="242"/>
      <c r="EF5" s="242"/>
      <c r="EG5" s="242"/>
      <c r="EH5" s="242"/>
      <c r="EI5" s="242"/>
      <c r="EJ5" s="242"/>
      <c r="EK5" s="242"/>
      <c r="EL5" s="242"/>
      <c r="EM5" s="242"/>
      <c r="EN5" s="242"/>
      <c r="EO5" s="242"/>
      <c r="EP5" s="242"/>
      <c r="EQ5" s="242"/>
      <c r="ER5" s="242"/>
      <c r="ES5" s="242"/>
      <c r="ET5" s="242"/>
      <c r="EU5" s="242"/>
      <c r="EV5" s="242"/>
      <c r="EW5" s="242"/>
      <c r="EX5" s="242"/>
      <c r="EY5" s="242"/>
      <c r="EZ5" s="242"/>
      <c r="FA5" s="242"/>
      <c r="FB5" s="242"/>
      <c r="FC5" s="242"/>
      <c r="FD5" s="242"/>
      <c r="FE5" s="62"/>
      <c r="FF5" s="62"/>
      <c r="FG5" s="62"/>
      <c r="FH5" s="62"/>
      <c r="FI5" s="62"/>
      <c r="FJ5" s="62"/>
      <c r="FK5" s="62"/>
      <c r="FL5" s="62"/>
    </row>
    <row r="6" spans="1:168">
      <c r="A6" s="62"/>
      <c r="B6" s="62"/>
      <c r="C6" s="62"/>
      <c r="D6" s="62"/>
      <c r="E6" s="62"/>
      <c r="F6" s="62"/>
      <c r="G6" s="62"/>
      <c r="H6" s="62"/>
      <c r="I6" s="242"/>
      <c r="J6" s="242"/>
      <c r="K6" s="242"/>
      <c r="L6" s="242"/>
      <c r="M6" s="242"/>
      <c r="N6" s="242"/>
      <c r="O6" s="242"/>
      <c r="P6" s="242"/>
      <c r="Q6" s="242"/>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2"/>
      <c r="AV6" s="242"/>
      <c r="AW6" s="242"/>
      <c r="AX6" s="242"/>
      <c r="AY6" s="242"/>
      <c r="AZ6" s="242"/>
      <c r="BA6" s="242"/>
      <c r="BB6" s="242"/>
      <c r="BC6" s="242"/>
      <c r="BD6" s="242"/>
      <c r="BE6" s="242"/>
      <c r="BF6" s="242"/>
      <c r="BG6" s="242"/>
      <c r="BH6" s="242"/>
      <c r="BI6" s="242"/>
      <c r="BJ6" s="242"/>
      <c r="BK6" s="242"/>
      <c r="BL6" s="242"/>
      <c r="BM6" s="242"/>
      <c r="BN6" s="242"/>
      <c r="BO6" s="242"/>
      <c r="BP6" s="242"/>
      <c r="BQ6" s="242"/>
      <c r="BR6" s="242"/>
      <c r="BS6" s="242"/>
      <c r="BT6" s="242"/>
      <c r="BU6" s="242"/>
      <c r="BV6" s="242"/>
      <c r="BW6" s="242"/>
      <c r="BX6" s="242"/>
      <c r="BY6" s="242"/>
      <c r="BZ6" s="242"/>
      <c r="CA6" s="242"/>
      <c r="CB6" s="242"/>
      <c r="CC6" s="242"/>
      <c r="CD6" s="242"/>
      <c r="CE6" s="242"/>
      <c r="CF6" s="242"/>
      <c r="CG6" s="242"/>
      <c r="CH6" s="242"/>
      <c r="CI6" s="242"/>
      <c r="CJ6" s="242"/>
      <c r="CK6" s="242"/>
      <c r="CL6" s="242"/>
      <c r="CM6" s="242"/>
      <c r="CN6" s="242"/>
      <c r="CO6" s="242"/>
      <c r="CP6" s="242"/>
      <c r="CQ6" s="242"/>
      <c r="CR6" s="242"/>
      <c r="CS6" s="242"/>
      <c r="CT6" s="242"/>
      <c r="CU6" s="242"/>
      <c r="CV6" s="242"/>
      <c r="CW6" s="242"/>
      <c r="CX6" s="242"/>
      <c r="CY6" s="242"/>
      <c r="CZ6" s="242"/>
      <c r="DA6" s="242"/>
      <c r="DB6" s="242"/>
      <c r="DC6" s="242"/>
      <c r="DD6" s="242"/>
      <c r="DE6" s="242"/>
      <c r="DF6" s="242"/>
      <c r="DG6" s="242"/>
      <c r="DH6" s="242"/>
      <c r="DI6" s="242"/>
      <c r="DJ6" s="242"/>
      <c r="DK6" s="242"/>
      <c r="DL6" s="242"/>
      <c r="DM6" s="242"/>
      <c r="DN6" s="242"/>
      <c r="DO6" s="242"/>
      <c r="DP6" s="242"/>
      <c r="DQ6" s="242"/>
      <c r="DR6" s="242"/>
      <c r="DS6" s="242"/>
      <c r="DT6" s="242"/>
      <c r="DU6" s="242"/>
      <c r="DV6" s="242"/>
      <c r="DW6" s="242"/>
      <c r="DX6" s="242"/>
      <c r="DY6" s="242"/>
      <c r="DZ6" s="242"/>
      <c r="EA6" s="242"/>
      <c r="EB6" s="242"/>
      <c r="EC6" s="242"/>
      <c r="ED6" s="242"/>
      <c r="EE6" s="242"/>
      <c r="EF6" s="242"/>
      <c r="EG6" s="242"/>
      <c r="EH6" s="242"/>
      <c r="EI6" s="242"/>
      <c r="EJ6" s="242"/>
      <c r="EK6" s="242"/>
      <c r="EL6" s="242"/>
      <c r="EM6" s="242"/>
      <c r="EN6" s="242"/>
      <c r="EO6" s="242"/>
      <c r="EP6" s="242"/>
      <c r="EQ6" s="242"/>
      <c r="ER6" s="242"/>
      <c r="ES6" s="242"/>
      <c r="ET6" s="242"/>
      <c r="EU6" s="242"/>
      <c r="EV6" s="242"/>
      <c r="EW6" s="242"/>
      <c r="EX6" s="242"/>
      <c r="EY6" s="242"/>
      <c r="EZ6" s="242"/>
      <c r="FA6" s="242"/>
      <c r="FB6" s="242"/>
      <c r="FC6" s="242"/>
      <c r="FD6" s="242"/>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243" t="s">
        <v>81</v>
      </c>
      <c r="J8" s="243"/>
      <c r="K8" s="243"/>
      <c r="L8" s="243"/>
      <c r="M8" s="243"/>
      <c r="N8" s="243"/>
      <c r="O8" s="243"/>
      <c r="P8" s="243"/>
      <c r="Q8" s="243"/>
      <c r="R8" s="243"/>
      <c r="S8" s="243"/>
      <c r="T8" s="243"/>
      <c r="U8" s="243"/>
      <c r="V8" s="243"/>
      <c r="W8" s="243"/>
      <c r="X8" s="243"/>
      <c r="Y8" s="243"/>
      <c r="Z8" s="243"/>
      <c r="AA8" s="243"/>
      <c r="AB8" s="243"/>
      <c r="AC8" s="243"/>
      <c r="AD8" s="243"/>
      <c r="AE8" s="243"/>
      <c r="AF8" s="243"/>
      <c r="AG8" s="243"/>
      <c r="AH8" s="243"/>
      <c r="AI8" s="243"/>
      <c r="AJ8" s="243"/>
      <c r="AK8" s="243"/>
      <c r="AL8" s="243"/>
      <c r="AM8" s="243"/>
      <c r="AN8" s="243"/>
      <c r="AO8" s="243"/>
      <c r="AP8" s="243"/>
      <c r="AQ8" s="243"/>
      <c r="AR8" s="243"/>
      <c r="AS8" s="243"/>
      <c r="AT8" s="243"/>
      <c r="AU8" s="243"/>
      <c r="AV8" s="243"/>
      <c r="AW8" s="243"/>
      <c r="AX8" s="243"/>
      <c r="AY8" s="243"/>
      <c r="AZ8" s="243"/>
      <c r="BA8" s="243"/>
      <c r="BB8" s="243"/>
      <c r="BC8" s="243"/>
      <c r="BD8" s="243"/>
      <c r="BE8" s="243"/>
      <c r="BF8" s="243"/>
      <c r="BG8" s="243"/>
      <c r="BH8" s="243"/>
      <c r="BI8" s="243"/>
      <c r="BJ8" s="243"/>
      <c r="BK8" s="243"/>
      <c r="BL8" s="243"/>
      <c r="BM8" s="243"/>
      <c r="BN8" s="243"/>
      <c r="BO8" s="243"/>
      <c r="BP8" s="243"/>
      <c r="BQ8" s="243"/>
      <c r="BR8" s="243"/>
      <c r="BS8" s="243"/>
      <c r="BT8" s="243"/>
      <c r="BU8" s="243"/>
      <c r="BV8" s="243"/>
      <c r="BW8" s="243"/>
      <c r="BX8" s="243"/>
      <c r="BY8" s="243"/>
      <c r="BZ8" s="243"/>
      <c r="CA8" s="243"/>
      <c r="CB8" s="243"/>
      <c r="CC8" s="243"/>
      <c r="CD8" s="243"/>
      <c r="CE8" s="243"/>
      <c r="CF8" s="243"/>
      <c r="CG8" s="243"/>
      <c r="CH8" s="243"/>
      <c r="CI8" s="243"/>
      <c r="CJ8" s="243"/>
      <c r="CK8" s="243"/>
      <c r="CL8" s="243"/>
      <c r="CM8" s="243"/>
      <c r="CN8" s="243"/>
      <c r="CO8" s="243"/>
      <c r="CP8" s="243"/>
      <c r="CQ8" s="243"/>
      <c r="CR8" s="243"/>
      <c r="CS8" s="243"/>
      <c r="CT8" s="243"/>
      <c r="CU8" s="243"/>
      <c r="CV8" s="243"/>
      <c r="CW8" s="243"/>
      <c r="CX8" s="243"/>
      <c r="CY8" s="243"/>
      <c r="CZ8" s="243"/>
      <c r="DA8" s="243"/>
      <c r="DB8" s="243"/>
      <c r="DC8" s="243"/>
      <c r="DD8" s="243"/>
      <c r="DE8" s="243"/>
      <c r="DF8" s="243"/>
      <c r="DG8" s="243"/>
      <c r="DH8" s="243"/>
      <c r="DI8" s="243"/>
      <c r="DJ8" s="243"/>
      <c r="DK8" s="243"/>
      <c r="DL8" s="243"/>
      <c r="DM8" s="243"/>
      <c r="DN8" s="243"/>
      <c r="DO8" s="243"/>
      <c r="DP8" s="243"/>
      <c r="DQ8" s="243"/>
      <c r="DR8" s="243"/>
      <c r="DS8" s="243"/>
      <c r="DT8" s="243"/>
      <c r="DU8" s="243"/>
      <c r="DV8" s="243"/>
      <c r="DW8" s="243"/>
      <c r="DX8" s="243"/>
      <c r="DY8" s="243"/>
      <c r="DZ8" s="243"/>
      <c r="EA8" s="243"/>
      <c r="EB8" s="243"/>
      <c r="EC8" s="243"/>
      <c r="ED8" s="243"/>
      <c r="EE8" s="243"/>
      <c r="EF8" s="243"/>
      <c r="EG8" s="243"/>
      <c r="EH8" s="243"/>
      <c r="EI8" s="243"/>
      <c r="EJ8" s="243"/>
      <c r="EK8" s="243"/>
      <c r="EL8" s="243"/>
      <c r="EM8" s="243"/>
      <c r="EN8" s="243"/>
      <c r="EO8" s="243"/>
      <c r="EP8" s="243"/>
      <c r="EQ8" s="243"/>
      <c r="ER8" s="243"/>
      <c r="ES8" s="243"/>
      <c r="ET8" s="243"/>
      <c r="EU8" s="243"/>
      <c r="EV8" s="243"/>
      <c r="EW8" s="243"/>
      <c r="EX8" s="243"/>
      <c r="EY8" s="243"/>
      <c r="EZ8" s="243"/>
      <c r="FA8" s="243"/>
      <c r="FB8" s="243"/>
      <c r="FC8" s="243"/>
      <c r="FD8" s="243"/>
      <c r="FE8" s="62"/>
      <c r="FF8" s="62"/>
      <c r="FG8" s="62"/>
      <c r="FH8" s="62"/>
      <c r="FI8" s="62"/>
      <c r="FJ8" s="62"/>
      <c r="FK8" s="62"/>
      <c r="FL8" s="62"/>
    </row>
    <row r="9" spans="1:168">
      <c r="A9" s="62"/>
      <c r="B9" s="62"/>
      <c r="C9" s="62"/>
      <c r="D9" s="62"/>
      <c r="E9" s="62"/>
      <c r="F9" s="62"/>
      <c r="G9" s="62"/>
      <c r="H9" s="62"/>
      <c r="I9" s="243"/>
      <c r="J9" s="243"/>
      <c r="K9" s="243"/>
      <c r="L9" s="243"/>
      <c r="M9" s="243"/>
      <c r="N9" s="243"/>
      <c r="O9" s="243"/>
      <c r="P9" s="243"/>
      <c r="Q9" s="243"/>
      <c r="R9" s="243"/>
      <c r="S9" s="243"/>
      <c r="T9" s="243"/>
      <c r="U9" s="243"/>
      <c r="V9" s="243"/>
      <c r="W9" s="243"/>
      <c r="X9" s="243"/>
      <c r="Y9" s="243"/>
      <c r="Z9" s="243"/>
      <c r="AA9" s="243"/>
      <c r="AB9" s="243"/>
      <c r="AC9" s="243"/>
      <c r="AD9" s="243"/>
      <c r="AE9" s="243"/>
      <c r="AF9" s="243"/>
      <c r="AG9" s="243"/>
      <c r="AH9" s="243"/>
      <c r="AI9" s="243"/>
      <c r="AJ9" s="243"/>
      <c r="AK9" s="243"/>
      <c r="AL9" s="243"/>
      <c r="AM9" s="243"/>
      <c r="AN9" s="243"/>
      <c r="AO9" s="243"/>
      <c r="AP9" s="243"/>
      <c r="AQ9" s="243"/>
      <c r="AR9" s="243"/>
      <c r="AS9" s="243"/>
      <c r="AT9" s="243"/>
      <c r="AU9" s="243"/>
      <c r="AV9" s="243"/>
      <c r="AW9" s="243"/>
      <c r="AX9" s="243"/>
      <c r="AY9" s="243"/>
      <c r="AZ9" s="243"/>
      <c r="BA9" s="243"/>
      <c r="BB9" s="243"/>
      <c r="BC9" s="243"/>
      <c r="BD9" s="243"/>
      <c r="BE9" s="243"/>
      <c r="BF9" s="243"/>
      <c r="BG9" s="243"/>
      <c r="BH9" s="243"/>
      <c r="BI9" s="243"/>
      <c r="BJ9" s="243"/>
      <c r="BK9" s="243"/>
      <c r="BL9" s="243"/>
      <c r="BM9" s="243"/>
      <c r="BN9" s="243"/>
      <c r="BO9" s="243"/>
      <c r="BP9" s="243"/>
      <c r="BQ9" s="243"/>
      <c r="BR9" s="243"/>
      <c r="BS9" s="243"/>
      <c r="BT9" s="243"/>
      <c r="BU9" s="243"/>
      <c r="BV9" s="243"/>
      <c r="BW9" s="243"/>
      <c r="BX9" s="243"/>
      <c r="BY9" s="243"/>
      <c r="BZ9" s="243"/>
      <c r="CA9" s="243"/>
      <c r="CB9" s="243"/>
      <c r="CC9" s="243"/>
      <c r="CD9" s="243"/>
      <c r="CE9" s="243"/>
      <c r="CF9" s="243"/>
      <c r="CG9" s="243"/>
      <c r="CH9" s="243"/>
      <c r="CI9" s="243"/>
      <c r="CJ9" s="243"/>
      <c r="CK9" s="243"/>
      <c r="CL9" s="243"/>
      <c r="CM9" s="243"/>
      <c r="CN9" s="243"/>
      <c r="CO9" s="243"/>
      <c r="CP9" s="243"/>
      <c r="CQ9" s="243"/>
      <c r="CR9" s="243"/>
      <c r="CS9" s="243"/>
      <c r="CT9" s="243"/>
      <c r="CU9" s="243"/>
      <c r="CV9" s="243"/>
      <c r="CW9" s="243"/>
      <c r="CX9" s="243"/>
      <c r="CY9" s="243"/>
      <c r="CZ9" s="243"/>
      <c r="DA9" s="243"/>
      <c r="DB9" s="243"/>
      <c r="DC9" s="243"/>
      <c r="DD9" s="243"/>
      <c r="DE9" s="243"/>
      <c r="DF9" s="243"/>
      <c r="DG9" s="243"/>
      <c r="DH9" s="243"/>
      <c r="DI9" s="243"/>
      <c r="DJ9" s="243"/>
      <c r="DK9" s="243"/>
      <c r="DL9" s="243"/>
      <c r="DM9" s="243"/>
      <c r="DN9" s="243"/>
      <c r="DO9" s="243"/>
      <c r="DP9" s="243"/>
      <c r="DQ9" s="243"/>
      <c r="DR9" s="243"/>
      <c r="DS9" s="243"/>
      <c r="DT9" s="243"/>
      <c r="DU9" s="243"/>
      <c r="DV9" s="243"/>
      <c r="DW9" s="243"/>
      <c r="DX9" s="243"/>
      <c r="DY9" s="243"/>
      <c r="DZ9" s="243"/>
      <c r="EA9" s="243"/>
      <c r="EB9" s="243"/>
      <c r="EC9" s="243"/>
      <c r="ED9" s="243"/>
      <c r="EE9" s="243"/>
      <c r="EF9" s="243"/>
      <c r="EG9" s="243"/>
      <c r="EH9" s="243"/>
      <c r="EI9" s="243"/>
      <c r="EJ9" s="243"/>
      <c r="EK9" s="243"/>
      <c r="EL9" s="243"/>
      <c r="EM9" s="243"/>
      <c r="EN9" s="243"/>
      <c r="EO9" s="243"/>
      <c r="EP9" s="243"/>
      <c r="EQ9" s="243"/>
      <c r="ER9" s="243"/>
      <c r="ES9" s="243"/>
      <c r="ET9" s="243"/>
      <c r="EU9" s="243"/>
      <c r="EV9" s="243"/>
      <c r="EW9" s="243"/>
      <c r="EX9" s="243"/>
      <c r="EY9" s="243"/>
      <c r="EZ9" s="243"/>
      <c r="FA9" s="243"/>
      <c r="FB9" s="243"/>
      <c r="FC9" s="243"/>
      <c r="FD9" s="243"/>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244" t="s">
        <v>959</v>
      </c>
      <c r="R11" s="244"/>
      <c r="S11" s="244"/>
      <c r="T11" s="244"/>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c r="CN11" s="244"/>
      <c r="CO11" s="244"/>
      <c r="CP11" s="244"/>
      <c r="CQ11" s="244"/>
      <c r="CR11" s="244"/>
      <c r="CS11" s="244"/>
      <c r="CT11" s="244"/>
      <c r="CU11" s="244"/>
      <c r="CV11" s="244"/>
      <c r="CW11" s="244"/>
      <c r="CX11" s="244"/>
      <c r="CY11" s="244"/>
      <c r="CZ11" s="244"/>
      <c r="DA11" s="244"/>
      <c r="DB11" s="244"/>
      <c r="DC11" s="244"/>
      <c r="DD11" s="244"/>
      <c r="DE11" s="244"/>
      <c r="DF11" s="244"/>
      <c r="DG11" s="244"/>
      <c r="DH11" s="244"/>
      <c r="DI11" s="244"/>
      <c r="DJ11" s="244"/>
      <c r="DK11" s="244"/>
      <c r="DL11" s="244"/>
      <c r="DM11" s="244"/>
      <c r="DN11" s="244"/>
      <c r="DO11" s="244"/>
      <c r="DP11" s="244"/>
      <c r="DQ11" s="244"/>
      <c r="DR11" s="244"/>
      <c r="DS11" s="244"/>
      <c r="DT11" s="244"/>
      <c r="DU11" s="244"/>
      <c r="DV11" s="244"/>
      <c r="DW11" s="244"/>
      <c r="DX11" s="244"/>
      <c r="DY11" s="244"/>
      <c r="DZ11" s="244"/>
      <c r="EA11" s="244"/>
      <c r="EB11" s="244"/>
      <c r="EC11" s="244"/>
      <c r="ED11" s="244"/>
      <c r="EE11" s="244"/>
      <c r="EF11" s="244"/>
      <c r="EG11" s="244"/>
      <c r="EH11" s="244"/>
      <c r="EI11" s="244"/>
      <c r="EJ11" s="244"/>
      <c r="EK11" s="244"/>
      <c r="EL11" s="244"/>
      <c r="EM11" s="244"/>
      <c r="EN11" s="244"/>
      <c r="EO11" s="244"/>
      <c r="EP11" s="244"/>
      <c r="EQ11" s="244"/>
      <c r="ER11" s="244"/>
      <c r="ES11" s="244"/>
      <c r="ET11" s="244"/>
      <c r="EU11" s="244"/>
      <c r="EV11" s="244"/>
      <c r="EW11" s="244"/>
      <c r="EX11" s="244"/>
      <c r="EY11" s="244"/>
      <c r="EZ11" s="244"/>
      <c r="FA11" s="244"/>
      <c r="FB11" s="244"/>
      <c r="FC11" s="244"/>
      <c r="FD11" s="244"/>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244"/>
      <c r="R12" s="244"/>
      <c r="S12" s="244"/>
      <c r="T12" s="244"/>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c r="CN12" s="244"/>
      <c r="CO12" s="244"/>
      <c r="CP12" s="244"/>
      <c r="CQ12" s="244"/>
      <c r="CR12" s="244"/>
      <c r="CS12" s="244"/>
      <c r="CT12" s="244"/>
      <c r="CU12" s="244"/>
      <c r="CV12" s="244"/>
      <c r="CW12" s="244"/>
      <c r="CX12" s="244"/>
      <c r="CY12" s="244"/>
      <c r="CZ12" s="244"/>
      <c r="DA12" s="244"/>
      <c r="DB12" s="244"/>
      <c r="DC12" s="244"/>
      <c r="DD12" s="244"/>
      <c r="DE12" s="244"/>
      <c r="DF12" s="244"/>
      <c r="DG12" s="244"/>
      <c r="DH12" s="244"/>
      <c r="DI12" s="244"/>
      <c r="DJ12" s="244"/>
      <c r="DK12" s="244"/>
      <c r="DL12" s="244"/>
      <c r="DM12" s="244"/>
      <c r="DN12" s="244"/>
      <c r="DO12" s="244"/>
      <c r="DP12" s="244"/>
      <c r="DQ12" s="244"/>
      <c r="DR12" s="244"/>
      <c r="DS12" s="244"/>
      <c r="DT12" s="244"/>
      <c r="DU12" s="244"/>
      <c r="DV12" s="244"/>
      <c r="DW12" s="244"/>
      <c r="DX12" s="244"/>
      <c r="DY12" s="244"/>
      <c r="DZ12" s="244"/>
      <c r="EA12" s="244"/>
      <c r="EB12" s="244"/>
      <c r="EC12" s="244"/>
      <c r="ED12" s="244"/>
      <c r="EE12" s="244"/>
      <c r="EF12" s="244"/>
      <c r="EG12" s="244"/>
      <c r="EH12" s="244"/>
      <c r="EI12" s="244"/>
      <c r="EJ12" s="244"/>
      <c r="EK12" s="244"/>
      <c r="EL12" s="244"/>
      <c r="EM12" s="244"/>
      <c r="EN12" s="244"/>
      <c r="EO12" s="244"/>
      <c r="EP12" s="244"/>
      <c r="EQ12" s="244"/>
      <c r="ER12" s="244"/>
      <c r="ES12" s="244"/>
      <c r="ET12" s="244"/>
      <c r="EU12" s="244"/>
      <c r="EV12" s="244"/>
      <c r="EW12" s="244"/>
      <c r="EX12" s="244"/>
      <c r="EY12" s="244"/>
      <c r="EZ12" s="244"/>
      <c r="FA12" s="244"/>
      <c r="FB12" s="244"/>
      <c r="FC12" s="244"/>
      <c r="FD12" s="244"/>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245" t="s">
        <v>64</v>
      </c>
      <c r="AH28" s="246"/>
      <c r="AI28" s="246"/>
      <c r="AJ28" s="246"/>
      <c r="AK28" s="246"/>
      <c r="AL28" s="246"/>
      <c r="AM28" s="246"/>
      <c r="AN28" s="246"/>
      <c r="AO28" s="246"/>
      <c r="AP28" s="246"/>
      <c r="AQ28" s="246"/>
      <c r="AR28" s="246"/>
      <c r="AS28" s="246"/>
      <c r="AT28" s="246"/>
      <c r="AU28" s="246"/>
      <c r="AV28" s="246"/>
      <c r="AW28" s="246"/>
      <c r="AX28" s="246"/>
      <c r="AY28" s="246"/>
      <c r="AZ28" s="246"/>
      <c r="BA28" s="246"/>
      <c r="BB28" s="246"/>
      <c r="BC28" s="247"/>
      <c r="BD28" s="251" t="s">
        <v>65</v>
      </c>
      <c r="BE28" s="246"/>
      <c r="BF28" s="246"/>
      <c r="BG28" s="246"/>
      <c r="BH28" s="246"/>
      <c r="BI28" s="246"/>
      <c r="BJ28" s="246"/>
      <c r="BK28" s="246"/>
      <c r="BL28" s="246"/>
      <c r="BM28" s="246"/>
      <c r="BN28" s="246"/>
      <c r="BO28" s="246"/>
      <c r="BP28" s="246"/>
      <c r="BQ28" s="246"/>
      <c r="BR28" s="246"/>
      <c r="BS28" s="246"/>
      <c r="BT28" s="246"/>
      <c r="BU28" s="246"/>
      <c r="BV28" s="246"/>
      <c r="BW28" s="246"/>
      <c r="BX28" s="246"/>
      <c r="BY28" s="246"/>
      <c r="BZ28" s="247"/>
      <c r="CA28" s="251" t="s">
        <v>66</v>
      </c>
      <c r="CB28" s="246"/>
      <c r="CC28" s="246"/>
      <c r="CD28" s="246"/>
      <c r="CE28" s="246"/>
      <c r="CF28" s="246"/>
      <c r="CG28" s="246"/>
      <c r="CH28" s="246"/>
      <c r="CI28" s="246"/>
      <c r="CJ28" s="246"/>
      <c r="CK28" s="246"/>
      <c r="CL28" s="246"/>
      <c r="CM28" s="246"/>
      <c r="CN28" s="246"/>
      <c r="CO28" s="246"/>
      <c r="CP28" s="246"/>
      <c r="CQ28" s="246"/>
      <c r="CR28" s="246"/>
      <c r="CS28" s="246"/>
      <c r="CT28" s="246"/>
      <c r="CU28" s="246"/>
      <c r="CV28" s="246"/>
      <c r="CW28" s="253"/>
      <c r="CX28" s="65"/>
      <c r="CY28" s="65"/>
      <c r="CZ28" s="65"/>
      <c r="DA28" s="65"/>
      <c r="DB28" s="65"/>
      <c r="DC28" s="65"/>
      <c r="DD28" s="65"/>
      <c r="DE28" s="65"/>
      <c r="DF28" s="65"/>
      <c r="DG28" s="65"/>
      <c r="DH28" s="65"/>
    </row>
    <row r="29" spans="3:112" s="92" customFormat="1" ht="12.75" customHeight="1" thickBot="1">
      <c r="C29" s="66"/>
      <c r="AG29" s="248"/>
      <c r="AH29" s="249"/>
      <c r="AI29" s="249"/>
      <c r="AJ29" s="249"/>
      <c r="AK29" s="249"/>
      <c r="AL29" s="249"/>
      <c r="AM29" s="249"/>
      <c r="AN29" s="249"/>
      <c r="AO29" s="249"/>
      <c r="AP29" s="249"/>
      <c r="AQ29" s="249"/>
      <c r="AR29" s="249"/>
      <c r="AS29" s="249"/>
      <c r="AT29" s="249"/>
      <c r="AU29" s="249"/>
      <c r="AV29" s="249"/>
      <c r="AW29" s="249"/>
      <c r="AX29" s="249"/>
      <c r="AY29" s="249"/>
      <c r="AZ29" s="249"/>
      <c r="BA29" s="249"/>
      <c r="BB29" s="249"/>
      <c r="BC29" s="250"/>
      <c r="BD29" s="252"/>
      <c r="BE29" s="249"/>
      <c r="BF29" s="249"/>
      <c r="BG29" s="249"/>
      <c r="BH29" s="249"/>
      <c r="BI29" s="249"/>
      <c r="BJ29" s="249"/>
      <c r="BK29" s="249"/>
      <c r="BL29" s="249"/>
      <c r="BM29" s="249"/>
      <c r="BN29" s="249"/>
      <c r="BO29" s="249"/>
      <c r="BP29" s="249"/>
      <c r="BQ29" s="249"/>
      <c r="BR29" s="249"/>
      <c r="BS29" s="249"/>
      <c r="BT29" s="249"/>
      <c r="BU29" s="249"/>
      <c r="BV29" s="249"/>
      <c r="BW29" s="249"/>
      <c r="BX29" s="249"/>
      <c r="BY29" s="249"/>
      <c r="BZ29" s="250"/>
      <c r="CA29" s="252"/>
      <c r="CB29" s="249"/>
      <c r="CC29" s="249"/>
      <c r="CD29" s="249"/>
      <c r="CE29" s="249"/>
      <c r="CF29" s="249"/>
      <c r="CG29" s="249"/>
      <c r="CH29" s="249"/>
      <c r="CI29" s="249"/>
      <c r="CJ29" s="249"/>
      <c r="CK29" s="249"/>
      <c r="CL29" s="249"/>
      <c r="CM29" s="249"/>
      <c r="CN29" s="249"/>
      <c r="CO29" s="249"/>
      <c r="CP29" s="249"/>
      <c r="CQ29" s="249"/>
      <c r="CR29" s="249"/>
      <c r="CS29" s="249"/>
      <c r="CT29" s="249"/>
      <c r="CU29" s="249"/>
      <c r="CV29" s="249"/>
      <c r="CW29" s="254"/>
      <c r="CX29" s="66"/>
      <c r="CY29" s="66"/>
      <c r="CZ29" s="65"/>
      <c r="DA29" s="65"/>
      <c r="DB29" s="65"/>
      <c r="DC29" s="65"/>
      <c r="DD29" s="65"/>
      <c r="DE29" s="65"/>
      <c r="DF29" s="65"/>
      <c r="DG29" s="65"/>
      <c r="DH29" s="65"/>
    </row>
    <row r="30" spans="3:112" s="92" customFormat="1" ht="12.75" customHeight="1" thickTop="1">
      <c r="C30" s="66"/>
      <c r="AG30" s="227" t="s">
        <v>958</v>
      </c>
      <c r="AH30" s="228"/>
      <c r="AI30" s="228"/>
      <c r="AJ30" s="228"/>
      <c r="AK30" s="228"/>
      <c r="AL30" s="228"/>
      <c r="AM30" s="228"/>
      <c r="AN30" s="228"/>
      <c r="AO30" s="228"/>
      <c r="AP30" s="228"/>
      <c r="AQ30" s="228"/>
      <c r="AR30" s="228"/>
      <c r="AS30" s="228"/>
      <c r="AT30" s="228"/>
      <c r="AU30" s="228"/>
      <c r="AV30" s="228"/>
      <c r="AW30" s="228"/>
      <c r="AX30" s="228"/>
      <c r="AY30" s="228"/>
      <c r="AZ30" s="228"/>
      <c r="BA30" s="228"/>
      <c r="BB30" s="228"/>
      <c r="BC30" s="229"/>
      <c r="BD30" s="236" t="s">
        <v>957</v>
      </c>
      <c r="BE30" s="228"/>
      <c r="BF30" s="228"/>
      <c r="BG30" s="228"/>
      <c r="BH30" s="228"/>
      <c r="BI30" s="228"/>
      <c r="BJ30" s="228"/>
      <c r="BK30" s="228"/>
      <c r="BL30" s="228"/>
      <c r="BM30" s="228"/>
      <c r="BN30" s="228"/>
      <c r="BO30" s="228"/>
      <c r="BP30" s="228"/>
      <c r="BQ30" s="228"/>
      <c r="BR30" s="228"/>
      <c r="BS30" s="228"/>
      <c r="BT30" s="228"/>
      <c r="BU30" s="228"/>
      <c r="BV30" s="228"/>
      <c r="BW30" s="228"/>
      <c r="BX30" s="228"/>
      <c r="BY30" s="228"/>
      <c r="BZ30" s="229"/>
      <c r="CA30" s="236" t="s">
        <v>956</v>
      </c>
      <c r="CB30" s="228"/>
      <c r="CC30" s="228"/>
      <c r="CD30" s="228"/>
      <c r="CE30" s="228"/>
      <c r="CF30" s="228"/>
      <c r="CG30" s="228"/>
      <c r="CH30" s="228"/>
      <c r="CI30" s="228"/>
      <c r="CJ30" s="228"/>
      <c r="CK30" s="228"/>
      <c r="CL30" s="228"/>
      <c r="CM30" s="228"/>
      <c r="CN30" s="228"/>
      <c r="CO30" s="228"/>
      <c r="CP30" s="228"/>
      <c r="CQ30" s="228"/>
      <c r="CR30" s="228"/>
      <c r="CS30" s="228"/>
      <c r="CT30" s="228"/>
      <c r="CU30" s="228"/>
      <c r="CV30" s="228"/>
      <c r="CW30" s="238"/>
      <c r="CX30" s="66"/>
      <c r="CY30" s="66"/>
      <c r="CZ30" s="65"/>
      <c r="DA30" s="65"/>
      <c r="DB30" s="65"/>
      <c r="DC30" s="65"/>
      <c r="DD30" s="65"/>
      <c r="DE30" s="65"/>
      <c r="DF30" s="65"/>
      <c r="DG30" s="65"/>
      <c r="DH30" s="65"/>
    </row>
    <row r="31" spans="3:112" s="92" customFormat="1" ht="12" customHeight="1">
      <c r="C31" s="65"/>
      <c r="AG31" s="230"/>
      <c r="AH31" s="231"/>
      <c r="AI31" s="231"/>
      <c r="AJ31" s="231"/>
      <c r="AK31" s="231"/>
      <c r="AL31" s="231"/>
      <c r="AM31" s="231"/>
      <c r="AN31" s="231"/>
      <c r="AO31" s="231"/>
      <c r="AP31" s="231"/>
      <c r="AQ31" s="231"/>
      <c r="AR31" s="231"/>
      <c r="AS31" s="231"/>
      <c r="AT31" s="231"/>
      <c r="AU31" s="231"/>
      <c r="AV31" s="231"/>
      <c r="AW31" s="231"/>
      <c r="AX31" s="231"/>
      <c r="AY31" s="231"/>
      <c r="AZ31" s="231"/>
      <c r="BA31" s="231"/>
      <c r="BB31" s="231"/>
      <c r="BC31" s="232"/>
      <c r="BD31" s="237"/>
      <c r="BE31" s="231"/>
      <c r="BF31" s="231"/>
      <c r="BG31" s="231"/>
      <c r="BH31" s="231"/>
      <c r="BI31" s="231"/>
      <c r="BJ31" s="231"/>
      <c r="BK31" s="231"/>
      <c r="BL31" s="231"/>
      <c r="BM31" s="231"/>
      <c r="BN31" s="231"/>
      <c r="BO31" s="231"/>
      <c r="BP31" s="231"/>
      <c r="BQ31" s="231"/>
      <c r="BR31" s="231"/>
      <c r="BS31" s="231"/>
      <c r="BT31" s="231"/>
      <c r="BU31" s="231"/>
      <c r="BV31" s="231"/>
      <c r="BW31" s="231"/>
      <c r="BX31" s="231"/>
      <c r="BY31" s="231"/>
      <c r="BZ31" s="232"/>
      <c r="CA31" s="237"/>
      <c r="CB31" s="231"/>
      <c r="CC31" s="231"/>
      <c r="CD31" s="231"/>
      <c r="CE31" s="231"/>
      <c r="CF31" s="231"/>
      <c r="CG31" s="231"/>
      <c r="CH31" s="231"/>
      <c r="CI31" s="231"/>
      <c r="CJ31" s="231"/>
      <c r="CK31" s="231"/>
      <c r="CL31" s="231"/>
      <c r="CM31" s="231"/>
      <c r="CN31" s="231"/>
      <c r="CO31" s="231"/>
      <c r="CP31" s="231"/>
      <c r="CQ31" s="231"/>
      <c r="CR31" s="231"/>
      <c r="CS31" s="231"/>
      <c r="CT31" s="231"/>
      <c r="CU31" s="231"/>
      <c r="CV31" s="231"/>
      <c r="CW31" s="239"/>
      <c r="CX31" s="65"/>
      <c r="CY31" s="65"/>
      <c r="CZ31" s="65"/>
      <c r="DA31" s="65"/>
      <c r="DB31" s="65"/>
      <c r="DC31" s="65"/>
      <c r="DD31" s="65"/>
      <c r="DE31" s="65"/>
      <c r="DF31" s="65"/>
      <c r="DG31" s="65"/>
      <c r="DH31" s="65"/>
    </row>
    <row r="32" spans="3:112" s="92" customFormat="1" ht="12" customHeight="1">
      <c r="C32" s="65"/>
      <c r="AG32" s="230"/>
      <c r="AH32" s="231"/>
      <c r="AI32" s="231"/>
      <c r="AJ32" s="231"/>
      <c r="AK32" s="231"/>
      <c r="AL32" s="231"/>
      <c r="AM32" s="231"/>
      <c r="AN32" s="231"/>
      <c r="AO32" s="231"/>
      <c r="AP32" s="231"/>
      <c r="AQ32" s="231"/>
      <c r="AR32" s="231"/>
      <c r="AS32" s="231"/>
      <c r="AT32" s="231"/>
      <c r="AU32" s="231"/>
      <c r="AV32" s="231"/>
      <c r="AW32" s="231"/>
      <c r="AX32" s="231"/>
      <c r="AY32" s="231"/>
      <c r="AZ32" s="231"/>
      <c r="BA32" s="231"/>
      <c r="BB32" s="231"/>
      <c r="BC32" s="232"/>
      <c r="BD32" s="237"/>
      <c r="BE32" s="231"/>
      <c r="BF32" s="231"/>
      <c r="BG32" s="231"/>
      <c r="BH32" s="231"/>
      <c r="BI32" s="231"/>
      <c r="BJ32" s="231"/>
      <c r="BK32" s="231"/>
      <c r="BL32" s="231"/>
      <c r="BM32" s="231"/>
      <c r="BN32" s="231"/>
      <c r="BO32" s="231"/>
      <c r="BP32" s="231"/>
      <c r="BQ32" s="231"/>
      <c r="BR32" s="231"/>
      <c r="BS32" s="231"/>
      <c r="BT32" s="231"/>
      <c r="BU32" s="231"/>
      <c r="BV32" s="231"/>
      <c r="BW32" s="231"/>
      <c r="BX32" s="231"/>
      <c r="BY32" s="231"/>
      <c r="BZ32" s="232"/>
      <c r="CA32" s="237"/>
      <c r="CB32" s="231"/>
      <c r="CC32" s="231"/>
      <c r="CD32" s="231"/>
      <c r="CE32" s="231"/>
      <c r="CF32" s="231"/>
      <c r="CG32" s="231"/>
      <c r="CH32" s="231"/>
      <c r="CI32" s="231"/>
      <c r="CJ32" s="231"/>
      <c r="CK32" s="231"/>
      <c r="CL32" s="231"/>
      <c r="CM32" s="231"/>
      <c r="CN32" s="231"/>
      <c r="CO32" s="231"/>
      <c r="CP32" s="231"/>
      <c r="CQ32" s="231"/>
      <c r="CR32" s="231"/>
      <c r="CS32" s="231"/>
      <c r="CT32" s="231"/>
      <c r="CU32" s="231"/>
      <c r="CV32" s="231"/>
      <c r="CW32" s="239"/>
      <c r="CX32" s="65"/>
      <c r="CY32" s="65"/>
      <c r="CZ32" s="65"/>
      <c r="DA32" s="65"/>
      <c r="DB32" s="65"/>
      <c r="DC32" s="65"/>
      <c r="DD32" s="65"/>
      <c r="DE32" s="65"/>
      <c r="DF32" s="65"/>
      <c r="DG32" s="65"/>
      <c r="DH32" s="65"/>
    </row>
    <row r="33" spans="3:164" s="92" customFormat="1" ht="12" customHeight="1" thickBot="1">
      <c r="C33" s="65"/>
      <c r="AG33" s="255">
        <v>42955</v>
      </c>
      <c r="AH33" s="223"/>
      <c r="AI33" s="223"/>
      <c r="AJ33" s="223"/>
      <c r="AK33" s="223"/>
      <c r="AL33" s="223"/>
      <c r="AM33" s="223"/>
      <c r="AN33" s="223"/>
      <c r="AO33" s="223"/>
      <c r="AP33" s="223"/>
      <c r="AQ33" s="223"/>
      <c r="AR33" s="223"/>
      <c r="AS33" s="223"/>
      <c r="AT33" s="223"/>
      <c r="AU33" s="223"/>
      <c r="AV33" s="223"/>
      <c r="AW33" s="223"/>
      <c r="AX33" s="223"/>
      <c r="AY33" s="223"/>
      <c r="AZ33" s="223"/>
      <c r="BA33" s="223"/>
      <c r="BB33" s="223"/>
      <c r="BC33" s="223"/>
      <c r="BD33" s="223">
        <v>42955</v>
      </c>
      <c r="BE33" s="223"/>
      <c r="BF33" s="223"/>
      <c r="BG33" s="223"/>
      <c r="BH33" s="223"/>
      <c r="BI33" s="223"/>
      <c r="BJ33" s="223"/>
      <c r="BK33" s="223"/>
      <c r="BL33" s="223"/>
      <c r="BM33" s="223"/>
      <c r="BN33" s="223"/>
      <c r="BO33" s="223"/>
      <c r="BP33" s="223"/>
      <c r="BQ33" s="223"/>
      <c r="BR33" s="223"/>
      <c r="BS33" s="223"/>
      <c r="BT33" s="223"/>
      <c r="BU33" s="223"/>
      <c r="BV33" s="223"/>
      <c r="BW33" s="223"/>
      <c r="BX33" s="223"/>
      <c r="BY33" s="223"/>
      <c r="BZ33" s="223"/>
      <c r="CA33" s="223">
        <v>42955</v>
      </c>
      <c r="CB33" s="225"/>
      <c r="CC33" s="225"/>
      <c r="CD33" s="225"/>
      <c r="CE33" s="225"/>
      <c r="CF33" s="225"/>
      <c r="CG33" s="225"/>
      <c r="CH33" s="225"/>
      <c r="CI33" s="225"/>
      <c r="CJ33" s="225"/>
      <c r="CK33" s="225"/>
      <c r="CL33" s="225"/>
      <c r="CM33" s="225"/>
      <c r="CN33" s="225"/>
      <c r="CO33" s="225"/>
      <c r="CP33" s="225"/>
      <c r="CQ33" s="225"/>
      <c r="CR33" s="225"/>
      <c r="CS33" s="225"/>
      <c r="CT33" s="225"/>
      <c r="CU33" s="225"/>
      <c r="CV33" s="225"/>
      <c r="CW33" s="226"/>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245" t="s">
        <v>74</v>
      </c>
      <c r="K35" s="246"/>
      <c r="L35" s="246"/>
      <c r="M35" s="246"/>
      <c r="N35" s="246"/>
      <c r="O35" s="246"/>
      <c r="P35" s="246"/>
      <c r="Q35" s="246"/>
      <c r="R35" s="246"/>
      <c r="S35" s="246"/>
      <c r="T35" s="246"/>
      <c r="U35" s="246"/>
      <c r="V35" s="246"/>
      <c r="W35" s="246"/>
      <c r="X35" s="246"/>
      <c r="Y35" s="246"/>
      <c r="Z35" s="246"/>
      <c r="AA35" s="246"/>
      <c r="AB35" s="246"/>
      <c r="AC35" s="246"/>
      <c r="AD35" s="246"/>
      <c r="AE35" s="246"/>
      <c r="AF35" s="247"/>
      <c r="AG35" s="251" t="s">
        <v>75</v>
      </c>
      <c r="AH35" s="246"/>
      <c r="AI35" s="246"/>
      <c r="AJ35" s="246"/>
      <c r="AK35" s="246"/>
      <c r="AL35" s="246"/>
      <c r="AM35" s="246"/>
      <c r="AN35" s="246"/>
      <c r="AO35" s="246"/>
      <c r="AP35" s="246"/>
      <c r="AQ35" s="246"/>
      <c r="AR35" s="246"/>
      <c r="AS35" s="246"/>
      <c r="AT35" s="246"/>
      <c r="AU35" s="246"/>
      <c r="AV35" s="246"/>
      <c r="AW35" s="246"/>
      <c r="AX35" s="246"/>
      <c r="AY35" s="246"/>
      <c r="AZ35" s="246"/>
      <c r="BA35" s="246"/>
      <c r="BB35" s="246"/>
      <c r="BC35" s="247"/>
      <c r="BD35" s="251" t="s">
        <v>76</v>
      </c>
      <c r="BE35" s="246"/>
      <c r="BF35" s="246"/>
      <c r="BG35" s="246"/>
      <c r="BH35" s="246"/>
      <c r="BI35" s="246"/>
      <c r="BJ35" s="246"/>
      <c r="BK35" s="246"/>
      <c r="BL35" s="246"/>
      <c r="BM35" s="246"/>
      <c r="BN35" s="246"/>
      <c r="BO35" s="246"/>
      <c r="BP35" s="246"/>
      <c r="BQ35" s="246"/>
      <c r="BR35" s="246"/>
      <c r="BS35" s="246"/>
      <c r="BT35" s="246"/>
      <c r="BU35" s="246"/>
      <c r="BV35" s="246"/>
      <c r="BW35" s="246"/>
      <c r="BX35" s="246"/>
      <c r="BY35" s="246"/>
      <c r="BZ35" s="247"/>
      <c r="CA35" s="251" t="s">
        <v>77</v>
      </c>
      <c r="CB35" s="246"/>
      <c r="CC35" s="246"/>
      <c r="CD35" s="246"/>
      <c r="CE35" s="246"/>
      <c r="CF35" s="246"/>
      <c r="CG35" s="246"/>
      <c r="CH35" s="246"/>
      <c r="CI35" s="246"/>
      <c r="CJ35" s="246"/>
      <c r="CK35" s="246"/>
      <c r="CL35" s="246"/>
      <c r="CM35" s="246"/>
      <c r="CN35" s="246"/>
      <c r="CO35" s="246"/>
      <c r="CP35" s="246"/>
      <c r="CQ35" s="246"/>
      <c r="CR35" s="246"/>
      <c r="CS35" s="246"/>
      <c r="CT35" s="246"/>
      <c r="CU35" s="246"/>
      <c r="CV35" s="246"/>
      <c r="CW35" s="253"/>
      <c r="CX35" s="65"/>
      <c r="CY35" s="65"/>
      <c r="CZ35" s="65"/>
      <c r="DA35" s="65"/>
      <c r="DB35" s="65"/>
      <c r="DC35" s="65"/>
      <c r="DD35" s="65"/>
      <c r="DE35" s="65"/>
      <c r="DF35" s="65"/>
      <c r="DG35" s="65"/>
      <c r="DH35" s="65"/>
    </row>
    <row r="36" spans="3:164" s="92" customFormat="1" ht="12" customHeight="1" thickBot="1">
      <c r="C36" s="65"/>
      <c r="J36" s="248"/>
      <c r="K36" s="249"/>
      <c r="L36" s="249"/>
      <c r="M36" s="249"/>
      <c r="N36" s="249"/>
      <c r="O36" s="249"/>
      <c r="P36" s="249"/>
      <c r="Q36" s="249"/>
      <c r="R36" s="249"/>
      <c r="S36" s="249"/>
      <c r="T36" s="249"/>
      <c r="U36" s="249"/>
      <c r="V36" s="249"/>
      <c r="W36" s="249"/>
      <c r="X36" s="249"/>
      <c r="Y36" s="249"/>
      <c r="Z36" s="249"/>
      <c r="AA36" s="249"/>
      <c r="AB36" s="249"/>
      <c r="AC36" s="249"/>
      <c r="AD36" s="249"/>
      <c r="AE36" s="249"/>
      <c r="AF36" s="250"/>
      <c r="AG36" s="252"/>
      <c r="AH36" s="249"/>
      <c r="AI36" s="249"/>
      <c r="AJ36" s="249"/>
      <c r="AK36" s="249"/>
      <c r="AL36" s="249"/>
      <c r="AM36" s="249"/>
      <c r="AN36" s="249"/>
      <c r="AO36" s="249"/>
      <c r="AP36" s="249"/>
      <c r="AQ36" s="249"/>
      <c r="AR36" s="249"/>
      <c r="AS36" s="249"/>
      <c r="AT36" s="249"/>
      <c r="AU36" s="249"/>
      <c r="AV36" s="249"/>
      <c r="AW36" s="249"/>
      <c r="AX36" s="249"/>
      <c r="AY36" s="249"/>
      <c r="AZ36" s="249"/>
      <c r="BA36" s="249"/>
      <c r="BB36" s="249"/>
      <c r="BC36" s="250"/>
      <c r="BD36" s="252"/>
      <c r="BE36" s="249"/>
      <c r="BF36" s="249"/>
      <c r="BG36" s="249"/>
      <c r="BH36" s="249"/>
      <c r="BI36" s="249"/>
      <c r="BJ36" s="249"/>
      <c r="BK36" s="249"/>
      <c r="BL36" s="249"/>
      <c r="BM36" s="249"/>
      <c r="BN36" s="249"/>
      <c r="BO36" s="249"/>
      <c r="BP36" s="249"/>
      <c r="BQ36" s="249"/>
      <c r="BR36" s="249"/>
      <c r="BS36" s="249"/>
      <c r="BT36" s="249"/>
      <c r="BU36" s="249"/>
      <c r="BV36" s="249"/>
      <c r="BW36" s="249"/>
      <c r="BX36" s="249"/>
      <c r="BY36" s="249"/>
      <c r="BZ36" s="250"/>
      <c r="CA36" s="252"/>
      <c r="CB36" s="249"/>
      <c r="CC36" s="249"/>
      <c r="CD36" s="249"/>
      <c r="CE36" s="249"/>
      <c r="CF36" s="249"/>
      <c r="CG36" s="249"/>
      <c r="CH36" s="249"/>
      <c r="CI36" s="249"/>
      <c r="CJ36" s="249"/>
      <c r="CK36" s="249"/>
      <c r="CL36" s="249"/>
      <c r="CM36" s="249"/>
      <c r="CN36" s="249"/>
      <c r="CO36" s="249"/>
      <c r="CP36" s="249"/>
      <c r="CQ36" s="249"/>
      <c r="CR36" s="249"/>
      <c r="CS36" s="249"/>
      <c r="CT36" s="249"/>
      <c r="CU36" s="249"/>
      <c r="CV36" s="249"/>
      <c r="CW36" s="254"/>
      <c r="CX36" s="65"/>
      <c r="CY36" s="65"/>
      <c r="CZ36" s="65"/>
      <c r="DA36" s="65"/>
      <c r="DB36" s="65"/>
      <c r="DC36" s="65"/>
      <c r="DD36" s="65"/>
      <c r="DE36" s="65"/>
      <c r="DF36" s="65"/>
      <c r="DG36" s="65"/>
      <c r="DH36" s="65"/>
    </row>
    <row r="37" spans="3:164" s="92" customFormat="1" ht="12" customHeight="1" thickTop="1">
      <c r="C37" s="65"/>
      <c r="J37" s="227"/>
      <c r="K37" s="228"/>
      <c r="L37" s="228"/>
      <c r="M37" s="228"/>
      <c r="N37" s="228"/>
      <c r="O37" s="228"/>
      <c r="P37" s="228"/>
      <c r="Q37" s="228"/>
      <c r="R37" s="228"/>
      <c r="S37" s="228"/>
      <c r="T37" s="228"/>
      <c r="U37" s="228"/>
      <c r="V37" s="228"/>
      <c r="W37" s="228"/>
      <c r="X37" s="228"/>
      <c r="Y37" s="228"/>
      <c r="Z37" s="228"/>
      <c r="AA37" s="228"/>
      <c r="AB37" s="228"/>
      <c r="AC37" s="228"/>
      <c r="AD37" s="228"/>
      <c r="AE37" s="228"/>
      <c r="AF37" s="229"/>
      <c r="AG37" s="236"/>
      <c r="AH37" s="228"/>
      <c r="AI37" s="228"/>
      <c r="AJ37" s="228"/>
      <c r="AK37" s="228"/>
      <c r="AL37" s="228"/>
      <c r="AM37" s="228"/>
      <c r="AN37" s="228"/>
      <c r="AO37" s="228"/>
      <c r="AP37" s="228"/>
      <c r="AQ37" s="228"/>
      <c r="AR37" s="228"/>
      <c r="AS37" s="228"/>
      <c r="AT37" s="228"/>
      <c r="AU37" s="228"/>
      <c r="AV37" s="228"/>
      <c r="AW37" s="228"/>
      <c r="AX37" s="228"/>
      <c r="AY37" s="228"/>
      <c r="AZ37" s="228"/>
      <c r="BA37" s="228"/>
      <c r="BB37" s="228"/>
      <c r="BC37" s="229"/>
      <c r="BD37" s="236"/>
      <c r="BE37" s="228"/>
      <c r="BF37" s="228"/>
      <c r="BG37" s="228"/>
      <c r="BH37" s="228"/>
      <c r="BI37" s="228"/>
      <c r="BJ37" s="228"/>
      <c r="BK37" s="228"/>
      <c r="BL37" s="228"/>
      <c r="BM37" s="228"/>
      <c r="BN37" s="228"/>
      <c r="BO37" s="228"/>
      <c r="BP37" s="228"/>
      <c r="BQ37" s="228"/>
      <c r="BR37" s="228"/>
      <c r="BS37" s="228"/>
      <c r="BT37" s="228"/>
      <c r="BU37" s="228"/>
      <c r="BV37" s="228"/>
      <c r="BW37" s="228"/>
      <c r="BX37" s="228"/>
      <c r="BY37" s="228"/>
      <c r="BZ37" s="229"/>
      <c r="CA37" s="236"/>
      <c r="CB37" s="228"/>
      <c r="CC37" s="228"/>
      <c r="CD37" s="228"/>
      <c r="CE37" s="228"/>
      <c r="CF37" s="228"/>
      <c r="CG37" s="228"/>
      <c r="CH37" s="228"/>
      <c r="CI37" s="228"/>
      <c r="CJ37" s="228"/>
      <c r="CK37" s="228"/>
      <c r="CL37" s="228"/>
      <c r="CM37" s="228"/>
      <c r="CN37" s="228"/>
      <c r="CO37" s="228"/>
      <c r="CP37" s="228"/>
      <c r="CQ37" s="228"/>
      <c r="CR37" s="228"/>
      <c r="CS37" s="228"/>
      <c r="CT37" s="228"/>
      <c r="CU37" s="228"/>
      <c r="CV37" s="228"/>
      <c r="CW37" s="238"/>
      <c r="CX37" s="65"/>
      <c r="CY37" s="65"/>
      <c r="CZ37" s="65"/>
      <c r="DA37" s="65"/>
      <c r="DB37" s="65"/>
      <c r="DC37" s="65"/>
      <c r="DD37" s="65"/>
      <c r="DE37" s="65"/>
      <c r="DF37" s="65"/>
      <c r="DG37" s="65"/>
      <c r="DH37" s="65"/>
      <c r="DK37" s="218" t="s">
        <v>67</v>
      </c>
      <c r="DL37" s="218"/>
      <c r="DM37" s="218"/>
      <c r="DN37" s="218"/>
      <c r="DO37" s="218"/>
      <c r="DP37" s="218"/>
      <c r="DQ37" s="218"/>
      <c r="DR37" s="218"/>
      <c r="DS37" s="218"/>
      <c r="DT37" s="218"/>
      <c r="DU37" s="218"/>
      <c r="DV37" s="218"/>
      <c r="DW37" s="218"/>
      <c r="DX37" s="218"/>
      <c r="DY37" s="218"/>
      <c r="DZ37" s="218"/>
      <c r="EA37" s="218"/>
      <c r="EB37" s="218"/>
      <c r="EC37" s="218"/>
      <c r="ED37" s="218"/>
      <c r="EE37" s="218"/>
      <c r="EF37" s="218"/>
      <c r="EG37" s="218"/>
      <c r="EH37" s="218"/>
      <c r="EI37" s="218"/>
      <c r="EJ37" s="218"/>
      <c r="EK37" s="218"/>
      <c r="EL37" s="218"/>
      <c r="EM37" s="218"/>
      <c r="EN37" s="218"/>
      <c r="EO37" s="218"/>
      <c r="EP37" s="218"/>
      <c r="EQ37" s="218"/>
      <c r="ER37" s="218"/>
      <c r="ES37" s="218"/>
      <c r="ET37" s="218"/>
      <c r="EU37" s="218"/>
      <c r="EV37" s="218"/>
      <c r="EW37" s="218"/>
      <c r="EX37" s="218"/>
      <c r="EY37" s="218"/>
      <c r="EZ37" s="218"/>
      <c r="FA37" s="218"/>
      <c r="FB37" s="218"/>
      <c r="FC37" s="218"/>
      <c r="FD37" s="218"/>
      <c r="FE37" s="218"/>
      <c r="FF37" s="218"/>
      <c r="FG37" s="218"/>
      <c r="FH37" s="218"/>
    </row>
    <row r="38" spans="3:164" s="92" customFormat="1">
      <c r="C38" s="65"/>
      <c r="J38" s="230"/>
      <c r="K38" s="231"/>
      <c r="L38" s="231"/>
      <c r="M38" s="231"/>
      <c r="N38" s="231"/>
      <c r="O38" s="231"/>
      <c r="P38" s="231"/>
      <c r="Q38" s="231"/>
      <c r="R38" s="231"/>
      <c r="S38" s="231"/>
      <c r="T38" s="231"/>
      <c r="U38" s="231"/>
      <c r="V38" s="231"/>
      <c r="W38" s="231"/>
      <c r="X38" s="231"/>
      <c r="Y38" s="231"/>
      <c r="Z38" s="231"/>
      <c r="AA38" s="231"/>
      <c r="AB38" s="231"/>
      <c r="AC38" s="231"/>
      <c r="AD38" s="231"/>
      <c r="AE38" s="231"/>
      <c r="AF38" s="232"/>
      <c r="AG38" s="237"/>
      <c r="AH38" s="231"/>
      <c r="AI38" s="231"/>
      <c r="AJ38" s="231"/>
      <c r="AK38" s="231"/>
      <c r="AL38" s="231"/>
      <c r="AM38" s="231"/>
      <c r="AN38" s="231"/>
      <c r="AO38" s="231"/>
      <c r="AP38" s="231"/>
      <c r="AQ38" s="231"/>
      <c r="AR38" s="231"/>
      <c r="AS38" s="231"/>
      <c r="AT38" s="231"/>
      <c r="AU38" s="231"/>
      <c r="AV38" s="231"/>
      <c r="AW38" s="231"/>
      <c r="AX38" s="231"/>
      <c r="AY38" s="231"/>
      <c r="AZ38" s="231"/>
      <c r="BA38" s="231"/>
      <c r="BB38" s="231"/>
      <c r="BC38" s="232"/>
      <c r="BD38" s="237"/>
      <c r="BE38" s="231"/>
      <c r="BF38" s="231"/>
      <c r="BG38" s="231"/>
      <c r="BH38" s="231"/>
      <c r="BI38" s="231"/>
      <c r="BJ38" s="231"/>
      <c r="BK38" s="231"/>
      <c r="BL38" s="231"/>
      <c r="BM38" s="231"/>
      <c r="BN38" s="231"/>
      <c r="BO38" s="231"/>
      <c r="BP38" s="231"/>
      <c r="BQ38" s="231"/>
      <c r="BR38" s="231"/>
      <c r="BS38" s="231"/>
      <c r="BT38" s="231"/>
      <c r="BU38" s="231"/>
      <c r="BV38" s="231"/>
      <c r="BW38" s="231"/>
      <c r="BX38" s="231"/>
      <c r="BY38" s="231"/>
      <c r="BZ38" s="232"/>
      <c r="CA38" s="237"/>
      <c r="CB38" s="231"/>
      <c r="CC38" s="231"/>
      <c r="CD38" s="231"/>
      <c r="CE38" s="231"/>
      <c r="CF38" s="231"/>
      <c r="CG38" s="231"/>
      <c r="CH38" s="231"/>
      <c r="CI38" s="231"/>
      <c r="CJ38" s="231"/>
      <c r="CK38" s="231"/>
      <c r="CL38" s="231"/>
      <c r="CM38" s="231"/>
      <c r="CN38" s="231"/>
      <c r="CO38" s="231"/>
      <c r="CP38" s="231"/>
      <c r="CQ38" s="231"/>
      <c r="CR38" s="231"/>
      <c r="CS38" s="231"/>
      <c r="CT38" s="231"/>
      <c r="CU38" s="231"/>
      <c r="CV38" s="231"/>
      <c r="CW38" s="239"/>
      <c r="CX38" s="65"/>
      <c r="CY38" s="65"/>
      <c r="CZ38" s="65"/>
      <c r="DA38" s="65"/>
      <c r="DB38" s="65"/>
      <c r="DC38" s="65"/>
      <c r="DD38" s="65"/>
      <c r="DE38" s="65"/>
      <c r="DF38" s="65"/>
      <c r="DG38" s="65"/>
      <c r="DH38" s="65"/>
      <c r="DK38" s="218"/>
      <c r="DL38" s="218"/>
      <c r="DM38" s="218"/>
      <c r="DN38" s="218"/>
      <c r="DO38" s="218"/>
      <c r="DP38" s="218"/>
      <c r="DQ38" s="218"/>
      <c r="DR38" s="218"/>
      <c r="DS38" s="218"/>
      <c r="DT38" s="218"/>
      <c r="DU38" s="218"/>
      <c r="DV38" s="218"/>
      <c r="DW38" s="218"/>
      <c r="DX38" s="218"/>
      <c r="DY38" s="218"/>
      <c r="DZ38" s="218"/>
      <c r="EA38" s="218"/>
      <c r="EB38" s="218"/>
      <c r="EC38" s="218"/>
      <c r="ED38" s="218"/>
      <c r="EE38" s="218"/>
      <c r="EF38" s="218"/>
      <c r="EG38" s="218"/>
      <c r="EH38" s="218"/>
      <c r="EI38" s="218"/>
      <c r="EJ38" s="218"/>
      <c r="EK38" s="218"/>
      <c r="EL38" s="218"/>
      <c r="EM38" s="218"/>
      <c r="EN38" s="218"/>
      <c r="EO38" s="218"/>
      <c r="EP38" s="218"/>
      <c r="EQ38" s="218"/>
      <c r="ER38" s="218"/>
      <c r="ES38" s="218"/>
      <c r="ET38" s="218"/>
      <c r="EU38" s="218"/>
      <c r="EV38" s="218"/>
      <c r="EW38" s="218"/>
      <c r="EX38" s="218"/>
      <c r="EY38" s="218"/>
      <c r="EZ38" s="218"/>
      <c r="FA38" s="218"/>
      <c r="FB38" s="218"/>
      <c r="FC38" s="218"/>
      <c r="FD38" s="218"/>
      <c r="FE38" s="218"/>
      <c r="FF38" s="218"/>
      <c r="FG38" s="218"/>
      <c r="FH38" s="218"/>
    </row>
    <row r="39" spans="3:164" s="92" customFormat="1">
      <c r="J39" s="233"/>
      <c r="K39" s="234"/>
      <c r="L39" s="234"/>
      <c r="M39" s="234"/>
      <c r="N39" s="234"/>
      <c r="O39" s="234"/>
      <c r="P39" s="234"/>
      <c r="Q39" s="234"/>
      <c r="R39" s="234"/>
      <c r="S39" s="234"/>
      <c r="T39" s="234"/>
      <c r="U39" s="234"/>
      <c r="V39" s="234"/>
      <c r="W39" s="234"/>
      <c r="X39" s="234"/>
      <c r="Y39" s="234"/>
      <c r="Z39" s="234"/>
      <c r="AA39" s="234"/>
      <c r="AB39" s="234"/>
      <c r="AC39" s="234"/>
      <c r="AD39" s="234"/>
      <c r="AE39" s="234"/>
      <c r="AF39" s="235"/>
      <c r="AG39" s="237"/>
      <c r="AH39" s="231"/>
      <c r="AI39" s="231"/>
      <c r="AJ39" s="231"/>
      <c r="AK39" s="231"/>
      <c r="AL39" s="231"/>
      <c r="AM39" s="231"/>
      <c r="AN39" s="231"/>
      <c r="AO39" s="231"/>
      <c r="AP39" s="231"/>
      <c r="AQ39" s="231"/>
      <c r="AR39" s="231"/>
      <c r="AS39" s="231"/>
      <c r="AT39" s="231"/>
      <c r="AU39" s="231"/>
      <c r="AV39" s="231"/>
      <c r="AW39" s="231"/>
      <c r="AX39" s="231"/>
      <c r="AY39" s="231"/>
      <c r="AZ39" s="231"/>
      <c r="BA39" s="231"/>
      <c r="BB39" s="231"/>
      <c r="BC39" s="232"/>
      <c r="BD39" s="237"/>
      <c r="BE39" s="231"/>
      <c r="BF39" s="231"/>
      <c r="BG39" s="231"/>
      <c r="BH39" s="231"/>
      <c r="BI39" s="231"/>
      <c r="BJ39" s="231"/>
      <c r="BK39" s="231"/>
      <c r="BL39" s="231"/>
      <c r="BM39" s="231"/>
      <c r="BN39" s="231"/>
      <c r="BO39" s="231"/>
      <c r="BP39" s="231"/>
      <c r="BQ39" s="231"/>
      <c r="BR39" s="231"/>
      <c r="BS39" s="231"/>
      <c r="BT39" s="231"/>
      <c r="BU39" s="231"/>
      <c r="BV39" s="231"/>
      <c r="BW39" s="231"/>
      <c r="BX39" s="231"/>
      <c r="BY39" s="231"/>
      <c r="BZ39" s="232"/>
      <c r="CA39" s="237"/>
      <c r="CB39" s="231"/>
      <c r="CC39" s="231"/>
      <c r="CD39" s="231"/>
      <c r="CE39" s="231"/>
      <c r="CF39" s="231"/>
      <c r="CG39" s="231"/>
      <c r="CH39" s="231"/>
      <c r="CI39" s="231"/>
      <c r="CJ39" s="231"/>
      <c r="CK39" s="231"/>
      <c r="CL39" s="231"/>
      <c r="CM39" s="231"/>
      <c r="CN39" s="231"/>
      <c r="CO39" s="231"/>
      <c r="CP39" s="231"/>
      <c r="CQ39" s="231"/>
      <c r="CR39" s="231"/>
      <c r="CS39" s="231"/>
      <c r="CT39" s="231"/>
      <c r="CU39" s="231"/>
      <c r="CV39" s="231"/>
      <c r="CW39" s="239"/>
      <c r="DK39" s="219"/>
      <c r="DL39" s="219"/>
      <c r="DM39" s="219"/>
      <c r="DN39" s="219"/>
      <c r="DO39" s="219"/>
      <c r="DP39" s="219"/>
      <c r="DQ39" s="219"/>
      <c r="DR39" s="219"/>
      <c r="DS39" s="219"/>
      <c r="DT39" s="219"/>
      <c r="DU39" s="219"/>
      <c r="DV39" s="219"/>
      <c r="DW39" s="219"/>
      <c r="DX39" s="219"/>
      <c r="DY39" s="219"/>
      <c r="DZ39" s="219"/>
      <c r="EA39" s="219"/>
      <c r="EB39" s="219"/>
      <c r="EC39" s="219"/>
      <c r="ED39" s="219"/>
      <c r="EE39" s="219"/>
      <c r="EF39" s="219"/>
      <c r="EG39" s="219"/>
      <c r="EH39" s="219"/>
      <c r="EI39" s="219"/>
      <c r="EJ39" s="219"/>
      <c r="EK39" s="219"/>
      <c r="EL39" s="219"/>
      <c r="EM39" s="219"/>
      <c r="EN39" s="219"/>
      <c r="EO39" s="219"/>
      <c r="EP39" s="219"/>
      <c r="EQ39" s="219"/>
      <c r="ER39" s="219"/>
      <c r="ES39" s="219"/>
      <c r="ET39" s="219"/>
      <c r="EU39" s="219"/>
      <c r="EV39" s="219"/>
      <c r="EW39" s="219"/>
      <c r="EX39" s="219"/>
      <c r="EY39" s="219"/>
      <c r="EZ39" s="219"/>
      <c r="FA39" s="219"/>
      <c r="FB39" s="219"/>
      <c r="FC39" s="219"/>
      <c r="FD39" s="219"/>
      <c r="FE39" s="219"/>
      <c r="FF39" s="219"/>
      <c r="FG39" s="219"/>
      <c r="FH39" s="219"/>
    </row>
    <row r="40" spans="3:164" s="92" customFormat="1" ht="12.75" thickBot="1">
      <c r="J40" s="220"/>
      <c r="K40" s="221"/>
      <c r="L40" s="221"/>
      <c r="M40" s="221"/>
      <c r="N40" s="221"/>
      <c r="O40" s="221"/>
      <c r="P40" s="221"/>
      <c r="Q40" s="221"/>
      <c r="R40" s="221"/>
      <c r="S40" s="221"/>
      <c r="T40" s="221"/>
      <c r="U40" s="221"/>
      <c r="V40" s="221"/>
      <c r="W40" s="221"/>
      <c r="X40" s="221"/>
      <c r="Y40" s="221"/>
      <c r="Z40" s="221"/>
      <c r="AA40" s="221"/>
      <c r="AB40" s="221"/>
      <c r="AC40" s="221"/>
      <c r="AD40" s="221"/>
      <c r="AE40" s="221"/>
      <c r="AF40" s="222"/>
      <c r="AG40" s="223"/>
      <c r="AH40" s="223"/>
      <c r="AI40" s="223"/>
      <c r="AJ40" s="223"/>
      <c r="AK40" s="223"/>
      <c r="AL40" s="223"/>
      <c r="AM40" s="223"/>
      <c r="AN40" s="223"/>
      <c r="AO40" s="223"/>
      <c r="AP40" s="223"/>
      <c r="AQ40" s="223"/>
      <c r="AR40" s="223"/>
      <c r="AS40" s="223"/>
      <c r="AT40" s="223"/>
      <c r="AU40" s="223"/>
      <c r="AV40" s="223"/>
      <c r="AW40" s="223"/>
      <c r="AX40" s="223"/>
      <c r="AY40" s="223"/>
      <c r="AZ40" s="223"/>
      <c r="BA40" s="223"/>
      <c r="BB40" s="223"/>
      <c r="BC40" s="223"/>
      <c r="BD40" s="223"/>
      <c r="BE40" s="223"/>
      <c r="BF40" s="223"/>
      <c r="BG40" s="223"/>
      <c r="BH40" s="223"/>
      <c r="BI40" s="223"/>
      <c r="BJ40" s="223"/>
      <c r="BK40" s="223"/>
      <c r="BL40" s="223"/>
      <c r="BM40" s="223"/>
      <c r="BN40" s="223"/>
      <c r="BO40" s="223"/>
      <c r="BP40" s="223"/>
      <c r="BQ40" s="223"/>
      <c r="BR40" s="223"/>
      <c r="BS40" s="223"/>
      <c r="BT40" s="223"/>
      <c r="BU40" s="223"/>
      <c r="BV40" s="223"/>
      <c r="BW40" s="223"/>
      <c r="BX40" s="223"/>
      <c r="BY40" s="223"/>
      <c r="BZ40" s="223"/>
      <c r="CA40" s="223"/>
      <c r="CB40" s="223"/>
      <c r="CC40" s="223"/>
      <c r="CD40" s="223"/>
      <c r="CE40" s="223"/>
      <c r="CF40" s="223"/>
      <c r="CG40" s="223"/>
      <c r="CH40" s="223"/>
      <c r="CI40" s="223"/>
      <c r="CJ40" s="223"/>
      <c r="CK40" s="223"/>
      <c r="CL40" s="223"/>
      <c r="CM40" s="223"/>
      <c r="CN40" s="223"/>
      <c r="CO40" s="223"/>
      <c r="CP40" s="223"/>
      <c r="CQ40" s="223"/>
      <c r="CR40" s="223"/>
      <c r="CS40" s="223"/>
      <c r="CT40" s="223"/>
      <c r="CU40" s="223"/>
      <c r="CV40" s="223"/>
      <c r="CW40" s="224"/>
      <c r="DK40" s="219"/>
      <c r="DL40" s="219"/>
      <c r="DM40" s="219"/>
      <c r="DN40" s="219"/>
      <c r="DO40" s="219"/>
      <c r="DP40" s="219"/>
      <c r="DQ40" s="219"/>
      <c r="DR40" s="219"/>
      <c r="DS40" s="219"/>
      <c r="DT40" s="219"/>
      <c r="DU40" s="219"/>
      <c r="DV40" s="219"/>
      <c r="DW40" s="219"/>
      <c r="DX40" s="219"/>
      <c r="DY40" s="219"/>
      <c r="DZ40" s="219"/>
      <c r="EA40" s="219"/>
      <c r="EB40" s="219"/>
      <c r="EC40" s="219"/>
      <c r="ED40" s="219"/>
      <c r="EE40" s="219"/>
      <c r="EF40" s="219"/>
      <c r="EG40" s="219"/>
      <c r="EH40" s="219"/>
      <c r="EI40" s="219"/>
      <c r="EJ40" s="219"/>
      <c r="EK40" s="219"/>
      <c r="EL40" s="219"/>
      <c r="EM40" s="219"/>
      <c r="EN40" s="219"/>
      <c r="EO40" s="219"/>
      <c r="EP40" s="219"/>
      <c r="EQ40" s="219"/>
      <c r="ER40" s="219"/>
      <c r="ES40" s="219"/>
      <c r="ET40" s="219"/>
      <c r="EU40" s="219"/>
      <c r="EV40" s="219"/>
      <c r="EW40" s="219"/>
      <c r="EX40" s="219"/>
      <c r="EY40" s="219"/>
      <c r="EZ40" s="219"/>
      <c r="FA40" s="219"/>
      <c r="FB40" s="219"/>
      <c r="FC40" s="219"/>
      <c r="FD40" s="219"/>
      <c r="FE40" s="219"/>
      <c r="FF40" s="219"/>
      <c r="FG40" s="219"/>
      <c r="FH40" s="219"/>
    </row>
  </sheetData>
  <mergeCells count="27">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 ref="CA33:CW33"/>
    <mergeCell ref="J37:AF39"/>
    <mergeCell ref="AG37:BC39"/>
    <mergeCell ref="BD37:BZ39"/>
    <mergeCell ref="CA37:CW39"/>
    <mergeCell ref="DK37:FH38"/>
    <mergeCell ref="DK39:FH40"/>
    <mergeCell ref="J40:AF40"/>
    <mergeCell ref="AG40:BC40"/>
    <mergeCell ref="BD40:BZ40"/>
    <mergeCell ref="CA40:CW40"/>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34"/>
  <sheetViews>
    <sheetView view="pageBreakPreview" zoomScale="85" zoomScaleNormal="100" zoomScaleSheetLayoutView="85" workbookViewId="0">
      <selection activeCell="D4" sqref="D4"/>
    </sheetView>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43320</v>
      </c>
      <c r="B4" s="77" t="s">
        <v>72</v>
      </c>
      <c r="C4" s="78" t="s">
        <v>73</v>
      </c>
      <c r="D4" s="90" t="s">
        <v>98</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X425"/>
  <sheetViews>
    <sheetView zoomScale="70" zoomScaleNormal="70" workbookViewId="0">
      <pane ySplit="8" topLeftCell="A9" activePane="bottomLeft" state="frozen"/>
      <selection pane="bottomLeft"/>
    </sheetView>
  </sheetViews>
  <sheetFormatPr defaultColWidth="6.875" defaultRowHeight="13.5"/>
  <cols>
    <col min="1" max="1" width="4.5" style="99" bestFit="1" customWidth="1"/>
    <col min="2" max="2" width="9" style="2" customWidth="1"/>
    <col min="3" max="4" width="38.25" style="99" customWidth="1"/>
    <col min="5" max="5" width="35.75" style="99" customWidth="1"/>
    <col min="6" max="6" width="60.25" style="5" customWidth="1"/>
    <col min="7" max="7" width="8.75" style="14" customWidth="1"/>
    <col min="8" max="8" width="8.75" style="4" customWidth="1"/>
    <col min="9" max="9" width="11.625" style="4" customWidth="1"/>
    <col min="10" max="10" width="8.75" style="4" customWidth="1"/>
    <col min="11" max="11" width="11.25" style="4" customWidth="1"/>
    <col min="12" max="12" width="13.125" style="8" customWidth="1"/>
    <col min="13" max="13" width="12.375" style="99" customWidth="1"/>
    <col min="14" max="14" width="11.25" style="99" customWidth="1"/>
    <col min="15" max="15" width="13" style="99" customWidth="1"/>
    <col min="16" max="16" width="13.25" style="99" customWidth="1"/>
    <col min="17" max="18" width="35.875" style="99" customWidth="1"/>
    <col min="19" max="19" width="16.75" style="99" customWidth="1"/>
    <col min="20" max="20" width="20" style="99" customWidth="1"/>
    <col min="21" max="21" width="18" style="99" customWidth="1"/>
    <col min="22" max="16384" width="6.875" style="99"/>
  </cols>
  <sheetData>
    <row r="1" spans="1:24">
      <c r="N1" s="99" t="s">
        <v>0</v>
      </c>
      <c r="O1" s="99" t="s">
        <v>86</v>
      </c>
      <c r="P1" s="99" t="s">
        <v>87</v>
      </c>
      <c r="Q1" s="99" t="s">
        <v>658</v>
      </c>
    </row>
    <row r="2" spans="1:24">
      <c r="A2" s="98"/>
      <c r="G2" s="6" t="s">
        <v>1</v>
      </c>
      <c r="H2" s="7" t="s">
        <v>0</v>
      </c>
      <c r="I2" s="7" t="s">
        <v>17</v>
      </c>
      <c r="J2" s="7" t="s">
        <v>21</v>
      </c>
      <c r="K2" s="96"/>
      <c r="L2" s="103" t="s">
        <v>88</v>
      </c>
      <c r="M2" s="12">
        <f>COUNTA(B8:B441)-8</f>
        <v>399</v>
      </c>
      <c r="N2" s="99">
        <f>COUNTIF($H$9:$H$941,"OK")+COUNTIF($H$9:$H941,"－")</f>
        <v>0</v>
      </c>
      <c r="O2" s="99">
        <f>COUNTIF($H$9:$H$941,"NG")</f>
        <v>0</v>
      </c>
      <c r="P2" s="99">
        <f>COUNTIF($H$9:$H$941,"NG（済）")</f>
        <v>0</v>
      </c>
      <c r="Q2" s="99">
        <f>COUNTIF($H$9:$H$941,"未実施")</f>
        <v>0</v>
      </c>
    </row>
    <row r="3" spans="1:24">
      <c r="A3" s="98" t="s">
        <v>2</v>
      </c>
      <c r="B3" s="9" t="s">
        <v>80</v>
      </c>
      <c r="G3" s="10">
        <f>SUM(M2:M5)</f>
        <v>1197</v>
      </c>
      <c r="H3" s="10">
        <f>SUM(N2:N5)</f>
        <v>0</v>
      </c>
      <c r="I3" s="10">
        <f>SUM(O2:O5)</f>
        <v>0</v>
      </c>
      <c r="J3" s="10">
        <f>SUM(P2:P5)</f>
        <v>0</v>
      </c>
      <c r="K3" s="96"/>
      <c r="L3" s="104" t="s">
        <v>89</v>
      </c>
      <c r="M3" s="12">
        <f>COUNTA(B8:B441)-8</f>
        <v>399</v>
      </c>
      <c r="N3" s="99">
        <f>COUNTIF($K$9:$K$941,"OK")+COUNTIF($K$9:$K$941,"－")</f>
        <v>0</v>
      </c>
      <c r="O3" s="99">
        <f>COUNTIF($K$9:$K$941,"NG")</f>
        <v>0</v>
      </c>
      <c r="P3" s="99">
        <f>COUNTIF($K$9:$K$941,"NG（済）")</f>
        <v>0</v>
      </c>
      <c r="Q3" s="99">
        <f>COUNTIF($K$9:$K$941,"未実施")</f>
        <v>0</v>
      </c>
    </row>
    <row r="4" spans="1:24">
      <c r="A4" s="13"/>
      <c r="B4" s="99" t="s">
        <v>452</v>
      </c>
      <c r="L4" s="104" t="s">
        <v>90</v>
      </c>
      <c r="M4" s="12">
        <f>COUNTA(B8:B441)-8</f>
        <v>399</v>
      </c>
      <c r="N4" s="99">
        <f>COUNTIF($N$9:$N$941,"OK")+COUNTIF($N$9:$N$941,"－")</f>
        <v>0</v>
      </c>
      <c r="O4" s="99">
        <f>COUNTIF($N$9:$N$941,"NG")</f>
        <v>0</v>
      </c>
      <c r="P4" s="99">
        <f>COUNTIF($N$9:$N$941,"NG（済）")</f>
        <v>0</v>
      </c>
      <c r="Q4" s="99">
        <f>COUNTIF($N$9:$N$941,"未実施")</f>
        <v>0</v>
      </c>
    </row>
    <row r="5" spans="1:24">
      <c r="A5" s="13" t="s">
        <v>3</v>
      </c>
      <c r="B5" s="98" t="s">
        <v>13</v>
      </c>
      <c r="C5" s="97" t="s">
        <v>365</v>
      </c>
      <c r="D5" s="97"/>
      <c r="L5" s="104"/>
      <c r="M5" s="12"/>
      <c r="Q5" s="13"/>
      <c r="R5" s="13"/>
    </row>
    <row r="6" spans="1:24">
      <c r="A6" s="13"/>
      <c r="B6" s="98"/>
      <c r="L6" s="104"/>
      <c r="Q6" s="13"/>
      <c r="R6" s="13"/>
    </row>
    <row r="7" spans="1:24">
      <c r="B7" s="268" t="s">
        <v>4</v>
      </c>
      <c r="C7" s="274" t="s">
        <v>5</v>
      </c>
      <c r="D7" s="274" t="s">
        <v>79</v>
      </c>
      <c r="E7" s="274" t="s">
        <v>6</v>
      </c>
      <c r="F7" s="270" t="s">
        <v>7</v>
      </c>
      <c r="G7" s="271"/>
      <c r="H7" s="264" t="s">
        <v>91</v>
      </c>
      <c r="I7" s="264"/>
      <c r="J7" s="264"/>
      <c r="K7" s="264" t="s">
        <v>84</v>
      </c>
      <c r="L7" s="264"/>
      <c r="M7" s="264"/>
      <c r="N7" s="264" t="s">
        <v>85</v>
      </c>
      <c r="O7" s="264"/>
      <c r="P7" s="264"/>
      <c r="Q7" s="265" t="s">
        <v>659</v>
      </c>
      <c r="R7" s="265" t="s">
        <v>78</v>
      </c>
      <c r="S7" s="267" t="s">
        <v>14</v>
      </c>
      <c r="T7" s="267"/>
      <c r="U7" s="267"/>
      <c r="V7" s="112"/>
    </row>
    <row r="8" spans="1:24" ht="12.95" customHeight="1">
      <c r="B8" s="269"/>
      <c r="C8" s="266"/>
      <c r="D8" s="266"/>
      <c r="E8" s="266"/>
      <c r="F8" s="272"/>
      <c r="G8" s="273"/>
      <c r="H8" s="111" t="s">
        <v>8</v>
      </c>
      <c r="I8" s="111" t="s">
        <v>9</v>
      </c>
      <c r="J8" s="111" t="s">
        <v>10</v>
      </c>
      <c r="K8" s="111" t="s">
        <v>8</v>
      </c>
      <c r="L8" s="111" t="s">
        <v>9</v>
      </c>
      <c r="M8" s="111" t="s">
        <v>10</v>
      </c>
      <c r="N8" s="111" t="s">
        <v>8</v>
      </c>
      <c r="O8" s="111" t="s">
        <v>9</v>
      </c>
      <c r="P8" s="111" t="s">
        <v>10</v>
      </c>
      <c r="Q8" s="266"/>
      <c r="R8" s="266"/>
      <c r="S8" s="93"/>
      <c r="T8" s="94"/>
      <c r="U8" s="95"/>
      <c r="V8" s="112"/>
    </row>
    <row r="9" spans="1:24" ht="41.25" customHeight="1">
      <c r="B9" s="169" t="str">
        <f t="shared" ref="B9:B292" si="0">"1-"&amp;ROW()-8</f>
        <v>1-1</v>
      </c>
      <c r="C9" s="42" t="s">
        <v>518</v>
      </c>
      <c r="D9" s="100" t="s">
        <v>83</v>
      </c>
      <c r="E9" s="100" t="s">
        <v>62</v>
      </c>
      <c r="F9" s="262" t="s">
        <v>453</v>
      </c>
      <c r="G9" s="263"/>
      <c r="H9" s="101"/>
      <c r="I9" s="20"/>
      <c r="J9" s="101"/>
      <c r="K9" s="101"/>
      <c r="L9" s="20"/>
      <c r="M9" s="101"/>
      <c r="N9" s="101"/>
      <c r="O9" s="20"/>
      <c r="P9" s="101"/>
      <c r="Q9" s="101"/>
      <c r="R9" s="101"/>
      <c r="S9" s="100"/>
      <c r="T9" s="102"/>
      <c r="U9" s="102"/>
      <c r="V9" s="156"/>
    </row>
    <row r="10" spans="1:24" ht="34.5" customHeight="1">
      <c r="B10" s="169" t="str">
        <f t="shared" si="0"/>
        <v>1-2</v>
      </c>
      <c r="C10" s="100" t="s">
        <v>83</v>
      </c>
      <c r="D10" s="100" t="s">
        <v>83</v>
      </c>
      <c r="E10" s="100" t="s">
        <v>62</v>
      </c>
      <c r="F10" s="262" t="s">
        <v>82</v>
      </c>
      <c r="G10" s="263"/>
      <c r="H10" s="101"/>
      <c r="I10" s="20"/>
      <c r="J10" s="101"/>
      <c r="K10" s="101"/>
      <c r="L10" s="20"/>
      <c r="M10" s="101"/>
      <c r="N10" s="161"/>
      <c r="O10" s="162"/>
      <c r="P10" s="161"/>
      <c r="Q10" s="101"/>
      <c r="R10" s="101"/>
      <c r="S10" s="100"/>
      <c r="T10" s="102"/>
      <c r="U10" s="102"/>
      <c r="V10" s="156"/>
    </row>
    <row r="11" spans="1:24" ht="51" customHeight="1">
      <c r="B11" s="169" t="str">
        <f t="shared" si="0"/>
        <v>1-3</v>
      </c>
      <c r="C11" s="100" t="s">
        <v>83</v>
      </c>
      <c r="D11" s="100" t="s">
        <v>83</v>
      </c>
      <c r="E11" s="100" t="s">
        <v>62</v>
      </c>
      <c r="F11" s="262" t="s">
        <v>92</v>
      </c>
      <c r="G11" s="263"/>
      <c r="H11" s="101"/>
      <c r="I11" s="20"/>
      <c r="J11" s="101"/>
      <c r="K11" s="101"/>
      <c r="L11" s="20"/>
      <c r="M11" s="101"/>
      <c r="N11" s="101"/>
      <c r="O11" s="20"/>
      <c r="P11" s="101"/>
      <c r="Q11" s="182"/>
      <c r="R11" s="101"/>
      <c r="S11" s="100"/>
      <c r="T11" s="102"/>
      <c r="U11" s="102"/>
      <c r="V11" s="156"/>
      <c r="W11" s="156"/>
      <c r="X11" s="156"/>
    </row>
    <row r="12" spans="1:24" ht="172.5" customHeight="1">
      <c r="B12" s="169" t="str">
        <f t="shared" si="0"/>
        <v>1-4</v>
      </c>
      <c r="C12" s="100" t="s">
        <v>83</v>
      </c>
      <c r="D12" s="100"/>
      <c r="E12" s="100" t="s">
        <v>62</v>
      </c>
      <c r="F12" s="262" t="s">
        <v>302</v>
      </c>
      <c r="G12" s="263"/>
      <c r="H12" s="101"/>
      <c r="I12" s="20"/>
      <c r="J12" s="101"/>
      <c r="K12" s="101"/>
      <c r="L12" s="20"/>
      <c r="M12" s="101"/>
      <c r="N12" s="101"/>
      <c r="O12" s="20"/>
      <c r="P12" s="101"/>
      <c r="Q12" s="182"/>
      <c r="R12" s="101"/>
      <c r="S12" s="100"/>
      <c r="T12" s="102"/>
      <c r="U12" s="102"/>
      <c r="V12" s="156"/>
      <c r="W12" s="156"/>
      <c r="X12" s="156"/>
    </row>
    <row r="13" spans="1:24" ht="51.75" customHeight="1">
      <c r="B13" s="169" t="str">
        <f t="shared" si="0"/>
        <v>1-5</v>
      </c>
      <c r="C13" s="100" t="s">
        <v>83</v>
      </c>
      <c r="D13" s="100" t="s">
        <v>83</v>
      </c>
      <c r="E13" s="114" t="s">
        <v>62</v>
      </c>
      <c r="F13" s="258" t="s">
        <v>93</v>
      </c>
      <c r="G13" s="259"/>
      <c r="H13" s="101"/>
      <c r="I13" s="20"/>
      <c r="J13" s="101"/>
      <c r="K13" s="101"/>
      <c r="L13" s="20"/>
      <c r="M13" s="101"/>
      <c r="N13" s="101"/>
      <c r="O13" s="20"/>
      <c r="P13" s="101"/>
      <c r="Q13" s="182"/>
      <c r="R13" s="101"/>
      <c r="S13" s="100"/>
      <c r="T13" s="102"/>
      <c r="U13" s="102"/>
      <c r="V13" s="156"/>
      <c r="W13" s="156"/>
      <c r="X13" s="156"/>
    </row>
    <row r="14" spans="1:24" ht="34.5" customHeight="1">
      <c r="B14" s="169" t="str">
        <f t="shared" si="0"/>
        <v>1-6</v>
      </c>
      <c r="C14" s="100"/>
      <c r="D14" s="42" t="s">
        <v>660</v>
      </c>
      <c r="E14" s="42" t="s">
        <v>661</v>
      </c>
      <c r="F14" s="262" t="s">
        <v>662</v>
      </c>
      <c r="G14" s="263"/>
      <c r="H14" s="101"/>
      <c r="I14" s="20"/>
      <c r="J14" s="101"/>
      <c r="K14" s="101"/>
      <c r="L14" s="20"/>
      <c r="M14" s="101"/>
      <c r="N14" s="161"/>
      <c r="O14" s="162"/>
      <c r="P14" s="161"/>
      <c r="Q14" s="182"/>
      <c r="R14" s="101"/>
      <c r="S14" s="100"/>
      <c r="T14" s="102"/>
      <c r="U14" s="102"/>
      <c r="V14" s="180"/>
      <c r="W14" s="180"/>
      <c r="X14" s="180"/>
    </row>
    <row r="15" spans="1:24" ht="77.25" customHeight="1">
      <c r="B15" s="169" t="str">
        <f t="shared" si="0"/>
        <v>1-7</v>
      </c>
      <c r="C15" s="100"/>
      <c r="D15" s="42" t="s">
        <v>663</v>
      </c>
      <c r="E15" s="42" t="s">
        <v>664</v>
      </c>
      <c r="F15" s="262" t="s">
        <v>92</v>
      </c>
      <c r="G15" s="263"/>
      <c r="H15" s="203"/>
      <c r="I15" s="204"/>
      <c r="J15" s="203"/>
      <c r="K15" s="203"/>
      <c r="L15" s="204"/>
      <c r="M15" s="203"/>
      <c r="N15" s="203"/>
      <c r="O15" s="204"/>
      <c r="P15" s="203"/>
      <c r="Q15" s="205"/>
      <c r="R15" s="101"/>
      <c r="S15" s="100"/>
      <c r="T15" s="102"/>
      <c r="U15" s="102"/>
      <c r="V15" s="180"/>
      <c r="W15" s="180"/>
      <c r="X15" s="180"/>
    </row>
    <row r="16" spans="1:24" ht="48" customHeight="1">
      <c r="B16" s="169" t="str">
        <f t="shared" si="0"/>
        <v>1-8</v>
      </c>
      <c r="C16" s="100"/>
      <c r="D16" s="42" t="s">
        <v>665</v>
      </c>
      <c r="E16" s="42" t="s">
        <v>666</v>
      </c>
      <c r="F16" s="262" t="s">
        <v>93</v>
      </c>
      <c r="G16" s="263"/>
      <c r="H16" s="203"/>
      <c r="I16" s="204"/>
      <c r="J16" s="203"/>
      <c r="K16" s="203"/>
      <c r="L16" s="204"/>
      <c r="M16" s="203"/>
      <c r="N16" s="203"/>
      <c r="O16" s="204"/>
      <c r="P16" s="203"/>
      <c r="Q16" s="205"/>
      <c r="R16" s="101"/>
      <c r="S16" s="100"/>
      <c r="T16" s="102"/>
      <c r="U16" s="102"/>
      <c r="V16" s="180"/>
      <c r="W16" s="180"/>
      <c r="X16" s="180"/>
    </row>
    <row r="17" spans="2:24" ht="45" customHeight="1">
      <c r="B17" s="169" t="str">
        <f t="shared" si="0"/>
        <v>1-9</v>
      </c>
      <c r="C17" s="114" t="s">
        <v>100</v>
      </c>
      <c r="D17" s="115" t="s">
        <v>101</v>
      </c>
      <c r="E17" s="114" t="s">
        <v>151</v>
      </c>
      <c r="F17" s="258" t="s">
        <v>103</v>
      </c>
      <c r="G17" s="259"/>
      <c r="H17" s="101"/>
      <c r="I17" s="20"/>
      <c r="J17" s="101"/>
      <c r="K17" s="101"/>
      <c r="L17" s="20"/>
      <c r="M17" s="101"/>
      <c r="N17" s="101"/>
      <c r="O17" s="20"/>
      <c r="P17" s="101"/>
      <c r="Q17" s="182"/>
      <c r="R17" s="101"/>
      <c r="S17" s="100"/>
      <c r="T17" s="102"/>
      <c r="U17" s="102"/>
      <c r="V17" s="116"/>
    </row>
    <row r="18" spans="2:24" ht="45" customHeight="1">
      <c r="B18" s="169" t="str">
        <f t="shared" si="0"/>
        <v>1-10</v>
      </c>
      <c r="C18" s="114" t="s">
        <v>99</v>
      </c>
      <c r="D18" s="115" t="s">
        <v>104</v>
      </c>
      <c r="E18" s="114" t="s">
        <v>151</v>
      </c>
      <c r="F18" s="258" t="s">
        <v>105</v>
      </c>
      <c r="G18" s="259"/>
      <c r="H18" s="101"/>
      <c r="I18" s="20"/>
      <c r="J18" s="101"/>
      <c r="K18" s="101"/>
      <c r="L18" s="20"/>
      <c r="M18" s="101"/>
      <c r="N18" s="101"/>
      <c r="O18" s="20"/>
      <c r="P18" s="101"/>
      <c r="Q18" s="182"/>
      <c r="R18" s="101"/>
      <c r="S18" s="100"/>
      <c r="T18" s="102"/>
      <c r="U18" s="102"/>
      <c r="V18" s="117"/>
    </row>
    <row r="19" spans="2:24" ht="45" customHeight="1">
      <c r="B19" s="169" t="str">
        <f t="shared" si="0"/>
        <v>1-11</v>
      </c>
      <c r="C19" s="115" t="s">
        <v>618</v>
      </c>
      <c r="D19" s="115" t="s">
        <v>304</v>
      </c>
      <c r="E19" s="114" t="s">
        <v>194</v>
      </c>
      <c r="F19" s="256" t="s">
        <v>617</v>
      </c>
      <c r="G19" s="257"/>
      <c r="H19" s="124"/>
      <c r="I19" s="125"/>
      <c r="J19" s="124"/>
      <c r="K19" s="124"/>
      <c r="L19" s="125"/>
      <c r="M19" s="124"/>
      <c r="N19" s="101"/>
      <c r="O19" s="20"/>
      <c r="P19" s="101"/>
      <c r="Q19" s="124"/>
      <c r="R19" s="101"/>
      <c r="S19" s="100"/>
      <c r="T19" s="102"/>
      <c r="U19" s="102"/>
      <c r="V19" s="181"/>
    </row>
    <row r="20" spans="2:24" ht="45" customHeight="1">
      <c r="B20" s="169" t="str">
        <f t="shared" si="0"/>
        <v>1-12</v>
      </c>
      <c r="C20" s="115" t="s">
        <v>667</v>
      </c>
      <c r="D20" s="115" t="s">
        <v>668</v>
      </c>
      <c r="E20" s="114" t="s">
        <v>194</v>
      </c>
      <c r="F20" s="256" t="s">
        <v>616</v>
      </c>
      <c r="G20" s="257"/>
      <c r="H20" s="124"/>
      <c r="I20" s="125"/>
      <c r="J20" s="124"/>
      <c r="K20" s="124"/>
      <c r="L20" s="125"/>
      <c r="M20" s="124"/>
      <c r="N20" s="101"/>
      <c r="O20" s="20"/>
      <c r="P20" s="101"/>
      <c r="Q20" s="124"/>
      <c r="R20" s="101"/>
      <c r="S20" s="100"/>
      <c r="T20" s="102"/>
      <c r="U20" s="102"/>
      <c r="V20" s="181"/>
    </row>
    <row r="21" spans="2:24" ht="48.95" customHeight="1">
      <c r="B21" s="169" t="str">
        <f t="shared" ref="B21:B22" si="1">"1-"&amp;ROW()-8</f>
        <v>1-13</v>
      </c>
      <c r="C21" s="100" t="s">
        <v>621</v>
      </c>
      <c r="D21" s="100" t="s">
        <v>83</v>
      </c>
      <c r="E21" s="114" t="s">
        <v>614</v>
      </c>
      <c r="F21" s="262" t="s">
        <v>472</v>
      </c>
      <c r="G21" s="263"/>
      <c r="H21" s="124"/>
      <c r="I21" s="125"/>
      <c r="J21" s="124"/>
      <c r="K21" s="124"/>
      <c r="L21" s="125"/>
      <c r="M21" s="124"/>
      <c r="N21" s="101"/>
      <c r="O21" s="20"/>
      <c r="P21" s="101"/>
      <c r="Q21" s="182"/>
      <c r="R21" s="101"/>
      <c r="S21" s="100"/>
      <c r="T21" s="102"/>
      <c r="U21" s="102"/>
      <c r="V21" s="177"/>
      <c r="W21" s="177"/>
      <c r="X21" s="177"/>
    </row>
    <row r="22" spans="2:24" ht="45" customHeight="1">
      <c r="B22" s="169" t="str">
        <f t="shared" si="1"/>
        <v>1-14</v>
      </c>
      <c r="C22" s="100" t="s">
        <v>83</v>
      </c>
      <c r="D22" s="100" t="s">
        <v>83</v>
      </c>
      <c r="E22" s="114" t="s">
        <v>615</v>
      </c>
      <c r="F22" s="258" t="s">
        <v>620</v>
      </c>
      <c r="G22" s="259"/>
      <c r="H22" s="124"/>
      <c r="I22" s="125"/>
      <c r="J22" s="124"/>
      <c r="K22" s="124"/>
      <c r="L22" s="125"/>
      <c r="M22" s="124"/>
      <c r="N22" s="101"/>
      <c r="O22" s="20"/>
      <c r="P22" s="101"/>
      <c r="Q22" s="182"/>
      <c r="R22" s="101"/>
      <c r="S22" s="100"/>
      <c r="T22" s="102"/>
      <c r="U22" s="102"/>
      <c r="V22" s="177"/>
    </row>
    <row r="23" spans="2:24" ht="48.95" customHeight="1">
      <c r="B23" s="169" t="str">
        <f t="shared" si="0"/>
        <v>1-15</v>
      </c>
      <c r="C23" s="100" t="s">
        <v>557</v>
      </c>
      <c r="D23" s="100" t="s">
        <v>83</v>
      </c>
      <c r="E23" s="114" t="s">
        <v>614</v>
      </c>
      <c r="F23" s="262" t="s">
        <v>472</v>
      </c>
      <c r="G23" s="263"/>
      <c r="H23" s="124"/>
      <c r="I23" s="125"/>
      <c r="J23" s="124"/>
      <c r="K23" s="124"/>
      <c r="L23" s="125"/>
      <c r="M23" s="124"/>
      <c r="N23" s="101"/>
      <c r="O23" s="20"/>
      <c r="P23" s="101"/>
      <c r="Q23" s="182"/>
      <c r="R23" s="101"/>
      <c r="S23" s="100"/>
      <c r="T23" s="102"/>
      <c r="U23" s="102"/>
      <c r="V23" s="177"/>
      <c r="W23" s="177"/>
      <c r="X23" s="177"/>
    </row>
    <row r="24" spans="2:24" ht="45" customHeight="1">
      <c r="B24" s="169" t="str">
        <f t="shared" si="0"/>
        <v>1-16</v>
      </c>
      <c r="C24" s="100" t="s">
        <v>83</v>
      </c>
      <c r="D24" s="100" t="s">
        <v>83</v>
      </c>
      <c r="E24" s="114" t="s">
        <v>615</v>
      </c>
      <c r="F24" s="258" t="s">
        <v>620</v>
      </c>
      <c r="G24" s="259"/>
      <c r="H24" s="124"/>
      <c r="I24" s="125"/>
      <c r="J24" s="124"/>
      <c r="K24" s="124"/>
      <c r="L24" s="125"/>
      <c r="M24" s="124"/>
      <c r="N24" s="101"/>
      <c r="O24" s="20"/>
      <c r="P24" s="101"/>
      <c r="Q24" s="182"/>
      <c r="R24" s="101"/>
      <c r="S24" s="100"/>
      <c r="T24" s="102"/>
      <c r="U24" s="102"/>
      <c r="V24" s="177"/>
    </row>
    <row r="25" spans="2:24" ht="48.95" customHeight="1">
      <c r="B25" s="169" t="str">
        <f t="shared" ref="B25:B30" si="2">"1-"&amp;ROW()-8</f>
        <v>1-17</v>
      </c>
      <c r="C25" s="100" t="s">
        <v>622</v>
      </c>
      <c r="D25" s="100" t="s">
        <v>83</v>
      </c>
      <c r="E25" s="114" t="s">
        <v>614</v>
      </c>
      <c r="F25" s="262" t="s">
        <v>472</v>
      </c>
      <c r="G25" s="263"/>
      <c r="H25" s="124"/>
      <c r="I25" s="125"/>
      <c r="J25" s="124"/>
      <c r="K25" s="124"/>
      <c r="L25" s="125"/>
      <c r="M25" s="124"/>
      <c r="N25" s="101"/>
      <c r="O25" s="20"/>
      <c r="P25" s="101"/>
      <c r="Q25" s="182"/>
      <c r="R25" s="101"/>
      <c r="S25" s="100"/>
      <c r="T25" s="102"/>
      <c r="U25" s="102"/>
      <c r="V25" s="177"/>
      <c r="W25" s="177"/>
      <c r="X25" s="177"/>
    </row>
    <row r="26" spans="2:24" ht="45" customHeight="1">
      <c r="B26" s="169" t="str">
        <f t="shared" si="2"/>
        <v>1-18</v>
      </c>
      <c r="C26" s="100" t="s">
        <v>83</v>
      </c>
      <c r="D26" s="100" t="s">
        <v>83</v>
      </c>
      <c r="E26" s="114" t="s">
        <v>615</v>
      </c>
      <c r="F26" s="258" t="s">
        <v>620</v>
      </c>
      <c r="G26" s="259"/>
      <c r="H26" s="124"/>
      <c r="I26" s="125"/>
      <c r="J26" s="124"/>
      <c r="K26" s="124"/>
      <c r="L26" s="125"/>
      <c r="M26" s="124"/>
      <c r="N26" s="101"/>
      <c r="O26" s="20"/>
      <c r="P26" s="101"/>
      <c r="Q26" s="182"/>
      <c r="R26" s="101"/>
      <c r="S26" s="100"/>
      <c r="T26" s="102"/>
      <c r="U26" s="102"/>
      <c r="V26" s="177"/>
    </row>
    <row r="27" spans="2:24" ht="48.95" customHeight="1">
      <c r="B27" s="169" t="str">
        <f t="shared" si="2"/>
        <v>1-19</v>
      </c>
      <c r="C27" s="100" t="s">
        <v>623</v>
      </c>
      <c r="D27" s="100" t="s">
        <v>83</v>
      </c>
      <c r="E27" s="114" t="s">
        <v>614</v>
      </c>
      <c r="F27" s="262" t="s">
        <v>472</v>
      </c>
      <c r="G27" s="263"/>
      <c r="H27" s="124"/>
      <c r="I27" s="125"/>
      <c r="J27" s="124"/>
      <c r="K27" s="124"/>
      <c r="L27" s="125"/>
      <c r="M27" s="124"/>
      <c r="N27" s="101"/>
      <c r="O27" s="20"/>
      <c r="P27" s="101"/>
      <c r="Q27" s="182"/>
      <c r="R27" s="101"/>
      <c r="S27" s="100"/>
      <c r="T27" s="102"/>
      <c r="U27" s="102"/>
      <c r="V27" s="177"/>
      <c r="W27" s="177"/>
      <c r="X27" s="177"/>
    </row>
    <row r="28" spans="2:24" ht="45" customHeight="1">
      <c r="B28" s="169" t="str">
        <f t="shared" si="2"/>
        <v>1-20</v>
      </c>
      <c r="C28" s="100" t="s">
        <v>83</v>
      </c>
      <c r="D28" s="100" t="s">
        <v>83</v>
      </c>
      <c r="E28" s="114" t="s">
        <v>615</v>
      </c>
      <c r="F28" s="258" t="s">
        <v>248</v>
      </c>
      <c r="G28" s="259"/>
      <c r="H28" s="124"/>
      <c r="I28" s="125"/>
      <c r="J28" s="124"/>
      <c r="K28" s="124"/>
      <c r="L28" s="125"/>
      <c r="M28" s="124"/>
      <c r="N28" s="101"/>
      <c r="O28" s="20"/>
      <c r="P28" s="101"/>
      <c r="Q28" s="182"/>
      <c r="R28" s="101"/>
      <c r="S28" s="100"/>
      <c r="T28" s="102"/>
      <c r="U28" s="102"/>
      <c r="V28" s="177"/>
    </row>
    <row r="29" spans="2:24" ht="48.95" customHeight="1">
      <c r="B29" s="169" t="str">
        <f t="shared" si="2"/>
        <v>1-21</v>
      </c>
      <c r="C29" s="100" t="s">
        <v>624</v>
      </c>
      <c r="D29" s="100" t="s">
        <v>83</v>
      </c>
      <c r="E29" s="114" t="s">
        <v>614</v>
      </c>
      <c r="F29" s="262" t="s">
        <v>472</v>
      </c>
      <c r="G29" s="263"/>
      <c r="H29" s="124"/>
      <c r="I29" s="125"/>
      <c r="J29" s="124"/>
      <c r="K29" s="124"/>
      <c r="L29" s="125"/>
      <c r="M29" s="124"/>
      <c r="N29" s="101"/>
      <c r="O29" s="20"/>
      <c r="P29" s="101"/>
      <c r="Q29" s="182"/>
      <c r="R29" s="101"/>
      <c r="S29" s="100"/>
      <c r="T29" s="102"/>
      <c r="U29" s="102"/>
      <c r="V29" s="177"/>
      <c r="W29" s="177"/>
      <c r="X29" s="177"/>
    </row>
    <row r="30" spans="2:24" ht="45" customHeight="1">
      <c r="B30" s="169" t="str">
        <f t="shared" si="2"/>
        <v>1-22</v>
      </c>
      <c r="C30" s="100" t="s">
        <v>83</v>
      </c>
      <c r="D30" s="100" t="s">
        <v>83</v>
      </c>
      <c r="E30" s="114" t="s">
        <v>615</v>
      </c>
      <c r="F30" s="258" t="s">
        <v>620</v>
      </c>
      <c r="G30" s="259"/>
      <c r="H30" s="124"/>
      <c r="I30" s="125"/>
      <c r="J30" s="124"/>
      <c r="K30" s="124"/>
      <c r="L30" s="125"/>
      <c r="M30" s="124"/>
      <c r="N30" s="101"/>
      <c r="O30" s="20"/>
      <c r="P30" s="101"/>
      <c r="Q30" s="182"/>
      <c r="R30" s="101"/>
      <c r="S30" s="100"/>
      <c r="T30" s="102"/>
      <c r="U30" s="102"/>
      <c r="V30" s="177"/>
    </row>
    <row r="31" spans="2:24" ht="45" customHeight="1">
      <c r="B31" s="169" t="str">
        <f t="shared" si="0"/>
        <v>1-23</v>
      </c>
      <c r="C31" s="42" t="s">
        <v>473</v>
      </c>
      <c r="D31" s="100" t="s">
        <v>83</v>
      </c>
      <c r="E31" s="114" t="s">
        <v>614</v>
      </c>
      <c r="F31" s="262" t="s">
        <v>472</v>
      </c>
      <c r="G31" s="263"/>
      <c r="H31" s="124"/>
      <c r="I31" s="125"/>
      <c r="J31" s="124"/>
      <c r="K31" s="124"/>
      <c r="L31" s="125"/>
      <c r="M31" s="124"/>
      <c r="N31" s="101"/>
      <c r="O31" s="20"/>
      <c r="P31" s="101"/>
      <c r="Q31" s="182"/>
      <c r="R31" s="101"/>
      <c r="S31" s="100"/>
      <c r="T31" s="102"/>
      <c r="U31" s="102"/>
      <c r="V31" s="177"/>
    </row>
    <row r="32" spans="2:24" ht="45" customHeight="1">
      <c r="B32" s="169" t="str">
        <f t="shared" si="0"/>
        <v>1-24</v>
      </c>
      <c r="C32" s="100" t="s">
        <v>83</v>
      </c>
      <c r="D32" s="100" t="s">
        <v>83</v>
      </c>
      <c r="E32" s="114" t="s">
        <v>615</v>
      </c>
      <c r="F32" s="258" t="s">
        <v>620</v>
      </c>
      <c r="G32" s="259"/>
      <c r="H32" s="124"/>
      <c r="I32" s="125"/>
      <c r="J32" s="124"/>
      <c r="K32" s="124"/>
      <c r="L32" s="125"/>
      <c r="M32" s="124"/>
      <c r="N32" s="101"/>
      <c r="O32" s="20"/>
      <c r="P32" s="101"/>
      <c r="Q32" s="182"/>
      <c r="R32" s="101"/>
      <c r="S32" s="100"/>
      <c r="T32" s="102"/>
      <c r="U32" s="102"/>
      <c r="V32" s="177"/>
    </row>
    <row r="33" spans="2:24" ht="45" customHeight="1">
      <c r="B33" s="169" t="str">
        <f t="shared" si="0"/>
        <v>1-25</v>
      </c>
      <c r="C33" s="100" t="s">
        <v>474</v>
      </c>
      <c r="D33" s="100" t="s">
        <v>83</v>
      </c>
      <c r="E33" s="114" t="s">
        <v>614</v>
      </c>
      <c r="F33" s="262" t="s">
        <v>472</v>
      </c>
      <c r="G33" s="263"/>
      <c r="H33" s="124"/>
      <c r="I33" s="125"/>
      <c r="J33" s="124"/>
      <c r="K33" s="124"/>
      <c r="L33" s="125"/>
      <c r="M33" s="124"/>
      <c r="N33" s="101"/>
      <c r="O33" s="20"/>
      <c r="P33" s="101"/>
      <c r="Q33" s="182"/>
      <c r="R33" s="101"/>
      <c r="S33" s="100"/>
      <c r="T33" s="102"/>
      <c r="U33" s="102"/>
      <c r="V33" s="177"/>
    </row>
    <row r="34" spans="2:24" ht="45" customHeight="1">
      <c r="B34" s="169" t="str">
        <f t="shared" si="0"/>
        <v>1-26</v>
      </c>
      <c r="C34" s="100" t="s">
        <v>83</v>
      </c>
      <c r="D34" s="100" t="s">
        <v>83</v>
      </c>
      <c r="E34" s="114" t="s">
        <v>615</v>
      </c>
      <c r="F34" s="258" t="s">
        <v>620</v>
      </c>
      <c r="G34" s="259"/>
      <c r="H34" s="124"/>
      <c r="I34" s="125"/>
      <c r="J34" s="124"/>
      <c r="K34" s="124"/>
      <c r="L34" s="125"/>
      <c r="M34" s="124"/>
      <c r="N34" s="101"/>
      <c r="O34" s="20"/>
      <c r="P34" s="101"/>
      <c r="Q34" s="182"/>
      <c r="R34" s="101"/>
      <c r="S34" s="100"/>
      <c r="T34" s="102"/>
      <c r="U34" s="102"/>
      <c r="V34" s="177"/>
    </row>
    <row r="35" spans="2:24" ht="39" customHeight="1">
      <c r="B35" s="169" t="str">
        <f t="shared" si="0"/>
        <v>1-27</v>
      </c>
      <c r="C35" s="100" t="s">
        <v>626</v>
      </c>
      <c r="D35" s="100" t="s">
        <v>83</v>
      </c>
      <c r="E35" s="114" t="s">
        <v>614</v>
      </c>
      <c r="F35" s="262" t="s">
        <v>472</v>
      </c>
      <c r="G35" s="263"/>
      <c r="H35" s="124"/>
      <c r="I35" s="125"/>
      <c r="J35" s="124"/>
      <c r="K35" s="124"/>
      <c r="L35" s="125"/>
      <c r="M35" s="124"/>
      <c r="N35" s="101"/>
      <c r="O35" s="20"/>
      <c r="P35" s="101"/>
      <c r="Q35" s="182"/>
      <c r="R35" s="101"/>
      <c r="S35" s="101"/>
      <c r="T35" s="100"/>
      <c r="U35" s="102"/>
      <c r="V35" s="102"/>
      <c r="W35" s="177"/>
    </row>
    <row r="36" spans="2:24" ht="45" customHeight="1">
      <c r="B36" s="169" t="str">
        <f t="shared" si="0"/>
        <v>1-28</v>
      </c>
      <c r="C36" s="100" t="s">
        <v>83</v>
      </c>
      <c r="D36" s="100" t="s">
        <v>83</v>
      </c>
      <c r="E36" s="114" t="s">
        <v>615</v>
      </c>
      <c r="F36" s="258" t="s">
        <v>620</v>
      </c>
      <c r="G36" s="259"/>
      <c r="H36" s="124"/>
      <c r="I36" s="125"/>
      <c r="J36" s="124"/>
      <c r="K36" s="124"/>
      <c r="L36" s="125"/>
      <c r="M36" s="124"/>
      <c r="N36" s="101"/>
      <c r="O36" s="20"/>
      <c r="P36" s="101"/>
      <c r="Q36" s="182"/>
      <c r="R36" s="101"/>
      <c r="S36" s="100"/>
      <c r="T36" s="102"/>
      <c r="U36" s="102"/>
      <c r="V36" s="177"/>
    </row>
    <row r="37" spans="2:24" ht="39" customHeight="1">
      <c r="B37" s="169" t="str">
        <f t="shared" si="0"/>
        <v>1-29</v>
      </c>
      <c r="C37" s="100" t="s">
        <v>625</v>
      </c>
      <c r="D37" s="100" t="s">
        <v>83</v>
      </c>
      <c r="E37" s="114" t="s">
        <v>614</v>
      </c>
      <c r="F37" s="262" t="s">
        <v>472</v>
      </c>
      <c r="G37" s="263"/>
      <c r="H37" s="124"/>
      <c r="I37" s="125"/>
      <c r="J37" s="124"/>
      <c r="K37" s="124"/>
      <c r="L37" s="125"/>
      <c r="M37" s="124"/>
      <c r="N37" s="101"/>
      <c r="O37" s="20"/>
      <c r="P37" s="101"/>
      <c r="Q37" s="182"/>
      <c r="R37" s="101"/>
      <c r="S37" s="101"/>
      <c r="T37" s="100"/>
      <c r="U37" s="102"/>
      <c r="V37" s="102"/>
      <c r="W37" s="177"/>
    </row>
    <row r="38" spans="2:24" ht="39" customHeight="1">
      <c r="B38" s="169" t="str">
        <f t="shared" si="0"/>
        <v>1-30</v>
      </c>
      <c r="C38" s="100" t="s">
        <v>83</v>
      </c>
      <c r="D38" s="100" t="s">
        <v>83</v>
      </c>
      <c r="E38" s="114" t="s">
        <v>615</v>
      </c>
      <c r="F38" s="258" t="s">
        <v>620</v>
      </c>
      <c r="G38" s="259"/>
      <c r="H38" s="124"/>
      <c r="I38" s="125"/>
      <c r="J38" s="124"/>
      <c r="K38" s="124"/>
      <c r="L38" s="125"/>
      <c r="M38" s="124"/>
      <c r="N38" s="101"/>
      <c r="O38" s="20"/>
      <c r="P38" s="101"/>
      <c r="Q38" s="182"/>
      <c r="R38" s="101"/>
      <c r="S38" s="101"/>
      <c r="T38" s="100"/>
      <c r="U38" s="102"/>
      <c r="V38" s="177"/>
      <c r="W38" s="177"/>
    </row>
    <row r="39" spans="2:24" ht="48.95" customHeight="1">
      <c r="B39" s="169" t="str">
        <f t="shared" si="0"/>
        <v>1-31</v>
      </c>
      <c r="C39" s="100" t="s">
        <v>627</v>
      </c>
      <c r="D39" s="100" t="s">
        <v>83</v>
      </c>
      <c r="E39" s="114" t="s">
        <v>614</v>
      </c>
      <c r="F39" s="262" t="s">
        <v>472</v>
      </c>
      <c r="G39" s="263"/>
      <c r="H39" s="124"/>
      <c r="I39" s="125"/>
      <c r="J39" s="124"/>
      <c r="K39" s="124"/>
      <c r="L39" s="125"/>
      <c r="M39" s="124"/>
      <c r="N39" s="101"/>
      <c r="O39" s="20"/>
      <c r="P39" s="101"/>
      <c r="Q39" s="182"/>
      <c r="R39" s="101"/>
      <c r="S39" s="100"/>
      <c r="T39" s="102"/>
      <c r="U39" s="102"/>
      <c r="V39" s="177"/>
      <c r="W39" s="177"/>
      <c r="X39" s="177"/>
    </row>
    <row r="40" spans="2:24" ht="39" customHeight="1">
      <c r="B40" s="169" t="str">
        <f t="shared" si="0"/>
        <v>1-32</v>
      </c>
      <c r="C40" s="100"/>
      <c r="D40" s="100" t="s">
        <v>83</v>
      </c>
      <c r="E40" s="114" t="s">
        <v>615</v>
      </c>
      <c r="F40" s="258" t="s">
        <v>620</v>
      </c>
      <c r="G40" s="259"/>
      <c r="H40" s="124"/>
      <c r="I40" s="125"/>
      <c r="J40" s="124"/>
      <c r="K40" s="124"/>
      <c r="L40" s="125"/>
      <c r="M40" s="124"/>
      <c r="N40" s="101"/>
      <c r="O40" s="20"/>
      <c r="P40" s="101"/>
      <c r="Q40" s="182"/>
      <c r="R40" s="101"/>
      <c r="S40" s="101"/>
      <c r="T40" s="100"/>
      <c r="U40" s="102"/>
      <c r="V40" s="177"/>
      <c r="W40" s="177"/>
    </row>
    <row r="41" spans="2:24" ht="48.95" customHeight="1">
      <c r="B41" s="169" t="str">
        <f t="shared" si="0"/>
        <v>1-33</v>
      </c>
      <c r="C41" s="100" t="s">
        <v>628</v>
      </c>
      <c r="D41" s="100" t="s">
        <v>83</v>
      </c>
      <c r="E41" s="114" t="s">
        <v>614</v>
      </c>
      <c r="F41" s="262" t="s">
        <v>472</v>
      </c>
      <c r="G41" s="263"/>
      <c r="H41" s="124"/>
      <c r="I41" s="125"/>
      <c r="J41" s="124"/>
      <c r="K41" s="124"/>
      <c r="L41" s="125"/>
      <c r="M41" s="124"/>
      <c r="N41" s="101"/>
      <c r="O41" s="20"/>
      <c r="P41" s="101"/>
      <c r="Q41" s="182"/>
      <c r="R41" s="101"/>
      <c r="S41" s="100"/>
      <c r="T41" s="102"/>
      <c r="U41" s="102"/>
      <c r="V41" s="177"/>
      <c r="W41" s="177"/>
      <c r="X41" s="177"/>
    </row>
    <row r="42" spans="2:24" ht="39" customHeight="1">
      <c r="B42" s="169" t="str">
        <f t="shared" si="0"/>
        <v>1-34</v>
      </c>
      <c r="C42" s="100"/>
      <c r="D42" s="100" t="s">
        <v>83</v>
      </c>
      <c r="E42" s="114" t="s">
        <v>615</v>
      </c>
      <c r="F42" s="258" t="s">
        <v>620</v>
      </c>
      <c r="G42" s="259"/>
      <c r="H42" s="124"/>
      <c r="I42" s="125"/>
      <c r="J42" s="124"/>
      <c r="K42" s="124"/>
      <c r="L42" s="125"/>
      <c r="M42" s="124"/>
      <c r="N42" s="101"/>
      <c r="O42" s="20"/>
      <c r="P42" s="101"/>
      <c r="Q42" s="182"/>
      <c r="R42" s="101"/>
      <c r="S42" s="101"/>
      <c r="T42" s="100"/>
      <c r="U42" s="102"/>
      <c r="V42" s="177"/>
      <c r="W42" s="177"/>
    </row>
    <row r="43" spans="2:24" ht="48.95" customHeight="1">
      <c r="B43" s="169" t="str">
        <f t="shared" si="0"/>
        <v>1-35</v>
      </c>
      <c r="C43" s="100" t="s">
        <v>629</v>
      </c>
      <c r="D43" s="100" t="s">
        <v>83</v>
      </c>
      <c r="E43" s="114" t="s">
        <v>614</v>
      </c>
      <c r="F43" s="262" t="s">
        <v>472</v>
      </c>
      <c r="G43" s="263"/>
      <c r="H43" s="124"/>
      <c r="I43" s="125"/>
      <c r="J43" s="124"/>
      <c r="K43" s="124"/>
      <c r="L43" s="125"/>
      <c r="M43" s="124"/>
      <c r="N43" s="101"/>
      <c r="O43" s="20"/>
      <c r="P43" s="101"/>
      <c r="Q43" s="182"/>
      <c r="R43" s="101"/>
      <c r="S43" s="100"/>
      <c r="T43" s="102"/>
      <c r="U43" s="102"/>
      <c r="V43" s="177"/>
      <c r="W43" s="177"/>
      <c r="X43" s="177"/>
    </row>
    <row r="44" spans="2:24" ht="39" customHeight="1">
      <c r="B44" s="169" t="str">
        <f t="shared" si="0"/>
        <v>1-36</v>
      </c>
      <c r="C44" s="100"/>
      <c r="D44" s="100" t="s">
        <v>83</v>
      </c>
      <c r="E44" s="114" t="s">
        <v>615</v>
      </c>
      <c r="F44" s="258" t="s">
        <v>620</v>
      </c>
      <c r="G44" s="259"/>
      <c r="H44" s="124"/>
      <c r="I44" s="125"/>
      <c r="J44" s="124"/>
      <c r="K44" s="124"/>
      <c r="L44" s="125"/>
      <c r="M44" s="124"/>
      <c r="N44" s="101"/>
      <c r="O44" s="20"/>
      <c r="P44" s="101"/>
      <c r="Q44" s="182"/>
      <c r="R44" s="101"/>
      <c r="S44" s="101"/>
      <c r="T44" s="100"/>
      <c r="U44" s="102"/>
      <c r="V44" s="177"/>
      <c r="W44" s="177"/>
    </row>
    <row r="45" spans="2:24" ht="48.95" customHeight="1">
      <c r="B45" s="169" t="str">
        <f t="shared" si="0"/>
        <v>1-37</v>
      </c>
      <c r="C45" s="100" t="s">
        <v>630</v>
      </c>
      <c r="D45" s="100" t="s">
        <v>83</v>
      </c>
      <c r="E45" s="114" t="s">
        <v>614</v>
      </c>
      <c r="F45" s="262" t="s">
        <v>472</v>
      </c>
      <c r="G45" s="263"/>
      <c r="H45" s="124"/>
      <c r="I45" s="125"/>
      <c r="J45" s="124"/>
      <c r="K45" s="124"/>
      <c r="L45" s="125"/>
      <c r="M45" s="124"/>
      <c r="N45" s="101"/>
      <c r="O45" s="20"/>
      <c r="P45" s="101"/>
      <c r="Q45" s="182"/>
      <c r="R45" s="101"/>
      <c r="S45" s="100"/>
      <c r="T45" s="102"/>
      <c r="U45" s="102"/>
      <c r="V45" s="177"/>
      <c r="W45" s="177"/>
      <c r="X45" s="177"/>
    </row>
    <row r="46" spans="2:24" ht="48.95" customHeight="1">
      <c r="B46" s="169" t="str">
        <f t="shared" si="0"/>
        <v>1-38</v>
      </c>
      <c r="C46" s="100" t="s">
        <v>292</v>
      </c>
      <c r="D46" s="100" t="s">
        <v>83</v>
      </c>
      <c r="E46" s="114" t="s">
        <v>615</v>
      </c>
      <c r="F46" s="258" t="s">
        <v>646</v>
      </c>
      <c r="G46" s="259"/>
      <c r="H46" s="124"/>
      <c r="I46" s="125"/>
      <c r="J46" s="124"/>
      <c r="K46" s="124"/>
      <c r="L46" s="125"/>
      <c r="M46" s="124"/>
      <c r="N46" s="101"/>
      <c r="O46" s="20"/>
      <c r="P46" s="101"/>
      <c r="Q46" s="182"/>
      <c r="R46" s="101"/>
      <c r="S46" s="100"/>
      <c r="T46" s="102"/>
      <c r="U46" s="102"/>
      <c r="V46" s="177"/>
      <c r="W46" s="177"/>
      <c r="X46" s="177"/>
    </row>
    <row r="47" spans="2:24" ht="48.95" customHeight="1">
      <c r="B47" s="169" t="str">
        <f t="shared" si="0"/>
        <v>1-39</v>
      </c>
      <c r="C47" s="100" t="s">
        <v>631</v>
      </c>
      <c r="D47" s="100" t="s">
        <v>83</v>
      </c>
      <c r="E47" s="114" t="s">
        <v>614</v>
      </c>
      <c r="F47" s="262" t="s">
        <v>472</v>
      </c>
      <c r="G47" s="263"/>
      <c r="H47" s="124"/>
      <c r="I47" s="125"/>
      <c r="J47" s="124"/>
      <c r="K47" s="124"/>
      <c r="L47" s="125"/>
      <c r="M47" s="124"/>
      <c r="N47" s="101"/>
      <c r="O47" s="20"/>
      <c r="P47" s="101"/>
      <c r="Q47" s="182"/>
      <c r="R47" s="101"/>
      <c r="S47" s="100"/>
      <c r="T47" s="102"/>
      <c r="U47" s="102"/>
      <c r="V47" s="177"/>
      <c r="W47" s="177"/>
      <c r="X47" s="177"/>
    </row>
    <row r="48" spans="2:24" ht="48.95" customHeight="1">
      <c r="B48" s="169" t="str">
        <f t="shared" si="0"/>
        <v>1-40</v>
      </c>
      <c r="C48" s="100" t="s">
        <v>292</v>
      </c>
      <c r="D48" s="100" t="s">
        <v>83</v>
      </c>
      <c r="E48" s="114" t="s">
        <v>615</v>
      </c>
      <c r="F48" s="258" t="s">
        <v>646</v>
      </c>
      <c r="G48" s="259"/>
      <c r="H48" s="124"/>
      <c r="I48" s="125"/>
      <c r="J48" s="124"/>
      <c r="K48" s="124"/>
      <c r="L48" s="125"/>
      <c r="M48" s="124"/>
      <c r="N48" s="101"/>
      <c r="O48" s="20"/>
      <c r="P48" s="101"/>
      <c r="Q48" s="182"/>
      <c r="R48" s="101"/>
      <c r="S48" s="100"/>
      <c r="T48" s="102"/>
      <c r="U48" s="102"/>
      <c r="V48" s="177"/>
      <c r="W48" s="177"/>
      <c r="X48" s="177"/>
    </row>
    <row r="49" spans="2:24" ht="48.95" customHeight="1">
      <c r="B49" s="169" t="str">
        <f t="shared" si="0"/>
        <v>1-41</v>
      </c>
      <c r="C49" s="100" t="s">
        <v>632</v>
      </c>
      <c r="D49" s="100" t="s">
        <v>83</v>
      </c>
      <c r="E49" s="114" t="s">
        <v>614</v>
      </c>
      <c r="F49" s="262" t="s">
        <v>472</v>
      </c>
      <c r="G49" s="263"/>
      <c r="H49" s="124"/>
      <c r="I49" s="125"/>
      <c r="J49" s="124"/>
      <c r="K49" s="124"/>
      <c r="L49" s="125"/>
      <c r="M49" s="124"/>
      <c r="N49" s="101"/>
      <c r="O49" s="20"/>
      <c r="P49" s="101"/>
      <c r="Q49" s="182"/>
      <c r="R49" s="101"/>
      <c r="S49" s="100"/>
      <c r="T49" s="102"/>
      <c r="U49" s="102"/>
      <c r="V49" s="177"/>
      <c r="W49" s="177"/>
      <c r="X49" s="177"/>
    </row>
    <row r="50" spans="2:24" ht="48.95" customHeight="1">
      <c r="B50" s="169" t="str">
        <f t="shared" si="0"/>
        <v>1-42</v>
      </c>
      <c r="C50" s="100" t="s">
        <v>292</v>
      </c>
      <c r="D50" s="100" t="s">
        <v>83</v>
      </c>
      <c r="E50" s="114" t="s">
        <v>615</v>
      </c>
      <c r="F50" s="258" t="s">
        <v>646</v>
      </c>
      <c r="G50" s="259"/>
      <c r="H50" s="124"/>
      <c r="I50" s="125"/>
      <c r="J50" s="124"/>
      <c r="K50" s="124"/>
      <c r="L50" s="125"/>
      <c r="M50" s="124"/>
      <c r="N50" s="101"/>
      <c r="O50" s="20"/>
      <c r="P50" s="101"/>
      <c r="Q50" s="182"/>
      <c r="R50" s="101"/>
      <c r="S50" s="100"/>
      <c r="T50" s="102"/>
      <c r="U50" s="102"/>
      <c r="V50" s="177"/>
      <c r="W50" s="177"/>
      <c r="X50" s="177"/>
    </row>
    <row r="51" spans="2:24" ht="48.95" customHeight="1">
      <c r="B51" s="169" t="str">
        <f t="shared" si="0"/>
        <v>1-43</v>
      </c>
      <c r="C51" s="100" t="s">
        <v>571</v>
      </c>
      <c r="D51" s="100" t="s">
        <v>83</v>
      </c>
      <c r="E51" s="114" t="s">
        <v>614</v>
      </c>
      <c r="F51" s="262" t="s">
        <v>472</v>
      </c>
      <c r="G51" s="263"/>
      <c r="H51" s="124"/>
      <c r="I51" s="125"/>
      <c r="J51" s="124"/>
      <c r="K51" s="124"/>
      <c r="L51" s="125"/>
      <c r="M51" s="124"/>
      <c r="N51" s="101"/>
      <c r="O51" s="20"/>
      <c r="P51" s="101"/>
      <c r="Q51" s="182"/>
      <c r="R51" s="101"/>
      <c r="S51" s="100"/>
      <c r="T51" s="102"/>
      <c r="U51" s="102"/>
      <c r="V51" s="177"/>
      <c r="W51" s="177"/>
      <c r="X51" s="177"/>
    </row>
    <row r="52" spans="2:24" ht="48.95" customHeight="1">
      <c r="B52" s="169" t="str">
        <f t="shared" si="0"/>
        <v>1-44</v>
      </c>
      <c r="C52" s="100" t="s">
        <v>292</v>
      </c>
      <c r="D52" s="100" t="s">
        <v>83</v>
      </c>
      <c r="E52" s="114" t="s">
        <v>615</v>
      </c>
      <c r="F52" s="258" t="s">
        <v>646</v>
      </c>
      <c r="G52" s="259"/>
      <c r="H52" s="124"/>
      <c r="I52" s="125"/>
      <c r="J52" s="124"/>
      <c r="K52" s="124"/>
      <c r="L52" s="125"/>
      <c r="M52" s="124"/>
      <c r="N52" s="101"/>
      <c r="O52" s="20"/>
      <c r="P52" s="101"/>
      <c r="Q52" s="182"/>
      <c r="R52" s="101"/>
      <c r="S52" s="100"/>
      <c r="T52" s="102"/>
      <c r="U52" s="102"/>
      <c r="V52" s="177"/>
      <c r="W52" s="177"/>
      <c r="X52" s="177"/>
    </row>
    <row r="53" spans="2:24" ht="48.95" customHeight="1">
      <c r="B53" s="169" t="str">
        <f t="shared" si="0"/>
        <v>1-45</v>
      </c>
      <c r="C53" s="100" t="s">
        <v>633</v>
      </c>
      <c r="D53" s="100" t="s">
        <v>83</v>
      </c>
      <c r="E53" s="114" t="s">
        <v>614</v>
      </c>
      <c r="F53" s="262" t="s">
        <v>472</v>
      </c>
      <c r="G53" s="263"/>
      <c r="H53" s="124"/>
      <c r="I53" s="125"/>
      <c r="J53" s="124"/>
      <c r="K53" s="124"/>
      <c r="L53" s="125"/>
      <c r="M53" s="124"/>
      <c r="N53" s="101"/>
      <c r="O53" s="20"/>
      <c r="P53" s="101"/>
      <c r="Q53" s="182"/>
      <c r="R53" s="101"/>
      <c r="S53" s="100"/>
      <c r="T53" s="102"/>
      <c r="U53" s="102"/>
      <c r="V53" s="177"/>
      <c r="W53" s="177"/>
      <c r="X53" s="177"/>
    </row>
    <row r="54" spans="2:24" ht="48.95" customHeight="1">
      <c r="B54" s="169" t="str">
        <f t="shared" si="0"/>
        <v>1-46</v>
      </c>
      <c r="C54" s="100" t="s">
        <v>292</v>
      </c>
      <c r="D54" s="100" t="s">
        <v>83</v>
      </c>
      <c r="E54" s="114" t="s">
        <v>615</v>
      </c>
      <c r="F54" s="258" t="s">
        <v>646</v>
      </c>
      <c r="G54" s="259"/>
      <c r="H54" s="124"/>
      <c r="I54" s="125"/>
      <c r="J54" s="124"/>
      <c r="K54" s="124"/>
      <c r="L54" s="125"/>
      <c r="M54" s="124"/>
      <c r="N54" s="101"/>
      <c r="O54" s="20"/>
      <c r="P54" s="101"/>
      <c r="Q54" s="182"/>
      <c r="R54" s="101"/>
      <c r="S54" s="100"/>
      <c r="T54" s="102"/>
      <c r="U54" s="102"/>
      <c r="V54" s="177"/>
      <c r="W54" s="177"/>
      <c r="X54" s="177"/>
    </row>
    <row r="55" spans="2:24" ht="48.95" customHeight="1">
      <c r="B55" s="169" t="str">
        <f t="shared" si="0"/>
        <v>1-47</v>
      </c>
      <c r="C55" s="100" t="s">
        <v>573</v>
      </c>
      <c r="D55" s="100" t="s">
        <v>83</v>
      </c>
      <c r="E55" s="114" t="s">
        <v>614</v>
      </c>
      <c r="F55" s="262" t="s">
        <v>472</v>
      </c>
      <c r="G55" s="263"/>
      <c r="H55" s="124"/>
      <c r="I55" s="125"/>
      <c r="J55" s="124"/>
      <c r="K55" s="124"/>
      <c r="L55" s="125"/>
      <c r="M55" s="124"/>
      <c r="N55" s="101"/>
      <c r="O55" s="20"/>
      <c r="P55" s="101"/>
      <c r="Q55" s="182"/>
      <c r="R55" s="101"/>
      <c r="S55" s="100"/>
      <c r="T55" s="102"/>
      <c r="U55" s="102"/>
      <c r="V55" s="177"/>
      <c r="W55" s="177"/>
      <c r="X55" s="177"/>
    </row>
    <row r="56" spans="2:24" ht="48.95" customHeight="1">
      <c r="B56" s="169" t="str">
        <f t="shared" si="0"/>
        <v>1-48</v>
      </c>
      <c r="C56" s="100" t="s">
        <v>293</v>
      </c>
      <c r="D56" s="100" t="s">
        <v>83</v>
      </c>
      <c r="E56" s="114" t="s">
        <v>615</v>
      </c>
      <c r="F56" s="258" t="s">
        <v>646</v>
      </c>
      <c r="G56" s="259"/>
      <c r="H56" s="124"/>
      <c r="I56" s="125"/>
      <c r="J56" s="124"/>
      <c r="K56" s="124"/>
      <c r="L56" s="125"/>
      <c r="M56" s="124"/>
      <c r="N56" s="101"/>
      <c r="O56" s="20"/>
      <c r="P56" s="101"/>
      <c r="Q56" s="182"/>
      <c r="R56" s="101"/>
      <c r="S56" s="100"/>
      <c r="T56" s="102"/>
      <c r="U56" s="102"/>
      <c r="V56" s="177"/>
      <c r="W56" s="177"/>
      <c r="X56" s="177"/>
    </row>
    <row r="57" spans="2:24" ht="48.95" customHeight="1">
      <c r="B57" s="169" t="str">
        <f t="shared" si="0"/>
        <v>1-49</v>
      </c>
      <c r="C57" s="100" t="s">
        <v>575</v>
      </c>
      <c r="D57" s="100" t="s">
        <v>83</v>
      </c>
      <c r="E57" s="114" t="s">
        <v>614</v>
      </c>
      <c r="F57" s="262" t="s">
        <v>472</v>
      </c>
      <c r="G57" s="263"/>
      <c r="H57" s="124"/>
      <c r="I57" s="125"/>
      <c r="J57" s="124"/>
      <c r="K57" s="124"/>
      <c r="L57" s="125"/>
      <c r="M57" s="124"/>
      <c r="N57" s="101"/>
      <c r="O57" s="20"/>
      <c r="P57" s="101"/>
      <c r="Q57" s="182"/>
      <c r="R57" s="101"/>
      <c r="S57" s="100"/>
      <c r="T57" s="102"/>
      <c r="U57" s="102"/>
      <c r="V57" s="177"/>
      <c r="W57" s="177"/>
      <c r="X57" s="177"/>
    </row>
    <row r="58" spans="2:24" ht="48.95" customHeight="1">
      <c r="B58" s="169" t="str">
        <f t="shared" si="0"/>
        <v>1-50</v>
      </c>
      <c r="C58" s="100" t="s">
        <v>293</v>
      </c>
      <c r="D58" s="100" t="s">
        <v>83</v>
      </c>
      <c r="E58" s="114" t="s">
        <v>615</v>
      </c>
      <c r="F58" s="258" t="s">
        <v>646</v>
      </c>
      <c r="G58" s="259"/>
      <c r="H58" s="124"/>
      <c r="I58" s="125"/>
      <c r="J58" s="124"/>
      <c r="K58" s="124"/>
      <c r="L58" s="125"/>
      <c r="M58" s="124"/>
      <c r="N58" s="101"/>
      <c r="O58" s="20"/>
      <c r="P58" s="101"/>
      <c r="Q58" s="182"/>
      <c r="R58" s="101"/>
      <c r="S58" s="100"/>
      <c r="T58" s="102"/>
      <c r="U58" s="102"/>
      <c r="V58" s="177"/>
      <c r="W58" s="177"/>
      <c r="X58" s="177"/>
    </row>
    <row r="59" spans="2:24" ht="48.95" customHeight="1">
      <c r="B59" s="169" t="str">
        <f t="shared" si="0"/>
        <v>1-51</v>
      </c>
      <c r="C59" s="100" t="s">
        <v>577</v>
      </c>
      <c r="D59" s="100" t="s">
        <v>83</v>
      </c>
      <c r="E59" s="114" t="s">
        <v>614</v>
      </c>
      <c r="F59" s="262" t="s">
        <v>472</v>
      </c>
      <c r="G59" s="263"/>
      <c r="H59" s="124"/>
      <c r="I59" s="125"/>
      <c r="J59" s="124"/>
      <c r="K59" s="124"/>
      <c r="L59" s="125"/>
      <c r="M59" s="124"/>
      <c r="N59" s="101"/>
      <c r="O59" s="20"/>
      <c r="P59" s="101"/>
      <c r="Q59" s="182"/>
      <c r="R59" s="101"/>
      <c r="S59" s="100"/>
      <c r="T59" s="102"/>
      <c r="U59" s="102"/>
      <c r="V59" s="177"/>
      <c r="W59" s="177"/>
      <c r="X59" s="177"/>
    </row>
    <row r="60" spans="2:24" ht="48.95" customHeight="1">
      <c r="B60" s="169" t="str">
        <f t="shared" si="0"/>
        <v>1-52</v>
      </c>
      <c r="C60" s="100" t="s">
        <v>293</v>
      </c>
      <c r="D60" s="100" t="s">
        <v>83</v>
      </c>
      <c r="E60" s="114" t="s">
        <v>615</v>
      </c>
      <c r="F60" s="258" t="s">
        <v>646</v>
      </c>
      <c r="G60" s="259"/>
      <c r="H60" s="124"/>
      <c r="I60" s="125"/>
      <c r="J60" s="124"/>
      <c r="K60" s="124"/>
      <c r="L60" s="125"/>
      <c r="M60" s="124"/>
      <c r="N60" s="101"/>
      <c r="O60" s="20"/>
      <c r="P60" s="101"/>
      <c r="Q60" s="182"/>
      <c r="R60" s="101"/>
      <c r="S60" s="100"/>
      <c r="T60" s="102"/>
      <c r="U60" s="102"/>
      <c r="V60" s="177"/>
      <c r="W60" s="177"/>
      <c r="X60" s="177"/>
    </row>
    <row r="61" spans="2:24" ht="48.95" customHeight="1">
      <c r="B61" s="169" t="str">
        <f t="shared" si="0"/>
        <v>1-53</v>
      </c>
      <c r="C61" s="100" t="s">
        <v>579</v>
      </c>
      <c r="D61" s="100" t="s">
        <v>83</v>
      </c>
      <c r="E61" s="114" t="s">
        <v>614</v>
      </c>
      <c r="F61" s="262" t="s">
        <v>472</v>
      </c>
      <c r="G61" s="263"/>
      <c r="H61" s="124"/>
      <c r="I61" s="125"/>
      <c r="J61" s="124"/>
      <c r="K61" s="124"/>
      <c r="L61" s="125"/>
      <c r="M61" s="124"/>
      <c r="N61" s="101"/>
      <c r="O61" s="20"/>
      <c r="P61" s="101"/>
      <c r="Q61" s="182"/>
      <c r="R61" s="101"/>
      <c r="S61" s="100"/>
      <c r="T61" s="102"/>
      <c r="U61" s="102"/>
      <c r="V61" s="177"/>
      <c r="W61" s="177"/>
      <c r="X61" s="177"/>
    </row>
    <row r="62" spans="2:24" ht="48.95" customHeight="1">
      <c r="B62" s="169" t="str">
        <f t="shared" si="0"/>
        <v>1-54</v>
      </c>
      <c r="C62" s="100" t="s">
        <v>293</v>
      </c>
      <c r="D62" s="100" t="s">
        <v>83</v>
      </c>
      <c r="E62" s="114" t="s">
        <v>615</v>
      </c>
      <c r="F62" s="258" t="s">
        <v>646</v>
      </c>
      <c r="G62" s="259"/>
      <c r="H62" s="124"/>
      <c r="I62" s="125"/>
      <c r="J62" s="124"/>
      <c r="K62" s="124"/>
      <c r="L62" s="125"/>
      <c r="M62" s="124"/>
      <c r="N62" s="101"/>
      <c r="O62" s="20"/>
      <c r="P62" s="101"/>
      <c r="Q62" s="182"/>
      <c r="R62" s="101"/>
      <c r="S62" s="100"/>
      <c r="T62" s="102"/>
      <c r="U62" s="102"/>
      <c r="V62" s="177"/>
      <c r="W62" s="177"/>
      <c r="X62" s="177"/>
    </row>
    <row r="63" spans="2:24" ht="48.95" customHeight="1">
      <c r="B63" s="169" t="str">
        <f t="shared" si="0"/>
        <v>1-55</v>
      </c>
      <c r="C63" s="100" t="s">
        <v>581</v>
      </c>
      <c r="D63" s="100" t="s">
        <v>83</v>
      </c>
      <c r="E63" s="114" t="s">
        <v>614</v>
      </c>
      <c r="F63" s="262" t="s">
        <v>472</v>
      </c>
      <c r="G63" s="263"/>
      <c r="H63" s="124"/>
      <c r="I63" s="125"/>
      <c r="J63" s="124"/>
      <c r="K63" s="124"/>
      <c r="L63" s="125"/>
      <c r="M63" s="124"/>
      <c r="N63" s="101"/>
      <c r="O63" s="20"/>
      <c r="P63" s="101"/>
      <c r="Q63" s="182"/>
      <c r="R63" s="101"/>
      <c r="S63" s="100"/>
      <c r="T63" s="102"/>
      <c r="U63" s="102"/>
      <c r="V63" s="177"/>
      <c r="W63" s="177"/>
      <c r="X63" s="177"/>
    </row>
    <row r="64" spans="2:24" ht="48.95" customHeight="1">
      <c r="B64" s="169" t="str">
        <f t="shared" si="0"/>
        <v>1-56</v>
      </c>
      <c r="C64" s="100" t="s">
        <v>293</v>
      </c>
      <c r="D64" s="100" t="s">
        <v>83</v>
      </c>
      <c r="E64" s="114" t="s">
        <v>615</v>
      </c>
      <c r="F64" s="258" t="s">
        <v>646</v>
      </c>
      <c r="G64" s="259"/>
      <c r="H64" s="124"/>
      <c r="I64" s="125"/>
      <c r="J64" s="124"/>
      <c r="K64" s="124"/>
      <c r="L64" s="125"/>
      <c r="M64" s="124"/>
      <c r="N64" s="101"/>
      <c r="O64" s="20"/>
      <c r="P64" s="101"/>
      <c r="Q64" s="182"/>
      <c r="R64" s="101"/>
      <c r="S64" s="100"/>
      <c r="T64" s="102"/>
      <c r="U64" s="102"/>
      <c r="V64" s="177"/>
      <c r="W64" s="177"/>
      <c r="X64" s="177"/>
    </row>
    <row r="65" spans="2:24" ht="48.95" customHeight="1">
      <c r="B65" s="169" t="str">
        <f t="shared" si="0"/>
        <v>1-57</v>
      </c>
      <c r="C65" s="100" t="s">
        <v>584</v>
      </c>
      <c r="D65" s="100" t="s">
        <v>83</v>
      </c>
      <c r="E65" s="114" t="s">
        <v>614</v>
      </c>
      <c r="F65" s="262" t="s">
        <v>472</v>
      </c>
      <c r="G65" s="263"/>
      <c r="H65" s="124"/>
      <c r="I65" s="125"/>
      <c r="J65" s="124"/>
      <c r="K65" s="124"/>
      <c r="L65" s="125"/>
      <c r="M65" s="124"/>
      <c r="N65" s="101"/>
      <c r="O65" s="20"/>
      <c r="P65" s="101"/>
      <c r="Q65" s="182"/>
      <c r="R65" s="101"/>
      <c r="S65" s="100"/>
      <c r="T65" s="102"/>
      <c r="U65" s="102"/>
      <c r="V65" s="177"/>
      <c r="W65" s="177"/>
      <c r="X65" s="177"/>
    </row>
    <row r="66" spans="2:24" ht="48.95" customHeight="1">
      <c r="B66" s="169" t="str">
        <f t="shared" si="0"/>
        <v>1-58</v>
      </c>
      <c r="C66" s="100" t="s">
        <v>634</v>
      </c>
      <c r="D66" s="100" t="s">
        <v>83</v>
      </c>
      <c r="E66" s="114" t="s">
        <v>615</v>
      </c>
      <c r="F66" s="258" t="s">
        <v>620</v>
      </c>
      <c r="G66" s="259"/>
      <c r="H66" s="124"/>
      <c r="I66" s="125"/>
      <c r="J66" s="124"/>
      <c r="K66" s="124"/>
      <c r="L66" s="125"/>
      <c r="M66" s="124"/>
      <c r="N66" s="101"/>
      <c r="O66" s="20"/>
      <c r="P66" s="101"/>
      <c r="Q66" s="182"/>
      <c r="R66" s="101"/>
      <c r="S66" s="100"/>
      <c r="T66" s="102"/>
      <c r="U66" s="102"/>
      <c r="V66" s="177"/>
      <c r="W66" s="177"/>
      <c r="X66" s="177"/>
    </row>
    <row r="67" spans="2:24" ht="48.95" customHeight="1">
      <c r="B67" s="169" t="str">
        <f t="shared" si="0"/>
        <v>1-59</v>
      </c>
      <c r="C67" s="100" t="s">
        <v>586</v>
      </c>
      <c r="D67" s="100" t="s">
        <v>83</v>
      </c>
      <c r="E67" s="114" t="s">
        <v>614</v>
      </c>
      <c r="F67" s="262" t="s">
        <v>472</v>
      </c>
      <c r="G67" s="263"/>
      <c r="H67" s="124"/>
      <c r="I67" s="125"/>
      <c r="J67" s="124"/>
      <c r="K67" s="124"/>
      <c r="L67" s="125"/>
      <c r="M67" s="124"/>
      <c r="N67" s="101"/>
      <c r="O67" s="20"/>
      <c r="P67" s="101"/>
      <c r="Q67" s="182"/>
      <c r="R67" s="101"/>
      <c r="S67" s="100"/>
      <c r="T67" s="102"/>
      <c r="U67" s="102"/>
      <c r="V67" s="177"/>
      <c r="W67" s="177"/>
      <c r="X67" s="177"/>
    </row>
    <row r="68" spans="2:24" ht="48.95" customHeight="1">
      <c r="B68" s="169" t="str">
        <f t="shared" si="0"/>
        <v>1-60</v>
      </c>
      <c r="C68" s="100" t="s">
        <v>634</v>
      </c>
      <c r="D68" s="100" t="s">
        <v>83</v>
      </c>
      <c r="E68" s="114" t="s">
        <v>615</v>
      </c>
      <c r="F68" s="258" t="s">
        <v>620</v>
      </c>
      <c r="G68" s="259"/>
      <c r="H68" s="124"/>
      <c r="I68" s="125"/>
      <c r="J68" s="124"/>
      <c r="K68" s="124"/>
      <c r="L68" s="125"/>
      <c r="M68" s="124"/>
      <c r="N68" s="101"/>
      <c r="O68" s="20"/>
      <c r="P68" s="101"/>
      <c r="Q68" s="182"/>
      <c r="R68" s="101"/>
      <c r="S68" s="100"/>
      <c r="T68" s="102"/>
      <c r="U68" s="102"/>
      <c r="V68" s="177"/>
      <c r="W68" s="177"/>
      <c r="X68" s="177"/>
    </row>
    <row r="69" spans="2:24" ht="48.95" customHeight="1">
      <c r="B69" s="169" t="str">
        <f t="shared" si="0"/>
        <v>1-61</v>
      </c>
      <c r="C69" s="100" t="s">
        <v>588</v>
      </c>
      <c r="D69" s="100" t="s">
        <v>83</v>
      </c>
      <c r="E69" s="114" t="s">
        <v>614</v>
      </c>
      <c r="F69" s="262" t="s">
        <v>472</v>
      </c>
      <c r="G69" s="263"/>
      <c r="H69" s="124"/>
      <c r="I69" s="125"/>
      <c r="J69" s="124"/>
      <c r="K69" s="124"/>
      <c r="L69" s="125"/>
      <c r="M69" s="124"/>
      <c r="N69" s="101"/>
      <c r="O69" s="20"/>
      <c r="P69" s="101"/>
      <c r="Q69" s="182"/>
      <c r="R69" s="101"/>
      <c r="S69" s="100"/>
      <c r="T69" s="102"/>
      <c r="U69" s="102"/>
      <c r="V69" s="177"/>
      <c r="W69" s="177"/>
      <c r="X69" s="177"/>
    </row>
    <row r="70" spans="2:24" ht="48.95" customHeight="1">
      <c r="B70" s="169" t="str">
        <f t="shared" si="0"/>
        <v>1-62</v>
      </c>
      <c r="C70" s="100" t="s">
        <v>634</v>
      </c>
      <c r="D70" s="100" t="s">
        <v>83</v>
      </c>
      <c r="E70" s="114" t="s">
        <v>615</v>
      </c>
      <c r="F70" s="258" t="s">
        <v>620</v>
      </c>
      <c r="G70" s="259"/>
      <c r="H70" s="124"/>
      <c r="I70" s="125"/>
      <c r="J70" s="124"/>
      <c r="K70" s="124"/>
      <c r="L70" s="125"/>
      <c r="M70" s="124"/>
      <c r="N70" s="101"/>
      <c r="O70" s="20"/>
      <c r="P70" s="101"/>
      <c r="Q70" s="182"/>
      <c r="R70" s="101"/>
      <c r="S70" s="100"/>
      <c r="T70" s="102"/>
      <c r="U70" s="102"/>
      <c r="V70" s="177"/>
      <c r="W70" s="177"/>
      <c r="X70" s="177"/>
    </row>
    <row r="71" spans="2:24" ht="48.95" customHeight="1">
      <c r="B71" s="169" t="str">
        <f t="shared" si="0"/>
        <v>1-63</v>
      </c>
      <c r="C71" s="100" t="s">
        <v>592</v>
      </c>
      <c r="D71" s="100" t="s">
        <v>83</v>
      </c>
      <c r="E71" s="114" t="s">
        <v>614</v>
      </c>
      <c r="F71" s="262" t="s">
        <v>472</v>
      </c>
      <c r="G71" s="263"/>
      <c r="H71" s="124"/>
      <c r="I71" s="125"/>
      <c r="J71" s="124"/>
      <c r="K71" s="124"/>
      <c r="L71" s="125"/>
      <c r="M71" s="124"/>
      <c r="N71" s="101"/>
      <c r="O71" s="20"/>
      <c r="P71" s="101"/>
      <c r="Q71" s="182"/>
      <c r="R71" s="101"/>
      <c r="S71" s="100"/>
      <c r="T71" s="102"/>
      <c r="U71" s="102"/>
      <c r="V71" s="177"/>
      <c r="W71" s="177"/>
      <c r="X71" s="177"/>
    </row>
    <row r="72" spans="2:24" ht="48.95" customHeight="1">
      <c r="B72" s="169" t="str">
        <f t="shared" si="0"/>
        <v>1-64</v>
      </c>
      <c r="C72" s="100" t="s">
        <v>634</v>
      </c>
      <c r="D72" s="100" t="s">
        <v>83</v>
      </c>
      <c r="E72" s="114" t="s">
        <v>615</v>
      </c>
      <c r="F72" s="258" t="s">
        <v>620</v>
      </c>
      <c r="G72" s="259"/>
      <c r="H72" s="124"/>
      <c r="I72" s="125"/>
      <c r="J72" s="124"/>
      <c r="K72" s="124"/>
      <c r="L72" s="125"/>
      <c r="M72" s="124"/>
      <c r="N72" s="101"/>
      <c r="O72" s="20"/>
      <c r="P72" s="101"/>
      <c r="Q72" s="182"/>
      <c r="R72" s="101"/>
      <c r="S72" s="100"/>
      <c r="T72" s="102"/>
      <c r="U72" s="102"/>
      <c r="V72" s="177"/>
      <c r="W72" s="177"/>
      <c r="X72" s="177"/>
    </row>
    <row r="73" spans="2:24" ht="48.95" customHeight="1">
      <c r="B73" s="169" t="str">
        <f t="shared" si="0"/>
        <v>1-65</v>
      </c>
      <c r="C73" s="100" t="s">
        <v>590</v>
      </c>
      <c r="D73" s="100" t="s">
        <v>83</v>
      </c>
      <c r="E73" s="114" t="s">
        <v>614</v>
      </c>
      <c r="F73" s="262" t="s">
        <v>472</v>
      </c>
      <c r="G73" s="263"/>
      <c r="H73" s="124"/>
      <c r="I73" s="125"/>
      <c r="J73" s="124"/>
      <c r="K73" s="124"/>
      <c r="L73" s="125"/>
      <c r="M73" s="124"/>
      <c r="N73" s="101"/>
      <c r="O73" s="20"/>
      <c r="P73" s="101"/>
      <c r="Q73" s="182"/>
      <c r="R73" s="101"/>
      <c r="S73" s="100"/>
      <c r="T73" s="102"/>
      <c r="U73" s="102"/>
      <c r="V73" s="177"/>
      <c r="W73" s="177"/>
      <c r="X73" s="177"/>
    </row>
    <row r="74" spans="2:24" ht="48.95" customHeight="1">
      <c r="B74" s="169" t="str">
        <f t="shared" si="0"/>
        <v>1-66</v>
      </c>
      <c r="C74" s="100" t="s">
        <v>634</v>
      </c>
      <c r="D74" s="100" t="s">
        <v>83</v>
      </c>
      <c r="E74" s="114" t="s">
        <v>615</v>
      </c>
      <c r="F74" s="258" t="s">
        <v>620</v>
      </c>
      <c r="G74" s="259"/>
      <c r="H74" s="124"/>
      <c r="I74" s="125"/>
      <c r="J74" s="124"/>
      <c r="K74" s="124"/>
      <c r="L74" s="125"/>
      <c r="M74" s="124"/>
      <c r="N74" s="101"/>
      <c r="O74" s="20"/>
      <c r="P74" s="101"/>
      <c r="Q74" s="182"/>
      <c r="R74" s="101"/>
      <c r="S74" s="100"/>
      <c r="T74" s="102"/>
      <c r="U74" s="102"/>
      <c r="V74" s="177"/>
      <c r="W74" s="177"/>
      <c r="X74" s="177"/>
    </row>
    <row r="75" spans="2:24" ht="48.95" customHeight="1">
      <c r="B75" s="169" t="str">
        <f t="shared" si="0"/>
        <v>1-67</v>
      </c>
      <c r="C75" s="100" t="s">
        <v>635</v>
      </c>
      <c r="D75" s="100" t="s">
        <v>83</v>
      </c>
      <c r="E75" s="114" t="s">
        <v>614</v>
      </c>
      <c r="F75" s="262" t="s">
        <v>472</v>
      </c>
      <c r="G75" s="263"/>
      <c r="H75" s="124"/>
      <c r="I75" s="125"/>
      <c r="J75" s="124"/>
      <c r="K75" s="124"/>
      <c r="L75" s="125"/>
      <c r="M75" s="124"/>
      <c r="N75" s="101"/>
      <c r="O75" s="20"/>
      <c r="P75" s="101"/>
      <c r="Q75" s="182"/>
      <c r="R75" s="101"/>
      <c r="S75" s="100"/>
      <c r="T75" s="102"/>
      <c r="U75" s="102"/>
      <c r="V75" s="177"/>
      <c r="W75" s="177"/>
      <c r="X75" s="177"/>
    </row>
    <row r="76" spans="2:24" ht="48.95" customHeight="1">
      <c r="B76" s="169" t="str">
        <f t="shared" si="0"/>
        <v>1-68</v>
      </c>
      <c r="C76" s="100" t="s">
        <v>83</v>
      </c>
      <c r="D76" s="100" t="s">
        <v>83</v>
      </c>
      <c r="E76" s="114" t="s">
        <v>615</v>
      </c>
      <c r="F76" s="258" t="s">
        <v>620</v>
      </c>
      <c r="G76" s="259"/>
      <c r="H76" s="124"/>
      <c r="I76" s="125"/>
      <c r="J76" s="124"/>
      <c r="K76" s="124"/>
      <c r="L76" s="125"/>
      <c r="M76" s="124"/>
      <c r="N76" s="101"/>
      <c r="O76" s="20"/>
      <c r="P76" s="101"/>
      <c r="Q76" s="182"/>
      <c r="R76" s="101"/>
      <c r="S76" s="100"/>
      <c r="T76" s="102"/>
      <c r="U76" s="102"/>
      <c r="V76" s="177"/>
      <c r="W76" s="177"/>
      <c r="X76" s="177"/>
    </row>
    <row r="77" spans="2:24" ht="48.95" customHeight="1">
      <c r="B77" s="169" t="str">
        <f t="shared" si="0"/>
        <v>1-69</v>
      </c>
      <c r="C77" s="100" t="s">
        <v>636</v>
      </c>
      <c r="D77" s="100" t="s">
        <v>83</v>
      </c>
      <c r="E77" s="114" t="s">
        <v>614</v>
      </c>
      <c r="F77" s="262" t="s">
        <v>472</v>
      </c>
      <c r="G77" s="263"/>
      <c r="H77" s="124"/>
      <c r="I77" s="125"/>
      <c r="J77" s="124"/>
      <c r="K77" s="124"/>
      <c r="L77" s="125"/>
      <c r="M77" s="124"/>
      <c r="N77" s="101"/>
      <c r="O77" s="20"/>
      <c r="P77" s="101"/>
      <c r="Q77" s="182"/>
      <c r="R77" s="101"/>
      <c r="S77" s="100"/>
      <c r="T77" s="102"/>
      <c r="U77" s="102"/>
      <c r="V77" s="177"/>
      <c r="W77" s="177"/>
      <c r="X77" s="177"/>
    </row>
    <row r="78" spans="2:24" ht="48.95" customHeight="1">
      <c r="B78" s="169" t="str">
        <f t="shared" si="0"/>
        <v>1-70</v>
      </c>
      <c r="C78" s="100" t="s">
        <v>83</v>
      </c>
      <c r="D78" s="100" t="s">
        <v>83</v>
      </c>
      <c r="E78" s="114" t="s">
        <v>615</v>
      </c>
      <c r="F78" s="258" t="s">
        <v>620</v>
      </c>
      <c r="G78" s="259"/>
      <c r="H78" s="124"/>
      <c r="I78" s="125"/>
      <c r="J78" s="124"/>
      <c r="K78" s="124"/>
      <c r="L78" s="125"/>
      <c r="M78" s="124"/>
      <c r="N78" s="101"/>
      <c r="O78" s="20"/>
      <c r="P78" s="101"/>
      <c r="Q78" s="182"/>
      <c r="R78" s="101"/>
      <c r="S78" s="100"/>
      <c r="T78" s="102"/>
      <c r="U78" s="102"/>
      <c r="V78" s="177"/>
      <c r="W78" s="177"/>
      <c r="X78" s="177"/>
    </row>
    <row r="79" spans="2:24" ht="48.95" customHeight="1">
      <c r="B79" s="169" t="str">
        <f t="shared" si="0"/>
        <v>1-71</v>
      </c>
      <c r="C79" s="100" t="s">
        <v>596</v>
      </c>
      <c r="D79" s="100" t="s">
        <v>83</v>
      </c>
      <c r="E79" s="114" t="s">
        <v>614</v>
      </c>
      <c r="F79" s="262" t="s">
        <v>472</v>
      </c>
      <c r="G79" s="263"/>
      <c r="H79" s="124"/>
      <c r="I79" s="125"/>
      <c r="J79" s="124"/>
      <c r="K79" s="124"/>
      <c r="L79" s="125"/>
      <c r="M79" s="124"/>
      <c r="N79" s="101"/>
      <c r="O79" s="20"/>
      <c r="P79" s="101"/>
      <c r="Q79" s="182"/>
      <c r="R79" s="101"/>
      <c r="S79" s="100"/>
      <c r="T79" s="102"/>
      <c r="U79" s="102"/>
      <c r="V79" s="177"/>
      <c r="W79" s="177"/>
      <c r="X79" s="177"/>
    </row>
    <row r="80" spans="2:24" ht="45" customHeight="1">
      <c r="B80" s="169" t="str">
        <f t="shared" si="0"/>
        <v>1-72</v>
      </c>
      <c r="C80" s="100" t="s">
        <v>83</v>
      </c>
      <c r="D80" s="100" t="s">
        <v>83</v>
      </c>
      <c r="E80" s="114" t="s">
        <v>615</v>
      </c>
      <c r="F80" s="258" t="s">
        <v>620</v>
      </c>
      <c r="G80" s="259"/>
      <c r="H80" s="124"/>
      <c r="I80" s="125"/>
      <c r="J80" s="124"/>
      <c r="K80" s="124"/>
      <c r="L80" s="125"/>
      <c r="M80" s="124"/>
      <c r="N80" s="101"/>
      <c r="O80" s="20"/>
      <c r="P80" s="101"/>
      <c r="Q80" s="182"/>
      <c r="R80" s="101"/>
      <c r="S80" s="100"/>
      <c r="T80" s="102"/>
      <c r="U80" s="102"/>
      <c r="V80" s="177"/>
    </row>
    <row r="81" spans="2:24" ht="48.95" customHeight="1">
      <c r="B81" s="188" t="str">
        <f t="shared" si="0"/>
        <v>1-73</v>
      </c>
      <c r="C81" s="115" t="s">
        <v>669</v>
      </c>
      <c r="D81" s="115" t="s">
        <v>106</v>
      </c>
      <c r="E81" s="170" t="s">
        <v>670</v>
      </c>
      <c r="F81" s="258" t="s">
        <v>671</v>
      </c>
      <c r="G81" s="259"/>
      <c r="H81" s="203"/>
      <c r="I81" s="204"/>
      <c r="J81" s="203"/>
      <c r="K81" s="203"/>
      <c r="L81" s="204"/>
      <c r="M81" s="203"/>
      <c r="N81" s="203"/>
      <c r="O81" s="204"/>
      <c r="P81" s="203"/>
      <c r="Q81" s="205"/>
      <c r="R81" s="124"/>
      <c r="S81" s="100"/>
      <c r="T81" s="102"/>
      <c r="U81" s="102"/>
      <c r="V81" s="181"/>
      <c r="W81" s="181"/>
      <c r="X81" s="181"/>
    </row>
    <row r="82" spans="2:24" ht="48.95" customHeight="1">
      <c r="B82" s="188" t="str">
        <f t="shared" si="0"/>
        <v>1-74</v>
      </c>
      <c r="C82" s="114" t="s">
        <v>672</v>
      </c>
      <c r="D82" s="115" t="s">
        <v>673</v>
      </c>
      <c r="E82" s="115" t="s">
        <v>674</v>
      </c>
      <c r="F82" s="258" t="s">
        <v>123</v>
      </c>
      <c r="G82" s="259"/>
      <c r="H82" s="203"/>
      <c r="I82" s="204"/>
      <c r="J82" s="203"/>
      <c r="K82" s="203"/>
      <c r="L82" s="204"/>
      <c r="M82" s="203"/>
      <c r="N82" s="203"/>
      <c r="O82" s="204"/>
      <c r="P82" s="203"/>
      <c r="Q82" s="205"/>
      <c r="R82" s="124"/>
      <c r="S82" s="100"/>
      <c r="T82" s="102"/>
      <c r="U82" s="102"/>
      <c r="V82" s="181"/>
      <c r="W82" s="181"/>
      <c r="X82" s="181"/>
    </row>
    <row r="83" spans="2:24" ht="103.5" customHeight="1">
      <c r="B83" s="188" t="str">
        <f t="shared" si="0"/>
        <v>1-75</v>
      </c>
      <c r="C83" s="114" t="s">
        <v>672</v>
      </c>
      <c r="D83" s="114" t="s">
        <v>674</v>
      </c>
      <c r="E83" s="115" t="s">
        <v>675</v>
      </c>
      <c r="F83" s="258" t="s">
        <v>601</v>
      </c>
      <c r="G83" s="259"/>
      <c r="H83" s="101"/>
      <c r="I83" s="20"/>
      <c r="J83" s="101"/>
      <c r="K83" s="101"/>
      <c r="L83" s="20"/>
      <c r="M83" s="101"/>
      <c r="N83" s="101"/>
      <c r="O83" s="20"/>
      <c r="P83" s="101"/>
      <c r="Q83" s="182"/>
      <c r="R83" s="124"/>
      <c r="S83" s="100"/>
      <c r="T83" s="102"/>
      <c r="U83" s="102"/>
      <c r="V83" s="181"/>
      <c r="W83" s="181"/>
      <c r="X83" s="181"/>
    </row>
    <row r="84" spans="2:24" ht="48.95" customHeight="1">
      <c r="B84" s="169" t="str">
        <f t="shared" si="0"/>
        <v>1-76</v>
      </c>
      <c r="C84" s="100" t="s">
        <v>638</v>
      </c>
      <c r="D84" s="100" t="s">
        <v>83</v>
      </c>
      <c r="E84" s="114" t="s">
        <v>614</v>
      </c>
      <c r="F84" s="262" t="s">
        <v>472</v>
      </c>
      <c r="G84" s="263"/>
      <c r="H84" s="124"/>
      <c r="I84" s="125"/>
      <c r="J84" s="124"/>
      <c r="K84" s="124"/>
      <c r="L84" s="125"/>
      <c r="M84" s="124"/>
      <c r="N84" s="101"/>
      <c r="O84" s="20"/>
      <c r="P84" s="101"/>
      <c r="Q84" s="182"/>
      <c r="R84" s="101"/>
      <c r="S84" s="100"/>
      <c r="T84" s="102"/>
      <c r="U84" s="102"/>
      <c r="V84" s="177"/>
      <c r="W84" s="177"/>
      <c r="X84" s="177"/>
    </row>
    <row r="85" spans="2:24" ht="48.95" customHeight="1">
      <c r="B85" s="169" t="str">
        <f t="shared" si="0"/>
        <v>1-77</v>
      </c>
      <c r="C85" s="100" t="s">
        <v>83</v>
      </c>
      <c r="D85" s="100" t="s">
        <v>83</v>
      </c>
      <c r="E85" s="114" t="s">
        <v>615</v>
      </c>
      <c r="F85" s="258" t="s">
        <v>620</v>
      </c>
      <c r="G85" s="259"/>
      <c r="H85" s="124"/>
      <c r="I85" s="125"/>
      <c r="J85" s="124"/>
      <c r="K85" s="124"/>
      <c r="L85" s="125"/>
      <c r="M85" s="124"/>
      <c r="N85" s="101"/>
      <c r="O85" s="20"/>
      <c r="P85" s="101"/>
      <c r="Q85" s="182"/>
      <c r="R85" s="101"/>
      <c r="S85" s="100"/>
      <c r="T85" s="102"/>
      <c r="U85" s="102"/>
      <c r="V85" s="177"/>
      <c r="W85" s="177"/>
      <c r="X85" s="177"/>
    </row>
    <row r="86" spans="2:24" ht="48.95" customHeight="1">
      <c r="B86" s="169" t="str">
        <f t="shared" si="0"/>
        <v>1-78</v>
      </c>
      <c r="C86" s="100" t="s">
        <v>639</v>
      </c>
      <c r="D86" s="100" t="s">
        <v>83</v>
      </c>
      <c r="E86" s="114" t="s">
        <v>614</v>
      </c>
      <c r="F86" s="262" t="s">
        <v>472</v>
      </c>
      <c r="G86" s="263"/>
      <c r="H86" s="124"/>
      <c r="I86" s="125"/>
      <c r="J86" s="124"/>
      <c r="K86" s="124"/>
      <c r="L86" s="125"/>
      <c r="M86" s="124"/>
      <c r="N86" s="101"/>
      <c r="O86" s="20"/>
      <c r="P86" s="101"/>
      <c r="Q86" s="182"/>
      <c r="R86" s="101"/>
      <c r="S86" s="100"/>
      <c r="T86" s="102"/>
      <c r="U86" s="102"/>
      <c r="V86" s="177"/>
      <c r="W86" s="177"/>
      <c r="X86" s="177"/>
    </row>
    <row r="87" spans="2:24" ht="48.95" customHeight="1">
      <c r="B87" s="169" t="str">
        <f t="shared" si="0"/>
        <v>1-79</v>
      </c>
      <c r="C87" s="100" t="s">
        <v>83</v>
      </c>
      <c r="D87" s="100" t="s">
        <v>83</v>
      </c>
      <c r="E87" s="114" t="s">
        <v>615</v>
      </c>
      <c r="F87" s="258" t="s">
        <v>620</v>
      </c>
      <c r="G87" s="259"/>
      <c r="H87" s="124"/>
      <c r="I87" s="125"/>
      <c r="J87" s="124"/>
      <c r="K87" s="124"/>
      <c r="L87" s="125"/>
      <c r="M87" s="124"/>
      <c r="N87" s="101"/>
      <c r="O87" s="20"/>
      <c r="P87" s="101"/>
      <c r="Q87" s="182"/>
      <c r="R87" s="101"/>
      <c r="S87" s="100"/>
      <c r="T87" s="102"/>
      <c r="U87" s="102"/>
      <c r="V87" s="177"/>
      <c r="W87" s="177"/>
      <c r="X87" s="177"/>
    </row>
    <row r="88" spans="2:24" ht="48.95" customHeight="1">
      <c r="B88" s="169" t="str">
        <f t="shared" si="0"/>
        <v>1-80</v>
      </c>
      <c r="C88" s="100" t="s">
        <v>640</v>
      </c>
      <c r="D88" s="100" t="s">
        <v>83</v>
      </c>
      <c r="E88" s="114" t="s">
        <v>614</v>
      </c>
      <c r="F88" s="262" t="s">
        <v>472</v>
      </c>
      <c r="G88" s="263"/>
      <c r="H88" s="124"/>
      <c r="I88" s="125"/>
      <c r="J88" s="124"/>
      <c r="K88" s="124"/>
      <c r="L88" s="125"/>
      <c r="M88" s="124"/>
      <c r="N88" s="101"/>
      <c r="O88" s="20"/>
      <c r="P88" s="101"/>
      <c r="Q88" s="182"/>
      <c r="R88" s="101"/>
      <c r="S88" s="100"/>
      <c r="T88" s="102"/>
      <c r="U88" s="102"/>
      <c r="V88" s="177"/>
      <c r="W88" s="177"/>
      <c r="X88" s="177"/>
    </row>
    <row r="89" spans="2:24" ht="48.95" customHeight="1">
      <c r="B89" s="169" t="str">
        <f t="shared" si="0"/>
        <v>1-81</v>
      </c>
      <c r="C89" s="100" t="s">
        <v>83</v>
      </c>
      <c r="D89" s="100" t="s">
        <v>83</v>
      </c>
      <c r="E89" s="114" t="s">
        <v>615</v>
      </c>
      <c r="F89" s="258" t="s">
        <v>620</v>
      </c>
      <c r="G89" s="259"/>
      <c r="H89" s="124"/>
      <c r="I89" s="125"/>
      <c r="J89" s="124"/>
      <c r="K89" s="124"/>
      <c r="L89" s="125"/>
      <c r="M89" s="124"/>
      <c r="N89" s="101"/>
      <c r="O89" s="20"/>
      <c r="P89" s="101"/>
      <c r="Q89" s="182"/>
      <c r="R89" s="101"/>
      <c r="S89" s="100"/>
      <c r="T89" s="102"/>
      <c r="U89" s="102"/>
      <c r="V89" s="177"/>
      <c r="W89" s="177"/>
      <c r="X89" s="177"/>
    </row>
    <row r="90" spans="2:24" ht="48.95" customHeight="1">
      <c r="B90" s="169" t="str">
        <f t="shared" si="0"/>
        <v>1-82</v>
      </c>
      <c r="C90" s="100" t="s">
        <v>606</v>
      </c>
      <c r="D90" s="100" t="s">
        <v>83</v>
      </c>
      <c r="E90" s="114" t="s">
        <v>614</v>
      </c>
      <c r="F90" s="262" t="s">
        <v>472</v>
      </c>
      <c r="G90" s="263"/>
      <c r="H90" s="124"/>
      <c r="I90" s="125"/>
      <c r="J90" s="124"/>
      <c r="K90" s="124"/>
      <c r="L90" s="125"/>
      <c r="M90" s="124"/>
      <c r="N90" s="101"/>
      <c r="O90" s="20"/>
      <c r="P90" s="101"/>
      <c r="Q90" s="182"/>
      <c r="R90" s="101"/>
      <c r="S90" s="100"/>
      <c r="T90" s="102"/>
      <c r="U90" s="102"/>
      <c r="V90" s="177"/>
      <c r="W90" s="177"/>
      <c r="X90" s="177"/>
    </row>
    <row r="91" spans="2:24" ht="48.95" customHeight="1">
      <c r="B91" s="169" t="str">
        <f t="shared" si="0"/>
        <v>1-83</v>
      </c>
      <c r="C91" s="100" t="s">
        <v>83</v>
      </c>
      <c r="D91" s="100" t="s">
        <v>83</v>
      </c>
      <c r="E91" s="114" t="s">
        <v>615</v>
      </c>
      <c r="F91" s="258" t="s">
        <v>620</v>
      </c>
      <c r="G91" s="259"/>
      <c r="H91" s="124"/>
      <c r="I91" s="125"/>
      <c r="J91" s="124"/>
      <c r="K91" s="124"/>
      <c r="L91" s="125"/>
      <c r="M91" s="124"/>
      <c r="N91" s="101"/>
      <c r="O91" s="20"/>
      <c r="P91" s="101"/>
      <c r="Q91" s="182"/>
      <c r="R91" s="101"/>
      <c r="S91" s="100"/>
      <c r="T91" s="102"/>
      <c r="U91" s="102"/>
      <c r="V91" s="177"/>
      <c r="W91" s="177"/>
      <c r="X91" s="177"/>
    </row>
    <row r="92" spans="2:24" ht="48.95" customHeight="1">
      <c r="B92" s="169" t="str">
        <f t="shared" si="0"/>
        <v>1-84</v>
      </c>
      <c r="C92" s="100" t="s">
        <v>641</v>
      </c>
      <c r="D92" s="100" t="s">
        <v>83</v>
      </c>
      <c r="E92" s="114" t="s">
        <v>614</v>
      </c>
      <c r="F92" s="262" t="s">
        <v>472</v>
      </c>
      <c r="G92" s="263"/>
      <c r="H92" s="124"/>
      <c r="I92" s="125"/>
      <c r="J92" s="124"/>
      <c r="K92" s="124"/>
      <c r="L92" s="125"/>
      <c r="M92" s="124"/>
      <c r="N92" s="101"/>
      <c r="O92" s="20"/>
      <c r="P92" s="101"/>
      <c r="Q92" s="182"/>
      <c r="R92" s="101"/>
      <c r="S92" s="100"/>
      <c r="T92" s="102"/>
      <c r="U92" s="102"/>
      <c r="V92" s="177"/>
      <c r="W92" s="177"/>
      <c r="X92" s="177"/>
    </row>
    <row r="93" spans="2:24" ht="48.95" customHeight="1">
      <c r="B93" s="169" t="str">
        <f t="shared" si="0"/>
        <v>1-85</v>
      </c>
      <c r="C93" s="100" t="s">
        <v>83</v>
      </c>
      <c r="D93" s="100" t="s">
        <v>83</v>
      </c>
      <c r="E93" s="114" t="s">
        <v>615</v>
      </c>
      <c r="F93" s="258" t="s">
        <v>620</v>
      </c>
      <c r="G93" s="259"/>
      <c r="H93" s="124"/>
      <c r="I93" s="125"/>
      <c r="J93" s="124"/>
      <c r="K93" s="124"/>
      <c r="L93" s="125"/>
      <c r="M93" s="124"/>
      <c r="N93" s="101"/>
      <c r="O93" s="20"/>
      <c r="P93" s="101"/>
      <c r="Q93" s="182"/>
      <c r="R93" s="101"/>
      <c r="S93" s="100"/>
      <c r="T93" s="102"/>
      <c r="U93" s="102"/>
      <c r="V93" s="177"/>
      <c r="W93" s="177"/>
      <c r="X93" s="177"/>
    </row>
    <row r="94" spans="2:24" ht="48.95" customHeight="1">
      <c r="B94" s="169" t="str">
        <f t="shared" si="0"/>
        <v>1-86</v>
      </c>
      <c r="C94" s="100" t="s">
        <v>677</v>
      </c>
      <c r="D94" s="100" t="s">
        <v>83</v>
      </c>
      <c r="E94" s="114" t="s">
        <v>614</v>
      </c>
      <c r="F94" s="262" t="s">
        <v>472</v>
      </c>
      <c r="G94" s="263"/>
      <c r="H94" s="124"/>
      <c r="I94" s="125"/>
      <c r="J94" s="124"/>
      <c r="K94" s="124"/>
      <c r="L94" s="125"/>
      <c r="M94" s="124"/>
      <c r="N94" s="101"/>
      <c r="O94" s="20"/>
      <c r="P94" s="101"/>
      <c r="Q94" s="182"/>
      <c r="R94" s="101"/>
      <c r="S94" s="100"/>
      <c r="T94" s="102"/>
      <c r="U94" s="102"/>
      <c r="V94" s="177"/>
      <c r="W94" s="177"/>
      <c r="X94" s="177"/>
    </row>
    <row r="95" spans="2:24" ht="48.95" customHeight="1">
      <c r="B95" s="169" t="str">
        <f t="shared" si="0"/>
        <v>1-87</v>
      </c>
      <c r="C95" s="100" t="s">
        <v>83</v>
      </c>
      <c r="D95" s="100" t="s">
        <v>83</v>
      </c>
      <c r="E95" s="114" t="s">
        <v>615</v>
      </c>
      <c r="F95" s="258" t="s">
        <v>620</v>
      </c>
      <c r="G95" s="259"/>
      <c r="H95" s="124"/>
      <c r="I95" s="125"/>
      <c r="J95" s="124"/>
      <c r="K95" s="124"/>
      <c r="L95" s="125"/>
      <c r="M95" s="124"/>
      <c r="N95" s="101"/>
      <c r="O95" s="20"/>
      <c r="P95" s="101"/>
      <c r="Q95" s="182"/>
      <c r="R95" s="101"/>
      <c r="S95" s="100"/>
      <c r="T95" s="102"/>
      <c r="U95" s="102"/>
      <c r="V95" s="177"/>
      <c r="W95" s="177"/>
      <c r="X95" s="177"/>
    </row>
    <row r="96" spans="2:24" ht="48.95" customHeight="1">
      <c r="B96" s="169" t="str">
        <f t="shared" si="0"/>
        <v>1-88</v>
      </c>
      <c r="C96" s="100" t="s">
        <v>642</v>
      </c>
      <c r="D96" s="100" t="s">
        <v>83</v>
      </c>
      <c r="E96" s="114" t="s">
        <v>614</v>
      </c>
      <c r="F96" s="262" t="s">
        <v>472</v>
      </c>
      <c r="G96" s="263"/>
      <c r="H96" s="124"/>
      <c r="I96" s="125"/>
      <c r="J96" s="124"/>
      <c r="K96" s="124"/>
      <c r="L96" s="125"/>
      <c r="M96" s="124"/>
      <c r="N96" s="101"/>
      <c r="O96" s="20"/>
      <c r="P96" s="101"/>
      <c r="Q96" s="182"/>
      <c r="R96" s="101"/>
      <c r="S96" s="100"/>
      <c r="T96" s="102"/>
      <c r="U96" s="102"/>
      <c r="V96" s="177"/>
      <c r="W96" s="177"/>
      <c r="X96" s="177"/>
    </row>
    <row r="97" spans="2:24" ht="48.95" customHeight="1">
      <c r="B97" s="169" t="str">
        <f t="shared" si="0"/>
        <v>1-89</v>
      </c>
      <c r="C97" s="100" t="s">
        <v>83</v>
      </c>
      <c r="D97" s="100" t="s">
        <v>83</v>
      </c>
      <c r="E97" s="114" t="s">
        <v>615</v>
      </c>
      <c r="F97" s="258" t="s">
        <v>620</v>
      </c>
      <c r="G97" s="259"/>
      <c r="H97" s="124"/>
      <c r="I97" s="125"/>
      <c r="J97" s="124"/>
      <c r="K97" s="124"/>
      <c r="L97" s="125"/>
      <c r="M97" s="124"/>
      <c r="N97" s="101"/>
      <c r="O97" s="20"/>
      <c r="P97" s="101"/>
      <c r="Q97" s="182"/>
      <c r="R97" s="101"/>
      <c r="S97" s="100"/>
      <c r="T97" s="102"/>
      <c r="U97" s="102"/>
      <c r="V97" s="177"/>
      <c r="W97" s="177"/>
      <c r="X97" s="177"/>
    </row>
    <row r="98" spans="2:24" ht="48.95" customHeight="1">
      <c r="B98" s="169" t="str">
        <f t="shared" si="0"/>
        <v>1-90</v>
      </c>
      <c r="C98" s="100" t="s">
        <v>643</v>
      </c>
      <c r="D98" s="100" t="s">
        <v>83</v>
      </c>
      <c r="E98" s="114" t="s">
        <v>614</v>
      </c>
      <c r="F98" s="262" t="s">
        <v>472</v>
      </c>
      <c r="G98" s="263"/>
      <c r="H98" s="124"/>
      <c r="I98" s="125"/>
      <c r="J98" s="124"/>
      <c r="K98" s="124"/>
      <c r="L98" s="125"/>
      <c r="M98" s="124"/>
      <c r="N98" s="101"/>
      <c r="O98" s="20"/>
      <c r="P98" s="101"/>
      <c r="Q98" s="182"/>
      <c r="R98" s="101"/>
      <c r="S98" s="100"/>
      <c r="T98" s="102"/>
      <c r="U98" s="102"/>
      <c r="V98" s="177"/>
      <c r="W98" s="177"/>
      <c r="X98" s="177"/>
    </row>
    <row r="99" spans="2:24" ht="48.95" customHeight="1">
      <c r="B99" s="169" t="str">
        <f t="shared" si="0"/>
        <v>1-91</v>
      </c>
      <c r="C99" s="100" t="s">
        <v>83</v>
      </c>
      <c r="D99" s="100" t="s">
        <v>83</v>
      </c>
      <c r="E99" s="114" t="s">
        <v>615</v>
      </c>
      <c r="F99" s="258" t="s">
        <v>620</v>
      </c>
      <c r="G99" s="259"/>
      <c r="H99" s="124"/>
      <c r="I99" s="125"/>
      <c r="J99" s="124"/>
      <c r="K99" s="124"/>
      <c r="L99" s="125"/>
      <c r="M99" s="124"/>
      <c r="N99" s="101"/>
      <c r="O99" s="20"/>
      <c r="P99" s="101"/>
      <c r="Q99" s="182"/>
      <c r="R99" s="101"/>
      <c r="S99" s="100"/>
      <c r="T99" s="102"/>
      <c r="U99" s="102"/>
      <c r="V99" s="177"/>
      <c r="W99" s="177"/>
      <c r="X99" s="177"/>
    </row>
    <row r="100" spans="2:24" ht="48.95" customHeight="1">
      <c r="B100" s="169" t="str">
        <f t="shared" si="0"/>
        <v>1-92</v>
      </c>
      <c r="C100" s="100" t="s">
        <v>676</v>
      </c>
      <c r="D100" s="100" t="s">
        <v>83</v>
      </c>
      <c r="E100" s="114" t="s">
        <v>614</v>
      </c>
      <c r="F100" s="262" t="s">
        <v>472</v>
      </c>
      <c r="G100" s="263"/>
      <c r="H100" s="124"/>
      <c r="I100" s="125"/>
      <c r="J100" s="124"/>
      <c r="K100" s="124"/>
      <c r="L100" s="125"/>
      <c r="M100" s="124"/>
      <c r="N100" s="101"/>
      <c r="O100" s="20"/>
      <c r="P100" s="101"/>
      <c r="Q100" s="182"/>
      <c r="R100" s="101"/>
      <c r="S100" s="100"/>
      <c r="T100" s="102"/>
      <c r="U100" s="102"/>
      <c r="V100" s="177"/>
      <c r="W100" s="177"/>
      <c r="X100" s="177"/>
    </row>
    <row r="101" spans="2:24" ht="48.95" customHeight="1">
      <c r="B101" s="169" t="str">
        <f t="shared" si="0"/>
        <v>1-93</v>
      </c>
      <c r="C101" s="100" t="s">
        <v>83</v>
      </c>
      <c r="D101" s="100" t="s">
        <v>83</v>
      </c>
      <c r="E101" s="114" t="s">
        <v>615</v>
      </c>
      <c r="F101" s="258" t="s">
        <v>646</v>
      </c>
      <c r="G101" s="259"/>
      <c r="H101" s="124"/>
      <c r="I101" s="125"/>
      <c r="J101" s="124"/>
      <c r="K101" s="124"/>
      <c r="L101" s="125"/>
      <c r="M101" s="124"/>
      <c r="N101" s="101"/>
      <c r="O101" s="20"/>
      <c r="P101" s="101"/>
      <c r="Q101" s="182"/>
      <c r="R101" s="101"/>
      <c r="S101" s="100"/>
      <c r="T101" s="102"/>
      <c r="U101" s="102"/>
      <c r="V101" s="177"/>
      <c r="W101" s="177"/>
      <c r="X101" s="177"/>
    </row>
    <row r="102" spans="2:24" ht="48.95" customHeight="1">
      <c r="B102" s="169" t="str">
        <f t="shared" si="0"/>
        <v>1-94</v>
      </c>
      <c r="C102" s="100" t="s">
        <v>612</v>
      </c>
      <c r="D102" s="100" t="s">
        <v>83</v>
      </c>
      <c r="E102" s="114" t="s">
        <v>614</v>
      </c>
      <c r="F102" s="262" t="s">
        <v>472</v>
      </c>
      <c r="G102" s="263"/>
      <c r="H102" s="124"/>
      <c r="I102" s="125"/>
      <c r="J102" s="124"/>
      <c r="K102" s="124"/>
      <c r="L102" s="125"/>
      <c r="M102" s="124"/>
      <c r="N102" s="101"/>
      <c r="O102" s="20"/>
      <c r="P102" s="101"/>
      <c r="Q102" s="182"/>
      <c r="R102" s="101"/>
      <c r="S102" s="100"/>
      <c r="T102" s="102"/>
      <c r="U102" s="102"/>
      <c r="V102" s="177"/>
      <c r="W102" s="177"/>
      <c r="X102" s="177"/>
    </row>
    <row r="103" spans="2:24" ht="48.95" customHeight="1">
      <c r="B103" s="169" t="str">
        <f t="shared" si="0"/>
        <v>1-95</v>
      </c>
      <c r="C103" s="100" t="s">
        <v>83</v>
      </c>
      <c r="D103" s="100" t="s">
        <v>83</v>
      </c>
      <c r="E103" s="114" t="s">
        <v>615</v>
      </c>
      <c r="F103" s="258" t="s">
        <v>678</v>
      </c>
      <c r="G103" s="259"/>
      <c r="H103" s="124"/>
      <c r="I103" s="125"/>
      <c r="J103" s="124"/>
      <c r="K103" s="124"/>
      <c r="L103" s="125"/>
      <c r="M103" s="124"/>
      <c r="N103" s="101"/>
      <c r="O103" s="20"/>
      <c r="P103" s="101"/>
      <c r="Q103" s="182"/>
      <c r="R103" s="101"/>
      <c r="S103" s="100"/>
      <c r="T103" s="102"/>
      <c r="U103" s="102"/>
      <c r="V103" s="177"/>
      <c r="W103" s="177"/>
      <c r="X103" s="177"/>
    </row>
    <row r="104" spans="2:24" ht="45" customHeight="1">
      <c r="B104" s="169" t="str">
        <f t="shared" si="0"/>
        <v>1-96</v>
      </c>
      <c r="C104" s="42" t="s">
        <v>613</v>
      </c>
      <c r="D104" s="115" t="s">
        <v>550</v>
      </c>
      <c r="E104" s="42" t="s">
        <v>934</v>
      </c>
      <c r="F104" s="262" t="s">
        <v>285</v>
      </c>
      <c r="G104" s="263"/>
      <c r="H104" s="161"/>
      <c r="I104" s="162"/>
      <c r="J104" s="161"/>
      <c r="K104" s="101"/>
      <c r="L104" s="20"/>
      <c r="M104" s="101"/>
      <c r="N104" s="161"/>
      <c r="O104" s="162"/>
      <c r="P104" s="161"/>
      <c r="Q104" s="101"/>
      <c r="R104" s="101"/>
      <c r="S104" s="100"/>
      <c r="T104" s="102"/>
      <c r="U104" s="102"/>
      <c r="V104" s="155"/>
    </row>
    <row r="105" spans="2:24" ht="45" customHeight="1">
      <c r="B105" s="169" t="str">
        <f t="shared" si="0"/>
        <v>1-97</v>
      </c>
      <c r="C105" s="100" t="s">
        <v>83</v>
      </c>
      <c r="D105" s="100" t="s">
        <v>455</v>
      </c>
      <c r="E105" s="100" t="s">
        <v>116</v>
      </c>
      <c r="F105" s="262" t="s">
        <v>350</v>
      </c>
      <c r="G105" s="263"/>
      <c r="H105" s="101"/>
      <c r="I105" s="20"/>
      <c r="J105" s="101"/>
      <c r="K105" s="101"/>
      <c r="L105" s="20"/>
      <c r="M105" s="101"/>
      <c r="N105" s="101"/>
      <c r="O105" s="20"/>
      <c r="P105" s="101"/>
      <c r="Q105" s="203"/>
      <c r="R105" s="101"/>
      <c r="S105" s="100"/>
      <c r="T105" s="102"/>
      <c r="U105" s="102"/>
      <c r="V105" s="160"/>
    </row>
    <row r="106" spans="2:24" ht="45" customHeight="1">
      <c r="B106" s="169" t="str">
        <f t="shared" si="0"/>
        <v>1-98</v>
      </c>
      <c r="C106" s="100" t="s">
        <v>83</v>
      </c>
      <c r="D106" s="100" t="s">
        <v>460</v>
      </c>
      <c r="E106" s="100" t="s">
        <v>116</v>
      </c>
      <c r="F106" s="262" t="s">
        <v>350</v>
      </c>
      <c r="G106" s="263"/>
      <c r="H106" s="101"/>
      <c r="I106" s="20"/>
      <c r="J106" s="101"/>
      <c r="K106" s="101"/>
      <c r="L106" s="20"/>
      <c r="M106" s="101"/>
      <c r="N106" s="101"/>
      <c r="O106" s="20"/>
      <c r="P106" s="101"/>
      <c r="Q106" s="203"/>
      <c r="R106" s="101"/>
      <c r="S106" s="100"/>
      <c r="T106" s="102"/>
      <c r="U106" s="102"/>
      <c r="V106" s="160"/>
    </row>
    <row r="107" spans="2:24" ht="45" customHeight="1">
      <c r="B107" s="169" t="str">
        <f t="shared" si="0"/>
        <v>1-99</v>
      </c>
      <c r="C107" s="100" t="s">
        <v>83</v>
      </c>
      <c r="D107" s="100" t="s">
        <v>464</v>
      </c>
      <c r="E107" s="114" t="s">
        <v>305</v>
      </c>
      <c r="F107" s="256" t="s">
        <v>306</v>
      </c>
      <c r="G107" s="257"/>
      <c r="H107" s="101"/>
      <c r="I107" s="20"/>
      <c r="J107" s="101"/>
      <c r="K107" s="101"/>
      <c r="L107" s="20"/>
      <c r="M107" s="101"/>
      <c r="N107" s="101"/>
      <c r="O107" s="20"/>
      <c r="P107" s="101"/>
      <c r="Q107" s="182"/>
      <c r="R107" s="101"/>
      <c r="S107" s="100"/>
      <c r="T107" s="102"/>
      <c r="U107" s="102"/>
      <c r="V107" s="155"/>
    </row>
    <row r="108" spans="2:24" ht="45" customHeight="1">
      <c r="B108" s="169" t="str">
        <f t="shared" si="0"/>
        <v>1-100</v>
      </c>
      <c r="C108" s="100" t="s">
        <v>83</v>
      </c>
      <c r="D108" s="100" t="s">
        <v>83</v>
      </c>
      <c r="E108" s="114" t="s">
        <v>535</v>
      </c>
      <c r="F108" s="256" t="s">
        <v>537</v>
      </c>
      <c r="G108" s="257"/>
      <c r="H108" s="101"/>
      <c r="I108" s="20"/>
      <c r="J108" s="101"/>
      <c r="K108" s="101"/>
      <c r="L108" s="20"/>
      <c r="M108" s="101"/>
      <c r="N108" s="101"/>
      <c r="O108" s="20"/>
      <c r="P108" s="101"/>
      <c r="Q108" s="101"/>
      <c r="R108" s="101"/>
      <c r="S108" s="100"/>
      <c r="T108" s="102"/>
      <c r="U108" s="102"/>
      <c r="V108" s="177"/>
    </row>
    <row r="109" spans="2:24" ht="45" customHeight="1">
      <c r="B109" s="169" t="str">
        <f t="shared" si="0"/>
        <v>1-101</v>
      </c>
      <c r="C109" s="100" t="s">
        <v>83</v>
      </c>
      <c r="D109" s="115" t="s">
        <v>551</v>
      </c>
      <c r="E109" s="42" t="s">
        <v>470</v>
      </c>
      <c r="F109" s="262" t="s">
        <v>285</v>
      </c>
      <c r="G109" s="263"/>
      <c r="H109" s="161"/>
      <c r="I109" s="162"/>
      <c r="J109" s="161"/>
      <c r="K109" s="101"/>
      <c r="L109" s="20"/>
      <c r="M109" s="101"/>
      <c r="N109" s="161"/>
      <c r="O109" s="162"/>
      <c r="P109" s="161"/>
      <c r="Q109" s="101"/>
      <c r="R109" s="101"/>
      <c r="S109" s="100"/>
      <c r="T109" s="102"/>
      <c r="U109" s="102"/>
      <c r="V109" s="155"/>
    </row>
    <row r="110" spans="2:24" ht="45" customHeight="1">
      <c r="B110" s="169" t="str">
        <f t="shared" si="0"/>
        <v>1-102</v>
      </c>
      <c r="C110" s="100" t="s">
        <v>83</v>
      </c>
      <c r="D110" s="100" t="s">
        <v>455</v>
      </c>
      <c r="E110" s="100" t="s">
        <v>116</v>
      </c>
      <c r="F110" s="262" t="s">
        <v>350</v>
      </c>
      <c r="G110" s="263"/>
      <c r="H110" s="101"/>
      <c r="I110" s="20"/>
      <c r="J110" s="101"/>
      <c r="K110" s="101"/>
      <c r="L110" s="20"/>
      <c r="M110" s="101"/>
      <c r="N110" s="101"/>
      <c r="O110" s="20"/>
      <c r="P110" s="101"/>
      <c r="Q110" s="101"/>
      <c r="R110" s="101"/>
      <c r="S110" s="100"/>
      <c r="T110" s="102"/>
      <c r="U110" s="102"/>
      <c r="V110" s="160"/>
    </row>
    <row r="111" spans="2:24" ht="45" customHeight="1">
      <c r="B111" s="169" t="str">
        <f t="shared" si="0"/>
        <v>1-103</v>
      </c>
      <c r="C111" s="100" t="s">
        <v>83</v>
      </c>
      <c r="D111" s="100" t="s">
        <v>460</v>
      </c>
      <c r="E111" s="100" t="s">
        <v>116</v>
      </c>
      <c r="F111" s="262" t="s">
        <v>350</v>
      </c>
      <c r="G111" s="263"/>
      <c r="H111" s="101"/>
      <c r="I111" s="20"/>
      <c r="J111" s="101"/>
      <c r="K111" s="101"/>
      <c r="L111" s="20"/>
      <c r="M111" s="101"/>
      <c r="N111" s="101"/>
      <c r="O111" s="20"/>
      <c r="P111" s="101"/>
      <c r="Q111" s="101"/>
      <c r="R111" s="101"/>
      <c r="S111" s="100"/>
      <c r="T111" s="102"/>
      <c r="U111" s="102"/>
      <c r="V111" s="160"/>
    </row>
    <row r="112" spans="2:24" ht="45" customHeight="1">
      <c r="B112" s="169" t="str">
        <f t="shared" si="0"/>
        <v>1-104</v>
      </c>
      <c r="C112" s="100" t="s">
        <v>83</v>
      </c>
      <c r="D112" s="100" t="s">
        <v>464</v>
      </c>
      <c r="E112" s="114" t="s">
        <v>305</v>
      </c>
      <c r="F112" s="256" t="s">
        <v>306</v>
      </c>
      <c r="G112" s="257"/>
      <c r="H112" s="101"/>
      <c r="I112" s="20"/>
      <c r="J112" s="101"/>
      <c r="K112" s="101"/>
      <c r="L112" s="20"/>
      <c r="M112" s="101"/>
      <c r="N112" s="101"/>
      <c r="O112" s="20"/>
      <c r="P112" s="101"/>
      <c r="Q112" s="182"/>
      <c r="R112" s="101"/>
      <c r="S112" s="100"/>
      <c r="T112" s="102"/>
      <c r="U112" s="102"/>
      <c r="V112" s="155"/>
    </row>
    <row r="113" spans="2:24" ht="45" customHeight="1">
      <c r="B113" s="169" t="str">
        <f t="shared" si="0"/>
        <v>1-105</v>
      </c>
      <c r="C113" s="100" t="s">
        <v>83</v>
      </c>
      <c r="D113" s="100" t="s">
        <v>83</v>
      </c>
      <c r="E113" s="114" t="s">
        <v>535</v>
      </c>
      <c r="F113" s="256" t="s">
        <v>536</v>
      </c>
      <c r="G113" s="257"/>
      <c r="H113" s="101"/>
      <c r="I113" s="20"/>
      <c r="J113" s="101"/>
      <c r="K113" s="101"/>
      <c r="L113" s="20"/>
      <c r="M113" s="101"/>
      <c r="N113" s="101"/>
      <c r="O113" s="20"/>
      <c r="P113" s="101"/>
      <c r="Q113" s="101"/>
      <c r="R113" s="101"/>
      <c r="S113" s="100"/>
      <c r="T113" s="102"/>
      <c r="U113" s="102"/>
      <c r="V113" s="177"/>
    </row>
    <row r="114" spans="2:24" ht="48.95" customHeight="1">
      <c r="B114" s="169" t="str">
        <f t="shared" ref="B114" si="3">"1-"&amp;ROW()-8</f>
        <v>1-106</v>
      </c>
      <c r="C114" s="100" t="s">
        <v>619</v>
      </c>
      <c r="D114" s="100" t="s">
        <v>552</v>
      </c>
      <c r="E114" s="100" t="s">
        <v>308</v>
      </c>
      <c r="F114" s="258" t="s">
        <v>248</v>
      </c>
      <c r="G114" s="259"/>
      <c r="H114" s="101"/>
      <c r="I114" s="20"/>
      <c r="J114" s="101"/>
      <c r="K114" s="101"/>
      <c r="L114" s="20"/>
      <c r="M114" s="101"/>
      <c r="N114" s="101"/>
      <c r="O114" s="20"/>
      <c r="P114" s="101"/>
      <c r="Q114" s="182"/>
      <c r="R114" s="101"/>
      <c r="S114" s="100"/>
      <c r="T114" s="102"/>
      <c r="U114" s="102"/>
      <c r="V114" s="177"/>
      <c r="W114" s="177"/>
      <c r="X114" s="177"/>
    </row>
    <row r="115" spans="2:24" ht="48.95" customHeight="1">
      <c r="B115" s="169" t="str">
        <f t="shared" si="0"/>
        <v>1-107</v>
      </c>
      <c r="C115" s="100" t="s">
        <v>558</v>
      </c>
      <c r="D115" s="100" t="s">
        <v>552</v>
      </c>
      <c r="E115" s="100" t="s">
        <v>477</v>
      </c>
      <c r="F115" s="258" t="s">
        <v>190</v>
      </c>
      <c r="G115" s="259"/>
      <c r="H115" s="161"/>
      <c r="I115" s="162"/>
      <c r="J115" s="161"/>
      <c r="K115" s="124"/>
      <c r="L115" s="125"/>
      <c r="M115" s="101"/>
      <c r="N115" s="161"/>
      <c r="O115" s="162"/>
      <c r="P115" s="161"/>
      <c r="Q115" s="101"/>
      <c r="R115" s="101"/>
      <c r="S115" s="100"/>
      <c r="T115" s="102"/>
      <c r="U115" s="102"/>
      <c r="V115" s="117"/>
      <c r="W115" s="117"/>
      <c r="X115" s="117"/>
    </row>
    <row r="116" spans="2:24" ht="45" customHeight="1">
      <c r="B116" s="169" t="str">
        <f t="shared" si="0"/>
        <v>1-108</v>
      </c>
      <c r="C116" s="100" t="s">
        <v>83</v>
      </c>
      <c r="D116" s="100" t="s">
        <v>455</v>
      </c>
      <c r="E116" s="100" t="s">
        <v>116</v>
      </c>
      <c r="F116" s="262" t="s">
        <v>350</v>
      </c>
      <c r="G116" s="263"/>
      <c r="H116" s="101"/>
      <c r="I116" s="20"/>
      <c r="J116" s="101"/>
      <c r="K116" s="101"/>
      <c r="L116" s="20"/>
      <c r="M116" s="101"/>
      <c r="N116" s="101"/>
      <c r="O116" s="20"/>
      <c r="P116" s="101"/>
      <c r="Q116" s="101"/>
      <c r="R116" s="101"/>
      <c r="S116" s="100"/>
      <c r="T116" s="102"/>
      <c r="U116" s="102"/>
      <c r="V116" s="155"/>
    </row>
    <row r="117" spans="2:24" ht="45" customHeight="1">
      <c r="B117" s="169" t="str">
        <f t="shared" si="0"/>
        <v>1-109</v>
      </c>
      <c r="C117" s="100" t="s">
        <v>83</v>
      </c>
      <c r="D117" s="100" t="s">
        <v>460</v>
      </c>
      <c r="E117" s="100" t="s">
        <v>116</v>
      </c>
      <c r="F117" s="262" t="s">
        <v>350</v>
      </c>
      <c r="G117" s="263"/>
      <c r="H117" s="101"/>
      <c r="I117" s="20"/>
      <c r="J117" s="101"/>
      <c r="K117" s="101"/>
      <c r="L117" s="20"/>
      <c r="M117" s="101"/>
      <c r="N117" s="101"/>
      <c r="O117" s="20"/>
      <c r="P117" s="101"/>
      <c r="Q117" s="101"/>
      <c r="R117" s="101"/>
      <c r="S117" s="100"/>
      <c r="T117" s="102"/>
      <c r="U117" s="102"/>
      <c r="V117" s="155"/>
    </row>
    <row r="118" spans="2:24" ht="45" customHeight="1">
      <c r="B118" s="169" t="str">
        <f t="shared" si="0"/>
        <v>1-110</v>
      </c>
      <c r="C118" s="100" t="s">
        <v>83</v>
      </c>
      <c r="D118" s="100" t="s">
        <v>309</v>
      </c>
      <c r="E118" s="100" t="s">
        <v>308</v>
      </c>
      <c r="F118" s="262" t="s">
        <v>221</v>
      </c>
      <c r="G118" s="263"/>
      <c r="H118" s="101"/>
      <c r="I118" s="101"/>
      <c r="J118" s="101"/>
      <c r="K118" s="101"/>
      <c r="L118" s="101"/>
      <c r="M118" s="101"/>
      <c r="N118" s="101"/>
      <c r="O118" s="101"/>
      <c r="P118" s="101"/>
      <c r="Q118" s="101"/>
      <c r="R118" s="182"/>
      <c r="S118" s="100"/>
      <c r="T118" s="102"/>
      <c r="U118" s="102"/>
      <c r="V118" s="135"/>
    </row>
    <row r="119" spans="2:24" ht="45" customHeight="1">
      <c r="B119" s="169" t="str">
        <f t="shared" si="0"/>
        <v>1-111</v>
      </c>
      <c r="C119" s="100" t="s">
        <v>83</v>
      </c>
      <c r="D119" s="100" t="s">
        <v>310</v>
      </c>
      <c r="E119" s="100" t="s">
        <v>308</v>
      </c>
      <c r="F119" s="258" t="s">
        <v>248</v>
      </c>
      <c r="G119" s="259"/>
      <c r="H119" s="101"/>
      <c r="I119" s="20"/>
      <c r="J119" s="101"/>
      <c r="K119" s="101"/>
      <c r="L119" s="20"/>
      <c r="M119" s="101"/>
      <c r="N119" s="101"/>
      <c r="O119" s="20"/>
      <c r="P119" s="101"/>
      <c r="Q119" s="182"/>
      <c r="R119" s="101"/>
      <c r="S119" s="100"/>
      <c r="T119" s="102"/>
      <c r="U119" s="102"/>
      <c r="V119" s="135"/>
    </row>
    <row r="120" spans="2:24" ht="45" customHeight="1">
      <c r="B120" s="169" t="str">
        <f t="shared" si="0"/>
        <v>1-112</v>
      </c>
      <c r="C120" s="100" t="s">
        <v>83</v>
      </c>
      <c r="D120" s="42" t="s">
        <v>473</v>
      </c>
      <c r="E120" s="100" t="s">
        <v>307</v>
      </c>
      <c r="F120" s="260" t="s">
        <v>189</v>
      </c>
      <c r="G120" s="261"/>
      <c r="H120" s="203"/>
      <c r="I120" s="204"/>
      <c r="J120" s="203"/>
      <c r="K120" s="203"/>
      <c r="L120" s="204"/>
      <c r="M120" s="203"/>
      <c r="N120" s="203"/>
      <c r="O120" s="204"/>
      <c r="P120" s="203"/>
      <c r="Q120" s="101"/>
      <c r="R120" s="101"/>
      <c r="S120" s="100"/>
      <c r="T120" s="102"/>
      <c r="U120" s="102"/>
      <c r="V120" s="155"/>
    </row>
    <row r="121" spans="2:24" ht="45" customHeight="1">
      <c r="B121" s="169" t="str">
        <f t="shared" si="0"/>
        <v>1-113</v>
      </c>
      <c r="C121" s="100" t="s">
        <v>83</v>
      </c>
      <c r="D121" s="100" t="s">
        <v>83</v>
      </c>
      <c r="E121" s="100" t="s">
        <v>483</v>
      </c>
      <c r="F121" s="262" t="s">
        <v>486</v>
      </c>
      <c r="G121" s="263"/>
      <c r="H121" s="203"/>
      <c r="I121" s="204"/>
      <c r="J121" s="203"/>
      <c r="K121" s="203"/>
      <c r="L121" s="204"/>
      <c r="M121" s="203"/>
      <c r="N121" s="203"/>
      <c r="O121" s="204"/>
      <c r="P121" s="203"/>
      <c r="Q121" s="101"/>
      <c r="R121" s="101"/>
      <c r="S121" s="100"/>
      <c r="T121" s="102"/>
      <c r="U121" s="102"/>
      <c r="V121" s="155"/>
    </row>
    <row r="122" spans="2:24" ht="45" customHeight="1">
      <c r="B122" s="169" t="str">
        <f t="shared" si="0"/>
        <v>1-114</v>
      </c>
      <c r="C122" s="100" t="s">
        <v>83</v>
      </c>
      <c r="D122" s="100" t="s">
        <v>474</v>
      </c>
      <c r="E122" s="100" t="s">
        <v>307</v>
      </c>
      <c r="F122" s="260" t="s">
        <v>189</v>
      </c>
      <c r="G122" s="261"/>
      <c r="H122" s="101"/>
      <c r="I122" s="101"/>
      <c r="J122" s="101"/>
      <c r="K122" s="101"/>
      <c r="L122" s="101"/>
      <c r="M122" s="101"/>
      <c r="N122" s="101"/>
      <c r="O122" s="101"/>
      <c r="P122" s="101"/>
      <c r="Q122" s="101"/>
      <c r="R122" s="182"/>
      <c r="S122" s="100"/>
      <c r="T122" s="102"/>
      <c r="U122" s="102"/>
      <c r="V122" s="155"/>
    </row>
    <row r="123" spans="2:24" ht="45" customHeight="1">
      <c r="B123" s="169" t="str">
        <f t="shared" si="0"/>
        <v>1-115</v>
      </c>
      <c r="C123" s="100" t="s">
        <v>83</v>
      </c>
      <c r="D123" s="100" t="s">
        <v>83</v>
      </c>
      <c r="E123" s="100" t="s">
        <v>483</v>
      </c>
      <c r="F123" s="262" t="s">
        <v>486</v>
      </c>
      <c r="G123" s="263"/>
      <c r="H123" s="101"/>
      <c r="I123" s="101"/>
      <c r="J123" s="101"/>
      <c r="K123" s="101"/>
      <c r="L123" s="101"/>
      <c r="M123" s="101"/>
      <c r="N123" s="101"/>
      <c r="O123" s="101"/>
      <c r="P123" s="101"/>
      <c r="Q123" s="101"/>
      <c r="R123" s="182"/>
      <c r="S123" s="100"/>
      <c r="T123" s="102"/>
      <c r="U123" s="102"/>
      <c r="V123" s="155"/>
    </row>
    <row r="124" spans="2:24" ht="45" customHeight="1">
      <c r="B124" s="169" t="str">
        <f t="shared" si="0"/>
        <v>1-116</v>
      </c>
      <c r="C124" s="100" t="s">
        <v>83</v>
      </c>
      <c r="D124" s="100" t="s">
        <v>476</v>
      </c>
      <c r="E124" s="100" t="s">
        <v>307</v>
      </c>
      <c r="F124" s="260" t="s">
        <v>189</v>
      </c>
      <c r="G124" s="261"/>
      <c r="H124" s="203"/>
      <c r="I124" s="204"/>
      <c r="J124" s="203"/>
      <c r="K124" s="203"/>
      <c r="L124" s="204"/>
      <c r="M124" s="203"/>
      <c r="N124" s="203"/>
      <c r="O124" s="204"/>
      <c r="P124" s="203"/>
      <c r="Q124" s="101"/>
      <c r="R124" s="101"/>
      <c r="S124" s="100"/>
      <c r="T124" s="102"/>
      <c r="U124" s="102"/>
      <c r="V124" s="155"/>
    </row>
    <row r="125" spans="2:24" ht="45" customHeight="1">
      <c r="B125" s="169" t="str">
        <f t="shared" si="0"/>
        <v>1-117</v>
      </c>
      <c r="C125" s="100" t="s">
        <v>83</v>
      </c>
      <c r="D125" s="100" t="s">
        <v>83</v>
      </c>
      <c r="E125" s="100" t="s">
        <v>483</v>
      </c>
      <c r="F125" s="262" t="s">
        <v>947</v>
      </c>
      <c r="G125" s="263"/>
      <c r="H125" s="203"/>
      <c r="I125" s="204"/>
      <c r="J125" s="203"/>
      <c r="K125" s="203"/>
      <c r="L125" s="204"/>
      <c r="M125" s="203"/>
      <c r="N125" s="203"/>
      <c r="O125" s="204"/>
      <c r="P125" s="203"/>
      <c r="Q125" s="101"/>
      <c r="R125" s="101"/>
      <c r="S125" s="100"/>
      <c r="T125" s="102"/>
      <c r="U125" s="102"/>
      <c r="V125" s="155"/>
    </row>
    <row r="126" spans="2:24" ht="45" customHeight="1">
      <c r="B126" s="169" t="str">
        <f t="shared" ref="B126:B160" si="4">"1-"&amp;ROW()-8</f>
        <v>1-118</v>
      </c>
      <c r="C126" s="100" t="s">
        <v>83</v>
      </c>
      <c r="D126" s="100" t="s">
        <v>485</v>
      </c>
      <c r="E126" s="100" t="s">
        <v>478</v>
      </c>
      <c r="F126" s="258" t="s">
        <v>190</v>
      </c>
      <c r="G126" s="259"/>
      <c r="H126" s="161"/>
      <c r="I126" s="162"/>
      <c r="J126" s="161"/>
      <c r="K126" s="101"/>
      <c r="L126" s="20"/>
      <c r="M126" s="101"/>
      <c r="N126" s="161"/>
      <c r="O126" s="162"/>
      <c r="P126" s="161"/>
      <c r="Q126" s="101"/>
      <c r="R126" s="101"/>
      <c r="S126" s="100"/>
      <c r="T126" s="102"/>
      <c r="U126" s="102"/>
      <c r="V126" s="131"/>
    </row>
    <row r="127" spans="2:24" ht="45" customHeight="1">
      <c r="B127" s="169" t="str">
        <f t="shared" si="4"/>
        <v>1-119</v>
      </c>
      <c r="C127" s="100" t="s">
        <v>83</v>
      </c>
      <c r="D127" s="100" t="s">
        <v>454</v>
      </c>
      <c r="E127" s="100" t="s">
        <v>116</v>
      </c>
      <c r="F127" s="262" t="s">
        <v>350</v>
      </c>
      <c r="G127" s="263"/>
      <c r="H127" s="203"/>
      <c r="I127" s="204"/>
      <c r="J127" s="203"/>
      <c r="K127" s="203"/>
      <c r="L127" s="204"/>
      <c r="M127" s="203"/>
      <c r="N127" s="203"/>
      <c r="O127" s="204"/>
      <c r="P127" s="203"/>
      <c r="Q127" s="101"/>
      <c r="R127" s="101"/>
      <c r="S127" s="100"/>
      <c r="T127" s="102"/>
      <c r="U127" s="102"/>
      <c r="V127" s="131"/>
    </row>
    <row r="128" spans="2:24" ht="45" customHeight="1">
      <c r="B128" s="169" t="str">
        <f t="shared" si="4"/>
        <v>1-120</v>
      </c>
      <c r="C128" s="100" t="s">
        <v>83</v>
      </c>
      <c r="D128" s="100" t="s">
        <v>459</v>
      </c>
      <c r="E128" s="100" t="s">
        <v>116</v>
      </c>
      <c r="F128" s="262" t="s">
        <v>350</v>
      </c>
      <c r="G128" s="263"/>
      <c r="H128" s="203"/>
      <c r="I128" s="204"/>
      <c r="J128" s="203"/>
      <c r="K128" s="203"/>
      <c r="L128" s="204"/>
      <c r="M128" s="203"/>
      <c r="N128" s="203"/>
      <c r="O128" s="204"/>
      <c r="P128" s="203"/>
      <c r="Q128" s="101"/>
      <c r="R128" s="101"/>
      <c r="S128" s="100"/>
      <c r="T128" s="102"/>
      <c r="U128" s="102"/>
      <c r="V128" s="131"/>
    </row>
    <row r="129" spans="2:23" ht="45" customHeight="1">
      <c r="B129" s="169" t="str">
        <f t="shared" si="4"/>
        <v>1-121</v>
      </c>
      <c r="C129" s="100" t="s">
        <v>83</v>
      </c>
      <c r="D129" s="100" t="s">
        <v>463</v>
      </c>
      <c r="E129" s="100" t="s">
        <v>479</v>
      </c>
      <c r="F129" s="262" t="s">
        <v>192</v>
      </c>
      <c r="G129" s="263"/>
      <c r="H129" s="101"/>
      <c r="I129" s="20"/>
      <c r="J129" s="101"/>
      <c r="K129" s="101"/>
      <c r="L129" s="20"/>
      <c r="M129" s="101"/>
      <c r="N129" s="101"/>
      <c r="O129" s="20"/>
      <c r="P129" s="101"/>
      <c r="Q129" s="101"/>
      <c r="R129" s="101"/>
      <c r="S129" s="136"/>
      <c r="T129" s="102"/>
      <c r="U129" s="102"/>
      <c r="V129" s="131"/>
    </row>
    <row r="130" spans="2:23" ht="35.450000000000003" customHeight="1">
      <c r="B130" s="169" t="str">
        <f t="shared" si="4"/>
        <v>1-122</v>
      </c>
      <c r="C130" s="100" t="s">
        <v>83</v>
      </c>
      <c r="D130" s="100" t="s">
        <v>480</v>
      </c>
      <c r="E130" s="100" t="s">
        <v>211</v>
      </c>
      <c r="F130" s="262" t="s">
        <v>212</v>
      </c>
      <c r="G130" s="263"/>
      <c r="H130" s="101"/>
      <c r="I130" s="20"/>
      <c r="J130" s="101"/>
      <c r="K130" s="101"/>
      <c r="L130" s="20"/>
      <c r="M130" s="101"/>
      <c r="N130" s="101"/>
      <c r="O130" s="20"/>
      <c r="P130" s="101"/>
      <c r="Q130" s="182"/>
      <c r="R130" s="101"/>
      <c r="S130" s="100"/>
      <c r="T130" s="102"/>
      <c r="U130" s="102"/>
    </row>
    <row r="131" spans="2:23" ht="35.450000000000003" customHeight="1">
      <c r="B131" s="169" t="str">
        <f t="shared" si="4"/>
        <v>1-123</v>
      </c>
      <c r="C131" s="100" t="s">
        <v>83</v>
      </c>
      <c r="D131" s="42" t="s">
        <v>481</v>
      </c>
      <c r="E131" s="100" t="s">
        <v>219</v>
      </c>
      <c r="F131" s="262" t="s">
        <v>217</v>
      </c>
      <c r="G131" s="263"/>
      <c r="H131" s="101"/>
      <c r="I131" s="20"/>
      <c r="J131" s="101"/>
      <c r="K131" s="101"/>
      <c r="L131" s="20"/>
      <c r="M131" s="101"/>
      <c r="N131" s="101"/>
      <c r="O131" s="20"/>
      <c r="P131" s="101"/>
      <c r="Q131" s="182"/>
      <c r="R131" s="101"/>
      <c r="S131" s="100"/>
      <c r="T131" s="102"/>
      <c r="U131" s="102"/>
    </row>
    <row r="132" spans="2:23" ht="35.450000000000003" customHeight="1">
      <c r="B132" s="169" t="str">
        <f t="shared" si="4"/>
        <v>1-124</v>
      </c>
      <c r="C132" s="100" t="s">
        <v>83</v>
      </c>
      <c r="D132" s="100" t="s">
        <v>83</v>
      </c>
      <c r="E132" s="100" t="s">
        <v>216</v>
      </c>
      <c r="F132" s="262" t="s">
        <v>220</v>
      </c>
      <c r="G132" s="263"/>
      <c r="H132" s="101"/>
      <c r="I132" s="20"/>
      <c r="J132" s="101"/>
      <c r="K132" s="101"/>
      <c r="L132" s="20"/>
      <c r="M132" s="101"/>
      <c r="N132" s="101"/>
      <c r="O132" s="20"/>
      <c r="P132" s="101"/>
      <c r="Q132" s="182"/>
      <c r="R132" s="101"/>
      <c r="S132" s="100"/>
      <c r="T132" s="102"/>
      <c r="U132" s="102"/>
    </row>
    <row r="133" spans="2:23" ht="35.450000000000003" customHeight="1">
      <c r="B133" s="169" t="str">
        <f t="shared" si="4"/>
        <v>1-125</v>
      </c>
      <c r="C133" s="100" t="s">
        <v>83</v>
      </c>
      <c r="D133" s="100" t="s">
        <v>83</v>
      </c>
      <c r="E133" s="100" t="s">
        <v>83</v>
      </c>
      <c r="F133" s="262" t="s">
        <v>221</v>
      </c>
      <c r="G133" s="263"/>
      <c r="H133" s="101"/>
      <c r="I133" s="20"/>
      <c r="J133" s="101"/>
      <c r="K133" s="101"/>
      <c r="L133" s="20"/>
      <c r="M133" s="101"/>
      <c r="N133" s="101"/>
      <c r="O133" s="20"/>
      <c r="P133" s="101"/>
      <c r="Q133" s="182"/>
      <c r="R133" s="101"/>
      <c r="S133" s="100"/>
      <c r="T133" s="102"/>
      <c r="U133" s="102"/>
    </row>
    <row r="134" spans="2:23" ht="45" customHeight="1">
      <c r="B134" s="169" t="str">
        <f t="shared" si="4"/>
        <v>1-126</v>
      </c>
      <c r="C134" s="100" t="s">
        <v>83</v>
      </c>
      <c r="D134" s="42" t="s">
        <v>482</v>
      </c>
      <c r="E134" s="100" t="s">
        <v>307</v>
      </c>
      <c r="F134" s="260" t="s">
        <v>189</v>
      </c>
      <c r="G134" s="261"/>
      <c r="H134" s="101"/>
      <c r="I134" s="20"/>
      <c r="J134" s="101"/>
      <c r="K134" s="101"/>
      <c r="L134" s="20"/>
      <c r="M134" s="101"/>
      <c r="N134" s="101"/>
      <c r="O134" s="20"/>
      <c r="P134" s="101"/>
      <c r="Q134" s="101"/>
      <c r="R134" s="101"/>
      <c r="S134" s="100"/>
      <c r="T134" s="102"/>
      <c r="U134" s="102"/>
      <c r="V134" s="155"/>
    </row>
    <row r="135" spans="2:23" ht="45" customHeight="1">
      <c r="B135" s="169" t="str">
        <f t="shared" si="4"/>
        <v>1-127</v>
      </c>
      <c r="C135" s="100" t="s">
        <v>83</v>
      </c>
      <c r="D135" s="100" t="s">
        <v>83</v>
      </c>
      <c r="E135" s="100" t="s">
        <v>483</v>
      </c>
      <c r="F135" s="262" t="s">
        <v>486</v>
      </c>
      <c r="G135" s="263"/>
      <c r="H135" s="101"/>
      <c r="I135" s="20"/>
      <c r="J135" s="101"/>
      <c r="K135" s="101"/>
      <c r="L135" s="20"/>
      <c r="M135" s="101"/>
      <c r="N135" s="101"/>
      <c r="O135" s="20"/>
      <c r="P135" s="101"/>
      <c r="Q135" s="101"/>
      <c r="R135" s="101"/>
      <c r="S135" s="100"/>
      <c r="T135" s="102"/>
      <c r="U135" s="102"/>
      <c r="V135" s="155"/>
    </row>
    <row r="136" spans="2:23" ht="45" customHeight="1">
      <c r="B136" s="200" t="str">
        <f t="shared" si="4"/>
        <v>1-128</v>
      </c>
      <c r="C136" s="201" t="s">
        <v>83</v>
      </c>
      <c r="D136" s="201" t="s">
        <v>474</v>
      </c>
      <c r="E136" s="201" t="s">
        <v>307</v>
      </c>
      <c r="F136" s="277" t="s">
        <v>189</v>
      </c>
      <c r="G136" s="278"/>
      <c r="H136" s="161"/>
      <c r="I136" s="161"/>
      <c r="J136" s="161"/>
      <c r="K136" s="161"/>
      <c r="L136" s="161"/>
      <c r="M136" s="161"/>
      <c r="N136" s="161"/>
      <c r="O136" s="161"/>
      <c r="P136" s="161"/>
      <c r="Q136" s="161"/>
      <c r="R136" s="206"/>
      <c r="S136" s="201"/>
      <c r="T136" s="202"/>
      <c r="U136" s="202"/>
      <c r="V136" s="155"/>
    </row>
    <row r="137" spans="2:23" ht="45" customHeight="1">
      <c r="B137" s="200" t="str">
        <f t="shared" si="4"/>
        <v>1-129</v>
      </c>
      <c r="C137" s="201" t="s">
        <v>83</v>
      </c>
      <c r="D137" s="201" t="s">
        <v>83</v>
      </c>
      <c r="E137" s="201" t="s">
        <v>483</v>
      </c>
      <c r="F137" s="275" t="s">
        <v>486</v>
      </c>
      <c r="G137" s="276"/>
      <c r="H137" s="161"/>
      <c r="I137" s="161"/>
      <c r="J137" s="161"/>
      <c r="K137" s="161"/>
      <c r="L137" s="161"/>
      <c r="M137" s="161"/>
      <c r="N137" s="161"/>
      <c r="O137" s="161"/>
      <c r="P137" s="161"/>
      <c r="Q137" s="161"/>
      <c r="R137" s="206"/>
      <c r="S137" s="201"/>
      <c r="T137" s="202"/>
      <c r="U137" s="202"/>
      <c r="V137" s="155"/>
    </row>
    <row r="138" spans="2:23" ht="45" customHeight="1">
      <c r="B138" s="169" t="str">
        <f t="shared" si="4"/>
        <v>1-130</v>
      </c>
      <c r="C138" s="100" t="s">
        <v>83</v>
      </c>
      <c r="D138" s="100" t="s">
        <v>475</v>
      </c>
      <c r="E138" s="100" t="s">
        <v>307</v>
      </c>
      <c r="F138" s="260" t="s">
        <v>189</v>
      </c>
      <c r="G138" s="261"/>
      <c r="H138" s="101"/>
      <c r="I138" s="20"/>
      <c r="J138" s="101"/>
      <c r="K138" s="101"/>
      <c r="L138" s="20"/>
      <c r="M138" s="101"/>
      <c r="N138" s="101"/>
      <c r="O138" s="20"/>
      <c r="P138" s="101"/>
      <c r="Q138" s="101"/>
      <c r="R138" s="101"/>
      <c r="S138" s="100"/>
      <c r="T138" s="102"/>
      <c r="U138" s="102"/>
      <c r="V138" s="155"/>
    </row>
    <row r="139" spans="2:23" ht="45" customHeight="1">
      <c r="B139" s="169" t="str">
        <f t="shared" si="4"/>
        <v>1-131</v>
      </c>
      <c r="C139" s="100" t="s">
        <v>83</v>
      </c>
      <c r="D139" s="100" t="s">
        <v>83</v>
      </c>
      <c r="E139" s="100" t="s">
        <v>483</v>
      </c>
      <c r="F139" s="262" t="s">
        <v>486</v>
      </c>
      <c r="G139" s="263"/>
      <c r="H139" s="101"/>
      <c r="I139" s="20"/>
      <c r="J139" s="101"/>
      <c r="K139" s="101"/>
      <c r="L139" s="20"/>
      <c r="M139" s="101"/>
      <c r="N139" s="101"/>
      <c r="O139" s="20"/>
      <c r="P139" s="101"/>
      <c r="Q139" s="101"/>
      <c r="R139" s="101"/>
      <c r="S139" s="100"/>
      <c r="T139" s="102"/>
      <c r="U139" s="102"/>
      <c r="V139" s="155"/>
    </row>
    <row r="140" spans="2:23" ht="39" customHeight="1">
      <c r="B140" s="169" t="str">
        <f t="shared" si="4"/>
        <v>1-132</v>
      </c>
      <c r="C140" s="100" t="s">
        <v>559</v>
      </c>
      <c r="D140" s="100" t="s">
        <v>553</v>
      </c>
      <c r="E140" s="100" t="s">
        <v>223</v>
      </c>
      <c r="F140" s="262" t="s">
        <v>222</v>
      </c>
      <c r="G140" s="263"/>
      <c r="H140" s="101"/>
      <c r="I140" s="20"/>
      <c r="J140" s="101"/>
      <c r="K140" s="101"/>
      <c r="L140" s="20"/>
      <c r="M140" s="101"/>
      <c r="N140" s="101"/>
      <c r="O140" s="20"/>
      <c r="P140" s="101"/>
      <c r="Q140" s="182"/>
      <c r="R140" s="101"/>
      <c r="S140" s="101"/>
      <c r="T140" s="100"/>
      <c r="U140" s="102"/>
      <c r="V140" s="102"/>
      <c r="W140" s="135"/>
    </row>
    <row r="141" spans="2:23" ht="45" customHeight="1">
      <c r="B141" s="169" t="str">
        <f t="shared" si="4"/>
        <v>1-133</v>
      </c>
      <c r="C141" s="100" t="s">
        <v>83</v>
      </c>
      <c r="D141" s="100" t="s">
        <v>83</v>
      </c>
      <c r="E141" s="100" t="s">
        <v>154</v>
      </c>
      <c r="F141" s="262" t="s">
        <v>248</v>
      </c>
      <c r="G141" s="263"/>
      <c r="H141" s="101"/>
      <c r="I141" s="20"/>
      <c r="J141" s="101"/>
      <c r="K141" s="101"/>
      <c r="L141" s="20"/>
      <c r="M141" s="101"/>
      <c r="N141" s="101"/>
      <c r="O141" s="20"/>
      <c r="P141" s="101"/>
      <c r="Q141" s="182"/>
      <c r="R141" s="101"/>
      <c r="S141" s="100"/>
      <c r="T141" s="102"/>
      <c r="U141" s="102"/>
      <c r="V141" s="135"/>
    </row>
    <row r="142" spans="2:23" ht="39" customHeight="1">
      <c r="B142" s="169" t="str">
        <f t="shared" si="4"/>
        <v>1-134</v>
      </c>
      <c r="C142" s="100" t="s">
        <v>560</v>
      </c>
      <c r="D142" s="100" t="s">
        <v>553</v>
      </c>
      <c r="E142" s="100" t="s">
        <v>224</v>
      </c>
      <c r="F142" s="262" t="s">
        <v>225</v>
      </c>
      <c r="G142" s="263"/>
      <c r="H142" s="101"/>
      <c r="I142" s="20"/>
      <c r="J142" s="101"/>
      <c r="K142" s="101"/>
      <c r="L142" s="20"/>
      <c r="M142" s="101"/>
      <c r="N142" s="101"/>
      <c r="O142" s="20"/>
      <c r="P142" s="101"/>
      <c r="Q142" s="182"/>
      <c r="R142" s="101"/>
      <c r="S142" s="101"/>
      <c r="T142" s="100"/>
      <c r="U142" s="102"/>
      <c r="V142" s="102"/>
      <c r="W142" s="135"/>
    </row>
    <row r="143" spans="2:23" ht="45" customHeight="1">
      <c r="B143" s="169" t="str">
        <f t="shared" si="4"/>
        <v>1-135</v>
      </c>
      <c r="C143" s="100" t="s">
        <v>83</v>
      </c>
      <c r="D143" s="100" t="s">
        <v>83</v>
      </c>
      <c r="E143" s="100" t="s">
        <v>311</v>
      </c>
      <c r="F143" s="262" t="s">
        <v>248</v>
      </c>
      <c r="G143" s="263"/>
      <c r="H143" s="101"/>
      <c r="I143" s="20"/>
      <c r="J143" s="101"/>
      <c r="K143" s="101"/>
      <c r="L143" s="20"/>
      <c r="M143" s="101"/>
      <c r="N143" s="101"/>
      <c r="O143" s="20"/>
      <c r="P143" s="101"/>
      <c r="Q143" s="182"/>
      <c r="R143" s="101"/>
      <c r="S143" s="100"/>
      <c r="T143" s="102"/>
      <c r="U143" s="102"/>
      <c r="V143" s="155"/>
    </row>
    <row r="144" spans="2:23" ht="45" customHeight="1">
      <c r="B144" s="169" t="str">
        <f t="shared" si="4"/>
        <v>1-136</v>
      </c>
      <c r="C144" s="100" t="s">
        <v>561</v>
      </c>
      <c r="D144" s="100" t="s">
        <v>553</v>
      </c>
      <c r="E144" s="100" t="s">
        <v>226</v>
      </c>
      <c r="F144" s="262" t="s">
        <v>227</v>
      </c>
      <c r="G144" s="263"/>
      <c r="H144" s="101"/>
      <c r="I144" s="20"/>
      <c r="J144" s="101"/>
      <c r="K144" s="101"/>
      <c r="L144" s="20"/>
      <c r="M144" s="101"/>
      <c r="N144" s="101"/>
      <c r="O144" s="20"/>
      <c r="P144" s="101"/>
      <c r="Q144" s="182"/>
      <c r="R144" s="101"/>
      <c r="S144" s="100"/>
      <c r="T144" s="102"/>
      <c r="U144" s="102"/>
      <c r="V144" s="135"/>
    </row>
    <row r="145" spans="2:24" ht="45" customHeight="1">
      <c r="B145" s="169" t="str">
        <f t="shared" si="4"/>
        <v>1-137</v>
      </c>
      <c r="C145" s="100" t="s">
        <v>83</v>
      </c>
      <c r="D145" s="100" t="s">
        <v>83</v>
      </c>
      <c r="E145" s="100" t="s">
        <v>156</v>
      </c>
      <c r="F145" s="262" t="s">
        <v>248</v>
      </c>
      <c r="G145" s="263"/>
      <c r="H145" s="101"/>
      <c r="I145" s="20"/>
      <c r="J145" s="101"/>
      <c r="K145" s="101"/>
      <c r="L145" s="20"/>
      <c r="M145" s="101"/>
      <c r="N145" s="101"/>
      <c r="O145" s="20"/>
      <c r="P145" s="101"/>
      <c r="Q145" s="182"/>
      <c r="R145" s="101"/>
      <c r="S145" s="100"/>
      <c r="T145" s="102"/>
      <c r="U145" s="102"/>
      <c r="V145" s="135"/>
    </row>
    <row r="146" spans="2:24" ht="45" customHeight="1">
      <c r="B146" s="169" t="str">
        <f t="shared" si="4"/>
        <v>1-138</v>
      </c>
      <c r="C146" s="100" t="s">
        <v>83</v>
      </c>
      <c r="D146" s="100" t="s">
        <v>554</v>
      </c>
      <c r="E146" s="100" t="s">
        <v>228</v>
      </c>
      <c r="F146" s="262" t="s">
        <v>230</v>
      </c>
      <c r="G146" s="263"/>
      <c r="H146" s="101"/>
      <c r="I146" s="20"/>
      <c r="J146" s="101"/>
      <c r="K146" s="101"/>
      <c r="L146" s="20"/>
      <c r="M146" s="101"/>
      <c r="N146" s="101"/>
      <c r="O146" s="20"/>
      <c r="P146" s="101"/>
      <c r="Q146" s="101"/>
      <c r="R146" s="101"/>
      <c r="S146" s="100"/>
      <c r="T146" s="102"/>
      <c r="U146" s="102"/>
      <c r="V146" s="135"/>
    </row>
    <row r="147" spans="2:24" ht="35.450000000000003" customHeight="1">
      <c r="B147" s="169" t="str">
        <f t="shared" si="4"/>
        <v>1-139</v>
      </c>
      <c r="C147" s="100" t="s">
        <v>83</v>
      </c>
      <c r="D147" s="100" t="s">
        <v>555</v>
      </c>
      <c r="E147" s="100" t="s">
        <v>156</v>
      </c>
      <c r="F147" s="262" t="s">
        <v>212</v>
      </c>
      <c r="G147" s="263"/>
      <c r="H147" s="101"/>
      <c r="I147" s="20"/>
      <c r="J147" s="101"/>
      <c r="K147" s="101"/>
      <c r="L147" s="20"/>
      <c r="M147" s="101"/>
      <c r="N147" s="101"/>
      <c r="O147" s="20"/>
      <c r="P147" s="101"/>
      <c r="Q147" s="182"/>
      <c r="R147" s="101"/>
      <c r="S147" s="100"/>
      <c r="T147" s="102"/>
      <c r="U147" s="102"/>
    </row>
    <row r="148" spans="2:24" ht="35.450000000000003" customHeight="1">
      <c r="B148" s="169" t="str">
        <f t="shared" si="4"/>
        <v>1-140</v>
      </c>
      <c r="C148" s="100" t="s">
        <v>83</v>
      </c>
      <c r="D148" s="42" t="s">
        <v>556</v>
      </c>
      <c r="E148" s="100" t="s">
        <v>229</v>
      </c>
      <c r="F148" s="262" t="s">
        <v>103</v>
      </c>
      <c r="G148" s="263"/>
      <c r="H148" s="101"/>
      <c r="I148" s="20"/>
      <c r="J148" s="101"/>
      <c r="K148" s="101"/>
      <c r="L148" s="20"/>
      <c r="M148" s="101"/>
      <c r="N148" s="101"/>
      <c r="O148" s="20"/>
      <c r="P148" s="101"/>
      <c r="Q148" s="182"/>
      <c r="R148" s="101"/>
      <c r="S148" s="100"/>
      <c r="T148" s="102"/>
      <c r="U148" s="102"/>
    </row>
    <row r="149" spans="2:24" ht="35.450000000000003" customHeight="1">
      <c r="B149" s="169" t="str">
        <f t="shared" si="4"/>
        <v>1-141</v>
      </c>
      <c r="C149" s="100" t="s">
        <v>83</v>
      </c>
      <c r="D149" s="100" t="s">
        <v>83</v>
      </c>
      <c r="E149" s="100" t="s">
        <v>226</v>
      </c>
      <c r="F149" s="262" t="s">
        <v>105</v>
      </c>
      <c r="G149" s="263"/>
      <c r="H149" s="101"/>
      <c r="I149" s="20"/>
      <c r="J149" s="101"/>
      <c r="K149" s="101"/>
      <c r="L149" s="20"/>
      <c r="M149" s="101"/>
      <c r="N149" s="101"/>
      <c r="O149" s="20"/>
      <c r="P149" s="101"/>
      <c r="Q149" s="182"/>
      <c r="R149" s="101"/>
      <c r="S149" s="100"/>
      <c r="T149" s="102"/>
      <c r="U149" s="102"/>
    </row>
    <row r="150" spans="2:24" ht="35.450000000000003" customHeight="1">
      <c r="B150" s="169" t="str">
        <f t="shared" si="4"/>
        <v>1-142</v>
      </c>
      <c r="C150" s="100" t="s">
        <v>83</v>
      </c>
      <c r="D150" s="100" t="s">
        <v>83</v>
      </c>
      <c r="E150" s="100" t="s">
        <v>83</v>
      </c>
      <c r="F150" s="262" t="s">
        <v>227</v>
      </c>
      <c r="G150" s="263"/>
      <c r="H150" s="101"/>
      <c r="I150" s="20"/>
      <c r="J150" s="101"/>
      <c r="K150" s="101"/>
      <c r="L150" s="20"/>
      <c r="M150" s="101"/>
      <c r="N150" s="101"/>
      <c r="O150" s="20"/>
      <c r="P150" s="101"/>
      <c r="Q150" s="182"/>
      <c r="R150" s="101"/>
      <c r="S150" s="100"/>
      <c r="T150" s="102"/>
      <c r="U150" s="102"/>
    </row>
    <row r="151" spans="2:24" ht="45" customHeight="1">
      <c r="B151" s="169" t="str">
        <f t="shared" si="4"/>
        <v>1-143</v>
      </c>
      <c r="C151" s="100" t="s">
        <v>562</v>
      </c>
      <c r="D151" s="100" t="s">
        <v>553</v>
      </c>
      <c r="E151" s="100" t="s">
        <v>156</v>
      </c>
      <c r="F151" s="262" t="s">
        <v>247</v>
      </c>
      <c r="G151" s="263"/>
      <c r="H151" s="101"/>
      <c r="I151" s="20"/>
      <c r="J151" s="101"/>
      <c r="K151" s="101"/>
      <c r="L151" s="20"/>
      <c r="M151" s="101"/>
      <c r="N151" s="101"/>
      <c r="O151" s="20"/>
      <c r="P151" s="101"/>
      <c r="Q151" s="182"/>
      <c r="R151" s="101"/>
      <c r="S151" s="100"/>
      <c r="T151" s="102"/>
      <c r="U151" s="102"/>
      <c r="V151" s="135"/>
    </row>
    <row r="152" spans="2:24" ht="39" customHeight="1">
      <c r="B152" s="169" t="str">
        <f t="shared" si="4"/>
        <v>1-144</v>
      </c>
      <c r="C152" s="100" t="s">
        <v>83</v>
      </c>
      <c r="D152" s="100" t="s">
        <v>83</v>
      </c>
      <c r="E152" s="100" t="s">
        <v>157</v>
      </c>
      <c r="F152" s="262" t="s">
        <v>248</v>
      </c>
      <c r="G152" s="263"/>
      <c r="H152" s="101"/>
      <c r="I152" s="20"/>
      <c r="J152" s="101"/>
      <c r="K152" s="101"/>
      <c r="L152" s="20"/>
      <c r="M152" s="101"/>
      <c r="N152" s="101"/>
      <c r="O152" s="20"/>
      <c r="P152" s="101"/>
      <c r="Q152" s="182"/>
      <c r="R152" s="101"/>
      <c r="S152" s="101"/>
      <c r="T152" s="100"/>
      <c r="U152" s="102"/>
      <c r="V152" s="102"/>
      <c r="W152" s="135"/>
    </row>
    <row r="153" spans="2:24" ht="45" customHeight="1">
      <c r="B153" s="169" t="str">
        <f t="shared" si="4"/>
        <v>1-145</v>
      </c>
      <c r="C153" s="100" t="s">
        <v>563</v>
      </c>
      <c r="D153" s="100" t="s">
        <v>553</v>
      </c>
      <c r="E153" s="100" t="s">
        <v>158</v>
      </c>
      <c r="F153" s="262" t="s">
        <v>248</v>
      </c>
      <c r="G153" s="263"/>
      <c r="H153" s="101"/>
      <c r="I153" s="20"/>
      <c r="J153" s="101"/>
      <c r="K153" s="101"/>
      <c r="L153" s="20"/>
      <c r="M153" s="101"/>
      <c r="N153" s="101"/>
      <c r="O153" s="20"/>
      <c r="P153" s="101"/>
      <c r="Q153" s="182"/>
      <c r="R153" s="101"/>
      <c r="S153" s="100"/>
      <c r="T153" s="102"/>
      <c r="U153" s="102"/>
      <c r="V153" s="135"/>
    </row>
    <row r="154" spans="2:24" ht="39" customHeight="1">
      <c r="B154" s="169" t="str">
        <f t="shared" si="4"/>
        <v>1-146</v>
      </c>
      <c r="C154" s="100" t="s">
        <v>564</v>
      </c>
      <c r="D154" s="100" t="s">
        <v>553</v>
      </c>
      <c r="E154" s="100" t="s">
        <v>159</v>
      </c>
      <c r="F154" s="262" t="s">
        <v>248</v>
      </c>
      <c r="G154" s="263"/>
      <c r="H154" s="101"/>
      <c r="I154" s="20"/>
      <c r="J154" s="101"/>
      <c r="K154" s="101"/>
      <c r="L154" s="20"/>
      <c r="M154" s="101"/>
      <c r="N154" s="101"/>
      <c r="O154" s="20"/>
      <c r="P154" s="101"/>
      <c r="Q154" s="182"/>
      <c r="R154" s="101"/>
      <c r="S154" s="101"/>
      <c r="T154" s="100"/>
      <c r="U154" s="102"/>
      <c r="V154" s="135"/>
      <c r="W154" s="135"/>
    </row>
    <row r="155" spans="2:24" ht="39" customHeight="1">
      <c r="B155" s="169" t="str">
        <f t="shared" si="4"/>
        <v>1-147</v>
      </c>
      <c r="C155" s="100" t="s">
        <v>565</v>
      </c>
      <c r="D155" s="100" t="s">
        <v>553</v>
      </c>
      <c r="E155" s="100" t="s">
        <v>160</v>
      </c>
      <c r="F155" s="262" t="s">
        <v>248</v>
      </c>
      <c r="G155" s="263"/>
      <c r="H155" s="101"/>
      <c r="I155" s="20"/>
      <c r="J155" s="101"/>
      <c r="K155" s="101"/>
      <c r="L155" s="20"/>
      <c r="M155" s="101"/>
      <c r="N155" s="101"/>
      <c r="O155" s="20"/>
      <c r="P155" s="101"/>
      <c r="Q155" s="182"/>
      <c r="R155" s="101"/>
      <c r="S155" s="101"/>
      <c r="T155" s="100"/>
      <c r="U155" s="102"/>
      <c r="V155" s="135"/>
      <c r="W155" s="135"/>
    </row>
    <row r="156" spans="2:24" ht="39" customHeight="1">
      <c r="B156" s="169" t="str">
        <f t="shared" si="4"/>
        <v>1-148</v>
      </c>
      <c r="C156" s="100" t="s">
        <v>566</v>
      </c>
      <c r="D156" s="100" t="s">
        <v>553</v>
      </c>
      <c r="E156" s="100" t="s">
        <v>161</v>
      </c>
      <c r="F156" s="262" t="s">
        <v>248</v>
      </c>
      <c r="G156" s="263"/>
      <c r="H156" s="101"/>
      <c r="I156" s="20"/>
      <c r="J156" s="101"/>
      <c r="K156" s="101"/>
      <c r="L156" s="20"/>
      <c r="M156" s="101"/>
      <c r="N156" s="101"/>
      <c r="O156" s="20"/>
      <c r="P156" s="101"/>
      <c r="Q156" s="182"/>
      <c r="R156" s="101"/>
      <c r="S156" s="101"/>
      <c r="T156" s="100"/>
      <c r="U156" s="102"/>
      <c r="V156" s="135"/>
      <c r="W156" s="135"/>
    </row>
    <row r="157" spans="2:24" ht="39" customHeight="1">
      <c r="B157" s="169" t="str">
        <f t="shared" si="4"/>
        <v>1-149</v>
      </c>
      <c r="C157" s="100" t="s">
        <v>567</v>
      </c>
      <c r="D157" s="100" t="s">
        <v>553</v>
      </c>
      <c r="E157" s="100" t="s">
        <v>162</v>
      </c>
      <c r="F157" s="262" t="s">
        <v>248</v>
      </c>
      <c r="G157" s="263"/>
      <c r="H157" s="101"/>
      <c r="I157" s="20"/>
      <c r="J157" s="101"/>
      <c r="K157" s="101"/>
      <c r="L157" s="20"/>
      <c r="M157" s="101"/>
      <c r="N157" s="101"/>
      <c r="O157" s="20"/>
      <c r="P157" s="101"/>
      <c r="Q157" s="182"/>
      <c r="R157" s="101"/>
      <c r="S157" s="101"/>
      <c r="T157" s="100"/>
      <c r="U157" s="102"/>
      <c r="V157" s="135"/>
      <c r="W157" s="135"/>
    </row>
    <row r="158" spans="2:24" ht="48.95" customHeight="1">
      <c r="B158" s="169" t="str">
        <f t="shared" si="4"/>
        <v>1-150</v>
      </c>
      <c r="C158" s="100" t="s">
        <v>568</v>
      </c>
      <c r="D158" s="100" t="s">
        <v>293</v>
      </c>
      <c r="E158" s="100" t="s">
        <v>294</v>
      </c>
      <c r="F158" s="183" t="s">
        <v>682</v>
      </c>
      <c r="G158" s="184"/>
      <c r="H158" s="101"/>
      <c r="I158" s="20"/>
      <c r="J158" s="101"/>
      <c r="K158" s="161"/>
      <c r="L158" s="162"/>
      <c r="M158" s="161"/>
      <c r="N158" s="161"/>
      <c r="O158" s="162"/>
      <c r="P158" s="161"/>
      <c r="Q158" s="182"/>
      <c r="R158" s="101"/>
      <c r="S158" s="100"/>
      <c r="T158" s="102"/>
      <c r="U158" s="102"/>
      <c r="V158" s="135"/>
      <c r="W158" s="135"/>
      <c r="X158" s="135"/>
    </row>
    <row r="159" spans="2:24" ht="48.95" customHeight="1">
      <c r="B159" s="169" t="str">
        <f t="shared" si="4"/>
        <v>1-151</v>
      </c>
      <c r="C159" s="100" t="s">
        <v>569</v>
      </c>
      <c r="D159" s="100" t="s">
        <v>293</v>
      </c>
      <c r="E159" s="100" t="s">
        <v>294</v>
      </c>
      <c r="F159" s="183" t="s">
        <v>682</v>
      </c>
      <c r="G159" s="184"/>
      <c r="H159" s="101"/>
      <c r="I159" s="20"/>
      <c r="J159" s="101"/>
      <c r="K159" s="161"/>
      <c r="L159" s="162"/>
      <c r="M159" s="161"/>
      <c r="N159" s="161"/>
      <c r="O159" s="162"/>
      <c r="P159" s="161"/>
      <c r="Q159" s="182"/>
      <c r="R159" s="101"/>
      <c r="S159" s="100"/>
      <c r="T159" s="102"/>
      <c r="U159" s="102"/>
      <c r="V159" s="135"/>
      <c r="W159" s="135"/>
      <c r="X159" s="135"/>
    </row>
    <row r="160" spans="2:24" ht="48.95" customHeight="1">
      <c r="B160" s="169" t="str">
        <f t="shared" si="4"/>
        <v>1-152</v>
      </c>
      <c r="C160" s="100" t="s">
        <v>570</v>
      </c>
      <c r="D160" s="100" t="s">
        <v>293</v>
      </c>
      <c r="E160" s="100" t="s">
        <v>294</v>
      </c>
      <c r="F160" s="183" t="s">
        <v>682</v>
      </c>
      <c r="G160" s="184"/>
      <c r="H160" s="101"/>
      <c r="I160" s="20"/>
      <c r="J160" s="101"/>
      <c r="K160" s="161"/>
      <c r="L160" s="162"/>
      <c r="M160" s="161"/>
      <c r="N160" s="161"/>
      <c r="O160" s="162"/>
      <c r="P160" s="161"/>
      <c r="Q160" s="182"/>
      <c r="R160" s="101"/>
      <c r="S160" s="100"/>
      <c r="T160" s="102"/>
      <c r="U160" s="102"/>
      <c r="V160" s="135"/>
      <c r="W160" s="135"/>
      <c r="X160" s="135"/>
    </row>
    <row r="161" spans="2:24" ht="48.95" customHeight="1">
      <c r="B161" s="169" t="str">
        <f t="shared" ref="B161:B195" si="5">"1-"&amp;ROW()-8</f>
        <v>1-153</v>
      </c>
      <c r="C161" s="100" t="s">
        <v>571</v>
      </c>
      <c r="D161" s="100" t="s">
        <v>293</v>
      </c>
      <c r="E161" s="100" t="s">
        <v>294</v>
      </c>
      <c r="F161" s="183" t="s">
        <v>682</v>
      </c>
      <c r="G161" s="184"/>
      <c r="H161" s="101"/>
      <c r="I161" s="20"/>
      <c r="J161" s="101"/>
      <c r="K161" s="161"/>
      <c r="L161" s="162"/>
      <c r="M161" s="161"/>
      <c r="N161" s="161"/>
      <c r="O161" s="162"/>
      <c r="P161" s="161"/>
      <c r="Q161" s="182"/>
      <c r="R161" s="101"/>
      <c r="S161" s="100"/>
      <c r="T161" s="102"/>
      <c r="U161" s="102"/>
      <c r="V161" s="135"/>
      <c r="W161" s="135"/>
      <c r="X161" s="135"/>
    </row>
    <row r="162" spans="2:24" ht="48.95" customHeight="1">
      <c r="B162" s="169" t="str">
        <f t="shared" si="5"/>
        <v>1-154</v>
      </c>
      <c r="C162" s="100" t="s">
        <v>572</v>
      </c>
      <c r="D162" s="100" t="s">
        <v>293</v>
      </c>
      <c r="E162" s="100" t="s">
        <v>294</v>
      </c>
      <c r="F162" s="183" t="s">
        <v>682</v>
      </c>
      <c r="G162" s="184"/>
      <c r="H162" s="101"/>
      <c r="I162" s="20"/>
      <c r="J162" s="101"/>
      <c r="K162" s="161"/>
      <c r="L162" s="162"/>
      <c r="M162" s="161"/>
      <c r="N162" s="161"/>
      <c r="O162" s="162"/>
      <c r="P162" s="161"/>
      <c r="Q162" s="182"/>
      <c r="R162" s="101"/>
      <c r="S162" s="100"/>
      <c r="T162" s="102"/>
      <c r="U162" s="102"/>
      <c r="V162" s="135"/>
      <c r="W162" s="135"/>
      <c r="X162" s="135"/>
    </row>
    <row r="163" spans="2:24" ht="48.95" customHeight="1">
      <c r="B163" s="169" t="str">
        <f t="shared" si="5"/>
        <v>1-155</v>
      </c>
      <c r="C163" s="100" t="s">
        <v>574</v>
      </c>
      <c r="D163" s="100" t="s">
        <v>293</v>
      </c>
      <c r="E163" s="100" t="s">
        <v>294</v>
      </c>
      <c r="F163" s="183" t="s">
        <v>682</v>
      </c>
      <c r="G163" s="184"/>
      <c r="H163" s="101"/>
      <c r="I163" s="20"/>
      <c r="J163" s="101"/>
      <c r="K163" s="161"/>
      <c r="L163" s="162"/>
      <c r="M163" s="161"/>
      <c r="N163" s="161"/>
      <c r="O163" s="162"/>
      <c r="P163" s="161"/>
      <c r="Q163" s="182"/>
      <c r="R163" s="101"/>
      <c r="S163" s="100"/>
      <c r="T163" s="102"/>
      <c r="U163" s="102"/>
      <c r="V163" s="135"/>
      <c r="W163" s="135"/>
      <c r="X163" s="135"/>
    </row>
    <row r="164" spans="2:24" ht="48.95" customHeight="1">
      <c r="B164" s="169" t="str">
        <f t="shared" si="5"/>
        <v>1-156</v>
      </c>
      <c r="C164" s="100" t="s">
        <v>576</v>
      </c>
      <c r="D164" s="100" t="s">
        <v>293</v>
      </c>
      <c r="E164" s="100" t="s">
        <v>294</v>
      </c>
      <c r="F164" s="183" t="s">
        <v>682</v>
      </c>
      <c r="G164" s="184"/>
      <c r="H164" s="101"/>
      <c r="I164" s="20"/>
      <c r="J164" s="101"/>
      <c r="K164" s="161"/>
      <c r="L164" s="162"/>
      <c r="M164" s="161"/>
      <c r="N164" s="161"/>
      <c r="O164" s="162"/>
      <c r="P164" s="161"/>
      <c r="Q164" s="182"/>
      <c r="R164" s="101"/>
      <c r="S164" s="100"/>
      <c r="T164" s="102"/>
      <c r="U164" s="102"/>
      <c r="V164" s="135"/>
      <c r="W164" s="135"/>
      <c r="X164" s="135"/>
    </row>
    <row r="165" spans="2:24" ht="48.95" customHeight="1">
      <c r="B165" s="169" t="str">
        <f t="shared" si="5"/>
        <v>1-157</v>
      </c>
      <c r="C165" s="100" t="s">
        <v>578</v>
      </c>
      <c r="D165" s="100" t="s">
        <v>293</v>
      </c>
      <c r="E165" s="100" t="s">
        <v>294</v>
      </c>
      <c r="F165" s="183" t="s">
        <v>682</v>
      </c>
      <c r="G165" s="184"/>
      <c r="H165" s="101"/>
      <c r="I165" s="20"/>
      <c r="J165" s="101"/>
      <c r="K165" s="161"/>
      <c r="L165" s="162"/>
      <c r="M165" s="161"/>
      <c r="N165" s="161"/>
      <c r="O165" s="162"/>
      <c r="P165" s="161"/>
      <c r="Q165" s="182"/>
      <c r="R165" s="101"/>
      <c r="S165" s="100"/>
      <c r="T165" s="102"/>
      <c r="U165" s="102"/>
      <c r="V165" s="135"/>
      <c r="W165" s="135"/>
      <c r="X165" s="135"/>
    </row>
    <row r="166" spans="2:24" ht="48.95" customHeight="1">
      <c r="B166" s="169" t="str">
        <f t="shared" si="5"/>
        <v>1-158</v>
      </c>
      <c r="C166" s="100" t="s">
        <v>580</v>
      </c>
      <c r="D166" s="100" t="s">
        <v>293</v>
      </c>
      <c r="E166" s="100" t="s">
        <v>294</v>
      </c>
      <c r="F166" s="183" t="s">
        <v>682</v>
      </c>
      <c r="G166" s="184"/>
      <c r="H166" s="101"/>
      <c r="I166" s="20"/>
      <c r="J166" s="101"/>
      <c r="K166" s="161"/>
      <c r="L166" s="162"/>
      <c r="M166" s="161"/>
      <c r="N166" s="161"/>
      <c r="O166" s="162"/>
      <c r="P166" s="161"/>
      <c r="Q166" s="182"/>
      <c r="R166" s="101"/>
      <c r="S166" s="100"/>
      <c r="T166" s="102"/>
      <c r="U166" s="102"/>
      <c r="V166" s="135"/>
      <c r="W166" s="135"/>
      <c r="X166" s="135"/>
    </row>
    <row r="167" spans="2:24" ht="48.95" customHeight="1">
      <c r="B167" s="169" t="str">
        <f t="shared" si="5"/>
        <v>1-159</v>
      </c>
      <c r="C167" s="100" t="s">
        <v>582</v>
      </c>
      <c r="D167" s="100" t="s">
        <v>293</v>
      </c>
      <c r="E167" s="100" t="s">
        <v>294</v>
      </c>
      <c r="F167" s="183" t="s">
        <v>682</v>
      </c>
      <c r="G167" s="184"/>
      <c r="H167" s="101"/>
      <c r="I167" s="20"/>
      <c r="J167" s="101"/>
      <c r="K167" s="161"/>
      <c r="L167" s="162"/>
      <c r="M167" s="161"/>
      <c r="N167" s="161"/>
      <c r="O167" s="162"/>
      <c r="P167" s="161"/>
      <c r="Q167" s="182"/>
      <c r="R167" s="101"/>
      <c r="S167" s="100"/>
      <c r="T167" s="102"/>
      <c r="U167" s="102"/>
      <c r="V167" s="137"/>
      <c r="W167" s="137"/>
      <c r="X167" s="137"/>
    </row>
    <row r="168" spans="2:24" ht="48.95" customHeight="1">
      <c r="B168" s="169" t="str">
        <f t="shared" si="5"/>
        <v>1-160</v>
      </c>
      <c r="C168" s="100" t="s">
        <v>585</v>
      </c>
      <c r="D168" s="100" t="s">
        <v>583</v>
      </c>
      <c r="E168" s="100" t="s">
        <v>172</v>
      </c>
      <c r="F168" s="262" t="s">
        <v>248</v>
      </c>
      <c r="G168" s="263"/>
      <c r="H168" s="101"/>
      <c r="I168" s="20"/>
      <c r="J168" s="101"/>
      <c r="K168" s="101"/>
      <c r="L168" s="20"/>
      <c r="M168" s="101"/>
      <c r="N168" s="101"/>
      <c r="O168" s="20"/>
      <c r="P168" s="101"/>
      <c r="Q168" s="182"/>
      <c r="R168" s="101"/>
      <c r="S168" s="100"/>
      <c r="T168" s="102"/>
      <c r="U168" s="102"/>
      <c r="V168" s="135"/>
      <c r="W168" s="135"/>
      <c r="X168" s="135"/>
    </row>
    <row r="169" spans="2:24" ht="48.95" customHeight="1">
      <c r="B169" s="169" t="str">
        <f t="shared" si="5"/>
        <v>1-161</v>
      </c>
      <c r="C169" s="100" t="s">
        <v>587</v>
      </c>
      <c r="D169" s="100" t="s">
        <v>583</v>
      </c>
      <c r="E169" s="100" t="s">
        <v>173</v>
      </c>
      <c r="F169" s="262" t="s">
        <v>248</v>
      </c>
      <c r="G169" s="263"/>
      <c r="H169" s="101"/>
      <c r="I169" s="20"/>
      <c r="J169" s="101"/>
      <c r="K169" s="101"/>
      <c r="L169" s="20"/>
      <c r="M169" s="101"/>
      <c r="N169" s="101"/>
      <c r="O169" s="20"/>
      <c r="P169" s="101"/>
      <c r="Q169" s="182"/>
      <c r="R169" s="101"/>
      <c r="S169" s="100"/>
      <c r="T169" s="102"/>
      <c r="U169" s="102"/>
      <c r="V169" s="135"/>
      <c r="W169" s="135"/>
      <c r="X169" s="135"/>
    </row>
    <row r="170" spans="2:24" ht="48.95" customHeight="1">
      <c r="B170" s="169" t="str">
        <f t="shared" si="5"/>
        <v>1-162</v>
      </c>
      <c r="C170" s="100" t="s">
        <v>589</v>
      </c>
      <c r="D170" s="100" t="s">
        <v>583</v>
      </c>
      <c r="E170" s="100" t="s">
        <v>174</v>
      </c>
      <c r="F170" s="262" t="s">
        <v>248</v>
      </c>
      <c r="G170" s="263"/>
      <c r="H170" s="101"/>
      <c r="I170" s="20"/>
      <c r="J170" s="101"/>
      <c r="K170" s="101"/>
      <c r="L170" s="20"/>
      <c r="M170" s="101"/>
      <c r="N170" s="101"/>
      <c r="O170" s="20"/>
      <c r="P170" s="101"/>
      <c r="Q170" s="182"/>
      <c r="R170" s="101"/>
      <c r="S170" s="100"/>
      <c r="T170" s="102"/>
      <c r="U170" s="102"/>
      <c r="V170" s="135"/>
      <c r="W170" s="135"/>
      <c r="X170" s="135"/>
    </row>
    <row r="171" spans="2:24" ht="48.95" customHeight="1">
      <c r="B171" s="169" t="str">
        <f t="shared" si="5"/>
        <v>1-163</v>
      </c>
      <c r="C171" s="100" t="s">
        <v>593</v>
      </c>
      <c r="D171" s="100" t="s">
        <v>583</v>
      </c>
      <c r="E171" s="100" t="s">
        <v>175</v>
      </c>
      <c r="F171" s="262" t="s">
        <v>248</v>
      </c>
      <c r="G171" s="263"/>
      <c r="H171" s="101"/>
      <c r="I171" s="20"/>
      <c r="J171" s="101"/>
      <c r="K171" s="101"/>
      <c r="L171" s="20"/>
      <c r="M171" s="101"/>
      <c r="N171" s="101"/>
      <c r="O171" s="20"/>
      <c r="P171" s="101"/>
      <c r="Q171" s="182"/>
      <c r="R171" s="101"/>
      <c r="S171" s="100"/>
      <c r="T171" s="102"/>
      <c r="U171" s="102"/>
      <c r="V171" s="135"/>
      <c r="W171" s="135"/>
      <c r="X171" s="135"/>
    </row>
    <row r="172" spans="2:24" ht="48.95" customHeight="1">
      <c r="B172" s="169" t="str">
        <f t="shared" si="5"/>
        <v>1-164</v>
      </c>
      <c r="C172" s="100" t="s">
        <v>591</v>
      </c>
      <c r="D172" s="100" t="s">
        <v>583</v>
      </c>
      <c r="E172" s="100" t="s">
        <v>176</v>
      </c>
      <c r="F172" s="262" t="s">
        <v>248</v>
      </c>
      <c r="G172" s="263"/>
      <c r="H172" s="101"/>
      <c r="I172" s="20"/>
      <c r="J172" s="101"/>
      <c r="K172" s="101"/>
      <c r="L172" s="20"/>
      <c r="M172" s="101"/>
      <c r="N172" s="101"/>
      <c r="O172" s="20"/>
      <c r="P172" s="101"/>
      <c r="Q172" s="182"/>
      <c r="R172" s="101"/>
      <c r="S172" s="100"/>
      <c r="T172" s="102"/>
      <c r="U172" s="102"/>
      <c r="V172" s="135"/>
      <c r="W172" s="135"/>
      <c r="X172" s="135"/>
    </row>
    <row r="173" spans="2:24" ht="48.95" customHeight="1">
      <c r="B173" s="169" t="str">
        <f t="shared" si="5"/>
        <v>1-165</v>
      </c>
      <c r="C173" s="100" t="s">
        <v>594</v>
      </c>
      <c r="D173" s="100" t="s">
        <v>583</v>
      </c>
      <c r="E173" s="100" t="s">
        <v>177</v>
      </c>
      <c r="F173" s="262" t="s">
        <v>248</v>
      </c>
      <c r="G173" s="263"/>
      <c r="H173" s="101"/>
      <c r="I173" s="20"/>
      <c r="J173" s="101"/>
      <c r="K173" s="101"/>
      <c r="L173" s="20"/>
      <c r="M173" s="101"/>
      <c r="N173" s="101"/>
      <c r="O173" s="20"/>
      <c r="P173" s="101"/>
      <c r="Q173" s="182"/>
      <c r="R173" s="101"/>
      <c r="S173" s="100"/>
      <c r="T173" s="102"/>
      <c r="U173" s="102"/>
      <c r="V173" s="135"/>
      <c r="W173" s="135"/>
      <c r="X173" s="135"/>
    </row>
    <row r="174" spans="2:24" ht="48.95" customHeight="1">
      <c r="B174" s="169" t="str">
        <f t="shared" si="5"/>
        <v>1-166</v>
      </c>
      <c r="C174" s="100" t="s">
        <v>595</v>
      </c>
      <c r="D174" s="100" t="s">
        <v>583</v>
      </c>
      <c r="E174" s="100" t="s">
        <v>178</v>
      </c>
      <c r="F174" s="262" t="s">
        <v>248</v>
      </c>
      <c r="G174" s="263"/>
      <c r="H174" s="101"/>
      <c r="I174" s="20"/>
      <c r="J174" s="101"/>
      <c r="K174" s="101"/>
      <c r="L174" s="20"/>
      <c r="M174" s="101"/>
      <c r="N174" s="101"/>
      <c r="O174" s="20"/>
      <c r="P174" s="101"/>
      <c r="Q174" s="182"/>
      <c r="R174" s="101"/>
      <c r="S174" s="100"/>
      <c r="T174" s="102"/>
      <c r="U174" s="102"/>
      <c r="V174" s="135"/>
      <c r="W174" s="135"/>
      <c r="X174" s="135"/>
    </row>
    <row r="175" spans="2:24" ht="45" customHeight="1">
      <c r="B175" s="169" t="str">
        <f t="shared" si="5"/>
        <v>1-167</v>
      </c>
      <c r="C175" s="100" t="s">
        <v>596</v>
      </c>
      <c r="D175" s="100" t="s">
        <v>583</v>
      </c>
      <c r="E175" s="100" t="s">
        <v>249</v>
      </c>
      <c r="F175" s="262" t="s">
        <v>248</v>
      </c>
      <c r="G175" s="263"/>
      <c r="H175" s="101"/>
      <c r="I175" s="20"/>
      <c r="J175" s="101"/>
      <c r="K175" s="101"/>
      <c r="L175" s="20"/>
      <c r="M175" s="101"/>
      <c r="N175" s="101"/>
      <c r="O175" s="20"/>
      <c r="P175" s="101"/>
      <c r="Q175" s="182"/>
      <c r="R175" s="101"/>
      <c r="S175" s="100"/>
      <c r="T175" s="102"/>
      <c r="U175" s="102"/>
      <c r="V175" s="135"/>
    </row>
    <row r="176" spans="2:24" ht="45" customHeight="1">
      <c r="B176" s="169" t="str">
        <f t="shared" si="5"/>
        <v>1-168</v>
      </c>
      <c r="C176" s="100" t="s">
        <v>83</v>
      </c>
      <c r="D176" s="100" t="s">
        <v>554</v>
      </c>
      <c r="E176" s="100" t="s">
        <v>250</v>
      </c>
      <c r="F176" s="262" t="s">
        <v>252</v>
      </c>
      <c r="G176" s="263"/>
      <c r="H176" s="101"/>
      <c r="I176" s="20"/>
      <c r="J176" s="101"/>
      <c r="K176" s="101"/>
      <c r="L176" s="20"/>
      <c r="M176" s="101"/>
      <c r="N176" s="124"/>
      <c r="O176" s="125"/>
      <c r="P176" s="101"/>
      <c r="Q176" s="101"/>
      <c r="R176" s="101"/>
      <c r="S176" s="100"/>
      <c r="T176" s="102"/>
      <c r="U176" s="102"/>
      <c r="V176" s="135"/>
    </row>
    <row r="177" spans="2:24" ht="35.450000000000003" customHeight="1">
      <c r="B177" s="169" t="str">
        <f t="shared" si="5"/>
        <v>1-169</v>
      </c>
      <c r="C177" s="100" t="s">
        <v>83</v>
      </c>
      <c r="D177" s="100" t="s">
        <v>597</v>
      </c>
      <c r="E177" s="100" t="s">
        <v>253</v>
      </c>
      <c r="F177" s="262" t="s">
        <v>212</v>
      </c>
      <c r="G177" s="263"/>
      <c r="H177" s="101"/>
      <c r="I177" s="20"/>
      <c r="J177" s="101"/>
      <c r="K177" s="101"/>
      <c r="L177" s="20"/>
      <c r="M177" s="101"/>
      <c r="N177" s="124"/>
      <c r="O177" s="125"/>
      <c r="P177" s="101"/>
      <c r="Q177" s="182"/>
      <c r="R177" s="101"/>
      <c r="S177" s="100"/>
      <c r="T177" s="102"/>
      <c r="U177" s="102"/>
    </row>
    <row r="178" spans="2:24" ht="35.450000000000003" customHeight="1">
      <c r="B178" s="169" t="str">
        <f t="shared" si="5"/>
        <v>1-170</v>
      </c>
      <c r="C178" s="100" t="s">
        <v>83</v>
      </c>
      <c r="D178" s="100" t="s">
        <v>83</v>
      </c>
      <c r="E178" s="100" t="s">
        <v>251</v>
      </c>
      <c r="F178" s="262" t="s">
        <v>105</v>
      </c>
      <c r="G178" s="263"/>
      <c r="H178" s="101"/>
      <c r="I178" s="20"/>
      <c r="J178" s="101"/>
      <c r="K178" s="101"/>
      <c r="L178" s="20"/>
      <c r="M178" s="101"/>
      <c r="N178" s="124"/>
      <c r="O178" s="125"/>
      <c r="P178" s="101"/>
      <c r="Q178" s="101"/>
      <c r="R178" s="101"/>
      <c r="S178" s="100"/>
      <c r="T178" s="102"/>
      <c r="U178" s="102"/>
    </row>
    <row r="179" spans="2:24" ht="35.450000000000003" customHeight="1">
      <c r="B179" s="169" t="str">
        <f t="shared" si="5"/>
        <v>1-171</v>
      </c>
      <c r="C179" s="100" t="s">
        <v>83</v>
      </c>
      <c r="D179" s="100" t="s">
        <v>83</v>
      </c>
      <c r="E179" s="100" t="s">
        <v>83</v>
      </c>
      <c r="F179" s="262" t="s">
        <v>254</v>
      </c>
      <c r="G179" s="263"/>
      <c r="H179" s="101"/>
      <c r="I179" s="20"/>
      <c r="J179" s="101"/>
      <c r="K179" s="101"/>
      <c r="L179" s="20"/>
      <c r="M179" s="101"/>
      <c r="N179" s="124"/>
      <c r="O179" s="125"/>
      <c r="P179" s="101"/>
      <c r="Q179" s="101"/>
      <c r="R179" s="101"/>
      <c r="S179" s="100"/>
      <c r="T179" s="102"/>
      <c r="U179" s="102"/>
    </row>
    <row r="180" spans="2:24" ht="35.450000000000003" customHeight="1">
      <c r="B180" s="169" t="str">
        <f t="shared" si="5"/>
        <v>1-172</v>
      </c>
      <c r="C180" s="100" t="s">
        <v>83</v>
      </c>
      <c r="D180" s="42" t="s">
        <v>556</v>
      </c>
      <c r="E180" s="100" t="s">
        <v>251</v>
      </c>
      <c r="F180" s="262" t="s">
        <v>103</v>
      </c>
      <c r="G180" s="263"/>
      <c r="H180" s="101"/>
      <c r="I180" s="20"/>
      <c r="J180" s="101"/>
      <c r="K180" s="101"/>
      <c r="L180" s="20"/>
      <c r="M180" s="101"/>
      <c r="N180" s="124"/>
      <c r="O180" s="125"/>
      <c r="P180" s="101"/>
      <c r="Q180" s="182"/>
      <c r="R180" s="101"/>
      <c r="S180" s="100"/>
      <c r="T180" s="102"/>
      <c r="U180" s="102"/>
    </row>
    <row r="181" spans="2:24" ht="48.95" customHeight="1">
      <c r="B181" s="169" t="str">
        <f t="shared" si="5"/>
        <v>1-173</v>
      </c>
      <c r="C181" s="100" t="s">
        <v>602</v>
      </c>
      <c r="D181" s="100" t="s">
        <v>598</v>
      </c>
      <c r="E181" s="100" t="s">
        <v>106</v>
      </c>
      <c r="F181" s="262" t="s">
        <v>599</v>
      </c>
      <c r="G181" s="263"/>
      <c r="H181" s="101"/>
      <c r="I181" s="20"/>
      <c r="J181" s="101"/>
      <c r="K181" s="101"/>
      <c r="L181" s="20"/>
      <c r="M181" s="101"/>
      <c r="N181" s="124"/>
      <c r="O181" s="125"/>
      <c r="P181" s="101"/>
      <c r="Q181" s="101"/>
      <c r="R181" s="101"/>
      <c r="S181" s="100"/>
      <c r="T181" s="102"/>
      <c r="U181" s="102"/>
      <c r="V181" s="118"/>
      <c r="W181" s="118"/>
      <c r="X181" s="118"/>
    </row>
    <row r="182" spans="2:24" ht="48.95" customHeight="1">
      <c r="B182" s="169" t="str">
        <f t="shared" si="5"/>
        <v>1-174</v>
      </c>
      <c r="C182" s="100" t="s">
        <v>83</v>
      </c>
      <c r="D182" s="100" t="s">
        <v>83</v>
      </c>
      <c r="E182" s="100" t="s">
        <v>83</v>
      </c>
      <c r="F182" s="262" t="s">
        <v>637</v>
      </c>
      <c r="G182" s="263"/>
      <c r="H182" s="101"/>
      <c r="I182" s="20"/>
      <c r="J182" s="101"/>
      <c r="K182" s="101"/>
      <c r="L182" s="20"/>
      <c r="M182" s="101"/>
      <c r="N182" s="124"/>
      <c r="O182" s="125"/>
      <c r="P182" s="101"/>
      <c r="Q182" s="101"/>
      <c r="R182" s="101"/>
      <c r="S182" s="100"/>
      <c r="T182" s="102"/>
      <c r="U182" s="102"/>
      <c r="V182" s="177"/>
      <c r="W182" s="177"/>
      <c r="X182" s="177"/>
    </row>
    <row r="183" spans="2:24" ht="48.95" customHeight="1">
      <c r="B183" s="169" t="str">
        <f t="shared" si="5"/>
        <v>1-175</v>
      </c>
      <c r="C183" s="100" t="s">
        <v>83</v>
      </c>
      <c r="D183" s="100" t="s">
        <v>600</v>
      </c>
      <c r="E183" s="100" t="s">
        <v>83</v>
      </c>
      <c r="F183" s="262" t="s">
        <v>601</v>
      </c>
      <c r="G183" s="263"/>
      <c r="H183" s="101"/>
      <c r="I183" s="20"/>
      <c r="J183" s="101"/>
      <c r="K183" s="101"/>
      <c r="L183" s="20"/>
      <c r="M183" s="101"/>
      <c r="N183" s="124"/>
      <c r="O183" s="125"/>
      <c r="P183" s="101"/>
      <c r="Q183" s="101"/>
      <c r="R183" s="101"/>
      <c r="S183" s="100"/>
      <c r="T183" s="102"/>
      <c r="U183" s="102"/>
      <c r="V183" s="135"/>
      <c r="W183" s="135"/>
      <c r="X183" s="135"/>
    </row>
    <row r="184" spans="2:24" ht="48.95" customHeight="1">
      <c r="B184" s="169" t="str">
        <f t="shared" si="5"/>
        <v>1-176</v>
      </c>
      <c r="C184" s="100" t="s">
        <v>603</v>
      </c>
      <c r="D184" s="100" t="s">
        <v>583</v>
      </c>
      <c r="E184" s="100" t="s">
        <v>180</v>
      </c>
      <c r="F184" s="262" t="s">
        <v>248</v>
      </c>
      <c r="G184" s="263"/>
      <c r="H184" s="101"/>
      <c r="I184" s="20"/>
      <c r="J184" s="101"/>
      <c r="K184" s="101"/>
      <c r="L184" s="20"/>
      <c r="M184" s="101"/>
      <c r="N184" s="124"/>
      <c r="O184" s="125"/>
      <c r="P184" s="101"/>
      <c r="Q184" s="182"/>
      <c r="R184" s="101"/>
      <c r="S184" s="100"/>
      <c r="T184" s="102"/>
      <c r="U184" s="102"/>
      <c r="V184" s="135"/>
      <c r="W184" s="135"/>
      <c r="X184" s="135"/>
    </row>
    <row r="185" spans="2:24" ht="48.95" customHeight="1">
      <c r="B185" s="169" t="str">
        <f t="shared" si="5"/>
        <v>1-177</v>
      </c>
      <c r="C185" s="100" t="s">
        <v>604</v>
      </c>
      <c r="D185" s="100" t="s">
        <v>552</v>
      </c>
      <c r="E185" s="100" t="s">
        <v>181</v>
      </c>
      <c r="F185" s="262" t="s">
        <v>248</v>
      </c>
      <c r="G185" s="263"/>
      <c r="H185" s="101"/>
      <c r="I185" s="20"/>
      <c r="J185" s="101"/>
      <c r="K185" s="101"/>
      <c r="L185" s="20"/>
      <c r="M185" s="101"/>
      <c r="N185" s="124"/>
      <c r="O185" s="125"/>
      <c r="P185" s="101"/>
      <c r="Q185" s="182"/>
      <c r="R185" s="101"/>
      <c r="S185" s="100"/>
      <c r="T185" s="102"/>
      <c r="U185" s="102"/>
      <c r="V185" s="135"/>
      <c r="W185" s="135"/>
      <c r="X185" s="135"/>
    </row>
    <row r="186" spans="2:24" ht="48.95" customHeight="1">
      <c r="B186" s="169" t="str">
        <f t="shared" si="5"/>
        <v>1-178</v>
      </c>
      <c r="C186" s="100" t="s">
        <v>605</v>
      </c>
      <c r="D186" s="100" t="s">
        <v>552</v>
      </c>
      <c r="E186" s="100" t="s">
        <v>182</v>
      </c>
      <c r="F186" s="262" t="s">
        <v>248</v>
      </c>
      <c r="G186" s="263"/>
      <c r="H186" s="101"/>
      <c r="I186" s="20"/>
      <c r="J186" s="101"/>
      <c r="K186" s="101"/>
      <c r="L186" s="20"/>
      <c r="M186" s="101"/>
      <c r="N186" s="124"/>
      <c r="O186" s="125"/>
      <c r="P186" s="101"/>
      <c r="Q186" s="182"/>
      <c r="R186" s="101"/>
      <c r="S186" s="100"/>
      <c r="T186" s="102"/>
      <c r="U186" s="102"/>
      <c r="V186" s="135"/>
      <c r="W186" s="135"/>
      <c r="X186" s="135"/>
    </row>
    <row r="187" spans="2:24" ht="48.95" customHeight="1">
      <c r="B187" s="169" t="str">
        <f t="shared" si="5"/>
        <v>1-179</v>
      </c>
      <c r="C187" s="100" t="s">
        <v>606</v>
      </c>
      <c r="D187" s="100" t="s">
        <v>552</v>
      </c>
      <c r="E187" s="100" t="s">
        <v>183</v>
      </c>
      <c r="F187" s="262" t="s">
        <v>248</v>
      </c>
      <c r="G187" s="263"/>
      <c r="H187" s="101"/>
      <c r="I187" s="20"/>
      <c r="J187" s="101"/>
      <c r="K187" s="101"/>
      <c r="L187" s="20"/>
      <c r="M187" s="101"/>
      <c r="N187" s="124"/>
      <c r="O187" s="125"/>
      <c r="P187" s="101"/>
      <c r="Q187" s="182"/>
      <c r="R187" s="101"/>
      <c r="S187" s="100"/>
      <c r="T187" s="102"/>
      <c r="U187" s="102"/>
      <c r="V187" s="135"/>
      <c r="W187" s="135"/>
      <c r="X187" s="135"/>
    </row>
    <row r="188" spans="2:24" ht="48.95" customHeight="1">
      <c r="B188" s="169" t="str">
        <f t="shared" si="5"/>
        <v>1-180</v>
      </c>
      <c r="C188" s="100" t="s">
        <v>608</v>
      </c>
      <c r="D188" s="100" t="s">
        <v>552</v>
      </c>
      <c r="E188" s="100" t="s">
        <v>185</v>
      </c>
      <c r="F188" s="262" t="s">
        <v>248</v>
      </c>
      <c r="G188" s="263"/>
      <c r="H188" s="101"/>
      <c r="I188" s="20"/>
      <c r="J188" s="101"/>
      <c r="K188" s="101"/>
      <c r="L188" s="20"/>
      <c r="M188" s="101"/>
      <c r="N188" s="124"/>
      <c r="O188" s="125"/>
      <c r="P188" s="101"/>
      <c r="Q188" s="182"/>
      <c r="R188" s="101"/>
      <c r="S188" s="100"/>
      <c r="T188" s="102"/>
      <c r="U188" s="102"/>
      <c r="V188" s="135"/>
      <c r="W188" s="135"/>
      <c r="X188" s="135"/>
    </row>
    <row r="189" spans="2:24" ht="48.95" customHeight="1">
      <c r="B189" s="169" t="str">
        <f t="shared" si="5"/>
        <v>1-181</v>
      </c>
      <c r="C189" s="100" t="s">
        <v>609</v>
      </c>
      <c r="D189" s="100" t="s">
        <v>552</v>
      </c>
      <c r="E189" s="100" t="s">
        <v>186</v>
      </c>
      <c r="F189" s="262" t="s">
        <v>248</v>
      </c>
      <c r="G189" s="263"/>
      <c r="H189" s="101"/>
      <c r="I189" s="20"/>
      <c r="J189" s="101"/>
      <c r="K189" s="101"/>
      <c r="L189" s="20"/>
      <c r="M189" s="101"/>
      <c r="N189" s="124"/>
      <c r="O189" s="125"/>
      <c r="P189" s="101"/>
      <c r="Q189" s="182"/>
      <c r="R189" s="101"/>
      <c r="S189" s="100"/>
      <c r="T189" s="102"/>
      <c r="U189" s="102"/>
      <c r="V189" s="135"/>
      <c r="W189" s="135"/>
      <c r="X189" s="135"/>
    </row>
    <row r="190" spans="2:24" ht="48.95" customHeight="1">
      <c r="B190" s="169" t="str">
        <f t="shared" si="5"/>
        <v>1-182</v>
      </c>
      <c r="C190" s="100" t="s">
        <v>610</v>
      </c>
      <c r="D190" s="100" t="s">
        <v>552</v>
      </c>
      <c r="E190" s="100" t="s">
        <v>187</v>
      </c>
      <c r="F190" s="262" t="s">
        <v>248</v>
      </c>
      <c r="G190" s="263"/>
      <c r="H190" s="101"/>
      <c r="I190" s="20"/>
      <c r="J190" s="101"/>
      <c r="K190" s="101"/>
      <c r="L190" s="20"/>
      <c r="M190" s="101"/>
      <c r="N190" s="124"/>
      <c r="O190" s="125"/>
      <c r="P190" s="101"/>
      <c r="Q190" s="182"/>
      <c r="R190" s="101"/>
      <c r="S190" s="100"/>
      <c r="T190" s="102"/>
      <c r="U190" s="102"/>
      <c r="V190" s="135"/>
      <c r="W190" s="135"/>
      <c r="X190" s="135"/>
    </row>
    <row r="191" spans="2:24" ht="48.95" customHeight="1">
      <c r="B191" s="169" t="str">
        <f t="shared" si="5"/>
        <v>1-183</v>
      </c>
      <c r="C191" s="100" t="s">
        <v>607</v>
      </c>
      <c r="D191" s="100" t="s">
        <v>552</v>
      </c>
      <c r="E191" s="100" t="s">
        <v>184</v>
      </c>
      <c r="F191" s="262" t="s">
        <v>248</v>
      </c>
      <c r="G191" s="263"/>
      <c r="H191" s="101"/>
      <c r="I191" s="20"/>
      <c r="J191" s="101"/>
      <c r="K191" s="101"/>
      <c r="L191" s="20"/>
      <c r="M191" s="101"/>
      <c r="N191" s="124"/>
      <c r="O191" s="125"/>
      <c r="P191" s="101"/>
      <c r="Q191" s="182"/>
      <c r="R191" s="101"/>
      <c r="S191" s="100"/>
      <c r="T191" s="102"/>
      <c r="U191" s="102"/>
      <c r="V191" s="135"/>
      <c r="W191" s="135"/>
      <c r="X191" s="135"/>
    </row>
    <row r="192" spans="2:24" ht="48.95" customHeight="1">
      <c r="B192" s="169" t="str">
        <f t="shared" si="5"/>
        <v>1-184</v>
      </c>
      <c r="C192" s="100" t="s">
        <v>611</v>
      </c>
      <c r="D192" s="100" t="s">
        <v>293</v>
      </c>
      <c r="E192" s="100" t="s">
        <v>294</v>
      </c>
      <c r="F192" s="258" t="s">
        <v>484</v>
      </c>
      <c r="G192" s="259"/>
      <c r="H192" s="101"/>
      <c r="I192" s="20"/>
      <c r="J192" s="101"/>
      <c r="K192" s="161"/>
      <c r="L192" s="162"/>
      <c r="M192" s="161"/>
      <c r="N192" s="161"/>
      <c r="O192" s="162"/>
      <c r="P192" s="161"/>
      <c r="Q192" s="101"/>
      <c r="R192" s="101"/>
      <c r="S192" s="100"/>
      <c r="T192" s="102"/>
      <c r="U192" s="102"/>
      <c r="V192" s="135"/>
      <c r="W192" s="135"/>
      <c r="X192" s="135"/>
    </row>
    <row r="193" spans="2:24" ht="48.95" customHeight="1">
      <c r="B193" s="169" t="str">
        <f t="shared" si="5"/>
        <v>1-185</v>
      </c>
      <c r="C193" s="100" t="s">
        <v>612</v>
      </c>
      <c r="D193" s="100" t="s">
        <v>552</v>
      </c>
      <c r="E193" s="100" t="s">
        <v>188</v>
      </c>
      <c r="F193" s="262" t="s">
        <v>248</v>
      </c>
      <c r="G193" s="263"/>
      <c r="H193" s="101"/>
      <c r="I193" s="20"/>
      <c r="J193" s="101"/>
      <c r="K193" s="101"/>
      <c r="L193" s="20"/>
      <c r="M193" s="101"/>
      <c r="N193" s="124"/>
      <c r="O193" s="125"/>
      <c r="P193" s="101"/>
      <c r="Q193" s="182"/>
      <c r="R193" s="101"/>
      <c r="S193" s="100"/>
      <c r="T193" s="102"/>
      <c r="U193" s="102"/>
      <c r="V193" s="135"/>
      <c r="W193" s="135"/>
      <c r="X193" s="135"/>
    </row>
    <row r="194" spans="2:24" ht="48.95" customHeight="1">
      <c r="B194" s="169" t="str">
        <f t="shared" si="5"/>
        <v>1-186</v>
      </c>
      <c r="C194" s="100" t="s">
        <v>102</v>
      </c>
      <c r="D194" s="42" t="s">
        <v>644</v>
      </c>
      <c r="E194" s="42" t="s">
        <v>471</v>
      </c>
      <c r="F194" s="262" t="s">
        <v>285</v>
      </c>
      <c r="G194" s="263"/>
      <c r="H194" s="161"/>
      <c r="I194" s="162"/>
      <c r="J194" s="161"/>
      <c r="K194" s="101"/>
      <c r="L194" s="20"/>
      <c r="M194" s="101"/>
      <c r="N194" s="161"/>
      <c r="O194" s="162"/>
      <c r="P194" s="161"/>
      <c r="Q194" s="101"/>
      <c r="R194" s="101"/>
      <c r="S194" s="100"/>
      <c r="T194" s="102"/>
      <c r="U194" s="102"/>
      <c r="V194" s="117"/>
      <c r="W194" s="117"/>
      <c r="X194" s="117"/>
    </row>
    <row r="195" spans="2:24" ht="48.95" customHeight="1">
      <c r="B195" s="188" t="str">
        <f t="shared" si="5"/>
        <v>1-187</v>
      </c>
      <c r="C195" s="100" t="s">
        <v>83</v>
      </c>
      <c r="D195" s="42" t="s">
        <v>456</v>
      </c>
      <c r="E195" s="100" t="s">
        <v>116</v>
      </c>
      <c r="F195" s="262" t="s">
        <v>350</v>
      </c>
      <c r="G195" s="263"/>
      <c r="H195" s="101"/>
      <c r="I195" s="20"/>
      <c r="J195" s="101"/>
      <c r="K195" s="101"/>
      <c r="L195" s="20"/>
      <c r="M195" s="101"/>
      <c r="N195" s="101"/>
      <c r="O195" s="20"/>
      <c r="P195" s="101"/>
      <c r="Q195" s="101"/>
      <c r="R195" s="101"/>
      <c r="S195" s="100"/>
      <c r="T195" s="102"/>
      <c r="U195" s="102"/>
      <c r="V195" s="117"/>
      <c r="W195" s="117"/>
      <c r="X195" s="117"/>
    </row>
    <row r="196" spans="2:24" ht="41.25" customHeight="1">
      <c r="B196" s="169" t="str">
        <f t="shared" ref="B196:B252" si="6">"1-"&amp;ROW()-8</f>
        <v>1-188</v>
      </c>
      <c r="C196" s="100" t="s">
        <v>83</v>
      </c>
      <c r="D196" s="122" t="s">
        <v>122</v>
      </c>
      <c r="E196" s="100" t="s">
        <v>116</v>
      </c>
      <c r="F196" s="262" t="s">
        <v>350</v>
      </c>
      <c r="G196" s="263"/>
      <c r="H196" s="101"/>
      <c r="I196" s="20"/>
      <c r="J196" s="101"/>
      <c r="K196" s="101"/>
      <c r="L196" s="20"/>
      <c r="M196" s="101"/>
      <c r="N196" s="101"/>
      <c r="O196" s="20"/>
      <c r="P196" s="101"/>
      <c r="Q196" s="101"/>
      <c r="R196" s="101"/>
      <c r="S196" s="100"/>
      <c r="T196" s="102"/>
      <c r="U196" s="102"/>
      <c r="V196" s="118"/>
    </row>
    <row r="197" spans="2:24" ht="41.25" customHeight="1">
      <c r="B197" s="169" t="str">
        <f t="shared" si="6"/>
        <v>1-189</v>
      </c>
      <c r="C197" s="100" t="s">
        <v>83</v>
      </c>
      <c r="D197" s="100" t="s">
        <v>83</v>
      </c>
      <c r="E197" s="100" t="s">
        <v>118</v>
      </c>
      <c r="F197" s="262" t="s">
        <v>123</v>
      </c>
      <c r="G197" s="263"/>
      <c r="H197" s="101"/>
      <c r="I197" s="20"/>
      <c r="J197" s="101"/>
      <c r="K197" s="101"/>
      <c r="L197" s="20"/>
      <c r="M197" s="101"/>
      <c r="N197" s="101"/>
      <c r="O197" s="20"/>
      <c r="P197" s="101"/>
      <c r="Q197" s="101"/>
      <c r="R197" s="101"/>
      <c r="S197" s="100"/>
      <c r="T197" s="102"/>
      <c r="U197" s="102"/>
      <c r="V197" s="113"/>
    </row>
    <row r="198" spans="2:24" ht="41.25" customHeight="1">
      <c r="B198" s="169" t="str">
        <f t="shared" si="6"/>
        <v>1-190</v>
      </c>
      <c r="C198" s="100" t="s">
        <v>83</v>
      </c>
      <c r="D198" s="100" t="s">
        <v>83</v>
      </c>
      <c r="E198" s="100" t="s">
        <v>119</v>
      </c>
      <c r="F198" s="262" t="s">
        <v>123</v>
      </c>
      <c r="G198" s="263"/>
      <c r="H198" s="101"/>
      <c r="I198" s="20"/>
      <c r="J198" s="101"/>
      <c r="K198" s="101"/>
      <c r="L198" s="20"/>
      <c r="M198" s="101"/>
      <c r="N198" s="101"/>
      <c r="O198" s="20"/>
      <c r="P198" s="101"/>
      <c r="Q198" s="101"/>
      <c r="R198" s="101"/>
      <c r="S198" s="100"/>
      <c r="T198" s="102"/>
      <c r="U198" s="102"/>
      <c r="V198" s="113"/>
    </row>
    <row r="199" spans="2:24" ht="41.25" customHeight="1">
      <c r="B199" s="169" t="str">
        <f t="shared" si="6"/>
        <v>1-191</v>
      </c>
      <c r="C199" s="100" t="s">
        <v>83</v>
      </c>
      <c r="D199" s="100" t="s">
        <v>83</v>
      </c>
      <c r="E199" s="100" t="s">
        <v>120</v>
      </c>
      <c r="F199" s="262" t="s">
        <v>123</v>
      </c>
      <c r="G199" s="263"/>
      <c r="H199" s="101"/>
      <c r="I199" s="20"/>
      <c r="J199" s="101"/>
      <c r="K199" s="101"/>
      <c r="L199" s="20"/>
      <c r="M199" s="101"/>
      <c r="N199" s="101"/>
      <c r="O199" s="20"/>
      <c r="P199" s="101"/>
      <c r="Q199" s="101"/>
      <c r="R199" s="101"/>
      <c r="S199" s="100"/>
      <c r="T199" s="102"/>
      <c r="U199" s="102"/>
      <c r="V199" s="113"/>
    </row>
    <row r="200" spans="2:24" ht="48.95" customHeight="1">
      <c r="B200" s="169" t="str">
        <f t="shared" si="6"/>
        <v>1-192</v>
      </c>
      <c r="C200" s="100" t="s">
        <v>83</v>
      </c>
      <c r="D200" s="100" t="s">
        <v>83</v>
      </c>
      <c r="E200" s="100" t="s">
        <v>121</v>
      </c>
      <c r="F200" s="262" t="s">
        <v>124</v>
      </c>
      <c r="G200" s="263"/>
      <c r="H200" s="101"/>
      <c r="I200" s="20"/>
      <c r="J200" s="101"/>
      <c r="K200" s="101"/>
      <c r="L200" s="20"/>
      <c r="M200" s="101"/>
      <c r="N200" s="101"/>
      <c r="O200" s="20"/>
      <c r="P200" s="101"/>
      <c r="Q200" s="101"/>
      <c r="R200" s="101"/>
      <c r="S200" s="100"/>
      <c r="T200" s="102"/>
      <c r="U200" s="102"/>
      <c r="V200" s="135"/>
      <c r="W200" s="135"/>
      <c r="X200" s="135"/>
    </row>
    <row r="201" spans="2:24" ht="41.25" customHeight="1">
      <c r="B201" s="169" t="str">
        <f t="shared" si="6"/>
        <v>1-193</v>
      </c>
      <c r="C201" s="100" t="s">
        <v>83</v>
      </c>
      <c r="D201" s="100" t="s">
        <v>83</v>
      </c>
      <c r="E201" s="100" t="s">
        <v>329</v>
      </c>
      <c r="F201" s="262" t="s">
        <v>330</v>
      </c>
      <c r="G201" s="263"/>
      <c r="H201" s="101"/>
      <c r="I201" s="20"/>
      <c r="J201" s="101"/>
      <c r="K201" s="101"/>
      <c r="L201" s="20"/>
      <c r="M201" s="101"/>
      <c r="N201" s="101"/>
      <c r="O201" s="20"/>
      <c r="P201" s="101"/>
      <c r="Q201" s="101"/>
      <c r="R201" s="101"/>
      <c r="S201" s="100"/>
      <c r="T201" s="102"/>
      <c r="U201" s="102"/>
      <c r="V201" s="155"/>
    </row>
    <row r="202" spans="2:24" ht="41.25" customHeight="1">
      <c r="B202" s="169" t="str">
        <f t="shared" si="6"/>
        <v>1-194</v>
      </c>
      <c r="C202" s="100" t="s">
        <v>83</v>
      </c>
      <c r="D202" s="100" t="s">
        <v>83</v>
      </c>
      <c r="E202" s="100" t="s">
        <v>144</v>
      </c>
      <c r="F202" s="262" t="s">
        <v>117</v>
      </c>
      <c r="G202" s="263"/>
      <c r="H202" s="101"/>
      <c r="I202" s="20"/>
      <c r="J202" s="101"/>
      <c r="K202" s="101"/>
      <c r="L202" s="20"/>
      <c r="M202" s="101"/>
      <c r="N202" s="101"/>
      <c r="O202" s="20"/>
      <c r="P202" s="101"/>
      <c r="Q202" s="101"/>
      <c r="R202" s="101"/>
      <c r="S202" s="100"/>
      <c r="T202" s="102"/>
      <c r="U202" s="102"/>
      <c r="V202" s="113"/>
    </row>
    <row r="203" spans="2:24" ht="41.25" customHeight="1">
      <c r="B203" s="169" t="str">
        <f t="shared" si="6"/>
        <v>1-195</v>
      </c>
      <c r="C203" s="100" t="s">
        <v>83</v>
      </c>
      <c r="D203" s="100" t="s">
        <v>83</v>
      </c>
      <c r="E203" s="100" t="s">
        <v>83</v>
      </c>
      <c r="F203" s="262" t="s">
        <v>303</v>
      </c>
      <c r="G203" s="263"/>
      <c r="H203" s="101"/>
      <c r="I203" s="20"/>
      <c r="J203" s="101"/>
      <c r="K203" s="101"/>
      <c r="L203" s="20"/>
      <c r="M203" s="101"/>
      <c r="N203" s="101"/>
      <c r="O203" s="20"/>
      <c r="P203" s="101"/>
      <c r="Q203" s="101"/>
      <c r="R203" s="101"/>
      <c r="S203" s="100"/>
      <c r="T203" s="102"/>
      <c r="U203" s="102"/>
      <c r="V203" s="155"/>
    </row>
    <row r="204" spans="2:24" ht="41.25" customHeight="1">
      <c r="B204" s="169" t="str">
        <f t="shared" si="6"/>
        <v>1-196</v>
      </c>
      <c r="C204" s="100" t="s">
        <v>83</v>
      </c>
      <c r="D204" s="123" t="s">
        <v>514</v>
      </c>
      <c r="E204" s="100" t="s">
        <v>144</v>
      </c>
      <c r="F204" s="262" t="s">
        <v>117</v>
      </c>
      <c r="G204" s="263"/>
      <c r="H204" s="101"/>
      <c r="I204" s="20"/>
      <c r="J204" s="101"/>
      <c r="K204" s="101"/>
      <c r="L204" s="20"/>
      <c r="M204" s="101"/>
      <c r="N204" s="101"/>
      <c r="O204" s="20"/>
      <c r="P204" s="101"/>
      <c r="Q204" s="101"/>
      <c r="R204" s="101"/>
      <c r="S204" s="100"/>
      <c r="T204" s="102"/>
      <c r="U204" s="102"/>
      <c r="V204" s="113"/>
    </row>
    <row r="205" spans="2:24" ht="41.25" customHeight="1">
      <c r="B205" s="169" t="str">
        <f t="shared" si="6"/>
        <v>1-197</v>
      </c>
      <c r="C205" s="100" t="s">
        <v>83</v>
      </c>
      <c r="D205" s="100" t="s">
        <v>83</v>
      </c>
      <c r="E205" s="100" t="s">
        <v>118</v>
      </c>
      <c r="F205" s="262" t="s">
        <v>123</v>
      </c>
      <c r="G205" s="263"/>
      <c r="H205" s="101"/>
      <c r="I205" s="20"/>
      <c r="J205" s="101"/>
      <c r="K205" s="101"/>
      <c r="L205" s="20"/>
      <c r="M205" s="101"/>
      <c r="N205" s="101"/>
      <c r="O205" s="20"/>
      <c r="P205" s="101"/>
      <c r="Q205" s="182"/>
      <c r="R205" s="182"/>
      <c r="S205" s="100"/>
      <c r="T205" s="102"/>
      <c r="U205" s="102"/>
      <c r="V205" s="113"/>
    </row>
    <row r="206" spans="2:24" ht="41.25" customHeight="1">
      <c r="B206" s="169" t="str">
        <f t="shared" si="6"/>
        <v>1-198</v>
      </c>
      <c r="C206" s="100" t="s">
        <v>83</v>
      </c>
      <c r="D206" s="100" t="s">
        <v>83</v>
      </c>
      <c r="E206" s="100" t="s">
        <v>119</v>
      </c>
      <c r="F206" s="262" t="s">
        <v>123</v>
      </c>
      <c r="G206" s="263"/>
      <c r="H206" s="101"/>
      <c r="I206" s="20"/>
      <c r="J206" s="101"/>
      <c r="K206" s="101"/>
      <c r="L206" s="20"/>
      <c r="M206" s="101"/>
      <c r="N206" s="101"/>
      <c r="O206" s="20"/>
      <c r="P206" s="101"/>
      <c r="Q206" s="182"/>
      <c r="R206" s="182"/>
      <c r="S206" s="100"/>
      <c r="T206" s="102"/>
      <c r="U206" s="102"/>
      <c r="V206" s="113"/>
    </row>
    <row r="207" spans="2:24" ht="41.25" customHeight="1">
      <c r="B207" s="169" t="str">
        <f t="shared" si="6"/>
        <v>1-199</v>
      </c>
      <c r="C207" s="100" t="s">
        <v>83</v>
      </c>
      <c r="D207" s="100" t="s">
        <v>83</v>
      </c>
      <c r="E207" s="100" t="s">
        <v>126</v>
      </c>
      <c r="F207" s="262" t="s">
        <v>115</v>
      </c>
      <c r="G207" s="263"/>
      <c r="H207" s="101"/>
      <c r="I207" s="20"/>
      <c r="J207" s="101"/>
      <c r="K207" s="101"/>
      <c r="L207" s="20"/>
      <c r="M207" s="101"/>
      <c r="N207" s="101"/>
      <c r="O207" s="20"/>
      <c r="P207" s="101"/>
      <c r="Q207" s="182"/>
      <c r="R207" s="182"/>
      <c r="S207" s="100"/>
      <c r="T207" s="102"/>
      <c r="U207" s="102"/>
      <c r="V207" s="118"/>
    </row>
    <row r="208" spans="2:24" ht="41.25" customHeight="1">
      <c r="B208" s="169" t="str">
        <f t="shared" si="6"/>
        <v>1-200</v>
      </c>
      <c r="C208" s="100" t="s">
        <v>143</v>
      </c>
      <c r="D208" s="100" t="s">
        <v>83</v>
      </c>
      <c r="E208" s="100" t="s">
        <v>120</v>
      </c>
      <c r="F208" s="262" t="s">
        <v>123</v>
      </c>
      <c r="G208" s="263"/>
      <c r="H208" s="101"/>
      <c r="I208" s="20"/>
      <c r="J208" s="101"/>
      <c r="K208" s="101"/>
      <c r="L208" s="20"/>
      <c r="M208" s="101"/>
      <c r="N208" s="101"/>
      <c r="O208" s="20"/>
      <c r="P208" s="101"/>
      <c r="Q208" s="101"/>
      <c r="R208" s="101"/>
      <c r="S208" s="100"/>
      <c r="T208" s="102"/>
      <c r="U208" s="102"/>
      <c r="V208" s="118"/>
    </row>
    <row r="209" spans="2:24" ht="48.95" customHeight="1">
      <c r="B209" s="169" t="str">
        <f t="shared" si="6"/>
        <v>1-201</v>
      </c>
      <c r="C209" s="100" t="s">
        <v>83</v>
      </c>
      <c r="D209" s="100" t="s">
        <v>83</v>
      </c>
      <c r="E209" s="100" t="s">
        <v>121</v>
      </c>
      <c r="F209" s="262" t="s">
        <v>124</v>
      </c>
      <c r="G209" s="263"/>
      <c r="H209" s="101"/>
      <c r="I209" s="20"/>
      <c r="J209" s="101"/>
      <c r="K209" s="101"/>
      <c r="L209" s="20"/>
      <c r="M209" s="101"/>
      <c r="N209" s="101"/>
      <c r="O209" s="20"/>
      <c r="P209" s="101"/>
      <c r="Q209" s="182"/>
      <c r="R209" s="182"/>
      <c r="S209" s="100"/>
      <c r="T209" s="102"/>
      <c r="U209" s="102"/>
      <c r="V209" s="135"/>
      <c r="W209" s="135"/>
      <c r="X209" s="135"/>
    </row>
    <row r="210" spans="2:24" ht="41.25" customHeight="1">
      <c r="B210" s="169" t="str">
        <f t="shared" si="6"/>
        <v>1-202</v>
      </c>
      <c r="C210" s="100" t="s">
        <v>83</v>
      </c>
      <c r="D210" s="100" t="s">
        <v>83</v>
      </c>
      <c r="E210" s="100" t="s">
        <v>329</v>
      </c>
      <c r="F210" s="262" t="s">
        <v>330</v>
      </c>
      <c r="G210" s="263"/>
      <c r="H210" s="101"/>
      <c r="I210" s="20"/>
      <c r="J210" s="101"/>
      <c r="K210" s="101"/>
      <c r="L210" s="20"/>
      <c r="M210" s="101"/>
      <c r="N210" s="101"/>
      <c r="O210" s="20"/>
      <c r="P210" s="101"/>
      <c r="Q210" s="182"/>
      <c r="R210" s="182"/>
      <c r="S210" s="100"/>
      <c r="T210" s="102"/>
      <c r="U210" s="102"/>
      <c r="V210" s="155"/>
    </row>
    <row r="211" spans="2:24" ht="68.45" customHeight="1">
      <c r="B211" s="169" t="str">
        <f t="shared" si="6"/>
        <v>1-203</v>
      </c>
      <c r="C211" s="100" t="s">
        <v>83</v>
      </c>
      <c r="D211" s="100" t="s">
        <v>83</v>
      </c>
      <c r="E211" s="100" t="s">
        <v>146</v>
      </c>
      <c r="F211" s="262" t="s">
        <v>945</v>
      </c>
      <c r="G211" s="263"/>
      <c r="H211" s="101"/>
      <c r="I211" s="20"/>
      <c r="J211" s="101"/>
      <c r="K211" s="101"/>
      <c r="L211" s="20"/>
      <c r="M211" s="101"/>
      <c r="N211" s="101"/>
      <c r="O211" s="20"/>
      <c r="P211" s="101"/>
      <c r="Q211" s="182"/>
      <c r="R211" s="182"/>
      <c r="S211" s="100"/>
      <c r="T211" s="102"/>
      <c r="U211" s="102"/>
      <c r="V211" s="118"/>
    </row>
    <row r="212" spans="2:24" ht="41.25" customHeight="1">
      <c r="B212" s="169" t="str">
        <f t="shared" si="6"/>
        <v>1-204</v>
      </c>
      <c r="C212" s="100" t="s">
        <v>83</v>
      </c>
      <c r="D212" s="100" t="s">
        <v>465</v>
      </c>
      <c r="E212" s="100" t="s">
        <v>144</v>
      </c>
      <c r="F212" s="262" t="s">
        <v>145</v>
      </c>
      <c r="G212" s="263"/>
      <c r="H212" s="101"/>
      <c r="I212" s="20"/>
      <c r="J212" s="101"/>
      <c r="K212" s="101"/>
      <c r="L212" s="20"/>
      <c r="M212" s="101"/>
      <c r="N212" s="101"/>
      <c r="O212" s="20"/>
      <c r="P212" s="101"/>
      <c r="Q212" s="182"/>
      <c r="R212" s="182"/>
      <c r="S212" s="100"/>
      <c r="T212" s="102"/>
      <c r="U212" s="102"/>
      <c r="V212" s="155"/>
    </row>
    <row r="213" spans="2:24" ht="41.25" customHeight="1">
      <c r="B213" s="169" t="str">
        <f t="shared" si="6"/>
        <v>1-205</v>
      </c>
      <c r="C213" s="100" t="s">
        <v>83</v>
      </c>
      <c r="D213" s="100" t="s">
        <v>83</v>
      </c>
      <c r="E213" s="100" t="s">
        <v>118</v>
      </c>
      <c r="F213" s="262" t="s">
        <v>123</v>
      </c>
      <c r="G213" s="263"/>
      <c r="H213" s="101"/>
      <c r="I213" s="20"/>
      <c r="J213" s="101"/>
      <c r="K213" s="101"/>
      <c r="L213" s="20"/>
      <c r="M213" s="101"/>
      <c r="N213" s="101"/>
      <c r="O213" s="20"/>
      <c r="P213" s="101"/>
      <c r="Q213" s="182"/>
      <c r="R213" s="182"/>
      <c r="S213" s="100"/>
      <c r="T213" s="102"/>
      <c r="U213" s="102"/>
      <c r="V213" s="155"/>
    </row>
    <row r="214" spans="2:24" ht="41.25" customHeight="1">
      <c r="B214" s="169" t="str">
        <f t="shared" si="6"/>
        <v>1-206</v>
      </c>
      <c r="C214" s="100" t="s">
        <v>83</v>
      </c>
      <c r="D214" s="100" t="s">
        <v>83</v>
      </c>
      <c r="E214" s="100" t="s">
        <v>119</v>
      </c>
      <c r="F214" s="262" t="s">
        <v>123</v>
      </c>
      <c r="G214" s="263"/>
      <c r="H214" s="101"/>
      <c r="I214" s="20"/>
      <c r="J214" s="101"/>
      <c r="K214" s="101"/>
      <c r="L214" s="20"/>
      <c r="M214" s="101"/>
      <c r="N214" s="101"/>
      <c r="O214" s="20"/>
      <c r="P214" s="101"/>
      <c r="Q214" s="182"/>
      <c r="R214" s="182"/>
      <c r="S214" s="100"/>
      <c r="T214" s="102"/>
      <c r="U214" s="102"/>
      <c r="V214" s="155"/>
    </row>
    <row r="215" spans="2:24" ht="41.25" customHeight="1">
      <c r="B215" s="169" t="str">
        <f t="shared" si="6"/>
        <v>1-207</v>
      </c>
      <c r="C215" s="100" t="s">
        <v>83</v>
      </c>
      <c r="D215" s="100" t="s">
        <v>83</v>
      </c>
      <c r="E215" s="100" t="s">
        <v>126</v>
      </c>
      <c r="F215" s="262" t="s">
        <v>130</v>
      </c>
      <c r="G215" s="263"/>
      <c r="H215" s="101"/>
      <c r="I215" s="20"/>
      <c r="J215" s="101"/>
      <c r="K215" s="101"/>
      <c r="L215" s="20"/>
      <c r="M215" s="101"/>
      <c r="N215" s="101"/>
      <c r="O215" s="20"/>
      <c r="P215" s="101"/>
      <c r="Q215" s="182"/>
      <c r="R215" s="182"/>
      <c r="S215" s="100"/>
      <c r="T215" s="102"/>
      <c r="U215" s="102"/>
      <c r="V215" s="155"/>
    </row>
    <row r="216" spans="2:24" ht="41.25" customHeight="1">
      <c r="B216" s="169" t="str">
        <f t="shared" si="6"/>
        <v>1-208</v>
      </c>
      <c r="C216" s="100" t="s">
        <v>83</v>
      </c>
      <c r="D216" s="100" t="s">
        <v>83</v>
      </c>
      <c r="E216" s="100" t="s">
        <v>120</v>
      </c>
      <c r="F216" s="262" t="s">
        <v>125</v>
      </c>
      <c r="G216" s="263"/>
      <c r="H216" s="101"/>
      <c r="I216" s="20"/>
      <c r="J216" s="101"/>
      <c r="K216" s="101"/>
      <c r="L216" s="20"/>
      <c r="M216" s="101"/>
      <c r="N216" s="101"/>
      <c r="O216" s="20"/>
      <c r="P216" s="101"/>
      <c r="Q216" s="101"/>
      <c r="R216" s="101"/>
      <c r="S216" s="100"/>
      <c r="T216" s="102"/>
      <c r="U216" s="102"/>
      <c r="V216" s="155"/>
    </row>
    <row r="217" spans="2:24" ht="41.25" customHeight="1">
      <c r="B217" s="169" t="str">
        <f t="shared" si="6"/>
        <v>1-209</v>
      </c>
      <c r="C217" s="100" t="s">
        <v>83</v>
      </c>
      <c r="D217" s="100" t="s">
        <v>83</v>
      </c>
      <c r="E217" s="100" t="s">
        <v>121</v>
      </c>
      <c r="F217" s="262" t="s">
        <v>312</v>
      </c>
      <c r="G217" s="263"/>
      <c r="H217" s="101"/>
      <c r="I217" s="20"/>
      <c r="J217" s="101"/>
      <c r="K217" s="101"/>
      <c r="L217" s="20"/>
      <c r="M217" s="101"/>
      <c r="N217" s="101"/>
      <c r="O217" s="20"/>
      <c r="P217" s="101"/>
      <c r="Q217" s="182"/>
      <c r="R217" s="182"/>
      <c r="S217" s="100"/>
      <c r="T217" s="102"/>
      <c r="U217" s="102"/>
      <c r="V217" s="155"/>
    </row>
    <row r="218" spans="2:24" ht="41.25" customHeight="1">
      <c r="B218" s="169" t="str">
        <f t="shared" si="6"/>
        <v>1-210</v>
      </c>
      <c r="C218" s="100" t="s">
        <v>83</v>
      </c>
      <c r="D218" s="100" t="s">
        <v>83</v>
      </c>
      <c r="E218" s="100" t="s">
        <v>329</v>
      </c>
      <c r="F218" s="262" t="s">
        <v>105</v>
      </c>
      <c r="G218" s="263"/>
      <c r="H218" s="101"/>
      <c r="I218" s="20"/>
      <c r="J218" s="101"/>
      <c r="K218" s="101"/>
      <c r="L218" s="20"/>
      <c r="M218" s="101"/>
      <c r="N218" s="101"/>
      <c r="O218" s="20"/>
      <c r="P218" s="101"/>
      <c r="Q218" s="182"/>
      <c r="R218" s="182"/>
      <c r="S218" s="100"/>
      <c r="T218" s="102"/>
      <c r="U218" s="102"/>
      <c r="V218" s="155"/>
    </row>
    <row r="219" spans="2:24" ht="68.45" customHeight="1">
      <c r="B219" s="169" t="str">
        <f t="shared" si="6"/>
        <v>1-211</v>
      </c>
      <c r="C219" s="100" t="s">
        <v>83</v>
      </c>
      <c r="D219" s="100" t="s">
        <v>83</v>
      </c>
      <c r="E219" s="100" t="s">
        <v>146</v>
      </c>
      <c r="F219" s="262" t="s">
        <v>946</v>
      </c>
      <c r="G219" s="263"/>
      <c r="H219" s="101"/>
      <c r="I219" s="20"/>
      <c r="J219" s="101"/>
      <c r="K219" s="101"/>
      <c r="L219" s="20"/>
      <c r="M219" s="101"/>
      <c r="N219" s="101"/>
      <c r="O219" s="20"/>
      <c r="P219" s="101"/>
      <c r="Q219" s="182"/>
      <c r="R219" s="182"/>
      <c r="S219" s="100"/>
      <c r="T219" s="102"/>
      <c r="U219" s="102"/>
      <c r="V219" s="155"/>
    </row>
    <row r="220" spans="2:24" ht="41.25" customHeight="1">
      <c r="B220" s="169" t="str">
        <f t="shared" si="6"/>
        <v>1-212</v>
      </c>
      <c r="C220" s="100" t="s">
        <v>83</v>
      </c>
      <c r="D220" s="100" t="s">
        <v>466</v>
      </c>
      <c r="E220" s="100" t="s">
        <v>144</v>
      </c>
      <c r="F220" s="262" t="s">
        <v>145</v>
      </c>
      <c r="G220" s="263"/>
      <c r="H220" s="101"/>
      <c r="I220" s="20"/>
      <c r="J220" s="101"/>
      <c r="K220" s="101"/>
      <c r="L220" s="20"/>
      <c r="M220" s="101"/>
      <c r="N220" s="101"/>
      <c r="O220" s="20"/>
      <c r="P220" s="101"/>
      <c r="Q220" s="182"/>
      <c r="R220" s="182"/>
      <c r="S220" s="100"/>
      <c r="T220" s="102"/>
      <c r="U220" s="102"/>
      <c r="V220" s="113"/>
    </row>
    <row r="221" spans="2:24" ht="41.25" customHeight="1">
      <c r="B221" s="169" t="str">
        <f t="shared" si="6"/>
        <v>1-213</v>
      </c>
      <c r="C221" s="100" t="s">
        <v>83</v>
      </c>
      <c r="D221" s="100" t="s">
        <v>83</v>
      </c>
      <c r="E221" s="100" t="s">
        <v>118</v>
      </c>
      <c r="F221" s="262" t="s">
        <v>123</v>
      </c>
      <c r="G221" s="263"/>
      <c r="H221" s="101"/>
      <c r="I221" s="20"/>
      <c r="J221" s="101"/>
      <c r="K221" s="101"/>
      <c r="L221" s="20"/>
      <c r="M221" s="101"/>
      <c r="N221" s="101"/>
      <c r="O221" s="20"/>
      <c r="P221" s="101"/>
      <c r="Q221" s="182"/>
      <c r="R221" s="182"/>
      <c r="S221" s="100"/>
      <c r="T221" s="102"/>
      <c r="U221" s="102"/>
      <c r="V221" s="113"/>
    </row>
    <row r="222" spans="2:24" ht="41.25" customHeight="1">
      <c r="B222" s="169" t="str">
        <f t="shared" si="6"/>
        <v>1-214</v>
      </c>
      <c r="C222" s="100" t="s">
        <v>83</v>
      </c>
      <c r="D222" s="100" t="s">
        <v>83</v>
      </c>
      <c r="E222" s="100" t="s">
        <v>119</v>
      </c>
      <c r="F222" s="262" t="s">
        <v>125</v>
      </c>
      <c r="G222" s="263"/>
      <c r="H222" s="101"/>
      <c r="I222" s="20"/>
      <c r="J222" s="101"/>
      <c r="K222" s="101"/>
      <c r="L222" s="20"/>
      <c r="M222" s="101"/>
      <c r="N222" s="101"/>
      <c r="O222" s="20"/>
      <c r="P222" s="101"/>
      <c r="Q222" s="182"/>
      <c r="R222" s="182"/>
      <c r="S222" s="100"/>
      <c r="T222" s="102"/>
      <c r="U222" s="102"/>
      <c r="V222" s="113"/>
    </row>
    <row r="223" spans="2:24" ht="41.25" customHeight="1">
      <c r="B223" s="169" t="str">
        <f t="shared" si="6"/>
        <v>1-215</v>
      </c>
      <c r="C223" s="100" t="s">
        <v>83</v>
      </c>
      <c r="D223" s="100" t="s">
        <v>83</v>
      </c>
      <c r="E223" s="100" t="s">
        <v>126</v>
      </c>
      <c r="F223" s="262" t="s">
        <v>130</v>
      </c>
      <c r="G223" s="263"/>
      <c r="H223" s="101"/>
      <c r="I223" s="20"/>
      <c r="J223" s="101"/>
      <c r="K223" s="101"/>
      <c r="L223" s="20"/>
      <c r="M223" s="101"/>
      <c r="N223" s="101"/>
      <c r="O223" s="20"/>
      <c r="P223" s="101"/>
      <c r="Q223" s="182"/>
      <c r="R223" s="182"/>
      <c r="S223" s="100"/>
      <c r="T223" s="102"/>
      <c r="U223" s="102"/>
      <c r="V223" s="113"/>
    </row>
    <row r="224" spans="2:24" ht="41.25" customHeight="1">
      <c r="B224" s="169" t="str">
        <f t="shared" si="6"/>
        <v>1-216</v>
      </c>
      <c r="C224" s="100" t="s">
        <v>83</v>
      </c>
      <c r="D224" s="100" t="s">
        <v>83</v>
      </c>
      <c r="E224" s="100" t="s">
        <v>120</v>
      </c>
      <c r="F224" s="262" t="s">
        <v>125</v>
      </c>
      <c r="G224" s="263"/>
      <c r="H224" s="101"/>
      <c r="I224" s="20"/>
      <c r="J224" s="101"/>
      <c r="K224" s="101"/>
      <c r="L224" s="20"/>
      <c r="M224" s="101"/>
      <c r="N224" s="101"/>
      <c r="O224" s="20"/>
      <c r="P224" s="101"/>
      <c r="Q224" s="182"/>
      <c r="R224" s="182"/>
      <c r="S224" s="100"/>
      <c r="T224" s="102"/>
      <c r="U224" s="102"/>
      <c r="V224" s="118"/>
    </row>
    <row r="225" spans="2:22" ht="41.25" customHeight="1">
      <c r="B225" s="169" t="str">
        <f t="shared" si="6"/>
        <v>1-217</v>
      </c>
      <c r="C225" s="100" t="s">
        <v>83</v>
      </c>
      <c r="D225" s="100" t="s">
        <v>83</v>
      </c>
      <c r="E225" s="100" t="s">
        <v>121</v>
      </c>
      <c r="F225" s="262" t="s">
        <v>286</v>
      </c>
      <c r="G225" s="263"/>
      <c r="H225" s="101"/>
      <c r="I225" s="20"/>
      <c r="J225" s="101"/>
      <c r="K225" s="101"/>
      <c r="L225" s="20"/>
      <c r="M225" s="101"/>
      <c r="N225" s="101"/>
      <c r="O225" s="20"/>
      <c r="P225" s="101"/>
      <c r="Q225" s="182"/>
      <c r="R225" s="182"/>
      <c r="S225" s="100"/>
      <c r="T225" s="102"/>
      <c r="U225" s="102"/>
      <c r="V225" s="113"/>
    </row>
    <row r="226" spans="2:22" ht="41.25" customHeight="1">
      <c r="B226" s="169" t="str">
        <f t="shared" si="6"/>
        <v>1-218</v>
      </c>
      <c r="C226" s="100" t="s">
        <v>83</v>
      </c>
      <c r="D226" s="100" t="s">
        <v>467</v>
      </c>
      <c r="E226" s="100" t="s">
        <v>144</v>
      </c>
      <c r="F226" s="262" t="s">
        <v>145</v>
      </c>
      <c r="G226" s="263"/>
      <c r="H226" s="101"/>
      <c r="I226" s="20"/>
      <c r="J226" s="101"/>
      <c r="K226" s="101"/>
      <c r="L226" s="20"/>
      <c r="M226" s="101"/>
      <c r="N226" s="101"/>
      <c r="O226" s="20"/>
      <c r="P226" s="101"/>
      <c r="Q226" s="182"/>
      <c r="R226" s="182"/>
      <c r="S226" s="100"/>
      <c r="T226" s="102"/>
      <c r="U226" s="102"/>
      <c r="V226" s="113"/>
    </row>
    <row r="227" spans="2:22" ht="41.25" customHeight="1">
      <c r="B227" s="169" t="str">
        <f t="shared" si="6"/>
        <v>1-219</v>
      </c>
      <c r="C227" s="100" t="s">
        <v>83</v>
      </c>
      <c r="D227" s="100" t="s">
        <v>83</v>
      </c>
      <c r="E227" s="100" t="s">
        <v>118</v>
      </c>
      <c r="F227" s="262" t="s">
        <v>123</v>
      </c>
      <c r="G227" s="263"/>
      <c r="H227" s="101"/>
      <c r="I227" s="20"/>
      <c r="J227" s="101"/>
      <c r="K227" s="101"/>
      <c r="L227" s="20"/>
      <c r="M227" s="101"/>
      <c r="N227" s="101"/>
      <c r="O227" s="20"/>
      <c r="P227" s="101"/>
      <c r="Q227" s="182"/>
      <c r="R227" s="182"/>
      <c r="S227" s="100"/>
      <c r="T227" s="102"/>
      <c r="U227" s="102"/>
      <c r="V227" s="113"/>
    </row>
    <row r="228" spans="2:22" ht="41.25" customHeight="1">
      <c r="B228" s="169" t="str">
        <f t="shared" si="6"/>
        <v>1-220</v>
      </c>
      <c r="C228" s="100" t="s">
        <v>83</v>
      </c>
      <c r="D228" s="100" t="s">
        <v>83</v>
      </c>
      <c r="E228" s="100" t="s">
        <v>119</v>
      </c>
      <c r="F228" s="262" t="s">
        <v>125</v>
      </c>
      <c r="G228" s="263"/>
      <c r="H228" s="101"/>
      <c r="I228" s="20"/>
      <c r="J228" s="101"/>
      <c r="K228" s="101"/>
      <c r="L228" s="20"/>
      <c r="M228" s="101"/>
      <c r="N228" s="101"/>
      <c r="O228" s="20"/>
      <c r="P228" s="101"/>
      <c r="Q228" s="182"/>
      <c r="R228" s="182"/>
      <c r="S228" s="100"/>
      <c r="T228" s="102"/>
      <c r="U228" s="102"/>
      <c r="V228" s="113"/>
    </row>
    <row r="229" spans="2:22" ht="41.25" customHeight="1">
      <c r="B229" s="169" t="str">
        <f t="shared" si="6"/>
        <v>1-221</v>
      </c>
      <c r="C229" s="100" t="s">
        <v>83</v>
      </c>
      <c r="D229" s="100" t="s">
        <v>83</v>
      </c>
      <c r="E229" s="100" t="s">
        <v>126</v>
      </c>
      <c r="F229" s="262" t="s">
        <v>130</v>
      </c>
      <c r="G229" s="263"/>
      <c r="H229" s="101"/>
      <c r="I229" s="20"/>
      <c r="J229" s="101"/>
      <c r="K229" s="101"/>
      <c r="L229" s="20"/>
      <c r="M229" s="101"/>
      <c r="N229" s="101"/>
      <c r="O229" s="20"/>
      <c r="P229" s="101"/>
      <c r="Q229" s="182"/>
      <c r="R229" s="182"/>
      <c r="S229" s="100"/>
      <c r="T229" s="102"/>
      <c r="U229" s="102"/>
      <c r="V229" s="113"/>
    </row>
    <row r="230" spans="2:22" ht="41.25" customHeight="1">
      <c r="B230" s="169" t="str">
        <f t="shared" si="6"/>
        <v>1-222</v>
      </c>
      <c r="C230" s="100" t="s">
        <v>83</v>
      </c>
      <c r="D230" s="100" t="s">
        <v>83</v>
      </c>
      <c r="E230" s="100" t="s">
        <v>120</v>
      </c>
      <c r="F230" s="262" t="s">
        <v>125</v>
      </c>
      <c r="G230" s="263"/>
      <c r="H230" s="101"/>
      <c r="I230" s="20"/>
      <c r="J230" s="101"/>
      <c r="K230" s="101"/>
      <c r="L230" s="20"/>
      <c r="M230" s="101"/>
      <c r="N230" s="101"/>
      <c r="O230" s="20"/>
      <c r="P230" s="101"/>
      <c r="Q230" s="182"/>
      <c r="R230" s="182"/>
      <c r="S230" s="100"/>
      <c r="T230" s="102"/>
      <c r="U230" s="102"/>
      <c r="V230" s="118"/>
    </row>
    <row r="231" spans="2:22" ht="41.25" customHeight="1">
      <c r="B231" s="169" t="str">
        <f t="shared" si="6"/>
        <v>1-223</v>
      </c>
      <c r="C231" s="100" t="s">
        <v>83</v>
      </c>
      <c r="D231" s="100" t="s">
        <v>83</v>
      </c>
      <c r="E231" s="100" t="s">
        <v>121</v>
      </c>
      <c r="F231" s="262" t="s">
        <v>287</v>
      </c>
      <c r="G231" s="263"/>
      <c r="H231" s="101"/>
      <c r="I231" s="20"/>
      <c r="J231" s="101"/>
      <c r="K231" s="101"/>
      <c r="L231" s="20"/>
      <c r="M231" s="101"/>
      <c r="N231" s="101"/>
      <c r="O231" s="20"/>
      <c r="P231" s="101"/>
      <c r="Q231" s="182"/>
      <c r="R231" s="182"/>
      <c r="S231" s="100"/>
      <c r="T231" s="102"/>
      <c r="U231" s="102"/>
      <c r="V231" s="113"/>
    </row>
    <row r="232" spans="2:22" ht="41.25" customHeight="1">
      <c r="B232" s="169" t="str">
        <f t="shared" si="6"/>
        <v>1-224</v>
      </c>
      <c r="C232" s="100" t="s">
        <v>83</v>
      </c>
      <c r="D232" s="100" t="s">
        <v>128</v>
      </c>
      <c r="E232" s="42" t="s">
        <v>487</v>
      </c>
      <c r="F232" s="262" t="s">
        <v>285</v>
      </c>
      <c r="G232" s="263"/>
      <c r="H232" s="161"/>
      <c r="I232" s="162"/>
      <c r="J232" s="161"/>
      <c r="K232" s="101"/>
      <c r="L232" s="20"/>
      <c r="M232" s="101"/>
      <c r="N232" s="161"/>
      <c r="O232" s="162"/>
      <c r="P232" s="161"/>
      <c r="Q232" s="101"/>
      <c r="R232" s="101"/>
      <c r="S232" s="100"/>
      <c r="T232" s="102"/>
      <c r="U232" s="102"/>
      <c r="V232" s="118"/>
    </row>
    <row r="233" spans="2:22" ht="41.25" customHeight="1">
      <c r="B233" s="169" t="str">
        <f t="shared" si="6"/>
        <v>1-225</v>
      </c>
      <c r="C233" s="100" t="s">
        <v>83</v>
      </c>
      <c r="D233" s="100" t="s">
        <v>83</v>
      </c>
      <c r="E233" s="100" t="s">
        <v>144</v>
      </c>
      <c r="F233" s="262" t="s">
        <v>145</v>
      </c>
      <c r="G233" s="263"/>
      <c r="H233" s="101"/>
      <c r="I233" s="20"/>
      <c r="J233" s="101"/>
      <c r="K233" s="101"/>
      <c r="L233" s="20"/>
      <c r="M233" s="101"/>
      <c r="N233" s="101"/>
      <c r="O233" s="20"/>
      <c r="P233" s="101"/>
      <c r="Q233" s="182"/>
      <c r="R233" s="182"/>
      <c r="S233" s="100"/>
      <c r="T233" s="102"/>
      <c r="U233" s="102"/>
      <c r="V233" s="118"/>
    </row>
    <row r="234" spans="2:22" ht="41.25" customHeight="1">
      <c r="B234" s="169" t="str">
        <f t="shared" si="6"/>
        <v>1-226</v>
      </c>
      <c r="C234" s="100" t="s">
        <v>83</v>
      </c>
      <c r="D234" s="100" t="s">
        <v>83</v>
      </c>
      <c r="E234" s="100" t="s">
        <v>129</v>
      </c>
      <c r="F234" s="262" t="s">
        <v>125</v>
      </c>
      <c r="G234" s="263"/>
      <c r="H234" s="101"/>
      <c r="I234" s="20"/>
      <c r="J234" s="101"/>
      <c r="K234" s="101"/>
      <c r="L234" s="20"/>
      <c r="M234" s="101"/>
      <c r="N234" s="101"/>
      <c r="O234" s="20"/>
      <c r="P234" s="101"/>
      <c r="Q234" s="182"/>
      <c r="R234" s="182"/>
      <c r="S234" s="100"/>
      <c r="T234" s="102"/>
      <c r="U234" s="102"/>
      <c r="V234" s="118"/>
    </row>
    <row r="235" spans="2:22" ht="41.25" customHeight="1">
      <c r="B235" s="169" t="str">
        <f t="shared" si="6"/>
        <v>1-227</v>
      </c>
      <c r="C235" s="100" t="s">
        <v>83</v>
      </c>
      <c r="D235" s="100" t="s">
        <v>83</v>
      </c>
      <c r="E235" s="100" t="s">
        <v>127</v>
      </c>
      <c r="F235" s="262" t="s">
        <v>125</v>
      </c>
      <c r="G235" s="263"/>
      <c r="H235" s="101"/>
      <c r="I235" s="20"/>
      <c r="J235" s="101"/>
      <c r="K235" s="101"/>
      <c r="L235" s="20"/>
      <c r="M235" s="101"/>
      <c r="N235" s="101"/>
      <c r="O235" s="20"/>
      <c r="P235" s="101"/>
      <c r="Q235" s="182"/>
      <c r="R235" s="182"/>
      <c r="S235" s="100"/>
      <c r="T235" s="102"/>
      <c r="U235" s="102"/>
      <c r="V235" s="118"/>
    </row>
    <row r="236" spans="2:22" ht="41.25" customHeight="1">
      <c r="B236" s="169" t="str">
        <f t="shared" si="6"/>
        <v>1-228</v>
      </c>
      <c r="C236" s="100" t="s">
        <v>83</v>
      </c>
      <c r="D236" s="100" t="s">
        <v>83</v>
      </c>
      <c r="E236" s="100" t="s">
        <v>126</v>
      </c>
      <c r="F236" s="262" t="s">
        <v>131</v>
      </c>
      <c r="G236" s="263"/>
      <c r="H236" s="101"/>
      <c r="I236" s="20"/>
      <c r="J236" s="101"/>
      <c r="K236" s="101"/>
      <c r="L236" s="20"/>
      <c r="M236" s="101"/>
      <c r="N236" s="101"/>
      <c r="O236" s="20"/>
      <c r="P236" s="101"/>
      <c r="Q236" s="182"/>
      <c r="R236" s="182"/>
      <c r="S236" s="100"/>
      <c r="T236" s="102"/>
      <c r="U236" s="102"/>
      <c r="V236" s="118"/>
    </row>
    <row r="237" spans="2:22" ht="41.25" customHeight="1">
      <c r="B237" s="169" t="str">
        <f t="shared" si="6"/>
        <v>1-229</v>
      </c>
      <c r="C237" s="100" t="s">
        <v>83</v>
      </c>
      <c r="D237" s="100" t="s">
        <v>83</v>
      </c>
      <c r="E237" s="100" t="s">
        <v>120</v>
      </c>
      <c r="F237" s="262" t="s">
        <v>125</v>
      </c>
      <c r="G237" s="263"/>
      <c r="H237" s="101"/>
      <c r="I237" s="20"/>
      <c r="J237" s="101"/>
      <c r="K237" s="101"/>
      <c r="L237" s="20"/>
      <c r="M237" s="101"/>
      <c r="N237" s="101"/>
      <c r="O237" s="20"/>
      <c r="P237" s="101"/>
      <c r="Q237" s="182"/>
      <c r="R237" s="182"/>
      <c r="S237" s="100"/>
      <c r="T237" s="102"/>
      <c r="U237" s="102"/>
      <c r="V237" s="118"/>
    </row>
    <row r="238" spans="2:22" ht="41.25" customHeight="1">
      <c r="B238" s="169" t="str">
        <f t="shared" si="6"/>
        <v>1-230</v>
      </c>
      <c r="C238" s="100" t="s">
        <v>83</v>
      </c>
      <c r="D238" s="100" t="s">
        <v>83</v>
      </c>
      <c r="E238" s="100" t="s">
        <v>121</v>
      </c>
      <c r="F238" s="262" t="s">
        <v>288</v>
      </c>
      <c r="G238" s="263"/>
      <c r="H238" s="101"/>
      <c r="I238" s="20"/>
      <c r="J238" s="101"/>
      <c r="K238" s="101"/>
      <c r="L238" s="20"/>
      <c r="M238" s="101"/>
      <c r="N238" s="101"/>
      <c r="O238" s="20"/>
      <c r="P238" s="101"/>
      <c r="Q238" s="182"/>
      <c r="R238" s="182"/>
      <c r="S238" s="100"/>
      <c r="T238" s="102"/>
      <c r="U238" s="102"/>
      <c r="V238" s="118"/>
    </row>
    <row r="239" spans="2:22" ht="41.25" customHeight="1">
      <c r="B239" s="169" t="str">
        <f t="shared" si="6"/>
        <v>1-231</v>
      </c>
      <c r="C239" s="100" t="s">
        <v>83</v>
      </c>
      <c r="D239" s="100" t="s">
        <v>132</v>
      </c>
      <c r="E239" s="100" t="s">
        <v>488</v>
      </c>
      <c r="F239" s="262" t="s">
        <v>285</v>
      </c>
      <c r="G239" s="263"/>
      <c r="H239" s="161"/>
      <c r="I239" s="162"/>
      <c r="J239" s="161"/>
      <c r="K239" s="101"/>
      <c r="L239" s="20"/>
      <c r="M239" s="101"/>
      <c r="N239" s="161"/>
      <c r="O239" s="162"/>
      <c r="P239" s="161"/>
      <c r="Q239" s="101"/>
      <c r="R239" s="101"/>
      <c r="S239" s="100"/>
      <c r="T239" s="102"/>
      <c r="U239" s="102"/>
      <c r="V239" s="118"/>
    </row>
    <row r="240" spans="2:22" ht="41.25" customHeight="1">
      <c r="B240" s="169" t="str">
        <f t="shared" si="6"/>
        <v>1-232</v>
      </c>
      <c r="C240" s="100" t="s">
        <v>83</v>
      </c>
      <c r="D240" s="100" t="s">
        <v>83</v>
      </c>
      <c r="E240" s="100" t="s">
        <v>144</v>
      </c>
      <c r="F240" s="262" t="s">
        <v>145</v>
      </c>
      <c r="G240" s="263"/>
      <c r="H240" s="101"/>
      <c r="I240" s="20"/>
      <c r="J240" s="101"/>
      <c r="K240" s="101"/>
      <c r="L240" s="20"/>
      <c r="M240" s="101"/>
      <c r="N240" s="101"/>
      <c r="O240" s="20"/>
      <c r="P240" s="101"/>
      <c r="Q240" s="182"/>
      <c r="R240" s="182"/>
      <c r="S240" s="100"/>
      <c r="T240" s="102"/>
      <c r="U240" s="102"/>
      <c r="V240" s="118"/>
    </row>
    <row r="241" spans="2:24" ht="41.25" customHeight="1">
      <c r="B241" s="169" t="str">
        <f t="shared" si="6"/>
        <v>1-233</v>
      </c>
      <c r="C241" s="100" t="s">
        <v>83</v>
      </c>
      <c r="D241" s="100" t="s">
        <v>83</v>
      </c>
      <c r="E241" s="100" t="s">
        <v>129</v>
      </c>
      <c r="F241" s="262" t="s">
        <v>123</v>
      </c>
      <c r="G241" s="263"/>
      <c r="H241" s="101"/>
      <c r="I241" s="20"/>
      <c r="J241" s="101"/>
      <c r="K241" s="101"/>
      <c r="L241" s="20"/>
      <c r="M241" s="101"/>
      <c r="N241" s="101"/>
      <c r="O241" s="20"/>
      <c r="P241" s="101"/>
      <c r="Q241" s="182"/>
      <c r="R241" s="182"/>
      <c r="S241" s="100"/>
      <c r="T241" s="102"/>
      <c r="U241" s="102"/>
      <c r="V241" s="118"/>
    </row>
    <row r="242" spans="2:24" ht="41.25" customHeight="1">
      <c r="B242" s="169" t="str">
        <f t="shared" si="6"/>
        <v>1-234</v>
      </c>
      <c r="C242" s="100" t="s">
        <v>83</v>
      </c>
      <c r="D242" s="100" t="s">
        <v>83</v>
      </c>
      <c r="E242" s="100" t="s">
        <v>127</v>
      </c>
      <c r="F242" s="262" t="s">
        <v>125</v>
      </c>
      <c r="G242" s="263"/>
      <c r="H242" s="101"/>
      <c r="I242" s="20"/>
      <c r="J242" s="101"/>
      <c r="K242" s="101"/>
      <c r="L242" s="20"/>
      <c r="M242" s="101"/>
      <c r="N242" s="101"/>
      <c r="O242" s="20"/>
      <c r="P242" s="101"/>
      <c r="Q242" s="182"/>
      <c r="R242" s="182"/>
      <c r="S242" s="100"/>
      <c r="T242" s="102"/>
      <c r="U242" s="102"/>
      <c r="V242" s="118"/>
    </row>
    <row r="243" spans="2:24" ht="41.25" customHeight="1">
      <c r="B243" s="169" t="str">
        <f t="shared" si="6"/>
        <v>1-235</v>
      </c>
      <c r="C243" s="100" t="s">
        <v>83</v>
      </c>
      <c r="D243" s="100" t="s">
        <v>83</v>
      </c>
      <c r="E243" s="100" t="s">
        <v>126</v>
      </c>
      <c r="F243" s="262" t="s">
        <v>130</v>
      </c>
      <c r="G243" s="263"/>
      <c r="H243" s="101"/>
      <c r="I243" s="20"/>
      <c r="J243" s="101"/>
      <c r="K243" s="101"/>
      <c r="L243" s="20"/>
      <c r="M243" s="101"/>
      <c r="N243" s="101"/>
      <c r="O243" s="20"/>
      <c r="P243" s="101"/>
      <c r="Q243" s="182"/>
      <c r="R243" s="182"/>
      <c r="S243" s="100"/>
      <c r="T243" s="102"/>
      <c r="U243" s="102"/>
      <c r="V243" s="118"/>
    </row>
    <row r="244" spans="2:24" ht="41.25" customHeight="1">
      <c r="B244" s="169" t="str">
        <f t="shared" si="6"/>
        <v>1-236</v>
      </c>
      <c r="C244" s="100" t="s">
        <v>83</v>
      </c>
      <c r="D244" s="100" t="s">
        <v>83</v>
      </c>
      <c r="E244" s="100" t="s">
        <v>120</v>
      </c>
      <c r="F244" s="262" t="s">
        <v>125</v>
      </c>
      <c r="G244" s="263"/>
      <c r="H244" s="101"/>
      <c r="I244" s="20"/>
      <c r="J244" s="101"/>
      <c r="K244" s="101"/>
      <c r="L244" s="20"/>
      <c r="M244" s="101"/>
      <c r="N244" s="101"/>
      <c r="O244" s="20"/>
      <c r="P244" s="101"/>
      <c r="Q244" s="182"/>
      <c r="R244" s="182"/>
      <c r="S244" s="100"/>
      <c r="T244" s="102"/>
      <c r="U244" s="102"/>
      <c r="V244" s="118"/>
    </row>
    <row r="245" spans="2:24" ht="41.25" customHeight="1">
      <c r="B245" s="169" t="str">
        <f t="shared" si="6"/>
        <v>1-237</v>
      </c>
      <c r="C245" s="100" t="s">
        <v>83</v>
      </c>
      <c r="D245" s="100" t="s">
        <v>83</v>
      </c>
      <c r="E245" s="100" t="s">
        <v>121</v>
      </c>
      <c r="F245" s="262" t="s">
        <v>287</v>
      </c>
      <c r="G245" s="263"/>
      <c r="H245" s="101"/>
      <c r="I245" s="20"/>
      <c r="J245" s="101"/>
      <c r="K245" s="101"/>
      <c r="L245" s="20"/>
      <c r="M245" s="101"/>
      <c r="N245" s="101"/>
      <c r="O245" s="20"/>
      <c r="P245" s="101"/>
      <c r="Q245" s="182"/>
      <c r="R245" s="182"/>
      <c r="S245" s="100"/>
      <c r="T245" s="102"/>
      <c r="U245" s="102"/>
      <c r="V245" s="118"/>
    </row>
    <row r="246" spans="2:24" ht="41.25" customHeight="1">
      <c r="B246" s="169" t="str">
        <f t="shared" si="6"/>
        <v>1-238</v>
      </c>
      <c r="C246" s="100" t="s">
        <v>83</v>
      </c>
      <c r="D246" s="42" t="s">
        <v>458</v>
      </c>
      <c r="E246" s="100" t="s">
        <v>490</v>
      </c>
      <c r="F246" s="262" t="s">
        <v>285</v>
      </c>
      <c r="G246" s="263"/>
      <c r="H246" s="161"/>
      <c r="I246" s="162"/>
      <c r="J246" s="161"/>
      <c r="K246" s="101"/>
      <c r="L246" s="20"/>
      <c r="M246" s="101"/>
      <c r="N246" s="161"/>
      <c r="O246" s="162"/>
      <c r="P246" s="161"/>
      <c r="Q246" s="101"/>
      <c r="R246" s="101"/>
      <c r="S246" s="100"/>
      <c r="T246" s="102"/>
      <c r="U246" s="102"/>
      <c r="V246" s="118"/>
    </row>
    <row r="247" spans="2:24" ht="41.25" customHeight="1">
      <c r="B247" s="169" t="str">
        <f t="shared" si="6"/>
        <v>1-239</v>
      </c>
      <c r="C247" s="100" t="s">
        <v>83</v>
      </c>
      <c r="D247" s="100" t="s">
        <v>83</v>
      </c>
      <c r="E247" s="100" t="s">
        <v>144</v>
      </c>
      <c r="F247" s="262" t="s">
        <v>145</v>
      </c>
      <c r="G247" s="263"/>
      <c r="H247" s="101"/>
      <c r="I247" s="20"/>
      <c r="J247" s="101"/>
      <c r="K247" s="101"/>
      <c r="L247" s="20"/>
      <c r="M247" s="101"/>
      <c r="N247" s="101"/>
      <c r="O247" s="20"/>
      <c r="P247" s="101"/>
      <c r="Q247" s="182"/>
      <c r="R247" s="182"/>
      <c r="S247" s="100"/>
      <c r="T247" s="102"/>
      <c r="U247" s="102"/>
      <c r="V247" s="118"/>
    </row>
    <row r="248" spans="2:24" ht="41.25" customHeight="1">
      <c r="B248" s="169" t="str">
        <f t="shared" si="6"/>
        <v>1-240</v>
      </c>
      <c r="C248" s="100" t="s">
        <v>83</v>
      </c>
      <c r="D248" s="100" t="s">
        <v>83</v>
      </c>
      <c r="E248" s="100" t="s">
        <v>129</v>
      </c>
      <c r="F248" s="262" t="s">
        <v>125</v>
      </c>
      <c r="G248" s="263"/>
      <c r="H248" s="101"/>
      <c r="I248" s="20"/>
      <c r="J248" s="101"/>
      <c r="K248" s="101"/>
      <c r="L248" s="20"/>
      <c r="M248" s="101"/>
      <c r="N248" s="101"/>
      <c r="O248" s="20"/>
      <c r="P248" s="101"/>
      <c r="Q248" s="182"/>
      <c r="R248" s="182"/>
      <c r="S248" s="100"/>
      <c r="T248" s="102"/>
      <c r="U248" s="102"/>
      <c r="V248" s="118"/>
    </row>
    <row r="249" spans="2:24" ht="41.25" customHeight="1">
      <c r="B249" s="169" t="str">
        <f t="shared" si="6"/>
        <v>1-241</v>
      </c>
      <c r="C249" s="100" t="s">
        <v>83</v>
      </c>
      <c r="D249" s="100" t="s">
        <v>83</v>
      </c>
      <c r="E249" s="100" t="s">
        <v>127</v>
      </c>
      <c r="F249" s="262" t="s">
        <v>123</v>
      </c>
      <c r="G249" s="263"/>
      <c r="H249" s="101"/>
      <c r="I249" s="20"/>
      <c r="J249" s="101"/>
      <c r="K249" s="101"/>
      <c r="L249" s="20"/>
      <c r="M249" s="101"/>
      <c r="N249" s="101"/>
      <c r="O249" s="20"/>
      <c r="P249" s="101"/>
      <c r="Q249" s="182"/>
      <c r="R249" s="182"/>
      <c r="S249" s="100"/>
      <c r="T249" s="102"/>
      <c r="U249" s="102"/>
      <c r="V249" s="118"/>
    </row>
    <row r="250" spans="2:24" ht="41.25" customHeight="1">
      <c r="B250" s="169" t="str">
        <f t="shared" si="6"/>
        <v>1-242</v>
      </c>
      <c r="C250" s="100" t="s">
        <v>83</v>
      </c>
      <c r="D250" s="100" t="s">
        <v>83</v>
      </c>
      <c r="E250" s="100" t="s">
        <v>126</v>
      </c>
      <c r="F250" s="262" t="s">
        <v>133</v>
      </c>
      <c r="G250" s="263"/>
      <c r="H250" s="101"/>
      <c r="I250" s="20"/>
      <c r="J250" s="101"/>
      <c r="K250" s="101"/>
      <c r="L250" s="20"/>
      <c r="M250" s="101"/>
      <c r="N250" s="101"/>
      <c r="O250" s="20"/>
      <c r="P250" s="101"/>
      <c r="Q250" s="182"/>
      <c r="R250" s="182"/>
      <c r="S250" s="100"/>
      <c r="T250" s="102"/>
      <c r="U250" s="102"/>
      <c r="V250" s="118"/>
    </row>
    <row r="251" spans="2:24" ht="41.25" customHeight="1">
      <c r="B251" s="169" t="str">
        <f t="shared" si="6"/>
        <v>1-243</v>
      </c>
      <c r="C251" s="100" t="s">
        <v>83</v>
      </c>
      <c r="D251" s="100" t="s">
        <v>83</v>
      </c>
      <c r="E251" s="100" t="s">
        <v>120</v>
      </c>
      <c r="F251" s="262" t="s">
        <v>125</v>
      </c>
      <c r="G251" s="263"/>
      <c r="H251" s="101"/>
      <c r="I251" s="20"/>
      <c r="J251" s="101"/>
      <c r="K251" s="101"/>
      <c r="L251" s="20"/>
      <c r="M251" s="101"/>
      <c r="N251" s="101"/>
      <c r="O251" s="20"/>
      <c r="P251" s="101"/>
      <c r="Q251" s="182"/>
      <c r="R251" s="182"/>
      <c r="S251" s="100"/>
      <c r="T251" s="102"/>
      <c r="U251" s="102"/>
      <c r="V251" s="118"/>
    </row>
    <row r="252" spans="2:24" ht="41.25" customHeight="1">
      <c r="B252" s="169" t="str">
        <f t="shared" si="6"/>
        <v>1-244</v>
      </c>
      <c r="C252" s="100" t="s">
        <v>83</v>
      </c>
      <c r="D252" s="100" t="s">
        <v>83</v>
      </c>
      <c r="E252" s="100" t="s">
        <v>121</v>
      </c>
      <c r="F252" s="262" t="s">
        <v>289</v>
      </c>
      <c r="G252" s="263"/>
      <c r="H252" s="101"/>
      <c r="I252" s="20"/>
      <c r="J252" s="101"/>
      <c r="K252" s="101"/>
      <c r="L252" s="20"/>
      <c r="M252" s="101"/>
      <c r="N252" s="101"/>
      <c r="O252" s="20"/>
      <c r="P252" s="101"/>
      <c r="Q252" s="182"/>
      <c r="R252" s="182"/>
      <c r="S252" s="100"/>
      <c r="T252" s="102"/>
      <c r="U252" s="102"/>
      <c r="V252" s="118"/>
    </row>
    <row r="253" spans="2:24" ht="48.95" customHeight="1">
      <c r="B253" s="169" t="str">
        <f t="shared" ref="B253:B297" si="7">"1-"&amp;ROW()-8</f>
        <v>1-245</v>
      </c>
      <c r="C253" s="100" t="s">
        <v>382</v>
      </c>
      <c r="D253" s="100" t="s">
        <v>645</v>
      </c>
      <c r="E253" s="100" t="s">
        <v>489</v>
      </c>
      <c r="F253" s="262" t="s">
        <v>383</v>
      </c>
      <c r="G253" s="263"/>
      <c r="H253" s="161"/>
      <c r="I253" s="162"/>
      <c r="J253" s="161"/>
      <c r="K253" s="101"/>
      <c r="L253" s="20"/>
      <c r="M253" s="101"/>
      <c r="N253" s="161"/>
      <c r="O253" s="162"/>
      <c r="P253" s="161"/>
      <c r="Q253" s="101"/>
      <c r="R253" s="101"/>
      <c r="S253" s="100"/>
      <c r="T253" s="102"/>
      <c r="U253" s="102"/>
      <c r="V253" s="157"/>
      <c r="W253" s="157"/>
      <c r="X253" s="157"/>
    </row>
    <row r="254" spans="2:24" ht="48.95" customHeight="1">
      <c r="B254" s="169" t="str">
        <f t="shared" si="7"/>
        <v>1-246</v>
      </c>
      <c r="C254" s="100" t="s">
        <v>83</v>
      </c>
      <c r="D254" s="42" t="s">
        <v>456</v>
      </c>
      <c r="E254" s="100" t="s">
        <v>116</v>
      </c>
      <c r="F254" s="262" t="s">
        <v>350</v>
      </c>
      <c r="G254" s="263"/>
      <c r="H254" s="101"/>
      <c r="I254" s="20"/>
      <c r="J254" s="101"/>
      <c r="K254" s="101"/>
      <c r="L254" s="20"/>
      <c r="M254" s="101"/>
      <c r="N254" s="101"/>
      <c r="O254" s="20"/>
      <c r="P254" s="101"/>
      <c r="Q254" s="101"/>
      <c r="R254" s="101"/>
      <c r="S254" s="100"/>
      <c r="T254" s="102"/>
      <c r="U254" s="102"/>
      <c r="V254" s="157"/>
      <c r="W254" s="157"/>
      <c r="X254" s="157"/>
    </row>
    <row r="255" spans="2:24" ht="48.95" customHeight="1">
      <c r="B255" s="169" t="str">
        <f t="shared" si="7"/>
        <v>1-247</v>
      </c>
      <c r="C255" s="100" t="s">
        <v>83</v>
      </c>
      <c r="D255" s="42" t="s">
        <v>460</v>
      </c>
      <c r="E255" s="100" t="s">
        <v>116</v>
      </c>
      <c r="F255" s="262" t="s">
        <v>350</v>
      </c>
      <c r="G255" s="263"/>
      <c r="H255" s="101"/>
      <c r="I255" s="20"/>
      <c r="J255" s="101"/>
      <c r="K255" s="101"/>
      <c r="L255" s="20"/>
      <c r="M255" s="101"/>
      <c r="N255" s="101"/>
      <c r="O255" s="20"/>
      <c r="P255" s="101"/>
      <c r="Q255" s="101"/>
      <c r="R255" s="101"/>
      <c r="S255" s="100"/>
      <c r="T255" s="102"/>
      <c r="U255" s="102"/>
      <c r="V255" s="157"/>
      <c r="W255" s="157"/>
      <c r="X255" s="157"/>
    </row>
    <row r="256" spans="2:24" ht="45" customHeight="1">
      <c r="B256" s="169" t="str">
        <f t="shared" si="7"/>
        <v>1-248</v>
      </c>
      <c r="C256" s="100" t="s">
        <v>142</v>
      </c>
      <c r="D256" s="42" t="s">
        <v>315</v>
      </c>
      <c r="E256" s="100" t="s">
        <v>491</v>
      </c>
      <c r="F256" s="262" t="s">
        <v>285</v>
      </c>
      <c r="G256" s="263"/>
      <c r="H256" s="161"/>
      <c r="I256" s="162"/>
      <c r="J256" s="161"/>
      <c r="K256" s="101"/>
      <c r="L256" s="20"/>
      <c r="M256" s="101"/>
      <c r="N256" s="161"/>
      <c r="O256" s="162"/>
      <c r="P256" s="161"/>
      <c r="Q256" s="101"/>
      <c r="R256" s="101"/>
      <c r="S256" s="100"/>
      <c r="T256" s="102"/>
      <c r="U256" s="102"/>
      <c r="V256" s="113"/>
    </row>
    <row r="257" spans="2:24" ht="45" customHeight="1">
      <c r="B257" s="169" t="str">
        <f t="shared" si="7"/>
        <v>1-249</v>
      </c>
      <c r="C257" s="114" t="s">
        <v>99</v>
      </c>
      <c r="D257" s="114" t="s">
        <v>99</v>
      </c>
      <c r="E257" s="100" t="s">
        <v>116</v>
      </c>
      <c r="F257" s="262" t="s">
        <v>314</v>
      </c>
      <c r="G257" s="263"/>
      <c r="H257" s="101"/>
      <c r="I257" s="20"/>
      <c r="J257" s="101"/>
      <c r="K257" s="101"/>
      <c r="L257" s="20"/>
      <c r="M257" s="101"/>
      <c r="N257" s="101"/>
      <c r="O257" s="20"/>
      <c r="P257" s="101"/>
      <c r="Q257" s="182"/>
      <c r="R257" s="22"/>
      <c r="S257" s="100"/>
      <c r="T257" s="102"/>
      <c r="U257" s="102"/>
      <c r="V257" s="155"/>
    </row>
    <row r="258" spans="2:24" ht="45" customHeight="1">
      <c r="B258" s="169" t="str">
        <f t="shared" si="7"/>
        <v>1-250</v>
      </c>
      <c r="C258" s="114" t="s">
        <v>329</v>
      </c>
      <c r="D258" s="114" t="s">
        <v>290</v>
      </c>
      <c r="E258" s="100" t="s">
        <v>134</v>
      </c>
      <c r="F258" s="262" t="s">
        <v>332</v>
      </c>
      <c r="G258" s="263"/>
      <c r="H258" s="101"/>
      <c r="I258" s="20"/>
      <c r="J258" s="101"/>
      <c r="K258" s="101"/>
      <c r="L258" s="20"/>
      <c r="M258" s="101"/>
      <c r="N258" s="101"/>
      <c r="O258" s="20"/>
      <c r="P258" s="101"/>
      <c r="Q258" s="101"/>
      <c r="R258" s="101"/>
      <c r="S258" s="100"/>
      <c r="T258" s="102"/>
      <c r="U258" s="102"/>
      <c r="V258" s="155"/>
    </row>
    <row r="259" spans="2:24" ht="45" customHeight="1">
      <c r="B259" s="169" t="str">
        <f t="shared" si="7"/>
        <v>1-251</v>
      </c>
      <c r="C259" s="114" t="s">
        <v>99</v>
      </c>
      <c r="D259" s="114" t="s">
        <v>366</v>
      </c>
      <c r="E259" s="100" t="s">
        <v>492</v>
      </c>
      <c r="F259" s="262" t="s">
        <v>285</v>
      </c>
      <c r="G259" s="263"/>
      <c r="H259" s="161"/>
      <c r="I259" s="162"/>
      <c r="J259" s="161"/>
      <c r="K259" s="101"/>
      <c r="L259" s="20"/>
      <c r="M259" s="101"/>
      <c r="N259" s="161"/>
      <c r="O259" s="162"/>
      <c r="P259" s="161"/>
      <c r="Q259" s="101"/>
      <c r="R259" s="101"/>
      <c r="S259" s="100"/>
      <c r="T259" s="102"/>
      <c r="U259" s="102"/>
      <c r="V259" s="155"/>
    </row>
    <row r="260" spans="2:24" ht="45" customHeight="1">
      <c r="B260" s="169" t="str">
        <f t="shared" si="7"/>
        <v>1-252</v>
      </c>
      <c r="C260" s="114" t="s">
        <v>99</v>
      </c>
      <c r="D260" s="114" t="s">
        <v>99</v>
      </c>
      <c r="E260" s="100" t="s">
        <v>367</v>
      </c>
      <c r="F260" s="260" t="s">
        <v>368</v>
      </c>
      <c r="G260" s="261"/>
      <c r="H260" s="101"/>
      <c r="I260" s="20"/>
      <c r="J260" s="101"/>
      <c r="K260" s="101"/>
      <c r="L260" s="20"/>
      <c r="M260" s="101"/>
      <c r="N260" s="101"/>
      <c r="O260" s="20"/>
      <c r="P260" s="101"/>
      <c r="Q260" s="182"/>
      <c r="R260" s="101"/>
      <c r="S260" s="100"/>
      <c r="T260" s="102"/>
      <c r="U260" s="102"/>
      <c r="V260" s="155"/>
    </row>
    <row r="261" spans="2:24" ht="45" customHeight="1">
      <c r="B261" s="169" t="str">
        <f t="shared" si="7"/>
        <v>1-253</v>
      </c>
      <c r="C261" s="114" t="s">
        <v>393</v>
      </c>
      <c r="D261" s="114" t="s">
        <v>99</v>
      </c>
      <c r="E261" s="100" t="s">
        <v>106</v>
      </c>
      <c r="F261" s="262" t="s">
        <v>125</v>
      </c>
      <c r="G261" s="263"/>
      <c r="H261" s="101"/>
      <c r="I261" s="20"/>
      <c r="J261" s="101"/>
      <c r="K261" s="101"/>
      <c r="L261" s="20"/>
      <c r="M261" s="101"/>
      <c r="N261" s="101"/>
      <c r="O261" s="20"/>
      <c r="P261" s="101"/>
      <c r="Q261" s="101"/>
      <c r="R261" s="101"/>
      <c r="S261" s="100"/>
      <c r="T261" s="102"/>
      <c r="U261" s="102"/>
      <c r="V261" s="157"/>
    </row>
    <row r="262" spans="2:24" ht="45" customHeight="1">
      <c r="B262" s="169" t="str">
        <f t="shared" si="7"/>
        <v>1-254</v>
      </c>
      <c r="C262" s="100" t="s">
        <v>503</v>
      </c>
      <c r="D262" s="115" t="s">
        <v>395</v>
      </c>
      <c r="E262" s="100" t="s">
        <v>396</v>
      </c>
      <c r="F262" s="262" t="s">
        <v>394</v>
      </c>
      <c r="G262" s="263"/>
      <c r="H262" s="101"/>
      <c r="I262" s="20"/>
      <c r="J262" s="101"/>
      <c r="K262" s="101"/>
      <c r="L262" s="20"/>
      <c r="M262" s="101"/>
      <c r="N262" s="101"/>
      <c r="O262" s="20"/>
      <c r="P262" s="101"/>
      <c r="Q262" s="182"/>
      <c r="R262" s="101"/>
      <c r="S262" s="100"/>
      <c r="T262" s="102"/>
      <c r="U262" s="102"/>
      <c r="V262" s="157"/>
    </row>
    <row r="263" spans="2:24" ht="45" customHeight="1">
      <c r="B263" s="200" t="str">
        <f t="shared" si="7"/>
        <v>1-255</v>
      </c>
      <c r="C263" s="201" t="s">
        <v>99</v>
      </c>
      <c r="D263" s="201" t="s">
        <v>99</v>
      </c>
      <c r="E263" s="207" t="s">
        <v>652</v>
      </c>
      <c r="F263" s="275" t="s">
        <v>948</v>
      </c>
      <c r="G263" s="276"/>
      <c r="H263" s="161"/>
      <c r="I263" s="162"/>
      <c r="J263" s="161"/>
      <c r="K263" s="161"/>
      <c r="L263" s="162"/>
      <c r="M263" s="161"/>
      <c r="N263" s="161"/>
      <c r="O263" s="162"/>
      <c r="P263" s="161"/>
      <c r="Q263" s="161"/>
      <c r="R263" s="206"/>
      <c r="S263" s="201"/>
      <c r="T263" s="202"/>
      <c r="U263" s="202"/>
      <c r="V263" s="160"/>
    </row>
    <row r="264" spans="2:24" ht="45" customHeight="1">
      <c r="B264" s="200" t="str">
        <f t="shared" si="7"/>
        <v>1-256</v>
      </c>
      <c r="C264" s="201" t="s">
        <v>99</v>
      </c>
      <c r="D264" s="201" t="s">
        <v>99</v>
      </c>
      <c r="E264" s="201" t="s">
        <v>653</v>
      </c>
      <c r="F264" s="275" t="s">
        <v>649</v>
      </c>
      <c r="G264" s="276"/>
      <c r="H264" s="161"/>
      <c r="I264" s="162"/>
      <c r="J264" s="161"/>
      <c r="K264" s="161"/>
      <c r="L264" s="162"/>
      <c r="M264" s="161"/>
      <c r="N264" s="161"/>
      <c r="O264" s="162"/>
      <c r="P264" s="161"/>
      <c r="Q264" s="161"/>
      <c r="R264" s="206"/>
      <c r="S264" s="201"/>
      <c r="T264" s="202"/>
      <c r="U264" s="202"/>
      <c r="V264" s="178"/>
    </row>
    <row r="265" spans="2:24" ht="45" customHeight="1">
      <c r="B265" s="169" t="str">
        <f t="shared" si="7"/>
        <v>1-257</v>
      </c>
      <c r="C265" s="100" t="s">
        <v>99</v>
      </c>
      <c r="D265" s="114" t="s">
        <v>99</v>
      </c>
      <c r="E265" s="114" t="s">
        <v>99</v>
      </c>
      <c r="F265" s="262" t="s">
        <v>399</v>
      </c>
      <c r="G265" s="263"/>
      <c r="H265" s="101"/>
      <c r="I265" s="20"/>
      <c r="J265" s="101"/>
      <c r="K265" s="101"/>
      <c r="L265" s="20"/>
      <c r="M265" s="101"/>
      <c r="N265" s="101"/>
      <c r="O265" s="20"/>
      <c r="P265" s="101"/>
      <c r="Q265" s="182"/>
      <c r="R265" s="101"/>
      <c r="S265" s="100"/>
      <c r="T265" s="102"/>
      <c r="U265" s="102"/>
      <c r="V265" s="158"/>
    </row>
    <row r="266" spans="2:24" ht="45" customHeight="1">
      <c r="B266" s="169" t="str">
        <f t="shared" si="7"/>
        <v>1-258</v>
      </c>
      <c r="C266" s="100" t="s">
        <v>99</v>
      </c>
      <c r="D266" s="115" t="s">
        <v>504</v>
      </c>
      <c r="E266" s="100" t="s">
        <v>397</v>
      </c>
      <c r="F266" s="262" t="s">
        <v>394</v>
      </c>
      <c r="G266" s="263"/>
      <c r="H266" s="101"/>
      <c r="I266" s="20"/>
      <c r="J266" s="101"/>
      <c r="K266" s="101"/>
      <c r="L266" s="20"/>
      <c r="M266" s="101"/>
      <c r="N266" s="101"/>
      <c r="O266" s="20"/>
      <c r="P266" s="101"/>
      <c r="Q266" s="182"/>
      <c r="R266" s="101"/>
      <c r="S266" s="100"/>
      <c r="T266" s="102"/>
      <c r="U266" s="102"/>
      <c r="V266" s="157"/>
    </row>
    <row r="267" spans="2:24" ht="45" customHeight="1">
      <c r="B267" s="200" t="str">
        <f t="shared" si="7"/>
        <v>1-259</v>
      </c>
      <c r="C267" s="201" t="s">
        <v>99</v>
      </c>
      <c r="D267" s="201" t="s">
        <v>99</v>
      </c>
      <c r="E267" s="207" t="s">
        <v>651</v>
      </c>
      <c r="F267" s="275" t="s">
        <v>948</v>
      </c>
      <c r="G267" s="276"/>
      <c r="H267" s="161"/>
      <c r="I267" s="162"/>
      <c r="J267" s="161"/>
      <c r="K267" s="161"/>
      <c r="L267" s="162"/>
      <c r="M267" s="161"/>
      <c r="N267" s="161"/>
      <c r="O267" s="162"/>
      <c r="P267" s="161"/>
      <c r="Q267" s="161"/>
      <c r="R267" s="206"/>
      <c r="S267" s="201"/>
      <c r="T267" s="202"/>
      <c r="U267" s="202"/>
      <c r="V267" s="160"/>
    </row>
    <row r="268" spans="2:24" ht="45" customHeight="1">
      <c r="B268" s="200" t="str">
        <f t="shared" si="7"/>
        <v>1-260</v>
      </c>
      <c r="C268" s="201" t="s">
        <v>99</v>
      </c>
      <c r="D268" s="201" t="s">
        <v>99</v>
      </c>
      <c r="E268" s="201" t="s">
        <v>650</v>
      </c>
      <c r="F268" s="275" t="s">
        <v>649</v>
      </c>
      <c r="G268" s="276"/>
      <c r="H268" s="161"/>
      <c r="I268" s="162"/>
      <c r="J268" s="161"/>
      <c r="K268" s="161"/>
      <c r="L268" s="162"/>
      <c r="M268" s="161"/>
      <c r="N268" s="161"/>
      <c r="O268" s="162"/>
      <c r="P268" s="161"/>
      <c r="Q268" s="161"/>
      <c r="R268" s="206"/>
      <c r="S268" s="201"/>
      <c r="T268" s="202"/>
      <c r="U268" s="202"/>
      <c r="V268" s="178"/>
    </row>
    <row r="269" spans="2:24" ht="45" customHeight="1">
      <c r="B269" s="169" t="str">
        <f t="shared" si="7"/>
        <v>1-261</v>
      </c>
      <c r="C269" s="100" t="s">
        <v>99</v>
      </c>
      <c r="D269" s="114" t="s">
        <v>99</v>
      </c>
      <c r="E269" s="114" t="s">
        <v>99</v>
      </c>
      <c r="F269" s="262" t="s">
        <v>399</v>
      </c>
      <c r="G269" s="263"/>
      <c r="H269" s="101"/>
      <c r="I269" s="20"/>
      <c r="J269" s="101"/>
      <c r="K269" s="101"/>
      <c r="L269" s="20"/>
      <c r="M269" s="101"/>
      <c r="N269" s="101"/>
      <c r="O269" s="20"/>
      <c r="P269" s="101"/>
      <c r="Q269" s="182"/>
      <c r="R269" s="101"/>
      <c r="S269" s="100"/>
      <c r="T269" s="102"/>
      <c r="U269" s="102"/>
      <c r="V269" s="157"/>
    </row>
    <row r="270" spans="2:24" ht="45" customHeight="1">
      <c r="B270" s="169" t="str">
        <f t="shared" si="7"/>
        <v>1-262</v>
      </c>
      <c r="C270" s="114" t="s">
        <v>392</v>
      </c>
      <c r="D270" s="114" t="s">
        <v>99</v>
      </c>
      <c r="E270" s="100" t="s">
        <v>106</v>
      </c>
      <c r="F270" s="262" t="s">
        <v>125</v>
      </c>
      <c r="G270" s="263"/>
      <c r="H270" s="101"/>
      <c r="I270" s="20"/>
      <c r="J270" s="101"/>
      <c r="K270" s="101"/>
      <c r="L270" s="20"/>
      <c r="M270" s="101"/>
      <c r="N270" s="101"/>
      <c r="O270" s="20"/>
      <c r="P270" s="101"/>
      <c r="Q270" s="101"/>
      <c r="R270" s="101"/>
      <c r="S270" s="100"/>
      <c r="T270" s="102"/>
      <c r="U270" s="102"/>
      <c r="V270" s="158"/>
    </row>
    <row r="271" spans="2:24" ht="45" customHeight="1">
      <c r="B271" s="169" t="str">
        <f t="shared" si="7"/>
        <v>1-263</v>
      </c>
      <c r="C271" s="100" t="s">
        <v>99</v>
      </c>
      <c r="D271" s="115" t="s">
        <v>345</v>
      </c>
      <c r="E271" s="100" t="s">
        <v>134</v>
      </c>
      <c r="F271" s="262" t="s">
        <v>400</v>
      </c>
      <c r="G271" s="263"/>
      <c r="H271" s="101"/>
      <c r="I271" s="20"/>
      <c r="J271" s="101"/>
      <c r="K271" s="101"/>
      <c r="L271" s="20"/>
      <c r="M271" s="101"/>
      <c r="N271" s="101"/>
      <c r="O271" s="20"/>
      <c r="P271" s="101"/>
      <c r="Q271" s="182"/>
      <c r="R271" s="101"/>
      <c r="S271" s="100"/>
      <c r="T271" s="102"/>
      <c r="U271" s="102"/>
      <c r="V271" s="158"/>
    </row>
    <row r="272" spans="2:24" ht="48.95" customHeight="1">
      <c r="B272" s="169" t="str">
        <f t="shared" si="7"/>
        <v>1-264</v>
      </c>
      <c r="C272" s="42" t="s">
        <v>539</v>
      </c>
      <c r="D272" s="114" t="s">
        <v>99</v>
      </c>
      <c r="E272" s="42" t="s">
        <v>648</v>
      </c>
      <c r="F272" s="262" t="s">
        <v>123</v>
      </c>
      <c r="G272" s="263"/>
      <c r="H272" s="101"/>
      <c r="I272" s="20"/>
      <c r="J272" s="101"/>
      <c r="K272" s="101"/>
      <c r="L272" s="20"/>
      <c r="M272" s="101"/>
      <c r="N272" s="101"/>
      <c r="O272" s="20"/>
      <c r="P272" s="101"/>
      <c r="Q272" s="101"/>
      <c r="R272" s="101"/>
      <c r="S272" s="100"/>
      <c r="T272" s="102"/>
      <c r="U272" s="102"/>
      <c r="V272" s="177"/>
      <c r="W272" s="177"/>
      <c r="X272" s="177"/>
    </row>
    <row r="273" spans="2:24" ht="48.95" customHeight="1">
      <c r="B273" s="169" t="str">
        <f t="shared" si="7"/>
        <v>1-265</v>
      </c>
      <c r="C273" s="100" t="s">
        <v>540</v>
      </c>
      <c r="D273" s="42" t="s">
        <v>541</v>
      </c>
      <c r="E273" s="42" t="s">
        <v>647</v>
      </c>
      <c r="F273" s="262" t="s">
        <v>125</v>
      </c>
      <c r="G273" s="263"/>
      <c r="H273" s="101"/>
      <c r="I273" s="20"/>
      <c r="J273" s="101"/>
      <c r="K273" s="101"/>
      <c r="L273" s="20"/>
      <c r="M273" s="101"/>
      <c r="N273" s="101"/>
      <c r="O273" s="20"/>
      <c r="P273" s="101"/>
      <c r="Q273" s="101"/>
      <c r="R273" s="101"/>
      <c r="S273" s="100"/>
      <c r="T273" s="102"/>
      <c r="U273" s="102"/>
      <c r="V273" s="177"/>
      <c r="W273" s="177"/>
      <c r="X273" s="177"/>
    </row>
    <row r="274" spans="2:24" ht="48.95" customHeight="1">
      <c r="B274" s="169" t="str">
        <f t="shared" si="7"/>
        <v>1-266</v>
      </c>
      <c r="C274" s="100" t="s">
        <v>538</v>
      </c>
      <c r="D274" s="42" t="s">
        <v>542</v>
      </c>
      <c r="E274" s="100" t="s">
        <v>134</v>
      </c>
      <c r="F274" s="262" t="s">
        <v>543</v>
      </c>
      <c r="G274" s="263"/>
      <c r="H274" s="101"/>
      <c r="I274" s="20"/>
      <c r="J274" s="101"/>
      <c r="K274" s="101"/>
      <c r="L274" s="20"/>
      <c r="M274" s="101"/>
      <c r="N274" s="101"/>
      <c r="O274" s="20"/>
      <c r="P274" s="101"/>
      <c r="Q274" s="182"/>
      <c r="R274" s="101"/>
      <c r="S274" s="100"/>
      <c r="T274" s="102"/>
      <c r="U274" s="102"/>
      <c r="V274" s="177"/>
      <c r="W274" s="177"/>
      <c r="X274" s="177"/>
    </row>
    <row r="275" spans="2:24" ht="48.95" customHeight="1">
      <c r="B275" s="169" t="str">
        <f t="shared" si="7"/>
        <v>1-267</v>
      </c>
      <c r="C275" s="100" t="s">
        <v>501</v>
      </c>
      <c r="D275" s="100" t="s">
        <v>495</v>
      </c>
      <c r="E275" s="100" t="s">
        <v>134</v>
      </c>
      <c r="F275" s="262" t="s">
        <v>502</v>
      </c>
      <c r="G275" s="263"/>
      <c r="H275" s="101"/>
      <c r="I275" s="20"/>
      <c r="J275" s="101"/>
      <c r="K275" s="101"/>
      <c r="L275" s="20"/>
      <c r="M275" s="101"/>
      <c r="N275" s="101"/>
      <c r="O275" s="20"/>
      <c r="P275" s="101"/>
      <c r="Q275" s="182"/>
      <c r="R275" s="101"/>
      <c r="S275" s="100"/>
      <c r="T275" s="102"/>
      <c r="U275" s="102"/>
      <c r="V275" s="165"/>
      <c r="W275" s="165"/>
      <c r="X275" s="165"/>
    </row>
    <row r="276" spans="2:24" ht="48.95" customHeight="1">
      <c r="B276" s="169" t="str">
        <f t="shared" si="7"/>
        <v>1-268</v>
      </c>
      <c r="C276" s="100" t="s">
        <v>538</v>
      </c>
      <c r="D276" s="100" t="s">
        <v>544</v>
      </c>
      <c r="E276" s="100" t="s">
        <v>545</v>
      </c>
      <c r="F276" s="262" t="s">
        <v>546</v>
      </c>
      <c r="G276" s="263"/>
      <c r="H276" s="101"/>
      <c r="I276" s="20"/>
      <c r="J276" s="101"/>
      <c r="K276" s="101"/>
      <c r="L276" s="20"/>
      <c r="M276" s="101"/>
      <c r="N276" s="101"/>
      <c r="O276" s="20"/>
      <c r="P276" s="101"/>
      <c r="Q276" s="101"/>
      <c r="R276" s="101"/>
      <c r="S276" s="100"/>
      <c r="T276" s="102"/>
      <c r="U276" s="102"/>
      <c r="V276" s="177"/>
      <c r="W276" s="177"/>
      <c r="X276" s="177"/>
    </row>
    <row r="277" spans="2:24" ht="45" customHeight="1">
      <c r="B277" s="169" t="str">
        <f t="shared" si="7"/>
        <v>1-269</v>
      </c>
      <c r="C277" s="100" t="s">
        <v>538</v>
      </c>
      <c r="D277" s="42" t="s">
        <v>548</v>
      </c>
      <c r="E277" s="100" t="s">
        <v>545</v>
      </c>
      <c r="F277" s="262" t="s">
        <v>547</v>
      </c>
      <c r="G277" s="263"/>
      <c r="H277" s="101"/>
      <c r="I277" s="20"/>
      <c r="J277" s="101"/>
      <c r="K277" s="101"/>
      <c r="L277" s="20"/>
      <c r="M277" s="101"/>
      <c r="N277" s="101"/>
      <c r="O277" s="20"/>
      <c r="P277" s="101"/>
      <c r="Q277" s="101"/>
      <c r="R277" s="22"/>
      <c r="S277" s="100"/>
      <c r="T277" s="102"/>
      <c r="U277" s="102"/>
      <c r="V277" s="177"/>
      <c r="W277" s="177"/>
      <c r="X277" s="177"/>
    </row>
    <row r="278" spans="2:24" ht="48.95" customHeight="1">
      <c r="B278" s="169" t="str">
        <f t="shared" si="7"/>
        <v>1-270</v>
      </c>
      <c r="C278" s="100" t="s">
        <v>496</v>
      </c>
      <c r="D278" s="100" t="s">
        <v>538</v>
      </c>
      <c r="E278" s="115" t="s">
        <v>549</v>
      </c>
      <c r="F278" s="262" t="s">
        <v>123</v>
      </c>
      <c r="G278" s="263"/>
      <c r="H278" s="101"/>
      <c r="I278" s="20"/>
      <c r="J278" s="101"/>
      <c r="K278" s="101"/>
      <c r="L278" s="20"/>
      <c r="M278" s="101"/>
      <c r="N278" s="101"/>
      <c r="O278" s="20"/>
      <c r="P278" s="101"/>
      <c r="Q278" s="101"/>
      <c r="R278" s="101"/>
      <c r="S278" s="100"/>
      <c r="T278" s="102"/>
      <c r="U278" s="102"/>
      <c r="V278" s="177"/>
      <c r="W278" s="177"/>
      <c r="X278" s="177"/>
    </row>
    <row r="279" spans="2:24" ht="48.95" customHeight="1">
      <c r="B279" s="169" t="str">
        <f t="shared" si="7"/>
        <v>1-271</v>
      </c>
      <c r="C279" s="100" t="s">
        <v>538</v>
      </c>
      <c r="D279" s="100" t="s">
        <v>497</v>
      </c>
      <c r="E279" s="100" t="s">
        <v>134</v>
      </c>
      <c r="F279" s="262" t="s">
        <v>498</v>
      </c>
      <c r="G279" s="263"/>
      <c r="H279" s="101"/>
      <c r="I279" s="20"/>
      <c r="J279" s="101"/>
      <c r="K279" s="101"/>
      <c r="L279" s="20"/>
      <c r="M279" s="101"/>
      <c r="N279" s="101"/>
      <c r="O279" s="20"/>
      <c r="P279" s="101"/>
      <c r="Q279" s="182"/>
      <c r="R279" s="101"/>
      <c r="S279" s="100"/>
      <c r="T279" s="102"/>
      <c r="U279" s="102"/>
      <c r="V279" s="165"/>
      <c r="W279" s="165"/>
      <c r="X279" s="165"/>
    </row>
    <row r="280" spans="2:24" ht="48.95" customHeight="1">
      <c r="B280" s="169" t="str">
        <f t="shared" si="7"/>
        <v>1-272</v>
      </c>
      <c r="C280" s="100" t="s">
        <v>538</v>
      </c>
      <c r="D280" s="100" t="s">
        <v>544</v>
      </c>
      <c r="E280" s="100" t="s">
        <v>545</v>
      </c>
      <c r="F280" s="262" t="s">
        <v>546</v>
      </c>
      <c r="G280" s="263"/>
      <c r="H280" s="101"/>
      <c r="I280" s="20"/>
      <c r="J280" s="101"/>
      <c r="K280" s="101"/>
      <c r="L280" s="20"/>
      <c r="M280" s="101"/>
      <c r="N280" s="101"/>
      <c r="O280" s="20"/>
      <c r="P280" s="101"/>
      <c r="Q280" s="101"/>
      <c r="R280" s="101"/>
      <c r="S280" s="100"/>
      <c r="T280" s="102"/>
      <c r="U280" s="102"/>
      <c r="V280" s="177"/>
      <c r="W280" s="177"/>
      <c r="X280" s="177"/>
    </row>
    <row r="281" spans="2:24" ht="48.95" customHeight="1">
      <c r="B281" s="169" t="str">
        <f t="shared" si="7"/>
        <v>1-273</v>
      </c>
      <c r="C281" s="100" t="s">
        <v>538</v>
      </c>
      <c r="D281" s="42" t="s">
        <v>548</v>
      </c>
      <c r="E281" s="100" t="s">
        <v>545</v>
      </c>
      <c r="F281" s="262" t="s">
        <v>547</v>
      </c>
      <c r="G281" s="263"/>
      <c r="H281" s="101"/>
      <c r="I281" s="20"/>
      <c r="J281" s="101"/>
      <c r="K281" s="101"/>
      <c r="L281" s="20"/>
      <c r="M281" s="101"/>
      <c r="N281" s="101"/>
      <c r="O281" s="20"/>
      <c r="P281" s="101"/>
      <c r="Q281" s="101"/>
      <c r="R281" s="22"/>
      <c r="S281" s="100"/>
      <c r="T281" s="102"/>
      <c r="U281" s="102"/>
      <c r="V281" s="177"/>
      <c r="W281" s="177"/>
      <c r="X281" s="177"/>
    </row>
    <row r="282" spans="2:24" ht="48.95" customHeight="1">
      <c r="B282" s="169" t="str">
        <f t="shared" si="7"/>
        <v>1-274</v>
      </c>
      <c r="C282" s="100" t="s">
        <v>499</v>
      </c>
      <c r="D282" s="100" t="s">
        <v>538</v>
      </c>
      <c r="E282" s="115" t="s">
        <v>549</v>
      </c>
      <c r="F282" s="262" t="s">
        <v>123</v>
      </c>
      <c r="G282" s="263"/>
      <c r="H282" s="101"/>
      <c r="I282" s="20"/>
      <c r="J282" s="101"/>
      <c r="K282" s="101"/>
      <c r="L282" s="20"/>
      <c r="M282" s="101"/>
      <c r="N282" s="101"/>
      <c r="O282" s="20"/>
      <c r="P282" s="101"/>
      <c r="Q282" s="101"/>
      <c r="R282" s="101"/>
      <c r="S282" s="100"/>
      <c r="T282" s="102"/>
      <c r="U282" s="102"/>
      <c r="V282" s="177"/>
      <c r="W282" s="177"/>
      <c r="X282" s="177"/>
    </row>
    <row r="283" spans="2:24" ht="48.95" customHeight="1">
      <c r="B283" s="169" t="str">
        <f t="shared" si="7"/>
        <v>1-275</v>
      </c>
      <c r="C283" s="100" t="s">
        <v>538</v>
      </c>
      <c r="D283" s="100" t="s">
        <v>495</v>
      </c>
      <c r="E283" s="100" t="s">
        <v>134</v>
      </c>
      <c r="F283" s="262" t="s">
        <v>500</v>
      </c>
      <c r="G283" s="263"/>
      <c r="H283" s="101"/>
      <c r="I283" s="20"/>
      <c r="J283" s="101"/>
      <c r="K283" s="101"/>
      <c r="L283" s="20"/>
      <c r="M283" s="101"/>
      <c r="N283" s="101"/>
      <c r="O283" s="20"/>
      <c r="P283" s="101"/>
      <c r="Q283" s="182"/>
      <c r="R283" s="101"/>
      <c r="S283" s="100"/>
      <c r="T283" s="102"/>
      <c r="U283" s="102"/>
      <c r="V283" s="165"/>
      <c r="W283" s="165"/>
      <c r="X283" s="165"/>
    </row>
    <row r="284" spans="2:24" ht="48.95" customHeight="1">
      <c r="B284" s="169" t="str">
        <f t="shared" si="7"/>
        <v>1-276</v>
      </c>
      <c r="C284" s="100" t="s">
        <v>538</v>
      </c>
      <c r="D284" s="100" t="s">
        <v>544</v>
      </c>
      <c r="E284" s="100" t="s">
        <v>545</v>
      </c>
      <c r="F284" s="262" t="s">
        <v>546</v>
      </c>
      <c r="G284" s="263"/>
      <c r="H284" s="101"/>
      <c r="I284" s="20"/>
      <c r="J284" s="101"/>
      <c r="K284" s="101"/>
      <c r="L284" s="20"/>
      <c r="M284" s="101"/>
      <c r="N284" s="101"/>
      <c r="O284" s="20"/>
      <c r="P284" s="101"/>
      <c r="Q284" s="101"/>
      <c r="R284" s="101"/>
      <c r="S284" s="100"/>
      <c r="T284" s="102"/>
      <c r="U284" s="102"/>
      <c r="V284" s="177"/>
      <c r="W284" s="177"/>
      <c r="X284" s="177"/>
    </row>
    <row r="285" spans="2:24" ht="48.95" customHeight="1">
      <c r="B285" s="169" t="str">
        <f t="shared" si="7"/>
        <v>1-277</v>
      </c>
      <c r="C285" s="100" t="s">
        <v>538</v>
      </c>
      <c r="D285" s="42" t="s">
        <v>548</v>
      </c>
      <c r="E285" s="100" t="s">
        <v>545</v>
      </c>
      <c r="F285" s="262" t="s">
        <v>547</v>
      </c>
      <c r="G285" s="263"/>
      <c r="H285" s="101"/>
      <c r="I285" s="20"/>
      <c r="J285" s="101"/>
      <c r="K285" s="101"/>
      <c r="L285" s="20"/>
      <c r="M285" s="101"/>
      <c r="N285" s="101"/>
      <c r="O285" s="20"/>
      <c r="P285" s="101"/>
      <c r="Q285" s="101"/>
      <c r="R285" s="101"/>
      <c r="S285" s="100"/>
      <c r="T285" s="102"/>
      <c r="U285" s="102"/>
      <c r="V285" s="177"/>
      <c r="W285" s="177"/>
      <c r="X285" s="177"/>
    </row>
    <row r="286" spans="2:24" ht="34.5" customHeight="1">
      <c r="B286" s="169" t="str">
        <f t="shared" si="0"/>
        <v>1-278</v>
      </c>
      <c r="C286" s="18" t="s">
        <v>135</v>
      </c>
      <c r="D286" s="18" t="s">
        <v>136</v>
      </c>
      <c r="E286" s="100" t="s">
        <v>134</v>
      </c>
      <c r="F286" s="258" t="s">
        <v>137</v>
      </c>
      <c r="G286" s="259"/>
      <c r="H286" s="101"/>
      <c r="I286" s="20"/>
      <c r="J286" s="101"/>
      <c r="K286" s="101"/>
      <c r="L286" s="20"/>
      <c r="M286" s="101"/>
      <c r="N286" s="101"/>
      <c r="O286" s="20"/>
      <c r="P286" s="101"/>
      <c r="Q286" s="182"/>
      <c r="R286" s="126"/>
      <c r="S286" s="114"/>
      <c r="T286" s="102"/>
      <c r="U286" s="102"/>
      <c r="V286" s="131"/>
    </row>
    <row r="287" spans="2:24" ht="34.5" customHeight="1">
      <c r="B287" s="169" t="str">
        <f t="shared" si="0"/>
        <v>1-279</v>
      </c>
      <c r="C287" s="18" t="s">
        <v>143</v>
      </c>
      <c r="D287" s="18" t="s">
        <v>143</v>
      </c>
      <c r="E287" s="100" t="s">
        <v>134</v>
      </c>
      <c r="F287" s="258" t="s">
        <v>138</v>
      </c>
      <c r="G287" s="259"/>
      <c r="H287" s="101"/>
      <c r="I287" s="20"/>
      <c r="J287" s="101"/>
      <c r="K287" s="101"/>
      <c r="L287" s="20"/>
      <c r="M287" s="101"/>
      <c r="N287" s="101"/>
      <c r="O287" s="20"/>
      <c r="P287" s="101"/>
      <c r="Q287" s="182"/>
      <c r="R287" s="126"/>
      <c r="S287" s="114"/>
      <c r="T287" s="102"/>
      <c r="U287" s="102"/>
      <c r="V287" s="131"/>
    </row>
    <row r="288" spans="2:24" ht="34.5" customHeight="1">
      <c r="B288" s="169" t="str">
        <f t="shared" si="0"/>
        <v>1-280</v>
      </c>
      <c r="C288" s="18" t="s">
        <v>143</v>
      </c>
      <c r="D288" s="18" t="s">
        <v>147</v>
      </c>
      <c r="E288" s="100" t="s">
        <v>134</v>
      </c>
      <c r="F288" s="258" t="s">
        <v>148</v>
      </c>
      <c r="G288" s="259"/>
      <c r="H288" s="101"/>
      <c r="I288" s="20"/>
      <c r="J288" s="101"/>
      <c r="K288" s="101"/>
      <c r="L288" s="20"/>
      <c r="M288" s="101"/>
      <c r="N288" s="101"/>
      <c r="O288" s="20"/>
      <c r="P288" s="101"/>
      <c r="Q288" s="182"/>
      <c r="R288" s="126"/>
      <c r="S288" s="114"/>
      <c r="T288" s="102"/>
      <c r="U288" s="102"/>
      <c r="V288" s="131"/>
    </row>
    <row r="289" spans="2:24" ht="34.5" customHeight="1">
      <c r="B289" s="169" t="str">
        <f t="shared" si="0"/>
        <v>1-281</v>
      </c>
      <c r="C289" s="18" t="s">
        <v>143</v>
      </c>
      <c r="D289" s="18" t="s">
        <v>143</v>
      </c>
      <c r="E289" s="100" t="s">
        <v>134</v>
      </c>
      <c r="F289" s="258" t="s">
        <v>138</v>
      </c>
      <c r="G289" s="259"/>
      <c r="H289" s="101"/>
      <c r="I289" s="20"/>
      <c r="J289" s="101"/>
      <c r="K289" s="101"/>
      <c r="L289" s="20"/>
      <c r="M289" s="101"/>
      <c r="N289" s="101"/>
      <c r="O289" s="20"/>
      <c r="P289" s="101"/>
      <c r="Q289" s="182"/>
      <c r="R289" s="126"/>
      <c r="S289" s="114"/>
      <c r="T289" s="102"/>
      <c r="U289" s="102"/>
      <c r="V289" s="131"/>
    </row>
    <row r="290" spans="2:24" ht="34.5" customHeight="1">
      <c r="B290" s="169" t="str">
        <f t="shared" si="0"/>
        <v>1-282</v>
      </c>
      <c r="C290" s="18" t="s">
        <v>143</v>
      </c>
      <c r="D290" s="18" t="s">
        <v>149</v>
      </c>
      <c r="E290" s="100" t="s">
        <v>134</v>
      </c>
      <c r="F290" s="258" t="s">
        <v>150</v>
      </c>
      <c r="G290" s="259"/>
      <c r="H290" s="101"/>
      <c r="I290" s="20"/>
      <c r="J290" s="101"/>
      <c r="K290" s="101"/>
      <c r="L290" s="20"/>
      <c r="M290" s="101"/>
      <c r="N290" s="101"/>
      <c r="O290" s="20"/>
      <c r="P290" s="101"/>
      <c r="Q290" s="182"/>
      <c r="R290" s="126"/>
      <c r="S290" s="114"/>
      <c r="T290" s="102"/>
      <c r="U290" s="102"/>
      <c r="V290" s="131"/>
    </row>
    <row r="291" spans="2:24" ht="34.5" customHeight="1">
      <c r="B291" s="169" t="str">
        <f t="shared" si="0"/>
        <v>1-283</v>
      </c>
      <c r="C291" s="18" t="s">
        <v>143</v>
      </c>
      <c r="D291" s="18" t="s">
        <v>143</v>
      </c>
      <c r="E291" s="100" t="s">
        <v>134</v>
      </c>
      <c r="F291" s="258" t="s">
        <v>138</v>
      </c>
      <c r="G291" s="259"/>
      <c r="H291" s="101"/>
      <c r="I291" s="20"/>
      <c r="J291" s="101"/>
      <c r="K291" s="101"/>
      <c r="L291" s="20"/>
      <c r="M291" s="101"/>
      <c r="N291" s="101"/>
      <c r="O291" s="20"/>
      <c r="P291" s="101"/>
      <c r="Q291" s="182"/>
      <c r="R291" s="126"/>
      <c r="S291" s="114"/>
      <c r="T291" s="102"/>
      <c r="U291" s="102"/>
      <c r="V291" s="131"/>
    </row>
    <row r="292" spans="2:24" ht="34.5" customHeight="1">
      <c r="B292" s="212" t="str">
        <f t="shared" si="0"/>
        <v>1-284</v>
      </c>
      <c r="C292" s="213" t="s">
        <v>655</v>
      </c>
      <c r="D292" s="213" t="s">
        <v>143</v>
      </c>
      <c r="E292" s="213" t="s">
        <v>656</v>
      </c>
      <c r="F292" s="279" t="s">
        <v>657</v>
      </c>
      <c r="G292" s="280"/>
      <c r="H292" s="198"/>
      <c r="I292" s="199"/>
      <c r="J292" s="198"/>
      <c r="K292" s="198"/>
      <c r="L292" s="199"/>
      <c r="M292" s="198"/>
      <c r="N292" s="198"/>
      <c r="O292" s="199"/>
      <c r="P292" s="198"/>
      <c r="Q292" s="198"/>
      <c r="R292" s="214"/>
      <c r="S292" s="215"/>
      <c r="T292" s="216"/>
      <c r="U292" s="216"/>
      <c r="V292" s="179"/>
    </row>
    <row r="293" spans="2:24" ht="34.5" customHeight="1">
      <c r="B293" s="188" t="str">
        <f t="shared" si="7"/>
        <v>1-285</v>
      </c>
      <c r="C293" s="18" t="s">
        <v>139</v>
      </c>
      <c r="D293" s="18" t="s">
        <v>402</v>
      </c>
      <c r="E293" s="100" t="s">
        <v>403</v>
      </c>
      <c r="F293" s="258" t="s">
        <v>404</v>
      </c>
      <c r="G293" s="259"/>
      <c r="H293" s="101"/>
      <c r="I293" s="20"/>
      <c r="J293" s="101"/>
      <c r="K293" s="101"/>
      <c r="L293" s="20"/>
      <c r="M293" s="101"/>
      <c r="N293" s="101"/>
      <c r="O293" s="20"/>
      <c r="P293" s="101"/>
      <c r="Q293" s="101"/>
      <c r="R293" s="126"/>
      <c r="S293" s="114"/>
      <c r="T293" s="102"/>
      <c r="U293" s="102"/>
      <c r="V293" s="163"/>
    </row>
    <row r="294" spans="2:24" ht="34.5" customHeight="1">
      <c r="B294" s="188" t="str">
        <f t="shared" si="7"/>
        <v>1-286</v>
      </c>
      <c r="C294" s="114" t="s">
        <v>99</v>
      </c>
      <c r="D294" s="18"/>
      <c r="E294" s="100" t="s">
        <v>62</v>
      </c>
      <c r="F294" s="209" t="s">
        <v>951</v>
      </c>
      <c r="G294" s="210"/>
      <c r="H294" s="101"/>
      <c r="I294" s="20"/>
      <c r="J294" s="101"/>
      <c r="K294" s="101"/>
      <c r="L294" s="20"/>
      <c r="M294" s="101"/>
      <c r="N294" s="101"/>
      <c r="O294" s="20"/>
      <c r="P294" s="101"/>
      <c r="Q294" s="182"/>
      <c r="R294" s="126"/>
      <c r="S294" s="114"/>
      <c r="T294" s="102"/>
      <c r="U294" s="102"/>
      <c r="V294" s="211"/>
    </row>
    <row r="295" spans="2:24" ht="34.5" customHeight="1">
      <c r="B295" s="188" t="str">
        <f t="shared" si="7"/>
        <v>1-287</v>
      </c>
      <c r="C295" s="114" t="s">
        <v>99</v>
      </c>
      <c r="D295" s="18" t="s">
        <v>141</v>
      </c>
      <c r="E295" s="100" t="s">
        <v>62</v>
      </c>
      <c r="F295" s="209" t="s">
        <v>140</v>
      </c>
      <c r="G295" s="210"/>
      <c r="H295" s="101"/>
      <c r="I295" s="20"/>
      <c r="J295" s="101"/>
      <c r="K295" s="101"/>
      <c r="L295" s="20"/>
      <c r="M295" s="101"/>
      <c r="N295" s="101"/>
      <c r="O295" s="20"/>
      <c r="P295" s="101"/>
      <c r="Q295" s="182"/>
      <c r="R295" s="126"/>
      <c r="S295" s="114"/>
      <c r="T295" s="102"/>
      <c r="U295" s="102"/>
      <c r="V295" s="118"/>
    </row>
    <row r="296" spans="2:24" ht="34.5" customHeight="1">
      <c r="B296" s="188" t="str">
        <f t="shared" si="7"/>
        <v>1-288</v>
      </c>
      <c r="C296" s="114" t="s">
        <v>99</v>
      </c>
      <c r="D296" s="18" t="s">
        <v>401</v>
      </c>
      <c r="E296" s="100" t="s">
        <v>953</v>
      </c>
      <c r="F296" s="258" t="s">
        <v>952</v>
      </c>
      <c r="G296" s="259"/>
      <c r="H296" s="101"/>
      <c r="I296" s="20"/>
      <c r="J296" s="101"/>
      <c r="K296" s="101"/>
      <c r="L296" s="20"/>
      <c r="M296" s="101"/>
      <c r="N296" s="101"/>
      <c r="O296" s="20"/>
      <c r="P296" s="101"/>
      <c r="Q296" s="127"/>
      <c r="R296" s="127"/>
      <c r="S296" s="114"/>
      <c r="T296" s="102"/>
      <c r="U296" s="102"/>
      <c r="V296" s="118"/>
    </row>
    <row r="297" spans="2:24" ht="34.5" customHeight="1">
      <c r="B297" s="188" t="str">
        <f t="shared" si="7"/>
        <v>1-289</v>
      </c>
      <c r="C297" s="114" t="s">
        <v>99</v>
      </c>
      <c r="D297" s="114" t="s">
        <v>99</v>
      </c>
      <c r="E297" s="100" t="s">
        <v>954</v>
      </c>
      <c r="F297" s="258" t="s">
        <v>952</v>
      </c>
      <c r="G297" s="259"/>
      <c r="H297" s="101"/>
      <c r="I297" s="20"/>
      <c r="J297" s="101"/>
      <c r="K297" s="101"/>
      <c r="L297" s="20"/>
      <c r="M297" s="101"/>
      <c r="N297" s="101"/>
      <c r="O297" s="20"/>
      <c r="P297" s="101"/>
      <c r="Q297" s="127"/>
      <c r="R297" s="127"/>
      <c r="S297" s="114"/>
      <c r="T297" s="102"/>
      <c r="U297" s="102"/>
      <c r="V297" s="159"/>
    </row>
    <row r="298" spans="2:24" ht="12.95" customHeight="1"/>
    <row r="299" spans="2:24" ht="12.95" customHeight="1">
      <c r="B299" s="2" t="s">
        <v>265</v>
      </c>
      <c r="C299" s="99" t="s">
        <v>210</v>
      </c>
    </row>
    <row r="300" spans="2:24" ht="12.95" customHeight="1">
      <c r="B300" s="268" t="s">
        <v>4</v>
      </c>
      <c r="C300" s="274" t="s">
        <v>5</v>
      </c>
      <c r="D300" s="274" t="s">
        <v>79</v>
      </c>
      <c r="E300" s="274" t="s">
        <v>6</v>
      </c>
      <c r="F300" s="270" t="s">
        <v>7</v>
      </c>
      <c r="G300" s="271"/>
      <c r="H300" s="264" t="s">
        <v>91</v>
      </c>
      <c r="I300" s="264"/>
      <c r="J300" s="264"/>
      <c r="K300" s="264" t="s">
        <v>84</v>
      </c>
      <c r="L300" s="264"/>
      <c r="M300" s="264"/>
      <c r="N300" s="264" t="s">
        <v>85</v>
      </c>
      <c r="O300" s="264"/>
      <c r="P300" s="264"/>
      <c r="Q300" s="265" t="s">
        <v>679</v>
      </c>
      <c r="R300" s="265" t="s">
        <v>78</v>
      </c>
      <c r="S300" s="267" t="s">
        <v>14</v>
      </c>
      <c r="T300" s="267"/>
      <c r="U300" s="267"/>
    </row>
    <row r="301" spans="2:24" ht="12.95" customHeight="1">
      <c r="B301" s="269"/>
      <c r="C301" s="266"/>
      <c r="D301" s="266"/>
      <c r="E301" s="266"/>
      <c r="F301" s="272"/>
      <c r="G301" s="273"/>
      <c r="H301" s="130" t="s">
        <v>8</v>
      </c>
      <c r="I301" s="130" t="s">
        <v>9</v>
      </c>
      <c r="J301" s="130" t="s">
        <v>10</v>
      </c>
      <c r="K301" s="130" t="s">
        <v>8</v>
      </c>
      <c r="L301" s="130" t="s">
        <v>9</v>
      </c>
      <c r="M301" s="130" t="s">
        <v>10</v>
      </c>
      <c r="N301" s="130" t="s">
        <v>8</v>
      </c>
      <c r="O301" s="130" t="s">
        <v>9</v>
      </c>
      <c r="P301" s="130" t="s">
        <v>10</v>
      </c>
      <c r="Q301" s="266"/>
      <c r="R301" s="266"/>
      <c r="S301" s="93"/>
      <c r="T301" s="94"/>
      <c r="U301" s="95"/>
    </row>
    <row r="302" spans="2:24" ht="54" customHeight="1">
      <c r="B302" s="169" t="str">
        <f>"2-"&amp;ROW()-301</f>
        <v>2-1</v>
      </c>
      <c r="C302" s="42" t="s">
        <v>506</v>
      </c>
      <c r="D302" s="100" t="s">
        <v>191</v>
      </c>
      <c r="E302" s="100" t="s">
        <v>62</v>
      </c>
      <c r="F302" s="262" t="s">
        <v>505</v>
      </c>
      <c r="G302" s="263"/>
      <c r="H302" s="101"/>
      <c r="I302" s="20"/>
      <c r="J302" s="101"/>
      <c r="K302" s="101"/>
      <c r="L302" s="20"/>
      <c r="M302" s="101"/>
      <c r="N302" s="101"/>
      <c r="O302" s="20"/>
      <c r="P302" s="101"/>
      <c r="Q302" s="182"/>
      <c r="R302" s="101"/>
      <c r="S302" s="100"/>
      <c r="T302" s="102"/>
      <c r="U302" s="102"/>
    </row>
    <row r="303" spans="2:24" ht="35.450000000000003" customHeight="1">
      <c r="B303" s="169" t="str">
        <f t="shared" ref="B303:B326" si="8">"2-"&amp;ROW()-301</f>
        <v>2-2</v>
      </c>
      <c r="C303" s="100" t="s">
        <v>83</v>
      </c>
      <c r="D303" s="100" t="s">
        <v>191</v>
      </c>
      <c r="E303" s="100" t="s">
        <v>62</v>
      </c>
      <c r="F303" s="262" t="s">
        <v>92</v>
      </c>
      <c r="G303" s="263"/>
      <c r="H303" s="101"/>
      <c r="I303" s="20"/>
      <c r="J303" s="101"/>
      <c r="K303" s="101"/>
      <c r="L303" s="20"/>
      <c r="M303" s="101"/>
      <c r="N303" s="101"/>
      <c r="O303" s="20"/>
      <c r="P303" s="101"/>
      <c r="Q303" s="101"/>
      <c r="R303" s="101"/>
      <c r="S303" s="100"/>
      <c r="T303" s="102"/>
      <c r="U303" s="102"/>
    </row>
    <row r="304" spans="2:24" ht="34.5" customHeight="1">
      <c r="B304" s="169" t="str">
        <f t="shared" si="8"/>
        <v>2-3</v>
      </c>
      <c r="C304" s="100" t="s">
        <v>83</v>
      </c>
      <c r="D304" s="100" t="s">
        <v>83</v>
      </c>
      <c r="E304" s="114" t="s">
        <v>62</v>
      </c>
      <c r="F304" s="258" t="s">
        <v>93</v>
      </c>
      <c r="G304" s="259"/>
      <c r="H304" s="101"/>
      <c r="I304" s="20"/>
      <c r="J304" s="101"/>
      <c r="K304" s="101"/>
      <c r="L304" s="20"/>
      <c r="M304" s="101"/>
      <c r="N304" s="101"/>
      <c r="O304" s="20"/>
      <c r="P304" s="101"/>
      <c r="Q304" s="101"/>
      <c r="R304" s="101"/>
      <c r="S304" s="100"/>
      <c r="T304" s="102"/>
      <c r="U304" s="102"/>
      <c r="V304" s="165"/>
      <c r="W304" s="165"/>
      <c r="X304" s="165"/>
    </row>
    <row r="305" spans="2:21" ht="35.450000000000003" customHeight="1">
      <c r="B305" s="169" t="str">
        <f t="shared" si="8"/>
        <v>2-4</v>
      </c>
      <c r="C305" s="100" t="s">
        <v>197</v>
      </c>
      <c r="D305" s="100" t="s">
        <v>194</v>
      </c>
      <c r="E305" s="100" t="s">
        <v>201</v>
      </c>
      <c r="F305" s="262" t="s">
        <v>200</v>
      </c>
      <c r="G305" s="263"/>
      <c r="H305" s="101"/>
      <c r="I305" s="20"/>
      <c r="J305" s="101"/>
      <c r="K305" s="101"/>
      <c r="L305" s="20"/>
      <c r="M305" s="101"/>
      <c r="N305" s="101"/>
      <c r="O305" s="20"/>
      <c r="P305" s="101"/>
      <c r="Q305" s="101"/>
      <c r="R305" s="101"/>
      <c r="S305" s="100"/>
      <c r="T305" s="102"/>
      <c r="U305" s="102"/>
    </row>
    <row r="306" spans="2:21" ht="35.450000000000003" customHeight="1">
      <c r="B306" s="169" t="str">
        <f t="shared" si="8"/>
        <v>2-5</v>
      </c>
      <c r="C306" s="100" t="s">
        <v>83</v>
      </c>
      <c r="D306" s="100" t="s">
        <v>83</v>
      </c>
      <c r="E306" s="100" t="s">
        <v>202</v>
      </c>
      <c r="F306" s="128" t="s">
        <v>203</v>
      </c>
      <c r="G306" s="129"/>
      <c r="H306" s="101"/>
      <c r="I306" s="20"/>
      <c r="J306" s="101"/>
      <c r="K306" s="101"/>
      <c r="L306" s="20"/>
      <c r="M306" s="101"/>
      <c r="N306" s="101"/>
      <c r="O306" s="20"/>
      <c r="P306" s="101"/>
      <c r="Q306" s="182"/>
      <c r="R306" s="101"/>
      <c r="S306" s="100"/>
      <c r="T306" s="102"/>
      <c r="U306" s="102"/>
    </row>
    <row r="307" spans="2:21" ht="35.450000000000003" customHeight="1">
      <c r="B307" s="169" t="str">
        <f t="shared" si="8"/>
        <v>2-6</v>
      </c>
      <c r="C307" s="100" t="s">
        <v>83</v>
      </c>
      <c r="D307" s="100" t="s">
        <v>204</v>
      </c>
      <c r="E307" s="100" t="s">
        <v>193</v>
      </c>
      <c r="F307" s="262" t="s">
        <v>198</v>
      </c>
      <c r="G307" s="263"/>
      <c r="H307" s="101"/>
      <c r="I307" s="20"/>
      <c r="J307" s="101"/>
      <c r="K307" s="101"/>
      <c r="L307" s="20"/>
      <c r="M307" s="101"/>
      <c r="N307" s="101"/>
      <c r="O307" s="20"/>
      <c r="P307" s="101"/>
      <c r="Q307" s="182"/>
      <c r="R307" s="101"/>
      <c r="S307" s="100"/>
      <c r="T307" s="102"/>
      <c r="U307" s="102"/>
    </row>
    <row r="308" spans="2:21" ht="35.450000000000003" customHeight="1">
      <c r="B308" s="169" t="str">
        <f t="shared" si="8"/>
        <v>2-7</v>
      </c>
      <c r="C308" s="100" t="s">
        <v>83</v>
      </c>
      <c r="D308" s="100" t="s">
        <v>83</v>
      </c>
      <c r="E308" s="100" t="s">
        <v>199</v>
      </c>
      <c r="F308" s="262" t="s">
        <v>198</v>
      </c>
      <c r="G308" s="263"/>
      <c r="H308" s="101"/>
      <c r="I308" s="20"/>
      <c r="J308" s="101"/>
      <c r="K308" s="101"/>
      <c r="L308" s="20"/>
      <c r="M308" s="101"/>
      <c r="N308" s="101"/>
      <c r="O308" s="20"/>
      <c r="P308" s="101"/>
      <c r="Q308" s="182"/>
      <c r="R308" s="101"/>
      <c r="S308" s="100"/>
      <c r="T308" s="102"/>
      <c r="U308" s="102"/>
    </row>
    <row r="309" spans="2:21" ht="35.450000000000003" customHeight="1">
      <c r="B309" s="169" t="str">
        <f t="shared" si="8"/>
        <v>2-8</v>
      </c>
      <c r="C309" s="100" t="s">
        <v>83</v>
      </c>
      <c r="D309" s="100" t="s">
        <v>205</v>
      </c>
      <c r="E309" s="100" t="s">
        <v>193</v>
      </c>
      <c r="F309" s="262" t="s">
        <v>206</v>
      </c>
      <c r="G309" s="263"/>
      <c r="H309" s="101"/>
      <c r="I309" s="20"/>
      <c r="J309" s="101"/>
      <c r="K309" s="101"/>
      <c r="L309" s="20"/>
      <c r="M309" s="101"/>
      <c r="N309" s="101"/>
      <c r="O309" s="20"/>
      <c r="P309" s="101"/>
      <c r="Q309" s="182"/>
      <c r="R309" s="101"/>
      <c r="S309" s="100"/>
      <c r="T309" s="102"/>
      <c r="U309" s="102"/>
    </row>
    <row r="310" spans="2:21" ht="35.450000000000003" customHeight="1">
      <c r="B310" s="169" t="str">
        <f t="shared" si="8"/>
        <v>2-9</v>
      </c>
      <c r="C310" s="100" t="s">
        <v>83</v>
      </c>
      <c r="D310" s="100" t="s">
        <v>83</v>
      </c>
      <c r="E310" s="100" t="s">
        <v>199</v>
      </c>
      <c r="F310" s="262" t="s">
        <v>206</v>
      </c>
      <c r="G310" s="263"/>
      <c r="H310" s="101"/>
      <c r="I310" s="20"/>
      <c r="J310" s="101"/>
      <c r="K310" s="101"/>
      <c r="L310" s="20"/>
      <c r="M310" s="101"/>
      <c r="N310" s="101"/>
      <c r="O310" s="20"/>
      <c r="P310" s="101"/>
      <c r="Q310" s="182"/>
      <c r="R310" s="101"/>
      <c r="S310" s="100"/>
      <c r="T310" s="102"/>
      <c r="U310" s="102"/>
    </row>
    <row r="311" spans="2:21" ht="35.450000000000003" customHeight="1">
      <c r="B311" s="169" t="str">
        <f t="shared" si="8"/>
        <v>2-10</v>
      </c>
      <c r="C311" s="100" t="s">
        <v>193</v>
      </c>
      <c r="D311" s="100" t="s">
        <v>195</v>
      </c>
      <c r="E311" s="100" t="s">
        <v>207</v>
      </c>
      <c r="F311" s="262" t="s">
        <v>196</v>
      </c>
      <c r="G311" s="263"/>
      <c r="H311" s="101"/>
      <c r="I311" s="20"/>
      <c r="J311" s="101"/>
      <c r="K311" s="101"/>
      <c r="L311" s="20"/>
      <c r="M311" s="101"/>
      <c r="N311" s="101"/>
      <c r="O311" s="20"/>
      <c r="P311" s="101"/>
      <c r="Q311" s="182"/>
      <c r="R311" s="101"/>
      <c r="S311" s="100"/>
      <c r="T311" s="102"/>
      <c r="U311" s="102"/>
    </row>
    <row r="312" spans="2:21" ht="35.450000000000003" customHeight="1">
      <c r="B312" s="169" t="str">
        <f t="shared" si="8"/>
        <v>2-11</v>
      </c>
      <c r="C312" s="100" t="s">
        <v>83</v>
      </c>
      <c r="D312" s="100" t="s">
        <v>83</v>
      </c>
      <c r="E312" s="100" t="s">
        <v>193</v>
      </c>
      <c r="F312" s="262" t="s">
        <v>206</v>
      </c>
      <c r="G312" s="263"/>
      <c r="H312" s="101"/>
      <c r="I312" s="20"/>
      <c r="J312" s="101"/>
      <c r="K312" s="101"/>
      <c r="L312" s="20"/>
      <c r="M312" s="101"/>
      <c r="N312" s="101"/>
      <c r="O312" s="20"/>
      <c r="P312" s="101"/>
      <c r="Q312" s="182"/>
      <c r="R312" s="101"/>
      <c r="S312" s="100"/>
      <c r="T312" s="102"/>
      <c r="U312" s="102"/>
    </row>
    <row r="313" spans="2:21" ht="35.450000000000003" customHeight="1">
      <c r="B313" s="169" t="str">
        <f t="shared" si="8"/>
        <v>2-12</v>
      </c>
      <c r="C313" s="100" t="s">
        <v>83</v>
      </c>
      <c r="D313" s="100" t="s">
        <v>83</v>
      </c>
      <c r="E313" s="100" t="s">
        <v>199</v>
      </c>
      <c r="F313" s="262" t="s">
        <v>206</v>
      </c>
      <c r="G313" s="263"/>
      <c r="H313" s="101"/>
      <c r="I313" s="20"/>
      <c r="J313" s="101"/>
      <c r="K313" s="101"/>
      <c r="L313" s="20"/>
      <c r="M313" s="101"/>
      <c r="N313" s="101"/>
      <c r="O313" s="20"/>
      <c r="P313" s="101"/>
      <c r="Q313" s="182"/>
      <c r="R313" s="101"/>
      <c r="S313" s="100"/>
      <c r="T313" s="102"/>
      <c r="U313" s="102"/>
    </row>
    <row r="314" spans="2:21" ht="35.450000000000003" customHeight="1">
      <c r="B314" s="169" t="str">
        <f t="shared" si="8"/>
        <v>2-13</v>
      </c>
      <c r="C314" s="100" t="s">
        <v>199</v>
      </c>
      <c r="D314" s="100" t="s">
        <v>295</v>
      </c>
      <c r="E314" s="100" t="s">
        <v>208</v>
      </c>
      <c r="F314" s="262" t="s">
        <v>209</v>
      </c>
      <c r="G314" s="263"/>
      <c r="H314" s="101"/>
      <c r="I314" s="20"/>
      <c r="J314" s="101"/>
      <c r="K314" s="101"/>
      <c r="L314" s="20"/>
      <c r="M314" s="101"/>
      <c r="N314" s="101"/>
      <c r="O314" s="20"/>
      <c r="P314" s="101"/>
      <c r="Q314" s="182"/>
      <c r="R314" s="101"/>
      <c r="S314" s="100"/>
      <c r="T314" s="102"/>
      <c r="U314" s="102"/>
    </row>
    <row r="315" spans="2:21" ht="35.450000000000003" customHeight="1">
      <c r="B315" s="169" t="str">
        <f t="shared" si="8"/>
        <v>2-14</v>
      </c>
      <c r="C315" s="100" t="s">
        <v>83</v>
      </c>
      <c r="D315" s="100" t="s">
        <v>515</v>
      </c>
      <c r="E315" s="100" t="s">
        <v>211</v>
      </c>
      <c r="F315" s="262" t="s">
        <v>212</v>
      </c>
      <c r="G315" s="263"/>
      <c r="H315" s="101"/>
      <c r="I315" s="20"/>
      <c r="J315" s="101"/>
      <c r="K315" s="101"/>
      <c r="L315" s="20"/>
      <c r="M315" s="101"/>
      <c r="N315" s="101"/>
      <c r="O315" s="20"/>
      <c r="P315" s="101"/>
      <c r="Q315" s="182"/>
      <c r="R315" s="101"/>
      <c r="S315" s="100"/>
      <c r="T315" s="102"/>
      <c r="U315" s="102"/>
    </row>
    <row r="316" spans="2:21" ht="35.450000000000003" customHeight="1">
      <c r="B316" s="169" t="str">
        <f t="shared" si="8"/>
        <v>2-15</v>
      </c>
      <c r="C316" s="100" t="s">
        <v>83</v>
      </c>
      <c r="D316" s="100" t="s">
        <v>83</v>
      </c>
      <c r="E316" s="100" t="s">
        <v>216</v>
      </c>
      <c r="F316" s="262" t="s">
        <v>217</v>
      </c>
      <c r="G316" s="263"/>
      <c r="H316" s="101"/>
      <c r="I316" s="20"/>
      <c r="J316" s="101"/>
      <c r="K316" s="101"/>
      <c r="L316" s="20"/>
      <c r="M316" s="101"/>
      <c r="N316" s="101"/>
      <c r="O316" s="20"/>
      <c r="P316" s="101"/>
      <c r="Q316" s="182"/>
      <c r="R316" s="101"/>
      <c r="S316" s="100"/>
      <c r="T316" s="102"/>
      <c r="U316" s="102"/>
    </row>
    <row r="317" spans="2:21" ht="35.450000000000003" customHeight="1">
      <c r="B317" s="169" t="str">
        <f t="shared" si="8"/>
        <v>2-16</v>
      </c>
      <c r="C317" s="100" t="s">
        <v>83</v>
      </c>
      <c r="D317" s="100" t="s">
        <v>83</v>
      </c>
      <c r="E317" s="100" t="s">
        <v>219</v>
      </c>
      <c r="F317" s="262" t="s">
        <v>218</v>
      </c>
      <c r="G317" s="263"/>
      <c r="H317" s="101"/>
      <c r="I317" s="20"/>
      <c r="J317" s="101"/>
      <c r="K317" s="101"/>
      <c r="L317" s="20"/>
      <c r="M317" s="101"/>
      <c r="N317" s="101"/>
      <c r="O317" s="20"/>
      <c r="P317" s="101"/>
      <c r="Q317" s="182"/>
      <c r="R317" s="101"/>
      <c r="S317" s="100"/>
      <c r="T317" s="102"/>
      <c r="U317" s="102"/>
    </row>
    <row r="318" spans="2:21" ht="35.450000000000003" customHeight="1">
      <c r="B318" s="169" t="str">
        <f t="shared" si="8"/>
        <v>2-17</v>
      </c>
      <c r="C318" s="100" t="s">
        <v>83</v>
      </c>
      <c r="D318" s="100" t="s">
        <v>83</v>
      </c>
      <c r="E318" s="100" t="s">
        <v>83</v>
      </c>
      <c r="F318" s="262" t="s">
        <v>680</v>
      </c>
      <c r="G318" s="263"/>
      <c r="H318" s="101"/>
      <c r="I318" s="20"/>
      <c r="J318" s="101"/>
      <c r="K318" s="101"/>
      <c r="L318" s="20"/>
      <c r="M318" s="101"/>
      <c r="N318" s="101"/>
      <c r="O318" s="20"/>
      <c r="P318" s="101"/>
      <c r="Q318" s="182"/>
      <c r="R318" s="101"/>
      <c r="S318" s="100"/>
      <c r="T318" s="102"/>
      <c r="U318" s="102"/>
    </row>
    <row r="319" spans="2:21" ht="35.450000000000003" customHeight="1">
      <c r="B319" s="169" t="str">
        <f t="shared" si="8"/>
        <v>2-18</v>
      </c>
      <c r="C319" s="100" t="s">
        <v>213</v>
      </c>
      <c r="D319" s="100" t="s">
        <v>195</v>
      </c>
      <c r="E319" s="100" t="s">
        <v>214</v>
      </c>
      <c r="F319" s="262" t="s">
        <v>209</v>
      </c>
      <c r="G319" s="263"/>
      <c r="H319" s="101"/>
      <c r="I319" s="20"/>
      <c r="J319" s="101"/>
      <c r="K319" s="101"/>
      <c r="L319" s="20"/>
      <c r="M319" s="101"/>
      <c r="N319" s="101"/>
      <c r="O319" s="20"/>
      <c r="P319" s="101"/>
      <c r="Q319" s="182"/>
      <c r="R319" s="101"/>
      <c r="S319" s="100"/>
      <c r="T319" s="102"/>
      <c r="U319" s="102"/>
    </row>
    <row r="320" spans="2:21" ht="35.450000000000003" customHeight="1">
      <c r="B320" s="169" t="str">
        <f t="shared" si="8"/>
        <v>2-19</v>
      </c>
      <c r="C320" s="100" t="s">
        <v>83</v>
      </c>
      <c r="D320" s="100" t="s">
        <v>515</v>
      </c>
      <c r="E320" s="100" t="s">
        <v>211</v>
      </c>
      <c r="F320" s="262" t="s">
        <v>215</v>
      </c>
      <c r="G320" s="263"/>
      <c r="H320" s="101"/>
      <c r="I320" s="20"/>
      <c r="J320" s="101"/>
      <c r="K320" s="101"/>
      <c r="L320" s="20"/>
      <c r="M320" s="101"/>
      <c r="N320" s="101"/>
      <c r="O320" s="20"/>
      <c r="P320" s="101"/>
      <c r="Q320" s="182"/>
      <c r="R320" s="101"/>
      <c r="S320" s="100"/>
      <c r="T320" s="102"/>
      <c r="U320" s="102"/>
    </row>
    <row r="321" spans="2:24" ht="34.5" customHeight="1">
      <c r="B321" s="169" t="str">
        <f t="shared" si="8"/>
        <v>2-20</v>
      </c>
      <c r="C321" s="18" t="s">
        <v>135</v>
      </c>
      <c r="D321" s="18" t="s">
        <v>136</v>
      </c>
      <c r="E321" s="100" t="s">
        <v>134</v>
      </c>
      <c r="F321" s="258" t="s">
        <v>137</v>
      </c>
      <c r="G321" s="259"/>
      <c r="H321" s="124"/>
      <c r="I321" s="125"/>
      <c r="J321" s="101"/>
      <c r="K321" s="124"/>
      <c r="L321" s="125"/>
      <c r="M321" s="101"/>
      <c r="N321" s="124"/>
      <c r="O321" s="125"/>
      <c r="P321" s="101"/>
      <c r="Q321" s="101"/>
      <c r="R321" s="126"/>
      <c r="S321" s="114"/>
      <c r="T321" s="102"/>
      <c r="U321" s="102"/>
      <c r="V321" s="131"/>
    </row>
    <row r="322" spans="2:24" ht="34.5" customHeight="1">
      <c r="B322" s="169" t="str">
        <f t="shared" si="8"/>
        <v>2-21</v>
      </c>
      <c r="C322" s="18" t="s">
        <v>143</v>
      </c>
      <c r="D322" s="18" t="s">
        <v>143</v>
      </c>
      <c r="E322" s="100" t="s">
        <v>134</v>
      </c>
      <c r="F322" s="258" t="s">
        <v>138</v>
      </c>
      <c r="G322" s="259"/>
      <c r="H322" s="124"/>
      <c r="I322" s="125"/>
      <c r="J322" s="101"/>
      <c r="K322" s="124"/>
      <c r="L322" s="125"/>
      <c r="M322" s="101"/>
      <c r="N322" s="124"/>
      <c r="O322" s="125"/>
      <c r="P322" s="101"/>
      <c r="Q322" s="101"/>
      <c r="R322" s="126"/>
      <c r="S322" s="114"/>
      <c r="T322" s="102"/>
      <c r="U322" s="102"/>
      <c r="V322" s="131"/>
    </row>
    <row r="323" spans="2:24" ht="34.5" customHeight="1">
      <c r="B323" s="169" t="str">
        <f t="shared" si="8"/>
        <v>2-22</v>
      </c>
      <c r="C323" s="18" t="s">
        <v>143</v>
      </c>
      <c r="D323" s="18" t="s">
        <v>147</v>
      </c>
      <c r="E323" s="100" t="s">
        <v>134</v>
      </c>
      <c r="F323" s="258" t="s">
        <v>148</v>
      </c>
      <c r="G323" s="259"/>
      <c r="H323" s="124"/>
      <c r="I323" s="125"/>
      <c r="J323" s="101"/>
      <c r="K323" s="124"/>
      <c r="L323" s="125"/>
      <c r="M323" s="101"/>
      <c r="N323" s="124"/>
      <c r="O323" s="125"/>
      <c r="P323" s="101"/>
      <c r="Q323" s="101"/>
      <c r="R323" s="126"/>
      <c r="S323" s="114"/>
      <c r="T323" s="102"/>
      <c r="U323" s="102"/>
      <c r="V323" s="131"/>
    </row>
    <row r="324" spans="2:24" ht="34.5" customHeight="1">
      <c r="B324" s="169" t="str">
        <f t="shared" si="8"/>
        <v>2-23</v>
      </c>
      <c r="C324" s="18" t="s">
        <v>143</v>
      </c>
      <c r="D324" s="18" t="s">
        <v>143</v>
      </c>
      <c r="E324" s="100" t="s">
        <v>134</v>
      </c>
      <c r="F324" s="258" t="s">
        <v>138</v>
      </c>
      <c r="G324" s="259"/>
      <c r="H324" s="124"/>
      <c r="I324" s="125"/>
      <c r="J324" s="101"/>
      <c r="K324" s="124"/>
      <c r="L324" s="125"/>
      <c r="M324" s="101"/>
      <c r="N324" s="124"/>
      <c r="O324" s="125"/>
      <c r="P324" s="101"/>
      <c r="Q324" s="101"/>
      <c r="R324" s="126"/>
      <c r="S324" s="114"/>
      <c r="T324" s="102"/>
      <c r="U324" s="102"/>
      <c r="V324" s="131"/>
    </row>
    <row r="325" spans="2:24" ht="34.5" customHeight="1">
      <c r="B325" s="169" t="str">
        <f t="shared" si="8"/>
        <v>2-24</v>
      </c>
      <c r="C325" s="18" t="s">
        <v>143</v>
      </c>
      <c r="D325" s="18" t="s">
        <v>149</v>
      </c>
      <c r="E325" s="100" t="s">
        <v>134</v>
      </c>
      <c r="F325" s="258" t="s">
        <v>150</v>
      </c>
      <c r="G325" s="259"/>
      <c r="H325" s="124"/>
      <c r="I325" s="125"/>
      <c r="J325" s="101"/>
      <c r="K325" s="124"/>
      <c r="L325" s="125"/>
      <c r="M325" s="101"/>
      <c r="N325" s="124"/>
      <c r="O325" s="125"/>
      <c r="P325" s="101"/>
      <c r="Q325" s="101"/>
      <c r="R325" s="126"/>
      <c r="S325" s="114"/>
      <c r="T325" s="102"/>
      <c r="U325" s="102"/>
      <c r="V325" s="131"/>
    </row>
    <row r="326" spans="2:24" ht="34.5" customHeight="1">
      <c r="B326" s="169" t="str">
        <f t="shared" si="8"/>
        <v>2-25</v>
      </c>
      <c r="C326" s="18" t="s">
        <v>143</v>
      </c>
      <c r="D326" s="18" t="s">
        <v>143</v>
      </c>
      <c r="E326" s="100" t="s">
        <v>134</v>
      </c>
      <c r="F326" s="258" t="s">
        <v>138</v>
      </c>
      <c r="G326" s="259"/>
      <c r="H326" s="124"/>
      <c r="I326" s="125"/>
      <c r="J326" s="101"/>
      <c r="K326" s="124"/>
      <c r="L326" s="125"/>
      <c r="M326" s="101"/>
      <c r="N326" s="124"/>
      <c r="O326" s="125"/>
      <c r="P326" s="101"/>
      <c r="Q326" s="101"/>
      <c r="R326" s="126"/>
      <c r="S326" s="114"/>
      <c r="T326" s="102"/>
      <c r="U326" s="102"/>
      <c r="V326" s="131"/>
    </row>
    <row r="327" spans="2:24" ht="12.95" customHeight="1"/>
    <row r="328" spans="2:24" ht="12.95" customHeight="1">
      <c r="B328" s="2" t="s">
        <v>239</v>
      </c>
      <c r="C328" s="99" t="s">
        <v>231</v>
      </c>
    </row>
    <row r="329" spans="2:24" ht="12.95" customHeight="1">
      <c r="B329" s="268" t="s">
        <v>4</v>
      </c>
      <c r="C329" s="274" t="s">
        <v>5</v>
      </c>
      <c r="D329" s="274" t="s">
        <v>79</v>
      </c>
      <c r="E329" s="274" t="s">
        <v>6</v>
      </c>
      <c r="F329" s="270" t="s">
        <v>7</v>
      </c>
      <c r="G329" s="271"/>
      <c r="H329" s="264" t="s">
        <v>91</v>
      </c>
      <c r="I329" s="264"/>
      <c r="J329" s="264"/>
      <c r="K329" s="264" t="s">
        <v>84</v>
      </c>
      <c r="L329" s="264"/>
      <c r="M329" s="264"/>
      <c r="N329" s="264" t="s">
        <v>85</v>
      </c>
      <c r="O329" s="264"/>
      <c r="P329" s="264"/>
      <c r="Q329" s="265" t="s">
        <v>681</v>
      </c>
      <c r="R329" s="265" t="s">
        <v>78</v>
      </c>
      <c r="S329" s="267" t="s">
        <v>14</v>
      </c>
      <c r="T329" s="267"/>
      <c r="U329" s="267"/>
    </row>
    <row r="330" spans="2:24" ht="12.95" customHeight="1">
      <c r="B330" s="269"/>
      <c r="C330" s="266"/>
      <c r="D330" s="266"/>
      <c r="E330" s="266"/>
      <c r="F330" s="272"/>
      <c r="G330" s="273"/>
      <c r="H330" s="134" t="s">
        <v>8</v>
      </c>
      <c r="I330" s="134" t="s">
        <v>9</v>
      </c>
      <c r="J330" s="134" t="s">
        <v>10</v>
      </c>
      <c r="K330" s="134" t="s">
        <v>8</v>
      </c>
      <c r="L330" s="134" t="s">
        <v>9</v>
      </c>
      <c r="M330" s="134" t="s">
        <v>10</v>
      </c>
      <c r="N330" s="134" t="s">
        <v>8</v>
      </c>
      <c r="O330" s="134" t="s">
        <v>9</v>
      </c>
      <c r="P330" s="134" t="s">
        <v>10</v>
      </c>
      <c r="Q330" s="266"/>
      <c r="R330" s="266"/>
      <c r="S330" s="93"/>
      <c r="T330" s="94"/>
      <c r="U330" s="95"/>
    </row>
    <row r="331" spans="2:24" ht="41.1" customHeight="1">
      <c r="B331" s="169" t="str">
        <f>"3-"&amp;ROW()-330</f>
        <v>3-1</v>
      </c>
      <c r="C331" s="42" t="s">
        <v>508</v>
      </c>
      <c r="D331" s="100" t="s">
        <v>99</v>
      </c>
      <c r="E331" s="100" t="s">
        <v>62</v>
      </c>
      <c r="F331" s="262" t="s">
        <v>507</v>
      </c>
      <c r="G331" s="263"/>
      <c r="H331" s="124"/>
      <c r="I331" s="125"/>
      <c r="J331" s="101"/>
      <c r="K331" s="124"/>
      <c r="L331" s="125"/>
      <c r="M331" s="101"/>
      <c r="N331" s="124"/>
      <c r="O331" s="125"/>
      <c r="P331" s="101"/>
      <c r="Q331" s="182"/>
      <c r="R331" s="101"/>
      <c r="S331" s="100"/>
      <c r="T331" s="102"/>
      <c r="U331" s="102"/>
    </row>
    <row r="332" spans="2:24" ht="35.450000000000003" customHeight="1">
      <c r="B332" s="169" t="str">
        <f t="shared" ref="B332:B363" si="9">"3-"&amp;ROW()-330</f>
        <v>3-2</v>
      </c>
      <c r="C332" s="100" t="s">
        <v>83</v>
      </c>
      <c r="D332" s="100" t="s">
        <v>99</v>
      </c>
      <c r="E332" s="100" t="s">
        <v>116</v>
      </c>
      <c r="F332" s="262" t="s">
        <v>92</v>
      </c>
      <c r="G332" s="263"/>
      <c r="H332" s="124"/>
      <c r="I332" s="125"/>
      <c r="J332" s="101"/>
      <c r="K332" s="124"/>
      <c r="L332" s="125"/>
      <c r="M332" s="101"/>
      <c r="N332" s="124"/>
      <c r="O332" s="125"/>
      <c r="P332" s="101"/>
      <c r="Q332" s="101"/>
      <c r="R332" s="101"/>
      <c r="S332" s="100"/>
      <c r="T332" s="102"/>
      <c r="U332" s="102"/>
    </row>
    <row r="333" spans="2:24" ht="34.5" customHeight="1">
      <c r="B333" s="169" t="str">
        <f t="shared" si="9"/>
        <v>3-3</v>
      </c>
      <c r="C333" s="100" t="s">
        <v>83</v>
      </c>
      <c r="D333" s="100" t="s">
        <v>83</v>
      </c>
      <c r="E333" s="114" t="s">
        <v>62</v>
      </c>
      <c r="F333" s="258" t="s">
        <v>93</v>
      </c>
      <c r="G333" s="259"/>
      <c r="H333" s="101"/>
      <c r="I333" s="20"/>
      <c r="J333" s="101"/>
      <c r="K333" s="101"/>
      <c r="L333" s="20"/>
      <c r="M333" s="101"/>
      <c r="N333" s="124"/>
      <c r="O333" s="125"/>
      <c r="P333" s="101"/>
      <c r="Q333" s="101"/>
      <c r="R333" s="101"/>
      <c r="S333" s="100"/>
      <c r="T333" s="102"/>
      <c r="U333" s="102"/>
      <c r="V333" s="197"/>
      <c r="W333" s="197"/>
      <c r="X333" s="197"/>
    </row>
    <row r="334" spans="2:24" ht="35.450000000000003" customHeight="1">
      <c r="B334" s="169" t="str">
        <f t="shared" si="9"/>
        <v>3-4</v>
      </c>
      <c r="C334" s="100" t="s">
        <v>509</v>
      </c>
      <c r="D334" s="100" t="s">
        <v>83</v>
      </c>
      <c r="E334" s="100" t="s">
        <v>234</v>
      </c>
      <c r="F334" s="262" t="s">
        <v>510</v>
      </c>
      <c r="G334" s="263"/>
      <c r="H334" s="124"/>
      <c r="I334" s="125"/>
      <c r="J334" s="101"/>
      <c r="K334" s="124"/>
      <c r="L334" s="125"/>
      <c r="M334" s="101"/>
      <c r="N334" s="124"/>
      <c r="O334" s="125"/>
      <c r="P334" s="101"/>
      <c r="Q334" s="101"/>
      <c r="R334" s="101"/>
      <c r="S334" s="100"/>
      <c r="T334" s="102"/>
      <c r="U334" s="102"/>
    </row>
    <row r="335" spans="2:24" ht="35.450000000000003" customHeight="1">
      <c r="B335" s="169" t="str">
        <f t="shared" si="9"/>
        <v>3-5</v>
      </c>
      <c r="C335" s="100" t="s">
        <v>235</v>
      </c>
      <c r="D335" s="100" t="s">
        <v>83</v>
      </c>
      <c r="E335" s="100" t="s">
        <v>234</v>
      </c>
      <c r="F335" s="262" t="s">
        <v>236</v>
      </c>
      <c r="G335" s="263"/>
      <c r="H335" s="124"/>
      <c r="I335" s="125"/>
      <c r="J335" s="101"/>
      <c r="K335" s="124"/>
      <c r="L335" s="125"/>
      <c r="M335" s="101"/>
      <c r="N335" s="124"/>
      <c r="O335" s="125"/>
      <c r="P335" s="101"/>
      <c r="Q335" s="101"/>
      <c r="R335" s="101"/>
      <c r="S335" s="100"/>
      <c r="T335" s="102"/>
      <c r="U335" s="102"/>
    </row>
    <row r="336" spans="2:24" ht="35.450000000000003" customHeight="1">
      <c r="B336" s="169" t="str">
        <f t="shared" si="9"/>
        <v>3-6</v>
      </c>
      <c r="C336" s="100" t="s">
        <v>233</v>
      </c>
      <c r="D336" s="100" t="s">
        <v>83</v>
      </c>
      <c r="E336" s="100" t="s">
        <v>234</v>
      </c>
      <c r="F336" s="262" t="s">
        <v>240</v>
      </c>
      <c r="G336" s="263"/>
      <c r="H336" s="124"/>
      <c r="I336" s="125"/>
      <c r="J336" s="101"/>
      <c r="K336" s="124"/>
      <c r="L336" s="125"/>
      <c r="M336" s="101"/>
      <c r="N336" s="124"/>
      <c r="O336" s="125"/>
      <c r="P336" s="101"/>
      <c r="Q336" s="101"/>
      <c r="R336" s="101"/>
      <c r="S336" s="100"/>
      <c r="T336" s="102"/>
      <c r="U336" s="102"/>
    </row>
    <row r="337" spans="2:21" ht="35.450000000000003" customHeight="1">
      <c r="B337" s="169" t="str">
        <f t="shared" si="9"/>
        <v>3-7</v>
      </c>
      <c r="C337" s="100" t="s">
        <v>237</v>
      </c>
      <c r="D337" s="100" t="s">
        <v>238</v>
      </c>
      <c r="E337" s="100" t="s">
        <v>490</v>
      </c>
      <c r="F337" s="258" t="s">
        <v>190</v>
      </c>
      <c r="G337" s="259"/>
      <c r="H337" s="161"/>
      <c r="I337" s="162"/>
      <c r="J337" s="161"/>
      <c r="K337" s="101"/>
      <c r="L337" s="125"/>
      <c r="M337" s="101"/>
      <c r="N337" s="161"/>
      <c r="O337" s="162"/>
      <c r="P337" s="161"/>
      <c r="Q337" s="101"/>
      <c r="R337" s="101"/>
      <c r="S337" s="100"/>
      <c r="T337" s="102"/>
      <c r="U337" s="102"/>
    </row>
    <row r="338" spans="2:21" ht="35.450000000000003" customHeight="1">
      <c r="B338" s="169" t="str">
        <f t="shared" si="9"/>
        <v>3-8</v>
      </c>
      <c r="C338" s="100" t="s">
        <v>83</v>
      </c>
      <c r="D338" s="100" t="s">
        <v>455</v>
      </c>
      <c r="E338" s="100" t="s">
        <v>116</v>
      </c>
      <c r="F338" s="262" t="s">
        <v>350</v>
      </c>
      <c r="G338" s="263"/>
      <c r="H338" s="101"/>
      <c r="I338" s="20"/>
      <c r="J338" s="101"/>
      <c r="K338" s="101"/>
      <c r="L338" s="20"/>
      <c r="M338" s="101"/>
      <c r="N338" s="101"/>
      <c r="O338" s="20"/>
      <c r="P338" s="101"/>
      <c r="Q338" s="203"/>
      <c r="R338" s="101"/>
      <c r="S338" s="100"/>
      <c r="T338" s="102"/>
      <c r="U338" s="102"/>
    </row>
    <row r="339" spans="2:21" ht="35.450000000000003" customHeight="1">
      <c r="B339" s="169" t="str">
        <f t="shared" si="9"/>
        <v>3-9</v>
      </c>
      <c r="C339" s="100" t="s">
        <v>83</v>
      </c>
      <c r="D339" s="100" t="s">
        <v>461</v>
      </c>
      <c r="E339" s="100" t="s">
        <v>116</v>
      </c>
      <c r="F339" s="262" t="s">
        <v>350</v>
      </c>
      <c r="G339" s="263"/>
      <c r="H339" s="101"/>
      <c r="I339" s="20"/>
      <c r="J339" s="101"/>
      <c r="K339" s="101"/>
      <c r="L339" s="20"/>
      <c r="M339" s="101"/>
      <c r="N339" s="101"/>
      <c r="O339" s="20"/>
      <c r="P339" s="101"/>
      <c r="Q339" s="203"/>
      <c r="R339" s="101"/>
      <c r="S339" s="100"/>
      <c r="T339" s="102"/>
      <c r="U339" s="102"/>
    </row>
    <row r="340" spans="2:21" ht="54.75" customHeight="1">
      <c r="B340" s="169" t="str">
        <f t="shared" si="9"/>
        <v>3-10</v>
      </c>
      <c r="C340" s="100" t="s">
        <v>83</v>
      </c>
      <c r="D340" s="100" t="s">
        <v>468</v>
      </c>
      <c r="E340" s="100" t="s">
        <v>233</v>
      </c>
      <c r="F340" s="132" t="s">
        <v>511</v>
      </c>
      <c r="G340" s="133"/>
      <c r="H340" s="124"/>
      <c r="I340" s="125"/>
      <c r="J340" s="101"/>
      <c r="K340" s="124"/>
      <c r="L340" s="125"/>
      <c r="M340" s="101"/>
      <c r="N340" s="124"/>
      <c r="O340" s="125"/>
      <c r="P340" s="101"/>
      <c r="Q340" s="205"/>
      <c r="R340" s="101"/>
      <c r="S340" s="100"/>
      <c r="T340" s="102"/>
      <c r="U340" s="102"/>
    </row>
    <row r="341" spans="2:21" ht="35.450000000000003" customHeight="1">
      <c r="B341" s="169" t="str">
        <f t="shared" si="9"/>
        <v>3-11</v>
      </c>
      <c r="C341" s="100" t="s">
        <v>83</v>
      </c>
      <c r="D341" s="208" t="s">
        <v>950</v>
      </c>
      <c r="E341" s="100" t="s">
        <v>491</v>
      </c>
      <c r="F341" s="262" t="s">
        <v>935</v>
      </c>
      <c r="G341" s="263"/>
      <c r="H341" s="161"/>
      <c r="I341" s="162"/>
      <c r="J341" s="161"/>
      <c r="K341" s="101"/>
      <c r="L341" s="125"/>
      <c r="M341" s="101"/>
      <c r="N341" s="161"/>
      <c r="O341" s="162"/>
      <c r="P341" s="161"/>
      <c r="Q341" s="203"/>
      <c r="R341" s="101"/>
      <c r="S341" s="100"/>
      <c r="T341" s="102"/>
      <c r="U341" s="102"/>
    </row>
    <row r="342" spans="2:21" ht="35.450000000000003" customHeight="1">
      <c r="B342" s="169" t="str">
        <f t="shared" si="9"/>
        <v>3-12</v>
      </c>
      <c r="C342" s="100" t="s">
        <v>83</v>
      </c>
      <c r="D342" s="100" t="s">
        <v>455</v>
      </c>
      <c r="E342" s="100" t="s">
        <v>116</v>
      </c>
      <c r="F342" s="262" t="s">
        <v>350</v>
      </c>
      <c r="G342" s="263"/>
      <c r="H342" s="101"/>
      <c r="I342" s="20"/>
      <c r="J342" s="101"/>
      <c r="K342" s="101"/>
      <c r="L342" s="20"/>
      <c r="M342" s="101"/>
      <c r="N342" s="101"/>
      <c r="O342" s="20"/>
      <c r="P342" s="101"/>
      <c r="Q342" s="203"/>
      <c r="R342" s="101"/>
      <c r="S342" s="100"/>
      <c r="T342" s="102"/>
      <c r="U342" s="102"/>
    </row>
    <row r="343" spans="2:21" ht="35.450000000000003" customHeight="1">
      <c r="B343" s="169" t="str">
        <f t="shared" si="9"/>
        <v>3-13</v>
      </c>
      <c r="C343" s="100" t="s">
        <v>83</v>
      </c>
      <c r="D343" s="100" t="s">
        <v>461</v>
      </c>
      <c r="E343" s="100" t="s">
        <v>116</v>
      </c>
      <c r="F343" s="262" t="s">
        <v>350</v>
      </c>
      <c r="G343" s="263"/>
      <c r="H343" s="101"/>
      <c r="I343" s="20"/>
      <c r="J343" s="101"/>
      <c r="K343" s="101"/>
      <c r="L343" s="20"/>
      <c r="M343" s="101"/>
      <c r="N343" s="101"/>
      <c r="O343" s="20"/>
      <c r="P343" s="101"/>
      <c r="Q343" s="203"/>
      <c r="R343" s="101"/>
      <c r="S343" s="100"/>
      <c r="T343" s="102"/>
      <c r="U343" s="102"/>
    </row>
    <row r="344" spans="2:21" ht="35.450000000000003" customHeight="1">
      <c r="B344" s="169" t="str">
        <f t="shared" si="9"/>
        <v>3-14</v>
      </c>
      <c r="C344" s="100" t="s">
        <v>83</v>
      </c>
      <c r="D344" s="100" t="s">
        <v>469</v>
      </c>
      <c r="E344" s="100" t="s">
        <v>233</v>
      </c>
      <c r="F344" s="260" t="s">
        <v>511</v>
      </c>
      <c r="G344" s="261"/>
      <c r="H344" s="124"/>
      <c r="I344" s="125"/>
      <c r="J344" s="101"/>
      <c r="K344" s="124"/>
      <c r="L344" s="125"/>
      <c r="M344" s="101"/>
      <c r="N344" s="124"/>
      <c r="O344" s="125"/>
      <c r="P344" s="101"/>
      <c r="Q344" s="205"/>
      <c r="R344" s="101"/>
      <c r="S344" s="100"/>
      <c r="T344" s="102"/>
      <c r="U344" s="102"/>
    </row>
    <row r="345" spans="2:21" ht="35.450000000000003" customHeight="1">
      <c r="B345" s="169" t="str">
        <f t="shared" si="9"/>
        <v>3-15</v>
      </c>
      <c r="C345" s="100" t="s">
        <v>83</v>
      </c>
      <c r="D345" s="100" t="s">
        <v>83</v>
      </c>
      <c r="E345" s="100" t="s">
        <v>83</v>
      </c>
      <c r="F345" s="132" t="s">
        <v>246</v>
      </c>
      <c r="G345" s="133"/>
      <c r="H345" s="124"/>
      <c r="I345" s="125"/>
      <c r="J345" s="101"/>
      <c r="K345" s="124"/>
      <c r="L345" s="125"/>
      <c r="M345" s="101"/>
      <c r="N345" s="124"/>
      <c r="O345" s="125"/>
      <c r="P345" s="101"/>
      <c r="Q345" s="203"/>
      <c r="R345" s="101"/>
      <c r="S345" s="100"/>
      <c r="T345" s="102"/>
      <c r="U345" s="102"/>
    </row>
    <row r="346" spans="2:21" ht="35.450000000000003" customHeight="1">
      <c r="B346" s="169" t="str">
        <f t="shared" si="9"/>
        <v>3-16</v>
      </c>
      <c r="C346" s="100" t="s">
        <v>193</v>
      </c>
      <c r="D346" s="100" t="s">
        <v>83</v>
      </c>
      <c r="E346" s="100" t="s">
        <v>234</v>
      </c>
      <c r="F346" s="262" t="s">
        <v>123</v>
      </c>
      <c r="G346" s="263"/>
      <c r="H346" s="124"/>
      <c r="I346" s="125"/>
      <c r="J346" s="101"/>
      <c r="K346" s="124"/>
      <c r="L346" s="125"/>
      <c r="M346" s="101"/>
      <c r="N346" s="124"/>
      <c r="O346" s="125"/>
      <c r="P346" s="101"/>
      <c r="Q346" s="101"/>
      <c r="R346" s="101"/>
      <c r="S346" s="100"/>
      <c r="T346" s="102"/>
      <c r="U346" s="102"/>
    </row>
    <row r="347" spans="2:21" ht="35.450000000000003" customHeight="1">
      <c r="B347" s="169" t="str">
        <f t="shared" si="9"/>
        <v>3-17</v>
      </c>
      <c r="C347" s="100" t="s">
        <v>83</v>
      </c>
      <c r="D347" s="100" t="s">
        <v>195</v>
      </c>
      <c r="E347" s="100" t="s">
        <v>233</v>
      </c>
      <c r="F347" s="262" t="s">
        <v>196</v>
      </c>
      <c r="G347" s="263"/>
      <c r="H347" s="124"/>
      <c r="I347" s="125"/>
      <c r="J347" s="101"/>
      <c r="K347" s="124"/>
      <c r="L347" s="125"/>
      <c r="M347" s="101"/>
      <c r="N347" s="124"/>
      <c r="O347" s="125"/>
      <c r="P347" s="101"/>
      <c r="Q347" s="182"/>
      <c r="R347" s="101"/>
      <c r="S347" s="100"/>
      <c r="T347" s="102"/>
      <c r="U347" s="102"/>
    </row>
    <row r="348" spans="2:21" ht="35.450000000000003" customHeight="1">
      <c r="B348" s="169" t="str">
        <f t="shared" si="9"/>
        <v>3-18</v>
      </c>
      <c r="C348" s="100" t="s">
        <v>83</v>
      </c>
      <c r="D348" s="100" t="s">
        <v>83</v>
      </c>
      <c r="E348" s="100" t="s">
        <v>193</v>
      </c>
      <c r="F348" s="262" t="s">
        <v>123</v>
      </c>
      <c r="G348" s="263"/>
      <c r="H348" s="124"/>
      <c r="I348" s="125"/>
      <c r="J348" s="101"/>
      <c r="K348" s="124"/>
      <c r="L348" s="125"/>
      <c r="M348" s="101"/>
      <c r="N348" s="124"/>
      <c r="O348" s="125"/>
      <c r="P348" s="101"/>
      <c r="Q348" s="182"/>
      <c r="R348" s="101"/>
      <c r="S348" s="100"/>
      <c r="T348" s="102"/>
      <c r="U348" s="102"/>
    </row>
    <row r="349" spans="2:21" ht="35.450000000000003" customHeight="1">
      <c r="B349" s="169" t="str">
        <f t="shared" si="9"/>
        <v>3-19</v>
      </c>
      <c r="C349" s="100" t="s">
        <v>83</v>
      </c>
      <c r="D349" s="100" t="s">
        <v>83</v>
      </c>
      <c r="E349" s="100" t="s">
        <v>199</v>
      </c>
      <c r="F349" s="262" t="s">
        <v>123</v>
      </c>
      <c r="G349" s="263"/>
      <c r="H349" s="124"/>
      <c r="I349" s="125"/>
      <c r="J349" s="101"/>
      <c r="K349" s="124"/>
      <c r="L349" s="125"/>
      <c r="M349" s="101"/>
      <c r="N349" s="124"/>
      <c r="O349" s="125"/>
      <c r="P349" s="101"/>
      <c r="Q349" s="182"/>
      <c r="R349" s="101"/>
      <c r="S349" s="100"/>
      <c r="T349" s="102"/>
      <c r="U349" s="102"/>
    </row>
    <row r="350" spans="2:21" ht="35.450000000000003" customHeight="1">
      <c r="B350" s="169" t="str">
        <f t="shared" si="9"/>
        <v>3-20</v>
      </c>
      <c r="C350" s="100" t="s">
        <v>199</v>
      </c>
      <c r="D350" s="100" t="s">
        <v>295</v>
      </c>
      <c r="E350" s="100" t="s">
        <v>241</v>
      </c>
      <c r="F350" s="262" t="s">
        <v>209</v>
      </c>
      <c r="G350" s="263"/>
      <c r="H350" s="124"/>
      <c r="I350" s="125"/>
      <c r="J350" s="101"/>
      <c r="K350" s="124"/>
      <c r="L350" s="125"/>
      <c r="M350" s="101"/>
      <c r="N350" s="124"/>
      <c r="O350" s="125"/>
      <c r="P350" s="101"/>
      <c r="Q350" s="182"/>
      <c r="R350" s="101"/>
      <c r="S350" s="100"/>
      <c r="T350" s="102"/>
      <c r="U350" s="102"/>
    </row>
    <row r="351" spans="2:21" ht="35.450000000000003" customHeight="1">
      <c r="B351" s="169" t="str">
        <f t="shared" si="9"/>
        <v>3-21</v>
      </c>
      <c r="C351" s="100" t="s">
        <v>83</v>
      </c>
      <c r="D351" s="100" t="s">
        <v>516</v>
      </c>
      <c r="E351" s="100" t="s">
        <v>232</v>
      </c>
      <c r="F351" s="262" t="s">
        <v>212</v>
      </c>
      <c r="G351" s="263"/>
      <c r="H351" s="124"/>
      <c r="I351" s="125"/>
      <c r="J351" s="101"/>
      <c r="K351" s="124"/>
      <c r="L351" s="125"/>
      <c r="M351" s="101"/>
      <c r="N351" s="124"/>
      <c r="O351" s="125"/>
      <c r="P351" s="101"/>
      <c r="Q351" s="182"/>
      <c r="R351" s="101"/>
      <c r="S351" s="100"/>
      <c r="T351" s="102"/>
      <c r="U351" s="102"/>
    </row>
    <row r="352" spans="2:21" ht="35.450000000000003" customHeight="1">
      <c r="B352" s="169" t="str">
        <f t="shared" si="9"/>
        <v>3-22</v>
      </c>
      <c r="C352" s="100" t="s">
        <v>83</v>
      </c>
      <c r="D352" s="100" t="s">
        <v>83</v>
      </c>
      <c r="E352" s="100" t="s">
        <v>244</v>
      </c>
      <c r="F352" s="262" t="s">
        <v>103</v>
      </c>
      <c r="G352" s="263"/>
      <c r="H352" s="124"/>
      <c r="I352" s="125"/>
      <c r="J352" s="101"/>
      <c r="K352" s="124"/>
      <c r="L352" s="125"/>
      <c r="M352" s="101"/>
      <c r="N352" s="124"/>
      <c r="O352" s="125"/>
      <c r="P352" s="101"/>
      <c r="Q352" s="182"/>
      <c r="R352" s="101"/>
      <c r="S352" s="100"/>
      <c r="T352" s="102"/>
      <c r="U352" s="102"/>
    </row>
    <row r="353" spans="2:22" ht="35.450000000000003" customHeight="1">
      <c r="B353" s="169" t="str">
        <f t="shared" si="9"/>
        <v>3-23</v>
      </c>
      <c r="C353" s="100" t="s">
        <v>83</v>
      </c>
      <c r="D353" s="100" t="s">
        <v>83</v>
      </c>
      <c r="E353" s="100" t="s">
        <v>242</v>
      </c>
      <c r="F353" s="262" t="s">
        <v>218</v>
      </c>
      <c r="G353" s="263"/>
      <c r="H353" s="124"/>
      <c r="I353" s="125"/>
      <c r="J353" s="101"/>
      <c r="K353" s="124"/>
      <c r="L353" s="125"/>
      <c r="M353" s="101"/>
      <c r="N353" s="124"/>
      <c r="O353" s="125"/>
      <c r="P353" s="101"/>
      <c r="Q353" s="182"/>
      <c r="R353" s="101"/>
      <c r="S353" s="100"/>
      <c r="T353" s="102"/>
      <c r="U353" s="102"/>
    </row>
    <row r="354" spans="2:22" ht="35.450000000000003" customHeight="1">
      <c r="B354" s="169" t="str">
        <f t="shared" si="9"/>
        <v>3-24</v>
      </c>
      <c r="C354" s="100" t="s">
        <v>83</v>
      </c>
      <c r="D354" s="100" t="s">
        <v>83</v>
      </c>
      <c r="E354" s="100" t="s">
        <v>83</v>
      </c>
      <c r="F354" s="262" t="s">
        <v>245</v>
      </c>
      <c r="G354" s="263"/>
      <c r="H354" s="124"/>
      <c r="I354" s="125"/>
      <c r="J354" s="101"/>
      <c r="K354" s="124"/>
      <c r="L354" s="125"/>
      <c r="M354" s="101"/>
      <c r="N354" s="124"/>
      <c r="O354" s="125"/>
      <c r="P354" s="101"/>
      <c r="Q354" s="182"/>
      <c r="R354" s="101"/>
      <c r="S354" s="100"/>
      <c r="T354" s="102"/>
      <c r="U354" s="102"/>
    </row>
    <row r="355" spans="2:22" ht="35.450000000000003" customHeight="1">
      <c r="B355" s="169" t="str">
        <f t="shared" si="9"/>
        <v>3-25</v>
      </c>
      <c r="C355" s="100" t="s">
        <v>213</v>
      </c>
      <c r="D355" s="100" t="s">
        <v>195</v>
      </c>
      <c r="E355" s="100" t="s">
        <v>241</v>
      </c>
      <c r="F355" s="262" t="s">
        <v>209</v>
      </c>
      <c r="G355" s="263"/>
      <c r="H355" s="124"/>
      <c r="I355" s="125"/>
      <c r="J355" s="101"/>
      <c r="K355" s="124"/>
      <c r="L355" s="125"/>
      <c r="M355" s="101"/>
      <c r="N355" s="124"/>
      <c r="O355" s="125"/>
      <c r="P355" s="101"/>
      <c r="Q355" s="182"/>
      <c r="R355" s="101"/>
      <c r="S355" s="100"/>
      <c r="T355" s="102"/>
      <c r="U355" s="102"/>
    </row>
    <row r="356" spans="2:22" ht="35.450000000000003" customHeight="1">
      <c r="B356" s="169" t="str">
        <f t="shared" si="9"/>
        <v>3-26</v>
      </c>
      <c r="C356" s="100" t="s">
        <v>83</v>
      </c>
      <c r="D356" s="100" t="s">
        <v>517</v>
      </c>
      <c r="E356" s="100" t="s">
        <v>232</v>
      </c>
      <c r="F356" s="262" t="s">
        <v>243</v>
      </c>
      <c r="G356" s="263"/>
      <c r="H356" s="124"/>
      <c r="I356" s="125"/>
      <c r="J356" s="101"/>
      <c r="K356" s="124"/>
      <c r="L356" s="125"/>
      <c r="M356" s="101"/>
      <c r="N356" s="124"/>
      <c r="O356" s="125"/>
      <c r="P356" s="101"/>
      <c r="Q356" s="182"/>
      <c r="R356" s="101"/>
      <c r="S356" s="100"/>
      <c r="T356" s="102"/>
      <c r="U356" s="102"/>
    </row>
    <row r="357" spans="2:22" ht="34.5" customHeight="1">
      <c r="B357" s="169" t="str">
        <f t="shared" si="9"/>
        <v>3-27</v>
      </c>
      <c r="C357" s="18" t="s">
        <v>135</v>
      </c>
      <c r="D357" s="18" t="s">
        <v>136</v>
      </c>
      <c r="E357" s="100" t="s">
        <v>134</v>
      </c>
      <c r="F357" s="258" t="s">
        <v>137</v>
      </c>
      <c r="G357" s="259"/>
      <c r="H357" s="124"/>
      <c r="I357" s="125"/>
      <c r="J357" s="101"/>
      <c r="K357" s="124"/>
      <c r="L357" s="125"/>
      <c r="M357" s="101"/>
      <c r="N357" s="124"/>
      <c r="O357" s="125"/>
      <c r="P357" s="101"/>
      <c r="Q357" s="101"/>
      <c r="R357" s="126"/>
      <c r="S357" s="114"/>
      <c r="T357" s="102"/>
      <c r="U357" s="102"/>
      <c r="V357" s="135"/>
    </row>
    <row r="358" spans="2:22" ht="34.5" customHeight="1">
      <c r="B358" s="169" t="str">
        <f t="shared" si="9"/>
        <v>3-28</v>
      </c>
      <c r="C358" s="18" t="s">
        <v>143</v>
      </c>
      <c r="D358" s="18" t="s">
        <v>143</v>
      </c>
      <c r="E358" s="100" t="s">
        <v>134</v>
      </c>
      <c r="F358" s="258" t="s">
        <v>138</v>
      </c>
      <c r="G358" s="259"/>
      <c r="H358" s="124"/>
      <c r="I358" s="125"/>
      <c r="J358" s="101"/>
      <c r="K358" s="124"/>
      <c r="L358" s="125"/>
      <c r="M358" s="101"/>
      <c r="N358" s="124"/>
      <c r="O358" s="125"/>
      <c r="P358" s="101"/>
      <c r="Q358" s="101"/>
      <c r="R358" s="126"/>
      <c r="S358" s="114"/>
      <c r="T358" s="102"/>
      <c r="U358" s="102"/>
      <c r="V358" s="135"/>
    </row>
    <row r="359" spans="2:22" ht="34.5" customHeight="1">
      <c r="B359" s="169" t="str">
        <f t="shared" si="9"/>
        <v>3-29</v>
      </c>
      <c r="C359" s="18" t="s">
        <v>143</v>
      </c>
      <c r="D359" s="18" t="s">
        <v>147</v>
      </c>
      <c r="E359" s="100" t="s">
        <v>134</v>
      </c>
      <c r="F359" s="258" t="s">
        <v>148</v>
      </c>
      <c r="G359" s="259"/>
      <c r="H359" s="124"/>
      <c r="I359" s="125"/>
      <c r="J359" s="101"/>
      <c r="K359" s="124"/>
      <c r="L359" s="125"/>
      <c r="M359" s="101"/>
      <c r="N359" s="124"/>
      <c r="O359" s="125"/>
      <c r="P359" s="101"/>
      <c r="Q359" s="101"/>
      <c r="R359" s="126"/>
      <c r="S359" s="114"/>
      <c r="T359" s="102"/>
      <c r="U359" s="102"/>
      <c r="V359" s="135"/>
    </row>
    <row r="360" spans="2:22" ht="34.5" customHeight="1">
      <c r="B360" s="169" t="str">
        <f t="shared" si="9"/>
        <v>3-30</v>
      </c>
      <c r="C360" s="18" t="s">
        <v>143</v>
      </c>
      <c r="D360" s="18" t="s">
        <v>143</v>
      </c>
      <c r="E360" s="100" t="s">
        <v>134</v>
      </c>
      <c r="F360" s="258" t="s">
        <v>138</v>
      </c>
      <c r="G360" s="259"/>
      <c r="H360" s="124"/>
      <c r="I360" s="125"/>
      <c r="J360" s="101"/>
      <c r="K360" s="124"/>
      <c r="L360" s="125"/>
      <c r="M360" s="101"/>
      <c r="N360" s="124"/>
      <c r="O360" s="125"/>
      <c r="P360" s="101"/>
      <c r="Q360" s="101"/>
      <c r="R360" s="126"/>
      <c r="S360" s="114"/>
      <c r="T360" s="102"/>
      <c r="U360" s="102"/>
      <c r="V360" s="135"/>
    </row>
    <row r="361" spans="2:22" ht="34.5" customHeight="1">
      <c r="B361" s="169" t="str">
        <f t="shared" si="9"/>
        <v>3-31</v>
      </c>
      <c r="C361" s="18" t="s">
        <v>143</v>
      </c>
      <c r="D361" s="18" t="s">
        <v>149</v>
      </c>
      <c r="E361" s="100" t="s">
        <v>134</v>
      </c>
      <c r="F361" s="258" t="s">
        <v>150</v>
      </c>
      <c r="G361" s="259"/>
      <c r="H361" s="124"/>
      <c r="I361" s="125"/>
      <c r="J361" s="101"/>
      <c r="K361" s="124"/>
      <c r="L361" s="125"/>
      <c r="M361" s="101"/>
      <c r="N361" s="124"/>
      <c r="O361" s="125"/>
      <c r="P361" s="101"/>
      <c r="Q361" s="101"/>
      <c r="R361" s="126"/>
      <c r="S361" s="114"/>
      <c r="T361" s="102"/>
      <c r="U361" s="102"/>
      <c r="V361" s="135"/>
    </row>
    <row r="362" spans="2:22" ht="34.5" customHeight="1">
      <c r="B362" s="169" t="str">
        <f t="shared" si="9"/>
        <v>3-32</v>
      </c>
      <c r="C362" s="18" t="s">
        <v>143</v>
      </c>
      <c r="D362" s="18" t="s">
        <v>143</v>
      </c>
      <c r="E362" s="100" t="s">
        <v>134</v>
      </c>
      <c r="F362" s="258" t="s">
        <v>138</v>
      </c>
      <c r="G362" s="259"/>
      <c r="H362" s="124"/>
      <c r="I362" s="125"/>
      <c r="J362" s="101"/>
      <c r="K362" s="124"/>
      <c r="L362" s="125"/>
      <c r="M362" s="101"/>
      <c r="N362" s="124"/>
      <c r="O362" s="125"/>
      <c r="P362" s="101"/>
      <c r="Q362" s="101"/>
      <c r="R362" s="126"/>
      <c r="S362" s="114"/>
      <c r="T362" s="102"/>
      <c r="U362" s="102"/>
      <c r="V362" s="135"/>
    </row>
    <row r="363" spans="2:22" ht="34.5" customHeight="1">
      <c r="B363" s="169" t="str">
        <f t="shared" si="9"/>
        <v>3-33</v>
      </c>
      <c r="C363" s="18" t="s">
        <v>139</v>
      </c>
      <c r="D363" s="18" t="s">
        <v>401</v>
      </c>
      <c r="E363" s="100" t="s">
        <v>953</v>
      </c>
      <c r="F363" s="258" t="s">
        <v>952</v>
      </c>
      <c r="G363" s="259"/>
      <c r="H363" s="101"/>
      <c r="I363" s="20"/>
      <c r="J363" s="101"/>
      <c r="K363" s="101"/>
      <c r="L363" s="20"/>
      <c r="M363" s="101"/>
      <c r="N363" s="101"/>
      <c r="O363" s="20"/>
      <c r="P363" s="101"/>
      <c r="Q363" s="127"/>
      <c r="R363" s="127"/>
      <c r="S363" s="114"/>
      <c r="T363" s="102"/>
      <c r="U363" s="102"/>
      <c r="V363" s="163"/>
    </row>
    <row r="364" spans="2:22" ht="12.95" customHeight="1"/>
    <row r="365" spans="2:22" ht="12.95" customHeight="1">
      <c r="B365" s="2" t="s">
        <v>256</v>
      </c>
      <c r="C365" s="99" t="s">
        <v>255</v>
      </c>
    </row>
    <row r="366" spans="2:22" ht="12.95" customHeight="1">
      <c r="B366" s="268" t="s">
        <v>4</v>
      </c>
      <c r="C366" s="274" t="s">
        <v>5</v>
      </c>
      <c r="D366" s="274" t="s">
        <v>79</v>
      </c>
      <c r="E366" s="274" t="s">
        <v>6</v>
      </c>
      <c r="F366" s="270" t="s">
        <v>7</v>
      </c>
      <c r="G366" s="271"/>
      <c r="H366" s="264" t="s">
        <v>91</v>
      </c>
      <c r="I366" s="264"/>
      <c r="J366" s="264"/>
      <c r="K366" s="264" t="s">
        <v>84</v>
      </c>
      <c r="L366" s="264"/>
      <c r="M366" s="264"/>
      <c r="N366" s="264" t="s">
        <v>85</v>
      </c>
      <c r="O366" s="264"/>
      <c r="P366" s="264"/>
      <c r="Q366" s="265" t="s">
        <v>78</v>
      </c>
      <c r="R366" s="265" t="s">
        <v>78</v>
      </c>
      <c r="S366" s="267" t="s">
        <v>14</v>
      </c>
      <c r="T366" s="267"/>
      <c r="U366" s="267"/>
    </row>
    <row r="367" spans="2:22" ht="12.95" customHeight="1">
      <c r="B367" s="269"/>
      <c r="C367" s="266"/>
      <c r="D367" s="266"/>
      <c r="E367" s="266"/>
      <c r="F367" s="272"/>
      <c r="G367" s="273"/>
      <c r="H367" s="134" t="s">
        <v>8</v>
      </c>
      <c r="I367" s="134" t="s">
        <v>9</v>
      </c>
      <c r="J367" s="134" t="s">
        <v>10</v>
      </c>
      <c r="K367" s="134" t="s">
        <v>8</v>
      </c>
      <c r="L367" s="134" t="s">
        <v>9</v>
      </c>
      <c r="M367" s="134" t="s">
        <v>10</v>
      </c>
      <c r="N367" s="134" t="s">
        <v>8</v>
      </c>
      <c r="O367" s="134" t="s">
        <v>9</v>
      </c>
      <c r="P367" s="134" t="s">
        <v>10</v>
      </c>
      <c r="Q367" s="266"/>
      <c r="R367" s="266"/>
      <c r="S367" s="93"/>
      <c r="T367" s="94"/>
      <c r="U367" s="95"/>
    </row>
    <row r="368" spans="2:22" ht="35.1" customHeight="1">
      <c r="B368" s="169" t="str">
        <f>"4-"&amp;ROW()-367</f>
        <v>4-1</v>
      </c>
      <c r="C368" s="42" t="s">
        <v>533</v>
      </c>
      <c r="D368" s="100" t="s">
        <v>99</v>
      </c>
      <c r="E368" s="100" t="s">
        <v>62</v>
      </c>
      <c r="F368" s="262" t="s">
        <v>512</v>
      </c>
      <c r="G368" s="263"/>
      <c r="H368" s="124"/>
      <c r="I368" s="125"/>
      <c r="J368" s="101"/>
      <c r="K368" s="124"/>
      <c r="L368" s="125"/>
      <c r="M368" s="101"/>
      <c r="N368" s="124"/>
      <c r="O368" s="125"/>
      <c r="P368" s="101"/>
      <c r="Q368" s="182"/>
      <c r="R368" s="101"/>
      <c r="S368" s="100"/>
      <c r="T368" s="102"/>
      <c r="U368" s="102"/>
    </row>
    <row r="369" spans="2:21" ht="35.1" customHeight="1">
      <c r="B369" s="169" t="str">
        <f t="shared" ref="B369:B398" si="10">"4-"&amp;ROW()-367</f>
        <v>4-2</v>
      </c>
      <c r="C369" s="100" t="s">
        <v>83</v>
      </c>
      <c r="D369" s="100" t="s">
        <v>99</v>
      </c>
      <c r="E369" s="100" t="s">
        <v>116</v>
      </c>
      <c r="F369" s="262" t="s">
        <v>92</v>
      </c>
      <c r="G369" s="263"/>
      <c r="H369" s="124"/>
      <c r="I369" s="125"/>
      <c r="J369" s="101"/>
      <c r="K369" s="124"/>
      <c r="L369" s="125"/>
      <c r="M369" s="101"/>
      <c r="N369" s="124"/>
      <c r="O369" s="125"/>
      <c r="P369" s="101"/>
      <c r="Q369" s="182"/>
      <c r="R369" s="101"/>
      <c r="S369" s="100"/>
      <c r="T369" s="102"/>
      <c r="U369" s="102"/>
    </row>
    <row r="370" spans="2:21" ht="35.1" customHeight="1">
      <c r="B370" s="169" t="str">
        <f t="shared" si="10"/>
        <v>4-3</v>
      </c>
      <c r="C370" s="100" t="s">
        <v>509</v>
      </c>
      <c r="D370" s="100" t="s">
        <v>83</v>
      </c>
      <c r="E370" s="100" t="s">
        <v>234</v>
      </c>
      <c r="F370" s="262" t="s">
        <v>510</v>
      </c>
      <c r="G370" s="263"/>
      <c r="H370" s="124"/>
      <c r="I370" s="125"/>
      <c r="J370" s="101"/>
      <c r="K370" s="124"/>
      <c r="L370" s="125"/>
      <c r="M370" s="101"/>
      <c r="N370" s="124"/>
      <c r="O370" s="125"/>
      <c r="P370" s="101"/>
      <c r="Q370" s="182"/>
      <c r="R370" s="101"/>
      <c r="S370" s="100"/>
      <c r="T370" s="102"/>
      <c r="U370" s="102"/>
    </row>
    <row r="371" spans="2:21" ht="35.1" customHeight="1">
      <c r="B371" s="169" t="str">
        <f t="shared" si="10"/>
        <v>4-4</v>
      </c>
      <c r="C371" s="100" t="s">
        <v>257</v>
      </c>
      <c r="D371" s="100" t="s">
        <v>83</v>
      </c>
      <c r="E371" s="100" t="s">
        <v>234</v>
      </c>
      <c r="F371" s="262" t="s">
        <v>236</v>
      </c>
      <c r="G371" s="263"/>
      <c r="H371" s="124"/>
      <c r="I371" s="125"/>
      <c r="J371" s="101"/>
      <c r="K371" s="124"/>
      <c r="L371" s="125"/>
      <c r="M371" s="101"/>
      <c r="N371" s="124"/>
      <c r="O371" s="125"/>
      <c r="P371" s="101"/>
      <c r="Q371" s="101"/>
      <c r="R371" s="101"/>
      <c r="S371" s="100"/>
      <c r="T371" s="102"/>
      <c r="U371" s="102"/>
    </row>
    <row r="372" spans="2:21" ht="35.1" customHeight="1">
      <c r="B372" s="169" t="str">
        <f t="shared" si="10"/>
        <v>4-5</v>
      </c>
      <c r="C372" s="100" t="s">
        <v>258</v>
      </c>
      <c r="D372" s="100" t="s">
        <v>83</v>
      </c>
      <c r="E372" s="100" t="s">
        <v>234</v>
      </c>
      <c r="F372" s="262" t="s">
        <v>240</v>
      </c>
      <c r="G372" s="263"/>
      <c r="H372" s="124"/>
      <c r="I372" s="125"/>
      <c r="J372" s="101"/>
      <c r="K372" s="124"/>
      <c r="L372" s="125"/>
      <c r="M372" s="101"/>
      <c r="N372" s="124"/>
      <c r="O372" s="125"/>
      <c r="P372" s="101"/>
      <c r="Q372" s="101"/>
      <c r="R372" s="101"/>
      <c r="S372" s="100"/>
      <c r="T372" s="102"/>
      <c r="U372" s="102"/>
    </row>
    <row r="373" spans="2:21" ht="35.1" customHeight="1">
      <c r="B373" s="169" t="str">
        <f t="shared" si="10"/>
        <v>4-6</v>
      </c>
      <c r="C373" s="100" t="s">
        <v>237</v>
      </c>
      <c r="D373" s="100" t="s">
        <v>259</v>
      </c>
      <c r="E373" s="100" t="s">
        <v>477</v>
      </c>
      <c r="F373" s="258" t="s">
        <v>683</v>
      </c>
      <c r="G373" s="259"/>
      <c r="H373" s="161"/>
      <c r="I373" s="162"/>
      <c r="J373" s="161"/>
      <c r="K373" s="101"/>
      <c r="L373" s="125"/>
      <c r="M373" s="101"/>
      <c r="N373" s="161"/>
      <c r="O373" s="162"/>
      <c r="P373" s="161"/>
      <c r="Q373" s="203"/>
      <c r="R373" s="101"/>
      <c r="S373" s="100"/>
      <c r="T373" s="102"/>
      <c r="U373" s="102"/>
    </row>
    <row r="374" spans="2:21" ht="35.1" customHeight="1">
      <c r="B374" s="169" t="str">
        <f t="shared" si="10"/>
        <v>4-7</v>
      </c>
      <c r="C374" s="100" t="s">
        <v>83</v>
      </c>
      <c r="D374" s="100" t="s">
        <v>455</v>
      </c>
      <c r="E374" s="100" t="s">
        <v>116</v>
      </c>
      <c r="F374" s="262" t="s">
        <v>350</v>
      </c>
      <c r="G374" s="263"/>
      <c r="H374" s="101"/>
      <c r="I374" s="20"/>
      <c r="J374" s="101"/>
      <c r="K374" s="101"/>
      <c r="L374" s="20"/>
      <c r="M374" s="101"/>
      <c r="N374" s="101"/>
      <c r="O374" s="20"/>
      <c r="P374" s="101"/>
      <c r="Q374" s="203"/>
      <c r="R374" s="101"/>
      <c r="S374" s="100"/>
      <c r="T374" s="102"/>
      <c r="U374" s="102"/>
    </row>
    <row r="375" spans="2:21" ht="35.1" customHeight="1">
      <c r="B375" s="169" t="str">
        <f t="shared" si="10"/>
        <v>4-8</v>
      </c>
      <c r="C375" s="100" t="s">
        <v>83</v>
      </c>
      <c r="D375" s="100" t="s">
        <v>461</v>
      </c>
      <c r="E375" s="100" t="s">
        <v>116</v>
      </c>
      <c r="F375" s="262" t="s">
        <v>350</v>
      </c>
      <c r="G375" s="263"/>
      <c r="H375" s="101"/>
      <c r="I375" s="20"/>
      <c r="J375" s="101"/>
      <c r="K375" s="101"/>
      <c r="L375" s="20"/>
      <c r="M375" s="101"/>
      <c r="N375" s="101"/>
      <c r="O375" s="20"/>
      <c r="P375" s="101"/>
      <c r="Q375" s="203"/>
      <c r="R375" s="101"/>
      <c r="S375" s="100"/>
      <c r="T375" s="102"/>
      <c r="U375" s="102"/>
    </row>
    <row r="376" spans="2:21" ht="48.75" customHeight="1">
      <c r="B376" s="169" t="str">
        <f t="shared" si="10"/>
        <v>4-9</v>
      </c>
      <c r="C376" s="100" t="s">
        <v>83</v>
      </c>
      <c r="D376" s="100" t="s">
        <v>469</v>
      </c>
      <c r="E376" s="100" t="s">
        <v>258</v>
      </c>
      <c r="F376" s="258" t="s">
        <v>511</v>
      </c>
      <c r="G376" s="259"/>
      <c r="H376" s="101"/>
      <c r="I376" s="125"/>
      <c r="J376" s="101"/>
      <c r="K376" s="101"/>
      <c r="L376" s="125"/>
      <c r="M376" s="101"/>
      <c r="N376" s="124"/>
      <c r="O376" s="125"/>
      <c r="P376" s="101"/>
      <c r="Q376" s="205"/>
      <c r="R376" s="101"/>
      <c r="S376" s="100"/>
      <c r="T376" s="102"/>
      <c r="U376" s="102"/>
    </row>
    <row r="377" spans="2:21" ht="35.1" customHeight="1">
      <c r="B377" s="169" t="str">
        <f t="shared" si="10"/>
        <v>4-10</v>
      </c>
      <c r="C377" s="100" t="s">
        <v>83</v>
      </c>
      <c r="D377" s="100" t="s">
        <v>260</v>
      </c>
      <c r="E377" s="100" t="s">
        <v>478</v>
      </c>
      <c r="F377" s="258" t="s">
        <v>683</v>
      </c>
      <c r="G377" s="259"/>
      <c r="H377" s="161"/>
      <c r="I377" s="162"/>
      <c r="J377" s="161"/>
      <c r="K377" s="101"/>
      <c r="L377" s="125"/>
      <c r="M377" s="101"/>
      <c r="N377" s="161"/>
      <c r="O377" s="162"/>
      <c r="P377" s="161"/>
      <c r="Q377" s="203"/>
      <c r="R377" s="101"/>
      <c r="S377" s="100"/>
      <c r="T377" s="102"/>
      <c r="U377" s="102"/>
    </row>
    <row r="378" spans="2:21" ht="35.1" customHeight="1">
      <c r="B378" s="169" t="str">
        <f t="shared" si="10"/>
        <v>4-11</v>
      </c>
      <c r="C378" s="100" t="s">
        <v>83</v>
      </c>
      <c r="D378" s="100" t="s">
        <v>457</v>
      </c>
      <c r="E378" s="100" t="s">
        <v>116</v>
      </c>
      <c r="F378" s="262" t="s">
        <v>350</v>
      </c>
      <c r="G378" s="263"/>
      <c r="H378" s="101"/>
      <c r="I378" s="20"/>
      <c r="J378" s="101"/>
      <c r="K378" s="101"/>
      <c r="L378" s="20"/>
      <c r="M378" s="101"/>
      <c r="N378" s="101"/>
      <c r="O378" s="20"/>
      <c r="P378" s="101"/>
      <c r="Q378" s="203"/>
      <c r="R378" s="101"/>
      <c r="S378" s="100"/>
      <c r="T378" s="102"/>
      <c r="U378" s="102"/>
    </row>
    <row r="379" spans="2:21" ht="35.1" customHeight="1">
      <c r="B379" s="169" t="str">
        <f t="shared" si="10"/>
        <v>4-12</v>
      </c>
      <c r="C379" s="100" t="s">
        <v>83</v>
      </c>
      <c r="D379" s="100" t="s">
        <v>461</v>
      </c>
      <c r="E379" s="100" t="s">
        <v>116</v>
      </c>
      <c r="F379" s="262" t="s">
        <v>350</v>
      </c>
      <c r="G379" s="263"/>
      <c r="H379" s="101"/>
      <c r="I379" s="20"/>
      <c r="J379" s="101"/>
      <c r="K379" s="101"/>
      <c r="L379" s="20"/>
      <c r="M379" s="101"/>
      <c r="N379" s="101"/>
      <c r="O379" s="20"/>
      <c r="P379" s="101"/>
      <c r="Q379" s="203"/>
      <c r="R379" s="101"/>
      <c r="S379" s="100"/>
      <c r="T379" s="102"/>
      <c r="U379" s="102"/>
    </row>
    <row r="380" spans="2:21" ht="35.1" customHeight="1">
      <c r="B380" s="169" t="str">
        <f t="shared" si="10"/>
        <v>4-13</v>
      </c>
      <c r="C380" s="100" t="s">
        <v>83</v>
      </c>
      <c r="D380" s="100" t="s">
        <v>469</v>
      </c>
      <c r="E380" s="100" t="s">
        <v>258</v>
      </c>
      <c r="F380" s="258" t="s">
        <v>511</v>
      </c>
      <c r="G380" s="259"/>
      <c r="H380" s="124"/>
      <c r="I380" s="125"/>
      <c r="J380" s="101"/>
      <c r="K380" s="124"/>
      <c r="L380" s="125"/>
      <c r="M380" s="101"/>
      <c r="N380" s="124"/>
      <c r="O380" s="125"/>
      <c r="P380" s="101"/>
      <c r="Q380" s="205"/>
      <c r="R380" s="101"/>
      <c r="S380" s="100"/>
      <c r="T380" s="102"/>
      <c r="U380" s="102"/>
    </row>
    <row r="381" spans="2:21" ht="65.25" customHeight="1">
      <c r="B381" s="169" t="str">
        <f t="shared" si="10"/>
        <v>4-14</v>
      </c>
      <c r="C381" s="100" t="s">
        <v>83</v>
      </c>
      <c r="D381" s="100" t="s">
        <v>83</v>
      </c>
      <c r="E381" s="100" t="s">
        <v>83</v>
      </c>
      <c r="F381" s="258" t="s">
        <v>246</v>
      </c>
      <c r="G381" s="259"/>
      <c r="H381" s="124"/>
      <c r="I381" s="125"/>
      <c r="J381" s="101"/>
      <c r="K381" s="124"/>
      <c r="L381" s="125"/>
      <c r="M381" s="101"/>
      <c r="N381" s="124"/>
      <c r="O381" s="125"/>
      <c r="P381" s="101"/>
      <c r="Q381" s="182"/>
      <c r="R381" s="101"/>
      <c r="S381" s="100"/>
      <c r="T381" s="102"/>
      <c r="U381" s="102"/>
    </row>
    <row r="382" spans="2:21" ht="34.5" customHeight="1">
      <c r="B382" s="169" t="str">
        <f t="shared" si="10"/>
        <v>4-15</v>
      </c>
      <c r="C382" s="100" t="s">
        <v>193</v>
      </c>
      <c r="D382" s="100" t="s">
        <v>83</v>
      </c>
      <c r="E382" s="100" t="s">
        <v>234</v>
      </c>
      <c r="F382" s="262" t="s">
        <v>123</v>
      </c>
      <c r="G382" s="263"/>
      <c r="H382" s="124"/>
      <c r="I382" s="125"/>
      <c r="J382" s="101"/>
      <c r="K382" s="124"/>
      <c r="L382" s="125"/>
      <c r="M382" s="101"/>
      <c r="N382" s="124"/>
      <c r="O382" s="125"/>
      <c r="P382" s="101"/>
      <c r="Q382" s="101"/>
      <c r="R382" s="101"/>
      <c r="S382" s="100"/>
      <c r="T382" s="102"/>
      <c r="U382" s="102"/>
    </row>
    <row r="383" spans="2:21" ht="35.1" customHeight="1">
      <c r="B383" s="169" t="str">
        <f t="shared" si="10"/>
        <v>4-16</v>
      </c>
      <c r="C383" s="100" t="s">
        <v>83</v>
      </c>
      <c r="D383" s="100" t="s">
        <v>195</v>
      </c>
      <c r="E383" s="100" t="s">
        <v>258</v>
      </c>
      <c r="F383" s="262" t="s">
        <v>196</v>
      </c>
      <c r="G383" s="263"/>
      <c r="H383" s="124"/>
      <c r="I383" s="125"/>
      <c r="J383" s="101"/>
      <c r="K383" s="124"/>
      <c r="L383" s="125"/>
      <c r="M383" s="101"/>
      <c r="N383" s="124"/>
      <c r="O383" s="125"/>
      <c r="P383" s="101"/>
      <c r="Q383" s="182"/>
      <c r="R383" s="101"/>
      <c r="S383" s="100"/>
      <c r="T383" s="102"/>
      <c r="U383" s="102"/>
    </row>
    <row r="384" spans="2:21" ht="35.1" customHeight="1">
      <c r="B384" s="169" t="str">
        <f t="shared" si="10"/>
        <v>4-17</v>
      </c>
      <c r="C384" s="100" t="s">
        <v>83</v>
      </c>
      <c r="D384" s="100" t="s">
        <v>83</v>
      </c>
      <c r="E384" s="100" t="s">
        <v>193</v>
      </c>
      <c r="F384" s="262" t="s">
        <v>123</v>
      </c>
      <c r="G384" s="263"/>
      <c r="H384" s="124"/>
      <c r="I384" s="125"/>
      <c r="J384" s="101"/>
      <c r="K384" s="124"/>
      <c r="L384" s="125"/>
      <c r="M384" s="101"/>
      <c r="N384" s="124"/>
      <c r="O384" s="125"/>
      <c r="P384" s="101"/>
      <c r="Q384" s="182"/>
      <c r="R384" s="101"/>
      <c r="S384" s="100"/>
      <c r="T384" s="102"/>
      <c r="U384" s="102"/>
    </row>
    <row r="385" spans="2:22" ht="35.1" customHeight="1">
      <c r="B385" s="169" t="str">
        <f t="shared" si="10"/>
        <v>4-18</v>
      </c>
      <c r="C385" s="100" t="s">
        <v>83</v>
      </c>
      <c r="D385" s="100" t="s">
        <v>83</v>
      </c>
      <c r="E385" s="100" t="s">
        <v>199</v>
      </c>
      <c r="F385" s="262" t="s">
        <v>123</v>
      </c>
      <c r="G385" s="263"/>
      <c r="H385" s="124"/>
      <c r="I385" s="125"/>
      <c r="J385" s="101"/>
      <c r="K385" s="124"/>
      <c r="L385" s="125"/>
      <c r="M385" s="101"/>
      <c r="N385" s="124"/>
      <c r="O385" s="125"/>
      <c r="P385" s="101"/>
      <c r="Q385" s="182"/>
      <c r="R385" s="101"/>
      <c r="S385" s="100"/>
      <c r="T385" s="102"/>
      <c r="U385" s="102"/>
    </row>
    <row r="386" spans="2:22" ht="35.450000000000003" customHeight="1">
      <c r="B386" s="169" t="str">
        <f t="shared" si="10"/>
        <v>4-19</v>
      </c>
      <c r="C386" s="100" t="s">
        <v>199</v>
      </c>
      <c r="D386" s="100" t="s">
        <v>295</v>
      </c>
      <c r="E386" s="100" t="s">
        <v>264</v>
      </c>
      <c r="F386" s="262" t="s">
        <v>209</v>
      </c>
      <c r="G386" s="263"/>
      <c r="H386" s="124"/>
      <c r="I386" s="125"/>
      <c r="J386" s="101"/>
      <c r="K386" s="124"/>
      <c r="L386" s="125"/>
      <c r="M386" s="101"/>
      <c r="N386" s="124"/>
      <c r="O386" s="125"/>
      <c r="P386" s="101"/>
      <c r="Q386" s="182"/>
      <c r="R386" s="101"/>
      <c r="S386" s="100"/>
      <c r="T386" s="102"/>
      <c r="U386" s="102"/>
    </row>
    <row r="387" spans="2:22" ht="35.1" customHeight="1">
      <c r="B387" s="169" t="str">
        <f t="shared" si="10"/>
        <v>4-20</v>
      </c>
      <c r="C387" s="100" t="s">
        <v>83</v>
      </c>
      <c r="D387" s="100" t="s">
        <v>515</v>
      </c>
      <c r="E387" s="100" t="s">
        <v>253</v>
      </c>
      <c r="F387" s="262" t="s">
        <v>212</v>
      </c>
      <c r="G387" s="263"/>
      <c r="H387" s="124"/>
      <c r="I387" s="125"/>
      <c r="J387" s="101"/>
      <c r="K387" s="124"/>
      <c r="L387" s="125"/>
      <c r="M387" s="101"/>
      <c r="N387" s="124"/>
      <c r="O387" s="125"/>
      <c r="P387" s="101"/>
      <c r="Q387" s="182"/>
      <c r="R387" s="101"/>
      <c r="S387" s="100"/>
      <c r="T387" s="102"/>
      <c r="U387" s="102"/>
    </row>
    <row r="388" spans="2:22" ht="35.1" customHeight="1">
      <c r="B388" s="169" t="str">
        <f t="shared" si="10"/>
        <v>4-21</v>
      </c>
      <c r="C388" s="100" t="s">
        <v>83</v>
      </c>
      <c r="D388" s="100" t="s">
        <v>83</v>
      </c>
      <c r="E388" s="100" t="s">
        <v>261</v>
      </c>
      <c r="F388" s="262" t="s">
        <v>218</v>
      </c>
      <c r="G388" s="263"/>
      <c r="H388" s="124"/>
      <c r="I388" s="125"/>
      <c r="J388" s="101"/>
      <c r="K388" s="124"/>
      <c r="L388" s="125"/>
      <c r="M388" s="101"/>
      <c r="N388" s="124"/>
      <c r="O388" s="125"/>
      <c r="P388" s="101"/>
      <c r="Q388" s="182"/>
      <c r="R388" s="101"/>
      <c r="S388" s="100"/>
      <c r="T388" s="102"/>
      <c r="U388" s="102"/>
    </row>
    <row r="389" spans="2:22" ht="35.1" customHeight="1">
      <c r="B389" s="169" t="str">
        <f t="shared" si="10"/>
        <v>4-22</v>
      </c>
      <c r="C389" s="100" t="s">
        <v>83</v>
      </c>
      <c r="D389" s="100" t="s">
        <v>83</v>
      </c>
      <c r="E389" s="100" t="s">
        <v>83</v>
      </c>
      <c r="F389" s="262" t="s">
        <v>262</v>
      </c>
      <c r="G389" s="263"/>
      <c r="H389" s="124"/>
      <c r="I389" s="125"/>
      <c r="J389" s="101"/>
      <c r="K389" s="124"/>
      <c r="L389" s="125"/>
      <c r="M389" s="101"/>
      <c r="N389" s="124"/>
      <c r="O389" s="125"/>
      <c r="P389" s="101"/>
      <c r="Q389" s="182"/>
      <c r="R389" s="101"/>
      <c r="S389" s="100"/>
      <c r="T389" s="102"/>
      <c r="U389" s="102"/>
    </row>
    <row r="390" spans="2:22" ht="35.1" customHeight="1">
      <c r="B390" s="169" t="str">
        <f t="shared" si="10"/>
        <v>4-23</v>
      </c>
      <c r="C390" s="100" t="s">
        <v>213</v>
      </c>
      <c r="D390" s="100" t="s">
        <v>195</v>
      </c>
      <c r="E390" s="100" t="s">
        <v>264</v>
      </c>
      <c r="F390" s="262" t="s">
        <v>209</v>
      </c>
      <c r="G390" s="263"/>
      <c r="H390" s="124"/>
      <c r="I390" s="125"/>
      <c r="J390" s="101"/>
      <c r="K390" s="124"/>
      <c r="L390" s="125"/>
      <c r="M390" s="101"/>
      <c r="N390" s="124"/>
      <c r="O390" s="125"/>
      <c r="P390" s="101"/>
      <c r="Q390" s="182"/>
      <c r="R390" s="101"/>
      <c r="S390" s="100"/>
      <c r="T390" s="102"/>
      <c r="U390" s="102"/>
    </row>
    <row r="391" spans="2:22" ht="35.1" customHeight="1">
      <c r="B391" s="169" t="str">
        <f t="shared" si="10"/>
        <v>4-24</v>
      </c>
      <c r="C391" s="100" t="s">
        <v>83</v>
      </c>
      <c r="D391" s="100" t="s">
        <v>515</v>
      </c>
      <c r="E391" s="100" t="s">
        <v>253</v>
      </c>
      <c r="F391" s="262" t="s">
        <v>263</v>
      </c>
      <c r="G391" s="263"/>
      <c r="H391" s="124"/>
      <c r="I391" s="125"/>
      <c r="J391" s="101"/>
      <c r="K391" s="124"/>
      <c r="L391" s="125"/>
      <c r="M391" s="101"/>
      <c r="N391" s="124"/>
      <c r="O391" s="125"/>
      <c r="P391" s="101"/>
      <c r="Q391" s="182"/>
      <c r="R391" s="101"/>
      <c r="S391" s="100"/>
      <c r="T391" s="102"/>
      <c r="U391" s="102"/>
    </row>
    <row r="392" spans="2:22" ht="35.1" customHeight="1">
      <c r="B392" s="169" t="str">
        <f t="shared" si="10"/>
        <v>4-25</v>
      </c>
      <c r="C392" s="18" t="s">
        <v>135</v>
      </c>
      <c r="D392" s="18" t="s">
        <v>136</v>
      </c>
      <c r="E392" s="100" t="s">
        <v>134</v>
      </c>
      <c r="F392" s="258" t="s">
        <v>137</v>
      </c>
      <c r="G392" s="259"/>
      <c r="H392" s="124"/>
      <c r="I392" s="125"/>
      <c r="J392" s="101"/>
      <c r="K392" s="124"/>
      <c r="L392" s="125"/>
      <c r="M392" s="101"/>
      <c r="N392" s="124"/>
      <c r="O392" s="125"/>
      <c r="P392" s="101"/>
      <c r="Q392" s="101"/>
      <c r="R392" s="126"/>
      <c r="S392" s="114"/>
      <c r="T392" s="102"/>
      <c r="U392" s="102"/>
    </row>
    <row r="393" spans="2:22" ht="35.1" customHeight="1">
      <c r="B393" s="169" t="str">
        <f t="shared" si="10"/>
        <v>4-26</v>
      </c>
      <c r="C393" s="18" t="s">
        <v>143</v>
      </c>
      <c r="D393" s="18" t="s">
        <v>143</v>
      </c>
      <c r="E393" s="100" t="s">
        <v>134</v>
      </c>
      <c r="F393" s="258" t="s">
        <v>138</v>
      </c>
      <c r="G393" s="259"/>
      <c r="H393" s="124"/>
      <c r="I393" s="125"/>
      <c r="J393" s="101"/>
      <c r="K393" s="124"/>
      <c r="L393" s="125"/>
      <c r="M393" s="101"/>
      <c r="N393" s="124"/>
      <c r="O393" s="125"/>
      <c r="P393" s="101"/>
      <c r="Q393" s="101"/>
      <c r="R393" s="126"/>
      <c r="S393" s="114"/>
      <c r="T393" s="102"/>
      <c r="U393" s="102"/>
    </row>
    <row r="394" spans="2:22" ht="35.1" customHeight="1">
      <c r="B394" s="169" t="str">
        <f t="shared" si="10"/>
        <v>4-27</v>
      </c>
      <c r="C394" s="18" t="s">
        <v>143</v>
      </c>
      <c r="D394" s="18" t="s">
        <v>147</v>
      </c>
      <c r="E394" s="100" t="s">
        <v>134</v>
      </c>
      <c r="F394" s="258" t="s">
        <v>148</v>
      </c>
      <c r="G394" s="259"/>
      <c r="H394" s="124"/>
      <c r="I394" s="125"/>
      <c r="J394" s="101"/>
      <c r="K394" s="124"/>
      <c r="L394" s="125"/>
      <c r="M394" s="101"/>
      <c r="N394" s="124"/>
      <c r="O394" s="125"/>
      <c r="P394" s="101"/>
      <c r="Q394" s="101"/>
      <c r="R394" s="126"/>
      <c r="S394" s="114"/>
      <c r="T394" s="102"/>
      <c r="U394" s="102"/>
    </row>
    <row r="395" spans="2:22" ht="35.1" customHeight="1">
      <c r="B395" s="169" t="str">
        <f t="shared" si="10"/>
        <v>4-28</v>
      </c>
      <c r="C395" s="18" t="s">
        <v>143</v>
      </c>
      <c r="D395" s="18" t="s">
        <v>143</v>
      </c>
      <c r="E395" s="100" t="s">
        <v>134</v>
      </c>
      <c r="F395" s="258" t="s">
        <v>138</v>
      </c>
      <c r="G395" s="259"/>
      <c r="H395" s="124"/>
      <c r="I395" s="125"/>
      <c r="J395" s="101"/>
      <c r="K395" s="124"/>
      <c r="L395" s="125"/>
      <c r="M395" s="101"/>
      <c r="N395" s="124"/>
      <c r="O395" s="125"/>
      <c r="P395" s="101"/>
      <c r="Q395" s="101"/>
      <c r="R395" s="126"/>
      <c r="S395" s="114"/>
      <c r="T395" s="102"/>
      <c r="U395" s="102"/>
    </row>
    <row r="396" spans="2:22" ht="35.1" customHeight="1">
      <c r="B396" s="169" t="str">
        <f t="shared" si="10"/>
        <v>4-29</v>
      </c>
      <c r="C396" s="18" t="s">
        <v>143</v>
      </c>
      <c r="D396" s="18" t="s">
        <v>149</v>
      </c>
      <c r="E396" s="100" t="s">
        <v>134</v>
      </c>
      <c r="F396" s="258" t="s">
        <v>150</v>
      </c>
      <c r="G396" s="259"/>
      <c r="H396" s="124"/>
      <c r="I396" s="125"/>
      <c r="J396" s="101"/>
      <c r="K396" s="124"/>
      <c r="L396" s="125"/>
      <c r="M396" s="101"/>
      <c r="N396" s="124"/>
      <c r="O396" s="125"/>
      <c r="P396" s="101"/>
      <c r="Q396" s="101"/>
      <c r="R396" s="126"/>
      <c r="S396" s="114"/>
      <c r="T396" s="102"/>
      <c r="U396" s="102"/>
    </row>
    <row r="397" spans="2:22" ht="35.1" customHeight="1">
      <c r="B397" s="169" t="str">
        <f t="shared" si="10"/>
        <v>4-30</v>
      </c>
      <c r="C397" s="18" t="s">
        <v>143</v>
      </c>
      <c r="D397" s="18" t="s">
        <v>143</v>
      </c>
      <c r="E397" s="100" t="s">
        <v>134</v>
      </c>
      <c r="F397" s="258" t="s">
        <v>138</v>
      </c>
      <c r="G397" s="259"/>
      <c r="H397" s="124"/>
      <c r="I397" s="125"/>
      <c r="J397" s="101"/>
      <c r="K397" s="124"/>
      <c r="L397" s="125"/>
      <c r="M397" s="101"/>
      <c r="N397" s="124"/>
      <c r="O397" s="125"/>
      <c r="P397" s="101"/>
      <c r="Q397" s="101"/>
      <c r="R397" s="126"/>
      <c r="S397" s="114"/>
      <c r="T397" s="102"/>
      <c r="U397" s="102"/>
    </row>
    <row r="398" spans="2:22" ht="34.5" customHeight="1">
      <c r="B398" s="169" t="str">
        <f t="shared" si="10"/>
        <v>4-31</v>
      </c>
      <c r="C398" s="18" t="s">
        <v>139</v>
      </c>
      <c r="D398" s="18" t="s">
        <v>401</v>
      </c>
      <c r="E398" s="100" t="s">
        <v>953</v>
      </c>
      <c r="F398" s="258" t="s">
        <v>952</v>
      </c>
      <c r="G398" s="259"/>
      <c r="H398" s="101"/>
      <c r="I398" s="20"/>
      <c r="J398" s="101"/>
      <c r="K398" s="101"/>
      <c r="L398" s="20"/>
      <c r="M398" s="101"/>
      <c r="N398" s="101"/>
      <c r="O398" s="20"/>
      <c r="P398" s="101"/>
      <c r="Q398" s="127"/>
      <c r="R398" s="126"/>
      <c r="S398" s="114"/>
      <c r="T398" s="102"/>
      <c r="U398" s="102"/>
      <c r="V398" s="163"/>
    </row>
    <row r="399" spans="2:22" ht="12.95" customHeight="1"/>
    <row r="400" spans="2:22" ht="12.95" customHeight="1"/>
    <row r="401" spans="2:21" ht="12.95" customHeight="1"/>
    <row r="402" spans="2:21" ht="12.95" customHeight="1">
      <c r="B402" s="2" t="s">
        <v>381</v>
      </c>
      <c r="C402" s="99" t="s">
        <v>331</v>
      </c>
    </row>
    <row r="403" spans="2:21" ht="12.95" customHeight="1">
      <c r="B403" s="268" t="s">
        <v>4</v>
      </c>
      <c r="C403" s="274" t="s">
        <v>5</v>
      </c>
      <c r="D403" s="274" t="s">
        <v>79</v>
      </c>
      <c r="E403" s="274" t="s">
        <v>6</v>
      </c>
      <c r="F403" s="270" t="s">
        <v>7</v>
      </c>
      <c r="G403" s="271"/>
      <c r="H403" s="264" t="s">
        <v>91</v>
      </c>
      <c r="I403" s="264"/>
      <c r="J403" s="264"/>
      <c r="K403" s="264" t="s">
        <v>84</v>
      </c>
      <c r="L403" s="264"/>
      <c r="M403" s="264"/>
      <c r="N403" s="264" t="s">
        <v>85</v>
      </c>
      <c r="O403" s="264"/>
      <c r="P403" s="264"/>
      <c r="Q403" s="265" t="s">
        <v>659</v>
      </c>
      <c r="R403" s="265" t="s">
        <v>78</v>
      </c>
      <c r="S403" s="267" t="s">
        <v>14</v>
      </c>
      <c r="T403" s="267"/>
      <c r="U403" s="267"/>
    </row>
    <row r="404" spans="2:21" ht="12.95" customHeight="1">
      <c r="B404" s="269"/>
      <c r="C404" s="266"/>
      <c r="D404" s="266"/>
      <c r="E404" s="266"/>
      <c r="F404" s="272"/>
      <c r="G404" s="273"/>
      <c r="H404" s="153" t="s">
        <v>8</v>
      </c>
      <c r="I404" s="153" t="s">
        <v>9</v>
      </c>
      <c r="J404" s="153" t="s">
        <v>10</v>
      </c>
      <c r="K404" s="153" t="s">
        <v>8</v>
      </c>
      <c r="L404" s="153" t="s">
        <v>9</v>
      </c>
      <c r="M404" s="153" t="s">
        <v>10</v>
      </c>
      <c r="N404" s="153" t="s">
        <v>8</v>
      </c>
      <c r="O404" s="153" t="s">
        <v>9</v>
      </c>
      <c r="P404" s="153" t="s">
        <v>10</v>
      </c>
      <c r="Q404" s="266"/>
      <c r="R404" s="266"/>
      <c r="S404" s="93"/>
      <c r="T404" s="94"/>
      <c r="U404" s="95"/>
    </row>
    <row r="405" spans="2:21" ht="29.45" customHeight="1">
      <c r="B405" s="169" t="str">
        <f>"5-"&amp;ROW()-404</f>
        <v>5-1</v>
      </c>
      <c r="C405" s="42" t="s">
        <v>534</v>
      </c>
      <c r="D405" s="100" t="s">
        <v>99</v>
      </c>
      <c r="E405" s="100" t="s">
        <v>62</v>
      </c>
      <c r="F405" s="262" t="s">
        <v>513</v>
      </c>
      <c r="G405" s="263"/>
      <c r="H405" s="124"/>
      <c r="I405" s="125"/>
      <c r="J405" s="101"/>
      <c r="K405" s="124"/>
      <c r="L405" s="125"/>
      <c r="M405" s="101"/>
      <c r="N405" s="124"/>
      <c r="O405" s="125"/>
      <c r="P405" s="101"/>
      <c r="Q405" s="101"/>
      <c r="R405" s="101"/>
      <c r="S405" s="148"/>
      <c r="T405" s="149"/>
      <c r="U405" s="35"/>
    </row>
    <row r="406" spans="2:21" ht="29.45" customHeight="1">
      <c r="B406" s="169" t="str">
        <f t="shared" ref="B406:B425" si="11">"5-"&amp;ROW()-404</f>
        <v>5-2</v>
      </c>
      <c r="C406" s="100" t="s">
        <v>83</v>
      </c>
      <c r="D406" s="100" t="s">
        <v>99</v>
      </c>
      <c r="E406" s="42" t="s">
        <v>494</v>
      </c>
      <c r="F406" s="262" t="s">
        <v>333</v>
      </c>
      <c r="G406" s="263"/>
      <c r="H406" s="161"/>
      <c r="I406" s="162"/>
      <c r="J406" s="161"/>
      <c r="K406" s="101"/>
      <c r="L406" s="20"/>
      <c r="M406" s="101"/>
      <c r="N406" s="161"/>
      <c r="O406" s="162"/>
      <c r="P406" s="161"/>
      <c r="Q406" s="101"/>
      <c r="R406" s="22"/>
      <c r="S406" s="100"/>
      <c r="T406" s="102"/>
      <c r="U406" s="102"/>
    </row>
    <row r="407" spans="2:21" ht="29.45" customHeight="1">
      <c r="B407" s="169" t="str">
        <f t="shared" si="11"/>
        <v>5-3</v>
      </c>
      <c r="C407" s="100" t="s">
        <v>83</v>
      </c>
      <c r="D407" s="100" t="s">
        <v>99</v>
      </c>
      <c r="E407" s="42" t="s">
        <v>493</v>
      </c>
      <c r="F407" s="262" t="s">
        <v>928</v>
      </c>
      <c r="G407" s="263"/>
      <c r="H407" s="161"/>
      <c r="I407" s="162"/>
      <c r="J407" s="161"/>
      <c r="K407" s="101"/>
      <c r="L407" s="20"/>
      <c r="M407" s="101"/>
      <c r="N407" s="161"/>
      <c r="O407" s="162"/>
      <c r="P407" s="161"/>
      <c r="Q407" s="203"/>
      <c r="R407" s="22"/>
      <c r="S407" s="100"/>
      <c r="T407" s="102"/>
      <c r="U407" s="102"/>
    </row>
    <row r="408" spans="2:21" ht="29.45" customHeight="1">
      <c r="B408" s="169" t="str">
        <f t="shared" si="11"/>
        <v>5-4</v>
      </c>
      <c r="C408" s="100" t="s">
        <v>83</v>
      </c>
      <c r="D408" s="100" t="s">
        <v>457</v>
      </c>
      <c r="E408" s="100" t="s">
        <v>116</v>
      </c>
      <c r="F408" s="262" t="s">
        <v>350</v>
      </c>
      <c r="G408" s="263"/>
      <c r="H408" s="101"/>
      <c r="I408" s="20"/>
      <c r="J408" s="101"/>
      <c r="K408" s="101"/>
      <c r="L408" s="20"/>
      <c r="M408" s="101"/>
      <c r="N408" s="101"/>
      <c r="O408" s="20"/>
      <c r="P408" s="101"/>
      <c r="Q408" s="203"/>
      <c r="R408" s="101"/>
      <c r="S408" s="100"/>
      <c r="T408" s="102"/>
      <c r="U408" s="102"/>
    </row>
    <row r="409" spans="2:21" ht="29.45" customHeight="1">
      <c r="B409" s="169" t="str">
        <f t="shared" si="11"/>
        <v>5-5</v>
      </c>
      <c r="C409" s="100" t="s">
        <v>83</v>
      </c>
      <c r="D409" s="100" t="s">
        <v>462</v>
      </c>
      <c r="E409" s="100" t="s">
        <v>116</v>
      </c>
      <c r="F409" s="262" t="s">
        <v>350</v>
      </c>
      <c r="G409" s="263"/>
      <c r="H409" s="101"/>
      <c r="I409" s="20"/>
      <c r="J409" s="101"/>
      <c r="K409" s="101"/>
      <c r="L409" s="20"/>
      <c r="M409" s="101"/>
      <c r="N409" s="101"/>
      <c r="O409" s="20"/>
      <c r="P409" s="101"/>
      <c r="Q409" s="203"/>
      <c r="R409" s="101"/>
      <c r="S409" s="100"/>
      <c r="T409" s="102"/>
      <c r="U409" s="102"/>
    </row>
    <row r="410" spans="2:21" ht="29.45" customHeight="1">
      <c r="B410" s="169" t="str">
        <f t="shared" si="11"/>
        <v>5-6</v>
      </c>
      <c r="C410" s="100" t="s">
        <v>83</v>
      </c>
      <c r="D410" s="100" t="s">
        <v>469</v>
      </c>
      <c r="E410" s="100" t="s">
        <v>194</v>
      </c>
      <c r="F410" s="262" t="s">
        <v>364</v>
      </c>
      <c r="G410" s="263"/>
      <c r="H410" s="124"/>
      <c r="I410" s="125"/>
      <c r="J410" s="101"/>
      <c r="K410" s="124"/>
      <c r="L410" s="125"/>
      <c r="M410" s="101"/>
      <c r="N410" s="124"/>
      <c r="O410" s="125"/>
      <c r="P410" s="101"/>
      <c r="Q410" s="203"/>
      <c r="R410" s="101"/>
      <c r="S410" s="100"/>
      <c r="T410" s="102"/>
      <c r="U410" s="102"/>
    </row>
    <row r="411" spans="2:21" ht="29.45" customHeight="1">
      <c r="B411" s="169" t="str">
        <f t="shared" si="11"/>
        <v>5-7</v>
      </c>
      <c r="C411" s="100" t="s">
        <v>341</v>
      </c>
      <c r="D411" s="100" t="s">
        <v>343</v>
      </c>
      <c r="E411" s="100" t="s">
        <v>194</v>
      </c>
      <c r="F411" s="262" t="s">
        <v>344</v>
      </c>
      <c r="G411" s="263"/>
      <c r="H411" s="124"/>
      <c r="I411" s="125"/>
      <c r="J411" s="101"/>
      <c r="K411" s="124"/>
      <c r="L411" s="125"/>
      <c r="M411" s="101"/>
      <c r="N411" s="124"/>
      <c r="O411" s="125"/>
      <c r="P411" s="101"/>
      <c r="Q411" s="203"/>
      <c r="R411" s="101"/>
      <c r="S411" s="100"/>
      <c r="T411" s="102"/>
      <c r="U411" s="102"/>
    </row>
    <row r="412" spans="2:21" ht="29.45" customHeight="1">
      <c r="B412" s="169" t="str">
        <f t="shared" si="11"/>
        <v>5-8</v>
      </c>
      <c r="C412" s="100" t="s">
        <v>83</v>
      </c>
      <c r="D412" s="100" t="s">
        <v>342</v>
      </c>
      <c r="E412" s="100" t="s">
        <v>345</v>
      </c>
      <c r="F412" s="262" t="s">
        <v>347</v>
      </c>
      <c r="G412" s="263"/>
      <c r="H412" s="124"/>
      <c r="I412" s="125"/>
      <c r="J412" s="101"/>
      <c r="K412" s="124"/>
      <c r="L412" s="125"/>
      <c r="M412" s="101"/>
      <c r="N412" s="124"/>
      <c r="O412" s="125"/>
      <c r="P412" s="101"/>
      <c r="Q412" s="205"/>
      <c r="R412" s="101"/>
      <c r="S412" s="100"/>
      <c r="T412" s="102"/>
      <c r="U412" s="102"/>
    </row>
    <row r="413" spans="2:21" ht="29.45" customHeight="1">
      <c r="B413" s="169" t="str">
        <f t="shared" si="11"/>
        <v>5-9</v>
      </c>
      <c r="C413" s="100" t="s">
        <v>83</v>
      </c>
      <c r="D413" s="100" t="s">
        <v>346</v>
      </c>
      <c r="E413" s="100" t="s">
        <v>345</v>
      </c>
      <c r="F413" s="262" t="s">
        <v>348</v>
      </c>
      <c r="G413" s="263"/>
      <c r="H413" s="124"/>
      <c r="I413" s="125"/>
      <c r="J413" s="101"/>
      <c r="K413" s="124"/>
      <c r="L413" s="125"/>
      <c r="M413" s="101"/>
      <c r="N413" s="124"/>
      <c r="O413" s="125"/>
      <c r="P413" s="101"/>
      <c r="Q413" s="205"/>
      <c r="R413" s="101"/>
      <c r="S413" s="100"/>
      <c r="T413" s="102"/>
      <c r="U413" s="102"/>
    </row>
    <row r="414" spans="2:21" ht="29.45" customHeight="1">
      <c r="B414" s="169" t="str">
        <f t="shared" si="11"/>
        <v>5-10</v>
      </c>
      <c r="C414" s="100" t="s">
        <v>83</v>
      </c>
      <c r="D414" s="100" t="s">
        <v>349</v>
      </c>
      <c r="E414" s="100" t="s">
        <v>351</v>
      </c>
      <c r="F414" s="262" t="s">
        <v>350</v>
      </c>
      <c r="G414" s="263"/>
      <c r="H414" s="124"/>
      <c r="I414" s="125"/>
      <c r="J414" s="101"/>
      <c r="K414" s="124"/>
      <c r="L414" s="125"/>
      <c r="M414" s="101"/>
      <c r="N414" s="124"/>
      <c r="O414" s="125"/>
      <c r="P414" s="101"/>
      <c r="Q414" s="205"/>
      <c r="R414" s="101"/>
      <c r="S414" s="100"/>
      <c r="T414" s="102"/>
      <c r="U414" s="102"/>
    </row>
    <row r="415" spans="2:21" ht="54" customHeight="1">
      <c r="B415" s="169" t="str">
        <f t="shared" si="11"/>
        <v>5-11</v>
      </c>
      <c r="C415" s="100" t="s">
        <v>83</v>
      </c>
      <c r="D415" s="100" t="s">
        <v>99</v>
      </c>
      <c r="E415" s="42" t="s">
        <v>494</v>
      </c>
      <c r="F415" s="262" t="s">
        <v>352</v>
      </c>
      <c r="G415" s="263"/>
      <c r="H415" s="161"/>
      <c r="I415" s="162"/>
      <c r="J415" s="161"/>
      <c r="K415" s="101"/>
      <c r="L415" s="125"/>
      <c r="M415" s="101"/>
      <c r="N415" s="161"/>
      <c r="O415" s="162"/>
      <c r="P415" s="161"/>
      <c r="Q415" s="203"/>
      <c r="R415" s="22"/>
      <c r="S415" s="100"/>
      <c r="T415" s="102"/>
      <c r="U415" s="102"/>
    </row>
    <row r="416" spans="2:21" ht="29.45" customHeight="1">
      <c r="B416" s="169" t="str">
        <f t="shared" si="11"/>
        <v>5-12</v>
      </c>
      <c r="C416" s="100"/>
      <c r="D416" s="100" t="s">
        <v>455</v>
      </c>
      <c r="E416" s="100" t="s">
        <v>116</v>
      </c>
      <c r="F416" s="262" t="s">
        <v>350</v>
      </c>
      <c r="G416" s="263"/>
      <c r="H416" s="101"/>
      <c r="I416" s="20"/>
      <c r="J416" s="101"/>
      <c r="K416" s="101"/>
      <c r="L416" s="20"/>
      <c r="M416" s="101"/>
      <c r="N416" s="101"/>
      <c r="O416" s="20"/>
      <c r="P416" s="101"/>
      <c r="Q416" s="203"/>
      <c r="R416" s="101"/>
      <c r="S416" s="100"/>
      <c r="T416" s="102"/>
      <c r="U416" s="102"/>
    </row>
    <row r="417" spans="2:22" ht="29.45" customHeight="1">
      <c r="B417" s="169" t="str">
        <f t="shared" si="11"/>
        <v>5-13</v>
      </c>
      <c r="C417" s="100"/>
      <c r="D417" s="100" t="s">
        <v>462</v>
      </c>
      <c r="E417" s="100" t="s">
        <v>116</v>
      </c>
      <c r="F417" s="262" t="s">
        <v>350</v>
      </c>
      <c r="G417" s="263"/>
      <c r="H417" s="101"/>
      <c r="I417" s="20"/>
      <c r="J417" s="101"/>
      <c r="K417" s="101"/>
      <c r="L417" s="20"/>
      <c r="M417" s="101"/>
      <c r="N417" s="101"/>
      <c r="O417" s="20"/>
      <c r="P417" s="101"/>
      <c r="Q417" s="203"/>
      <c r="R417" s="101"/>
      <c r="S417" s="100"/>
      <c r="T417" s="102"/>
      <c r="U417" s="102"/>
    </row>
    <row r="418" spans="2:22" ht="29.45" customHeight="1">
      <c r="B418" s="169" t="str">
        <f t="shared" si="11"/>
        <v>5-14</v>
      </c>
      <c r="C418" s="100"/>
      <c r="D418" s="100" t="s">
        <v>469</v>
      </c>
      <c r="E418" s="100" t="s">
        <v>116</v>
      </c>
      <c r="F418" s="262" t="s">
        <v>933</v>
      </c>
      <c r="G418" s="263"/>
      <c r="H418" s="124"/>
      <c r="I418" s="20"/>
      <c r="J418" s="101"/>
      <c r="K418" s="124"/>
      <c r="L418" s="20"/>
      <c r="M418" s="101"/>
      <c r="N418" s="124"/>
      <c r="O418" s="20"/>
      <c r="P418" s="101"/>
      <c r="Q418" s="203"/>
      <c r="R418" s="101"/>
      <c r="S418" s="100"/>
      <c r="T418" s="102"/>
      <c r="U418" s="102"/>
    </row>
    <row r="419" spans="2:22" ht="29.45" customHeight="1">
      <c r="B419" s="169" t="str">
        <f t="shared" si="11"/>
        <v>5-15</v>
      </c>
      <c r="C419" s="18" t="s">
        <v>135</v>
      </c>
      <c r="D419" s="18" t="s">
        <v>136</v>
      </c>
      <c r="E419" s="100" t="s">
        <v>134</v>
      </c>
      <c r="F419" s="258" t="s">
        <v>137</v>
      </c>
      <c r="G419" s="259"/>
      <c r="H419" s="101"/>
      <c r="I419" s="20"/>
      <c r="J419" s="101"/>
      <c r="K419" s="101"/>
      <c r="L419" s="20"/>
      <c r="M419" s="101"/>
      <c r="N419" s="101"/>
      <c r="O419" s="20"/>
      <c r="P419" s="101"/>
      <c r="Q419" s="101"/>
      <c r="R419" s="126"/>
      <c r="S419" s="114"/>
      <c r="T419" s="102"/>
      <c r="U419" s="102"/>
    </row>
    <row r="420" spans="2:22" ht="29.45" customHeight="1">
      <c r="B420" s="169" t="str">
        <f t="shared" si="11"/>
        <v>5-16</v>
      </c>
      <c r="C420" s="18" t="s">
        <v>143</v>
      </c>
      <c r="D420" s="18" t="s">
        <v>143</v>
      </c>
      <c r="E420" s="100" t="s">
        <v>134</v>
      </c>
      <c r="F420" s="258" t="s">
        <v>138</v>
      </c>
      <c r="G420" s="259"/>
      <c r="H420" s="101"/>
      <c r="I420" s="20"/>
      <c r="J420" s="101"/>
      <c r="K420" s="101"/>
      <c r="L420" s="20"/>
      <c r="M420" s="101"/>
      <c r="N420" s="101"/>
      <c r="O420" s="20"/>
      <c r="P420" s="101"/>
      <c r="Q420" s="101"/>
      <c r="R420" s="126"/>
      <c r="S420" s="114"/>
      <c r="T420" s="102"/>
      <c r="U420" s="102"/>
    </row>
    <row r="421" spans="2:22" ht="29.45" customHeight="1">
      <c r="B421" s="169" t="str">
        <f t="shared" si="11"/>
        <v>5-17</v>
      </c>
      <c r="C421" s="18" t="s">
        <v>143</v>
      </c>
      <c r="D421" s="18" t="s">
        <v>147</v>
      </c>
      <c r="E421" s="100" t="s">
        <v>134</v>
      </c>
      <c r="F421" s="258" t="s">
        <v>148</v>
      </c>
      <c r="G421" s="259"/>
      <c r="H421" s="101"/>
      <c r="I421" s="20"/>
      <c r="J421" s="101"/>
      <c r="K421" s="101"/>
      <c r="L421" s="20"/>
      <c r="M421" s="101"/>
      <c r="N421" s="101"/>
      <c r="O421" s="20"/>
      <c r="P421" s="101"/>
      <c r="Q421" s="101"/>
      <c r="R421" s="126"/>
      <c r="S421" s="114"/>
      <c r="T421" s="102"/>
      <c r="U421" s="102"/>
    </row>
    <row r="422" spans="2:22" ht="29.45" customHeight="1">
      <c r="B422" s="169" t="str">
        <f t="shared" si="11"/>
        <v>5-18</v>
      </c>
      <c r="C422" s="18" t="s">
        <v>143</v>
      </c>
      <c r="D422" s="18" t="s">
        <v>143</v>
      </c>
      <c r="E422" s="100" t="s">
        <v>134</v>
      </c>
      <c r="F422" s="258" t="s">
        <v>138</v>
      </c>
      <c r="G422" s="259"/>
      <c r="H422" s="101"/>
      <c r="I422" s="20"/>
      <c r="J422" s="101"/>
      <c r="K422" s="101"/>
      <c r="L422" s="20"/>
      <c r="M422" s="101"/>
      <c r="N422" s="101"/>
      <c r="O422" s="20"/>
      <c r="P422" s="101"/>
      <c r="Q422" s="101"/>
      <c r="R422" s="126"/>
      <c r="S422" s="114"/>
      <c r="T422" s="102"/>
      <c r="U422" s="102"/>
    </row>
    <row r="423" spans="2:22" ht="29.45" customHeight="1">
      <c r="B423" s="169" t="str">
        <f t="shared" si="11"/>
        <v>5-19</v>
      </c>
      <c r="C423" s="18" t="s">
        <v>143</v>
      </c>
      <c r="D423" s="18" t="s">
        <v>149</v>
      </c>
      <c r="E423" s="100" t="s">
        <v>134</v>
      </c>
      <c r="F423" s="258" t="s">
        <v>150</v>
      </c>
      <c r="G423" s="259"/>
      <c r="H423" s="101"/>
      <c r="I423" s="20"/>
      <c r="J423" s="101"/>
      <c r="K423" s="101"/>
      <c r="L423" s="20"/>
      <c r="M423" s="101"/>
      <c r="N423" s="101"/>
      <c r="O423" s="20"/>
      <c r="P423" s="101"/>
      <c r="Q423" s="101"/>
      <c r="R423" s="126"/>
      <c r="S423" s="114"/>
      <c r="T423" s="102"/>
      <c r="U423" s="102"/>
    </row>
    <row r="424" spans="2:22" ht="29.45" customHeight="1">
      <c r="B424" s="169" t="str">
        <f t="shared" si="11"/>
        <v>5-20</v>
      </c>
      <c r="C424" s="18" t="s">
        <v>143</v>
      </c>
      <c r="D424" s="18" t="s">
        <v>143</v>
      </c>
      <c r="E424" s="100" t="s">
        <v>134</v>
      </c>
      <c r="F424" s="258" t="s">
        <v>138</v>
      </c>
      <c r="G424" s="259"/>
      <c r="H424" s="101"/>
      <c r="I424" s="20"/>
      <c r="J424" s="101"/>
      <c r="K424" s="101"/>
      <c r="L424" s="20"/>
      <c r="M424" s="101"/>
      <c r="N424" s="101"/>
      <c r="O424" s="20"/>
      <c r="P424" s="101"/>
      <c r="Q424" s="101"/>
      <c r="R424" s="126"/>
      <c r="S424" s="114"/>
      <c r="T424" s="102"/>
      <c r="U424" s="102"/>
    </row>
    <row r="425" spans="2:22" ht="34.5" customHeight="1">
      <c r="B425" s="169" t="str">
        <f t="shared" si="11"/>
        <v>5-21</v>
      </c>
      <c r="C425" s="18" t="s">
        <v>139</v>
      </c>
      <c r="D425" s="18" t="s">
        <v>401</v>
      </c>
      <c r="E425" s="100" t="s">
        <v>955</v>
      </c>
      <c r="F425" s="258" t="s">
        <v>952</v>
      </c>
      <c r="G425" s="259"/>
      <c r="H425" s="101"/>
      <c r="I425" s="20"/>
      <c r="J425" s="101"/>
      <c r="K425" s="101"/>
      <c r="L425" s="20"/>
      <c r="M425" s="101"/>
      <c r="N425" s="101"/>
      <c r="O425" s="20"/>
      <c r="P425" s="101"/>
      <c r="Q425" s="127"/>
      <c r="R425" s="126"/>
      <c r="S425" s="114"/>
      <c r="T425" s="102"/>
      <c r="U425" s="102"/>
      <c r="V425" s="163"/>
    </row>
  </sheetData>
  <autoFilter ref="B7:U425">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sortState ref="J213:J214">
    <sortCondition descending="1" ref="J213:J214"/>
  </sortState>
  <mergeCells count="439">
    <mergeCell ref="F14:G14"/>
    <mergeCell ref="F15:G15"/>
    <mergeCell ref="F16:G16"/>
    <mergeCell ref="F304:G304"/>
    <mergeCell ref="F264:G264"/>
    <mergeCell ref="F268:G268"/>
    <mergeCell ref="F387:G387"/>
    <mergeCell ref="F115:G115"/>
    <mergeCell ref="F355:G355"/>
    <mergeCell ref="F348:G348"/>
    <mergeCell ref="F349:G349"/>
    <mergeCell ref="F351:G351"/>
    <mergeCell ref="F352:G352"/>
    <mergeCell ref="F353:G353"/>
    <mergeCell ref="F354:G354"/>
    <mergeCell ref="F350:G350"/>
    <mergeCell ref="F257:G257"/>
    <mergeCell ref="F191:G191"/>
    <mergeCell ref="F376:G376"/>
    <mergeCell ref="F380:G380"/>
    <mergeCell ref="F381:G381"/>
    <mergeCell ref="F334:G334"/>
    <mergeCell ref="F333:G333"/>
    <mergeCell ref="F245:G245"/>
    <mergeCell ref="F390:G390"/>
    <mergeCell ref="F385:G385"/>
    <mergeCell ref="F343:G343"/>
    <mergeCell ref="F347:G347"/>
    <mergeCell ref="F279:G279"/>
    <mergeCell ref="F283:G283"/>
    <mergeCell ref="F246:G246"/>
    <mergeCell ref="F282:G282"/>
    <mergeCell ref="F331:G331"/>
    <mergeCell ref="F256:G256"/>
    <mergeCell ref="F310:G310"/>
    <mergeCell ref="F315:G315"/>
    <mergeCell ref="F314:G314"/>
    <mergeCell ref="F303:G303"/>
    <mergeCell ref="F305:G305"/>
    <mergeCell ref="F307:G307"/>
    <mergeCell ref="F290:G290"/>
    <mergeCell ref="F286:G286"/>
    <mergeCell ref="F287:G287"/>
    <mergeCell ref="F332:G332"/>
    <mergeCell ref="F342:G342"/>
    <mergeCell ref="F261:G261"/>
    <mergeCell ref="F262:G262"/>
    <mergeCell ref="F266:G266"/>
    <mergeCell ref="R366:R367"/>
    <mergeCell ref="S366:U366"/>
    <mergeCell ref="F368:G368"/>
    <mergeCell ref="F369:G369"/>
    <mergeCell ref="F370:G370"/>
    <mergeCell ref="F371:G371"/>
    <mergeCell ref="B366:B367"/>
    <mergeCell ref="C366:C367"/>
    <mergeCell ref="D366:D367"/>
    <mergeCell ref="E366:E367"/>
    <mergeCell ref="F366:G367"/>
    <mergeCell ref="Q366:Q367"/>
    <mergeCell ref="H366:J366"/>
    <mergeCell ref="F144:G144"/>
    <mergeCell ref="F148:G148"/>
    <mergeCell ref="F149:G149"/>
    <mergeCell ref="F150:G150"/>
    <mergeCell ref="R329:R330"/>
    <mergeCell ref="S329:U329"/>
    <mergeCell ref="S300:U300"/>
    <mergeCell ref="R300:R301"/>
    <mergeCell ref="F254:G254"/>
    <mergeCell ref="F255:G255"/>
    <mergeCell ref="F259:G259"/>
    <mergeCell ref="F260:G260"/>
    <mergeCell ref="F258:G258"/>
    <mergeCell ref="F284:G284"/>
    <mergeCell ref="F285:G285"/>
    <mergeCell ref="F289:G289"/>
    <mergeCell ref="F292:G292"/>
    <mergeCell ref="F265:G265"/>
    <mergeCell ref="Q300:Q301"/>
    <mergeCell ref="Q329:Q330"/>
    <mergeCell ref="F302:G302"/>
    <mergeCell ref="F291:G291"/>
    <mergeCell ref="F253:G253"/>
    <mergeCell ref="F152:G152"/>
    <mergeCell ref="F195:G195"/>
    <mergeCell ref="F200:G200"/>
    <mergeCell ref="F188:G188"/>
    <mergeCell ref="F189:G189"/>
    <mergeCell ref="F202:G202"/>
    <mergeCell ref="F157:G157"/>
    <mergeCell ref="F168:G168"/>
    <mergeCell ref="F171:G171"/>
    <mergeCell ref="F196:G196"/>
    <mergeCell ref="F175:G175"/>
    <mergeCell ref="F176:G176"/>
    <mergeCell ref="F178:G178"/>
    <mergeCell ref="F197:G197"/>
    <mergeCell ref="F201:G201"/>
    <mergeCell ref="S7:U7"/>
    <mergeCell ref="R7:R8"/>
    <mergeCell ref="K7:M7"/>
    <mergeCell ref="N7:P7"/>
    <mergeCell ref="H7:J7"/>
    <mergeCell ref="F141:G141"/>
    <mergeCell ref="F9:G9"/>
    <mergeCell ref="F10:G10"/>
    <mergeCell ref="F11:G11"/>
    <mergeCell ref="F12:G12"/>
    <mergeCell ref="F13:G13"/>
    <mergeCell ref="F105:G105"/>
    <mergeCell ref="F106:G106"/>
    <mergeCell ref="F110:G110"/>
    <mergeCell ref="F111:G111"/>
    <mergeCell ref="F18:G18"/>
    <mergeCell ref="F129:G129"/>
    <mergeCell ref="F130:G130"/>
    <mergeCell ref="F109:G109"/>
    <mergeCell ref="F107:G107"/>
    <mergeCell ref="Q7:Q8"/>
    <mergeCell ref="F122:G122"/>
    <mergeCell ref="F124:G124"/>
    <mergeCell ref="F121:G121"/>
    <mergeCell ref="B7:B8"/>
    <mergeCell ref="C7:C8"/>
    <mergeCell ref="E7:E8"/>
    <mergeCell ref="F7:G8"/>
    <mergeCell ref="D7:D8"/>
    <mergeCell ref="F177:G177"/>
    <mergeCell ref="F180:G180"/>
    <mergeCell ref="F170:G170"/>
    <mergeCell ref="F17:G17"/>
    <mergeCell ref="F169:G169"/>
    <mergeCell ref="F147:G147"/>
    <mergeCell ref="F127:G127"/>
    <mergeCell ref="F135:G135"/>
    <mergeCell ref="F136:G136"/>
    <mergeCell ref="F137:G137"/>
    <mergeCell ref="F138:G138"/>
    <mergeCell ref="F139:G139"/>
    <mergeCell ref="F145:G145"/>
    <mergeCell ref="F146:G146"/>
    <mergeCell ref="F151:G151"/>
    <mergeCell ref="F142:G142"/>
    <mergeCell ref="F104:G104"/>
    <mergeCell ref="F156:G156"/>
    <mergeCell ref="F120:G120"/>
    <mergeCell ref="D300:D301"/>
    <mergeCell ref="E300:E301"/>
    <mergeCell ref="F300:G301"/>
    <mergeCell ref="F131:G131"/>
    <mergeCell ref="F132:G132"/>
    <mergeCell ref="F133:G133"/>
    <mergeCell ref="F248:G248"/>
    <mergeCell ref="F249:G249"/>
    <mergeCell ref="F250:G250"/>
    <mergeCell ref="F251:G251"/>
    <mergeCell ref="F252:G252"/>
    <mergeCell ref="F226:G226"/>
    <mergeCell ref="F228:G228"/>
    <mergeCell ref="F229:G229"/>
    <mergeCell ref="F231:G231"/>
    <mergeCell ref="F227:G227"/>
    <mergeCell ref="F204:G204"/>
    <mergeCell ref="F225:G225"/>
    <mergeCell ref="F172:G172"/>
    <mergeCell ref="F205:G205"/>
    <mergeCell ref="F221:G221"/>
    <mergeCell ref="F194:G194"/>
    <mergeCell ref="F203:G203"/>
    <mergeCell ref="F211:G211"/>
    <mergeCell ref="F123:G123"/>
    <mergeCell ref="F125:G125"/>
    <mergeCell ref="F247:G247"/>
    <mergeCell ref="F140:G140"/>
    <mergeCell ref="F214:G214"/>
    <mergeCell ref="F215:G215"/>
    <mergeCell ref="F216:G216"/>
    <mergeCell ref="F217:G217"/>
    <mergeCell ref="F219:G219"/>
    <mergeCell ref="F218:G218"/>
    <mergeCell ref="F210:G210"/>
    <mergeCell ref="F212:G212"/>
    <mergeCell ref="F213:G213"/>
    <mergeCell ref="F193:G193"/>
    <mergeCell ref="F173:G173"/>
    <mergeCell ref="F230:G230"/>
    <mergeCell ref="F187:G187"/>
    <mergeCell ref="F220:G220"/>
    <mergeCell ref="F207:G207"/>
    <mergeCell ref="F206:G206"/>
    <mergeCell ref="F153:G153"/>
    <mergeCell ref="F154:G154"/>
    <mergeCell ref="F155:G155"/>
    <mergeCell ref="F190:G190"/>
    <mergeCell ref="N300:P300"/>
    <mergeCell ref="F198:G198"/>
    <mergeCell ref="F208:G208"/>
    <mergeCell ref="F240:G240"/>
    <mergeCell ref="F241:G241"/>
    <mergeCell ref="F243:G243"/>
    <mergeCell ref="F244:G244"/>
    <mergeCell ref="F242:G242"/>
    <mergeCell ref="F233:G233"/>
    <mergeCell ref="F234:G234"/>
    <mergeCell ref="F235:G235"/>
    <mergeCell ref="F236:G236"/>
    <mergeCell ref="F237:G237"/>
    <mergeCell ref="F238:G238"/>
    <mergeCell ref="F232:G232"/>
    <mergeCell ref="F239:G239"/>
    <mergeCell ref="F269:G269"/>
    <mergeCell ref="F267:G267"/>
    <mergeCell ref="F263:G263"/>
    <mergeCell ref="F199:G199"/>
    <mergeCell ref="F275:G275"/>
    <mergeCell ref="F288:G288"/>
    <mergeCell ref="F224:G224"/>
    <mergeCell ref="F209:G209"/>
    <mergeCell ref="N329:P329"/>
    <mergeCell ref="K366:M366"/>
    <mergeCell ref="N366:P366"/>
    <mergeCell ref="B403:B404"/>
    <mergeCell ref="C403:C404"/>
    <mergeCell ref="D403:D404"/>
    <mergeCell ref="E403:E404"/>
    <mergeCell ref="F403:G404"/>
    <mergeCell ref="H403:J403"/>
    <mergeCell ref="B329:B330"/>
    <mergeCell ref="C329:C330"/>
    <mergeCell ref="D329:D330"/>
    <mergeCell ref="E329:E330"/>
    <mergeCell ref="F395:G395"/>
    <mergeCell ref="F396:G396"/>
    <mergeCell ref="F397:G397"/>
    <mergeCell ref="F398:G398"/>
    <mergeCell ref="F391:G391"/>
    <mergeCell ref="F372:G372"/>
    <mergeCell ref="F373:G373"/>
    <mergeCell ref="F392:G392"/>
    <mergeCell ref="F393:G393"/>
    <mergeCell ref="F394:G394"/>
    <mergeCell ref="F386:G386"/>
    <mergeCell ref="B300:B301"/>
    <mergeCell ref="K403:M403"/>
    <mergeCell ref="F316:G316"/>
    <mergeCell ref="F319:G319"/>
    <mergeCell ref="F320:G320"/>
    <mergeCell ref="F321:G321"/>
    <mergeCell ref="F322:G322"/>
    <mergeCell ref="F323:G323"/>
    <mergeCell ref="F324:G324"/>
    <mergeCell ref="F325:G325"/>
    <mergeCell ref="F326:G326"/>
    <mergeCell ref="F317:G317"/>
    <mergeCell ref="F318:G318"/>
    <mergeCell ref="F329:G330"/>
    <mergeCell ref="H329:J329"/>
    <mergeCell ref="K329:M329"/>
    <mergeCell ref="F335:G335"/>
    <mergeCell ref="F346:G346"/>
    <mergeCell ref="F337:G337"/>
    <mergeCell ref="F338:G338"/>
    <mergeCell ref="F339:G339"/>
    <mergeCell ref="F336:G336"/>
    <mergeCell ref="F341:G341"/>
    <mergeCell ref="C300:C301"/>
    <mergeCell ref="R403:R404"/>
    <mergeCell ref="S403:U403"/>
    <mergeCell ref="F406:G406"/>
    <mergeCell ref="F408:G408"/>
    <mergeCell ref="F409:G409"/>
    <mergeCell ref="F410:G410"/>
    <mergeCell ref="F405:G405"/>
    <mergeCell ref="N403:P403"/>
    <mergeCell ref="F407:G407"/>
    <mergeCell ref="Q403:Q404"/>
    <mergeCell ref="F425:G425"/>
    <mergeCell ref="F424:G424"/>
    <mergeCell ref="K300:M300"/>
    <mergeCell ref="F297:G297"/>
    <mergeCell ref="F293:G293"/>
    <mergeCell ref="F296:G296"/>
    <mergeCell ref="H300:J300"/>
    <mergeCell ref="F420:G420"/>
    <mergeCell ref="F421:G421"/>
    <mergeCell ref="F422:G422"/>
    <mergeCell ref="F423:G423"/>
    <mergeCell ref="F415:G415"/>
    <mergeCell ref="F416:G416"/>
    <mergeCell ref="F418:G418"/>
    <mergeCell ref="F411:G411"/>
    <mergeCell ref="F412:G412"/>
    <mergeCell ref="F413:G413"/>
    <mergeCell ref="F414:G414"/>
    <mergeCell ref="F417:G417"/>
    <mergeCell ref="F419:G419"/>
    <mergeCell ref="F384:G384"/>
    <mergeCell ref="F356:G356"/>
    <mergeCell ref="F357:G357"/>
    <mergeCell ref="F358:G358"/>
    <mergeCell ref="F270:G270"/>
    <mergeCell ref="F379:G379"/>
    <mergeCell ref="F382:G382"/>
    <mergeCell ref="F383:G383"/>
    <mergeCell ref="F388:G388"/>
    <mergeCell ref="F389:G389"/>
    <mergeCell ref="F271:G271"/>
    <mergeCell ref="F308:G308"/>
    <mergeCell ref="F311:G311"/>
    <mergeCell ref="F312:G312"/>
    <mergeCell ref="F313:G313"/>
    <mergeCell ref="F309:G309"/>
    <mergeCell ref="F359:G359"/>
    <mergeCell ref="F360:G360"/>
    <mergeCell ref="F361:G361"/>
    <mergeCell ref="F362:G362"/>
    <mergeCell ref="F363:G363"/>
    <mergeCell ref="F374:G374"/>
    <mergeCell ref="F375:G375"/>
    <mergeCell ref="F377:G377"/>
    <mergeCell ref="F378:G378"/>
    <mergeCell ref="F113:G113"/>
    <mergeCell ref="F108:G108"/>
    <mergeCell ref="F272:G272"/>
    <mergeCell ref="F273:G273"/>
    <mergeCell ref="F274:G274"/>
    <mergeCell ref="F276:G276"/>
    <mergeCell ref="F277:G277"/>
    <mergeCell ref="F280:G280"/>
    <mergeCell ref="F281:G281"/>
    <mergeCell ref="F278:G278"/>
    <mergeCell ref="F179:G179"/>
    <mergeCell ref="F192:G192"/>
    <mergeCell ref="F116:G116"/>
    <mergeCell ref="F118:G118"/>
    <mergeCell ref="F117:G117"/>
    <mergeCell ref="F126:G126"/>
    <mergeCell ref="F128:G128"/>
    <mergeCell ref="F119:G119"/>
    <mergeCell ref="F134:G134"/>
    <mergeCell ref="F143:G143"/>
    <mergeCell ref="F112:G112"/>
    <mergeCell ref="F186:G186"/>
    <mergeCell ref="F222:G222"/>
    <mergeCell ref="F223:G223"/>
    <mergeCell ref="F21:G21"/>
    <mergeCell ref="F22:G22"/>
    <mergeCell ref="F24:G24"/>
    <mergeCell ref="F25:G25"/>
    <mergeCell ref="F23:G23"/>
    <mergeCell ref="F174:G174"/>
    <mergeCell ref="F183:G183"/>
    <mergeCell ref="F184:G184"/>
    <mergeCell ref="F185:G185"/>
    <mergeCell ref="F181:G181"/>
    <mergeCell ref="F31:G31"/>
    <mergeCell ref="F32:G32"/>
    <mergeCell ref="F33:G33"/>
    <mergeCell ref="F34:G34"/>
    <mergeCell ref="F57:G57"/>
    <mergeCell ref="F58:G58"/>
    <mergeCell ref="F59:G59"/>
    <mergeCell ref="F60:G60"/>
    <mergeCell ref="F61:G61"/>
    <mergeCell ref="F62:G62"/>
    <mergeCell ref="F63:G63"/>
    <mergeCell ref="F64:G64"/>
    <mergeCell ref="F65:G65"/>
    <mergeCell ref="F66:G66"/>
    <mergeCell ref="F35:G35"/>
    <mergeCell ref="F36:G36"/>
    <mergeCell ref="F37:G37"/>
    <mergeCell ref="F38:G38"/>
    <mergeCell ref="F49:G49"/>
    <mergeCell ref="F43:G43"/>
    <mergeCell ref="F44:G44"/>
    <mergeCell ref="F47:G47"/>
    <mergeCell ref="F39:G39"/>
    <mergeCell ref="F40:G40"/>
    <mergeCell ref="F41:G41"/>
    <mergeCell ref="F42:G42"/>
    <mergeCell ref="F45:G45"/>
    <mergeCell ref="F46:G46"/>
    <mergeCell ref="F48:G48"/>
    <mergeCell ref="F50:G50"/>
    <mergeCell ref="F51:G51"/>
    <mergeCell ref="F52:G52"/>
    <mergeCell ref="F53:G53"/>
    <mergeCell ref="F54:G54"/>
    <mergeCell ref="F55:G55"/>
    <mergeCell ref="F56:G56"/>
    <mergeCell ref="F67:G67"/>
    <mergeCell ref="F68:G68"/>
    <mergeCell ref="F69:G69"/>
    <mergeCell ref="F70:G70"/>
    <mergeCell ref="F71:G71"/>
    <mergeCell ref="F72:G72"/>
    <mergeCell ref="F73:G73"/>
    <mergeCell ref="F74:G74"/>
    <mergeCell ref="F75:G75"/>
    <mergeCell ref="F76:G76"/>
    <mergeCell ref="F98:G98"/>
    <mergeCell ref="F99:G99"/>
    <mergeCell ref="F77:G77"/>
    <mergeCell ref="F78:G78"/>
    <mergeCell ref="F84:G84"/>
    <mergeCell ref="F85:G85"/>
    <mergeCell ref="F86:G86"/>
    <mergeCell ref="F87:G87"/>
    <mergeCell ref="F88:G88"/>
    <mergeCell ref="F89:G89"/>
    <mergeCell ref="F90:G90"/>
    <mergeCell ref="F79:G79"/>
    <mergeCell ref="F80:G80"/>
    <mergeCell ref="F19:G19"/>
    <mergeCell ref="F20:G20"/>
    <mergeCell ref="F81:G81"/>
    <mergeCell ref="F82:G82"/>
    <mergeCell ref="F83:G83"/>
    <mergeCell ref="F344:G344"/>
    <mergeCell ref="F26:G26"/>
    <mergeCell ref="F27:G27"/>
    <mergeCell ref="F28:G28"/>
    <mergeCell ref="F29:G29"/>
    <mergeCell ref="F30:G30"/>
    <mergeCell ref="F182:G182"/>
    <mergeCell ref="F100:G100"/>
    <mergeCell ref="F101:G101"/>
    <mergeCell ref="F102:G102"/>
    <mergeCell ref="F103:G103"/>
    <mergeCell ref="F114:G114"/>
    <mergeCell ref="F91:G91"/>
    <mergeCell ref="F92:G92"/>
    <mergeCell ref="F93:G93"/>
    <mergeCell ref="F94:G94"/>
    <mergeCell ref="F95:G95"/>
    <mergeCell ref="F96:G96"/>
    <mergeCell ref="F97:G97"/>
  </mergeCells>
  <phoneticPr fontId="28"/>
  <dataValidations count="1">
    <dataValidation type="list" allowBlank="1" showInputMessage="1" showErrorMessage="1" sqref="H331:H362 O122:P123 I122:J123 L122:M123 L136:M137 O136:P137 I136:J137 L118:M118 O118:P118 I118:J118 K368:K397 K405:K424 N302:N326 H302:H326 K302:K326 N331:N363 K331:K362 H368:H397 N368:N398 N405:N425 H405:H424 H9:H292 N9:N297 K9:K292">
      <formula1>"OK,NG,NG（済）,－,未実施"</formula1>
    </dataValidation>
  </dataValidations>
  <pageMargins left="0.55118110236220474" right="0.35433070866141736" top="0.70866141732283472" bottom="0.70866141732283472" header="0.39370078740157483" footer="0.35433070866141736"/>
  <pageSetup paperSize="9" scale="76"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4:R47"/>
  <sheetViews>
    <sheetView workbookViewId="0">
      <pane xSplit="1" ySplit="5" topLeftCell="B6" activePane="bottomRight" state="frozen"/>
      <selection pane="topRight" activeCell="B1" sqref="B1"/>
      <selection pane="bottomLeft" activeCell="A6" sqref="A6"/>
      <selection pane="bottomRight"/>
    </sheetView>
  </sheetViews>
  <sheetFormatPr defaultRowHeight="13.5"/>
  <cols>
    <col min="1" max="1" width="2.25" customWidth="1"/>
    <col min="2" max="2" width="30.75" bestFit="1" customWidth="1"/>
    <col min="3" max="4" width="12.625" bestFit="1" customWidth="1"/>
    <col min="5" max="5" width="5.25" bestFit="1" customWidth="1"/>
    <col min="7" max="7" width="10.5" bestFit="1" customWidth="1"/>
    <col min="10" max="11" width="12.625" customWidth="1"/>
    <col min="13" max="13" width="12.75" customWidth="1"/>
  </cols>
  <sheetData>
    <row r="4" spans="2:18">
      <c r="B4" s="281" t="s">
        <v>296</v>
      </c>
      <c r="C4" s="282" t="s">
        <v>297</v>
      </c>
      <c r="D4" s="282"/>
      <c r="E4" s="282"/>
      <c r="F4" s="264" t="s">
        <v>91</v>
      </c>
      <c r="G4" s="264"/>
      <c r="H4" s="264"/>
      <c r="I4" s="264" t="s">
        <v>84</v>
      </c>
      <c r="J4" s="264"/>
      <c r="K4" s="264"/>
      <c r="L4" s="264" t="s">
        <v>85</v>
      </c>
      <c r="M4" s="264"/>
      <c r="N4" s="264"/>
      <c r="O4" s="283" t="s">
        <v>78</v>
      </c>
      <c r="P4" s="267" t="s">
        <v>14</v>
      </c>
      <c r="Q4" s="267"/>
      <c r="R4" s="267"/>
    </row>
    <row r="5" spans="2:18">
      <c r="B5" s="281"/>
      <c r="C5" s="152" t="s">
        <v>298</v>
      </c>
      <c r="D5" s="147" t="s">
        <v>299</v>
      </c>
      <c r="E5" s="147" t="s">
        <v>267</v>
      </c>
      <c r="F5" s="150" t="s">
        <v>8</v>
      </c>
      <c r="G5" s="150" t="s">
        <v>9</v>
      </c>
      <c r="H5" s="150" t="s">
        <v>10</v>
      </c>
      <c r="I5" s="150" t="s">
        <v>8</v>
      </c>
      <c r="J5" s="150" t="s">
        <v>9</v>
      </c>
      <c r="K5" s="150" t="s">
        <v>10</v>
      </c>
      <c r="L5" s="150" t="s">
        <v>8</v>
      </c>
      <c r="M5" s="150" t="s">
        <v>9</v>
      </c>
      <c r="N5" s="150" t="s">
        <v>10</v>
      </c>
      <c r="O5" s="264"/>
      <c r="P5" s="151"/>
      <c r="Q5" s="151"/>
      <c r="R5" s="151"/>
    </row>
    <row r="6" spans="2:18">
      <c r="B6" s="109" t="s">
        <v>943</v>
      </c>
      <c r="C6" s="109" t="s">
        <v>300</v>
      </c>
      <c r="D6" s="109" t="s">
        <v>300</v>
      </c>
      <c r="E6" s="109" t="s">
        <v>300</v>
      </c>
      <c r="F6" s="102"/>
      <c r="G6" s="54"/>
      <c r="H6" s="102"/>
      <c r="I6" s="102"/>
      <c r="J6" s="54"/>
      <c r="K6" s="102"/>
      <c r="L6" s="102"/>
      <c r="M6" s="54"/>
      <c r="N6" s="102"/>
      <c r="O6" s="102"/>
      <c r="P6" s="100"/>
      <c r="Q6" s="102"/>
      <c r="R6" s="102"/>
    </row>
    <row r="7" spans="2:18">
      <c r="B7" s="144" t="s">
        <v>936</v>
      </c>
      <c r="C7" s="109" t="s">
        <v>300</v>
      </c>
      <c r="D7" s="109" t="s">
        <v>300</v>
      </c>
      <c r="E7" s="109" t="s">
        <v>301</v>
      </c>
      <c r="F7" s="102"/>
      <c r="G7" s="54"/>
      <c r="H7" s="102"/>
      <c r="I7" s="102"/>
      <c r="J7" s="54"/>
      <c r="K7" s="102"/>
      <c r="L7" s="102"/>
      <c r="M7" s="54"/>
      <c r="N7" s="102"/>
      <c r="O7" s="102"/>
      <c r="P7" s="100"/>
      <c r="Q7" s="102"/>
      <c r="R7" s="102"/>
    </row>
    <row r="8" spans="2:18">
      <c r="B8" s="144" t="s">
        <v>152</v>
      </c>
      <c r="C8" s="109" t="s">
        <v>300</v>
      </c>
      <c r="D8" s="109" t="s">
        <v>300</v>
      </c>
      <c r="E8" s="109" t="s">
        <v>301</v>
      </c>
      <c r="F8" s="102"/>
      <c r="G8" s="54"/>
      <c r="H8" s="102"/>
      <c r="I8" s="102"/>
      <c r="J8" s="54"/>
      <c r="K8" s="102"/>
      <c r="L8" s="102"/>
      <c r="M8" s="54"/>
      <c r="N8" s="102"/>
      <c r="O8" s="102"/>
      <c r="P8" s="100"/>
      <c r="Q8" s="102"/>
      <c r="R8" s="102"/>
    </row>
    <row r="9" spans="2:18">
      <c r="B9" s="144" t="s">
        <v>369</v>
      </c>
      <c r="C9" s="109" t="s">
        <v>300</v>
      </c>
      <c r="D9" s="109" t="s">
        <v>300</v>
      </c>
      <c r="E9" s="109" t="s">
        <v>301</v>
      </c>
      <c r="F9" s="102"/>
      <c r="G9" s="54"/>
      <c r="H9" s="102"/>
      <c r="I9" s="102"/>
      <c r="J9" s="54"/>
      <c r="K9" s="102"/>
      <c r="L9" s="102"/>
      <c r="M9" s="54"/>
      <c r="N9" s="102"/>
      <c r="O9" s="102"/>
      <c r="P9" s="100"/>
      <c r="Q9" s="102"/>
      <c r="R9" s="102"/>
    </row>
    <row r="10" spans="2:18">
      <c r="B10" s="144" t="s">
        <v>370</v>
      </c>
      <c r="C10" s="109" t="s">
        <v>300</v>
      </c>
      <c r="D10" s="109" t="s">
        <v>300</v>
      </c>
      <c r="E10" s="109" t="s">
        <v>301</v>
      </c>
      <c r="F10" s="102"/>
      <c r="G10" s="54"/>
      <c r="H10" s="102"/>
      <c r="I10" s="102"/>
      <c r="J10" s="54"/>
      <c r="K10" s="102"/>
      <c r="L10" s="102"/>
      <c r="M10" s="54"/>
      <c r="N10" s="102"/>
      <c r="O10" s="102"/>
      <c r="P10" s="100"/>
      <c r="Q10" s="102"/>
      <c r="R10" s="102"/>
    </row>
    <row r="11" spans="2:18">
      <c r="B11" s="144" t="s">
        <v>371</v>
      </c>
      <c r="C11" s="109" t="s">
        <v>300</v>
      </c>
      <c r="D11" s="109" t="s">
        <v>300</v>
      </c>
      <c r="E11" s="109" t="s">
        <v>301</v>
      </c>
      <c r="F11" s="102"/>
      <c r="G11" s="54"/>
      <c r="H11" s="102"/>
      <c r="I11" s="102"/>
      <c r="J11" s="54"/>
      <c r="K11" s="102"/>
      <c r="L11" s="102"/>
      <c r="M11" s="54"/>
      <c r="N11" s="102"/>
      <c r="O11" s="102"/>
      <c r="P11" s="100"/>
      <c r="Q11" s="102"/>
      <c r="R11" s="102"/>
    </row>
    <row r="12" spans="2:18">
      <c r="B12" s="144" t="s">
        <v>156</v>
      </c>
      <c r="C12" s="109" t="s">
        <v>300</v>
      </c>
      <c r="D12" s="109" t="s">
        <v>300</v>
      </c>
      <c r="E12" s="109" t="s">
        <v>301</v>
      </c>
      <c r="F12" s="102"/>
      <c r="G12" s="54"/>
      <c r="H12" s="102"/>
      <c r="I12" s="102"/>
      <c r="J12" s="54"/>
      <c r="K12" s="102"/>
      <c r="L12" s="102"/>
      <c r="M12" s="54"/>
      <c r="N12" s="102"/>
      <c r="O12" s="102"/>
      <c r="P12" s="100"/>
      <c r="Q12" s="102"/>
      <c r="R12" s="102"/>
    </row>
    <row r="13" spans="2:18">
      <c r="B13" s="144" t="s">
        <v>226</v>
      </c>
      <c r="C13" s="109" t="s">
        <v>300</v>
      </c>
      <c r="D13" s="109" t="s">
        <v>300</v>
      </c>
      <c r="E13" s="109" t="s">
        <v>301</v>
      </c>
      <c r="F13" s="102"/>
      <c r="G13" s="54"/>
      <c r="H13" s="102"/>
      <c r="I13" s="102"/>
      <c r="J13" s="54"/>
      <c r="K13" s="102"/>
      <c r="L13" s="102"/>
      <c r="M13" s="54"/>
      <c r="N13" s="102"/>
      <c r="O13" s="102"/>
      <c r="P13" s="100"/>
      <c r="Q13" s="102"/>
      <c r="R13" s="102"/>
    </row>
    <row r="14" spans="2:18">
      <c r="B14" s="144" t="s">
        <v>158</v>
      </c>
      <c r="C14" s="109" t="s">
        <v>300</v>
      </c>
      <c r="D14" s="109" t="s">
        <v>300</v>
      </c>
      <c r="E14" s="109" t="s">
        <v>301</v>
      </c>
      <c r="F14" s="102"/>
      <c r="G14" s="54"/>
      <c r="H14" s="102"/>
      <c r="I14" s="102"/>
      <c r="J14" s="54"/>
      <c r="K14" s="102"/>
      <c r="L14" s="102"/>
      <c r="M14" s="54"/>
      <c r="N14" s="102"/>
      <c r="O14" s="102"/>
      <c r="P14" s="100"/>
      <c r="Q14" s="102"/>
      <c r="R14" s="102"/>
    </row>
    <row r="15" spans="2:18">
      <c r="B15" s="144" t="s">
        <v>159</v>
      </c>
      <c r="C15" s="109" t="s">
        <v>300</v>
      </c>
      <c r="D15" s="109" t="s">
        <v>300</v>
      </c>
      <c r="E15" s="109" t="s">
        <v>301</v>
      </c>
      <c r="F15" s="102"/>
      <c r="G15" s="54"/>
      <c r="H15" s="102"/>
      <c r="I15" s="102"/>
      <c r="J15" s="54"/>
      <c r="K15" s="102"/>
      <c r="L15" s="102"/>
      <c r="M15" s="54"/>
      <c r="N15" s="102"/>
      <c r="O15" s="102"/>
      <c r="P15" s="100"/>
      <c r="Q15" s="102"/>
      <c r="R15" s="102"/>
    </row>
    <row r="16" spans="2:18">
      <c r="B16" s="144" t="s">
        <v>160</v>
      </c>
      <c r="C16" s="109" t="s">
        <v>300</v>
      </c>
      <c r="D16" s="109" t="s">
        <v>300</v>
      </c>
      <c r="E16" s="109" t="s">
        <v>301</v>
      </c>
      <c r="F16" s="102"/>
      <c r="G16" s="54"/>
      <c r="H16" s="102"/>
      <c r="I16" s="102"/>
      <c r="J16" s="54"/>
      <c r="K16" s="102"/>
      <c r="L16" s="102"/>
      <c r="M16" s="54"/>
      <c r="N16" s="102"/>
      <c r="O16" s="102"/>
      <c r="P16" s="100"/>
      <c r="Q16" s="102"/>
      <c r="R16" s="102"/>
    </row>
    <row r="17" spans="2:18">
      <c r="B17" s="144" t="s">
        <v>944</v>
      </c>
      <c r="C17" s="109" t="s">
        <v>300</v>
      </c>
      <c r="D17" s="109" t="s">
        <v>300</v>
      </c>
      <c r="E17" s="109" t="s">
        <v>300</v>
      </c>
      <c r="F17" s="102"/>
      <c r="G17" s="54"/>
      <c r="H17" s="102"/>
      <c r="I17" s="102"/>
      <c r="J17" s="54"/>
      <c r="K17" s="102"/>
      <c r="L17" s="102"/>
      <c r="M17" s="54"/>
      <c r="N17" s="102"/>
      <c r="O17" s="102"/>
      <c r="P17" s="100"/>
      <c r="Q17" s="102"/>
      <c r="R17" s="102"/>
    </row>
    <row r="18" spans="2:18">
      <c r="B18" s="144" t="s">
        <v>372</v>
      </c>
      <c r="C18" s="109" t="s">
        <v>300</v>
      </c>
      <c r="D18" s="109" t="s">
        <v>300</v>
      </c>
      <c r="E18" s="109" t="s">
        <v>300</v>
      </c>
      <c r="F18" s="102"/>
      <c r="G18" s="54"/>
      <c r="H18" s="102"/>
      <c r="I18" s="102"/>
      <c r="J18" s="54"/>
      <c r="K18" s="102"/>
      <c r="L18" s="102"/>
      <c r="M18" s="54"/>
      <c r="N18" s="102"/>
      <c r="O18" s="102"/>
      <c r="P18" s="100"/>
      <c r="Q18" s="102"/>
      <c r="R18" s="102"/>
    </row>
    <row r="19" spans="2:18">
      <c r="B19" s="144" t="s">
        <v>163</v>
      </c>
      <c r="C19" s="109" t="s">
        <v>300</v>
      </c>
      <c r="D19" s="109" t="s">
        <v>300</v>
      </c>
      <c r="E19" s="109" t="s">
        <v>300</v>
      </c>
      <c r="F19" s="102"/>
      <c r="G19" s="54"/>
      <c r="H19" s="102"/>
      <c r="I19" s="102"/>
      <c r="J19" s="54"/>
      <c r="K19" s="102"/>
      <c r="L19" s="102"/>
      <c r="M19" s="54"/>
      <c r="N19" s="102"/>
      <c r="O19" s="102"/>
      <c r="P19" s="100"/>
      <c r="Q19" s="102"/>
      <c r="R19" s="102"/>
    </row>
    <row r="20" spans="2:18">
      <c r="B20" s="144" t="s">
        <v>164</v>
      </c>
      <c r="C20" s="109" t="s">
        <v>300</v>
      </c>
      <c r="D20" s="109" t="s">
        <v>300</v>
      </c>
      <c r="E20" s="109" t="s">
        <v>300</v>
      </c>
      <c r="F20" s="102"/>
      <c r="G20" s="54"/>
      <c r="H20" s="102"/>
      <c r="I20" s="102"/>
      <c r="J20" s="54"/>
      <c r="K20" s="102"/>
      <c r="L20" s="102"/>
      <c r="M20" s="54"/>
      <c r="N20" s="102"/>
      <c r="O20" s="102"/>
      <c r="P20" s="100"/>
      <c r="Q20" s="102"/>
      <c r="R20" s="102"/>
    </row>
    <row r="21" spans="2:18" ht="14.25">
      <c r="B21" s="217" t="s">
        <v>937</v>
      </c>
      <c r="C21" s="109" t="s">
        <v>300</v>
      </c>
      <c r="D21" s="109" t="s">
        <v>300</v>
      </c>
      <c r="E21" s="109" t="s">
        <v>300</v>
      </c>
      <c r="F21" s="102"/>
      <c r="G21" s="54"/>
      <c r="H21" s="102"/>
      <c r="I21" s="102"/>
      <c r="J21" s="54"/>
      <c r="K21" s="102"/>
      <c r="L21" s="102"/>
      <c r="M21" s="54"/>
      <c r="N21" s="102"/>
      <c r="O21" s="102"/>
      <c r="P21" s="100"/>
      <c r="Q21" s="102"/>
      <c r="R21" s="102"/>
    </row>
    <row r="22" spans="2:18">
      <c r="B22" s="144" t="s">
        <v>165</v>
      </c>
      <c r="C22" s="109" t="s">
        <v>300</v>
      </c>
      <c r="D22" s="109" t="s">
        <v>300</v>
      </c>
      <c r="E22" s="109" t="s">
        <v>300</v>
      </c>
      <c r="F22" s="102"/>
      <c r="G22" s="54"/>
      <c r="H22" s="102"/>
      <c r="I22" s="102"/>
      <c r="J22" s="54"/>
      <c r="K22" s="102"/>
      <c r="L22" s="102"/>
      <c r="M22" s="54"/>
      <c r="N22" s="102"/>
      <c r="O22" s="102"/>
      <c r="P22" s="100"/>
      <c r="Q22" s="102"/>
      <c r="R22" s="102"/>
    </row>
    <row r="23" spans="2:18">
      <c r="B23" s="144" t="s">
        <v>166</v>
      </c>
      <c r="C23" s="109" t="s">
        <v>300</v>
      </c>
      <c r="D23" s="109" t="s">
        <v>300</v>
      </c>
      <c r="E23" s="109" t="s">
        <v>300</v>
      </c>
      <c r="F23" s="102"/>
      <c r="G23" s="54"/>
      <c r="H23" s="102"/>
      <c r="I23" s="102"/>
      <c r="J23" s="54"/>
      <c r="K23" s="102"/>
      <c r="L23" s="102"/>
      <c r="M23" s="54"/>
      <c r="N23" s="102"/>
      <c r="O23" s="102"/>
      <c r="P23" s="100"/>
      <c r="Q23" s="102"/>
      <c r="R23" s="102"/>
    </row>
    <row r="24" spans="2:18">
      <c r="B24" s="144" t="s">
        <v>167</v>
      </c>
      <c r="C24" s="109" t="s">
        <v>300</v>
      </c>
      <c r="D24" s="109" t="s">
        <v>300</v>
      </c>
      <c r="E24" s="109" t="s">
        <v>300</v>
      </c>
      <c r="F24" s="102"/>
      <c r="G24" s="54"/>
      <c r="H24" s="102"/>
      <c r="I24" s="102"/>
      <c r="J24" s="54"/>
      <c r="K24" s="102"/>
      <c r="L24" s="102"/>
      <c r="M24" s="54"/>
      <c r="N24" s="102"/>
      <c r="O24" s="102"/>
      <c r="P24" s="100"/>
      <c r="Q24" s="102"/>
      <c r="R24" s="102"/>
    </row>
    <row r="25" spans="2:18">
      <c r="B25" s="144" t="s">
        <v>168</v>
      </c>
      <c r="C25" s="109" t="s">
        <v>300</v>
      </c>
      <c r="D25" s="109" t="s">
        <v>300</v>
      </c>
      <c r="E25" s="109" t="s">
        <v>301</v>
      </c>
      <c r="F25" s="102"/>
      <c r="G25" s="54"/>
      <c r="H25" s="102"/>
      <c r="I25" s="102"/>
      <c r="J25" s="54"/>
      <c r="K25" s="102"/>
      <c r="L25" s="102"/>
      <c r="M25" s="54"/>
      <c r="N25" s="102"/>
      <c r="O25" s="102"/>
      <c r="P25" s="100"/>
      <c r="Q25" s="102"/>
      <c r="R25" s="102"/>
    </row>
    <row r="26" spans="2:18">
      <c r="B26" s="144" t="s">
        <v>169</v>
      </c>
      <c r="C26" s="109" t="s">
        <v>300</v>
      </c>
      <c r="D26" s="109" t="s">
        <v>300</v>
      </c>
      <c r="E26" s="109" t="s">
        <v>301</v>
      </c>
      <c r="F26" s="102"/>
      <c r="G26" s="54"/>
      <c r="H26" s="102"/>
      <c r="I26" s="102"/>
      <c r="J26" s="54"/>
      <c r="K26" s="102"/>
      <c r="L26" s="102"/>
      <c r="M26" s="54"/>
      <c r="N26" s="102"/>
      <c r="O26" s="102"/>
      <c r="P26" s="100"/>
      <c r="Q26" s="102"/>
      <c r="R26" s="102"/>
    </row>
    <row r="27" spans="2:18">
      <c r="B27" s="144" t="s">
        <v>170</v>
      </c>
      <c r="C27" s="109" t="s">
        <v>300</v>
      </c>
      <c r="D27" s="109" t="s">
        <v>300</v>
      </c>
      <c r="E27" s="109" t="s">
        <v>301</v>
      </c>
      <c r="F27" s="102"/>
      <c r="G27" s="54"/>
      <c r="H27" s="102"/>
      <c r="I27" s="102"/>
      <c r="J27" s="54"/>
      <c r="K27" s="102"/>
      <c r="L27" s="102"/>
      <c r="M27" s="54"/>
      <c r="N27" s="102"/>
      <c r="O27" s="102"/>
      <c r="P27" s="100"/>
      <c r="Q27" s="102"/>
      <c r="R27" s="102"/>
    </row>
    <row r="28" spans="2:18">
      <c r="B28" s="144" t="s">
        <v>171</v>
      </c>
      <c r="C28" s="109" t="s">
        <v>300</v>
      </c>
      <c r="D28" s="109" t="s">
        <v>300</v>
      </c>
      <c r="E28" s="109" t="s">
        <v>301</v>
      </c>
      <c r="F28" s="102"/>
      <c r="G28" s="54"/>
      <c r="H28" s="102"/>
      <c r="I28" s="102"/>
      <c r="J28" s="54"/>
      <c r="K28" s="102"/>
      <c r="L28" s="102"/>
      <c r="M28" s="54"/>
      <c r="N28" s="102"/>
      <c r="O28" s="102"/>
      <c r="P28" s="100"/>
      <c r="Q28" s="102"/>
      <c r="R28" s="102"/>
    </row>
    <row r="29" spans="2:18">
      <c r="B29" s="144" t="s">
        <v>321</v>
      </c>
      <c r="C29" s="109" t="s">
        <v>300</v>
      </c>
      <c r="D29" s="109" t="s">
        <v>300</v>
      </c>
      <c r="E29" s="109" t="s">
        <v>301</v>
      </c>
      <c r="F29" s="102"/>
      <c r="G29" s="54"/>
      <c r="H29" s="102"/>
      <c r="I29" s="102"/>
      <c r="J29" s="54"/>
      <c r="K29" s="102"/>
      <c r="L29" s="102"/>
      <c r="M29" s="54"/>
      <c r="N29" s="102"/>
      <c r="O29" s="102"/>
      <c r="P29" s="100"/>
      <c r="Q29" s="102"/>
      <c r="R29" s="102"/>
    </row>
    <row r="30" spans="2:18">
      <c r="B30" s="144" t="s">
        <v>172</v>
      </c>
      <c r="C30" s="109" t="s">
        <v>300</v>
      </c>
      <c r="D30" s="109" t="s">
        <v>300</v>
      </c>
      <c r="E30" s="109" t="s">
        <v>301</v>
      </c>
      <c r="F30" s="102"/>
      <c r="G30" s="54"/>
      <c r="H30" s="102"/>
      <c r="I30" s="102"/>
      <c r="J30" s="54"/>
      <c r="K30" s="102"/>
      <c r="L30" s="102"/>
      <c r="M30" s="54"/>
      <c r="N30" s="102"/>
      <c r="O30" s="102"/>
      <c r="P30" s="100"/>
      <c r="Q30" s="102"/>
      <c r="R30" s="102"/>
    </row>
    <row r="31" spans="2:18">
      <c r="B31" s="144" t="s">
        <v>173</v>
      </c>
      <c r="C31" s="109" t="s">
        <v>300</v>
      </c>
      <c r="D31" s="109" t="s">
        <v>300</v>
      </c>
      <c r="E31" s="109" t="s">
        <v>301</v>
      </c>
      <c r="F31" s="102"/>
      <c r="G31" s="54"/>
      <c r="H31" s="102"/>
      <c r="I31" s="102"/>
      <c r="J31" s="54"/>
      <c r="K31" s="102"/>
      <c r="L31" s="102"/>
      <c r="M31" s="54"/>
      <c r="N31" s="102"/>
      <c r="O31" s="102"/>
      <c r="P31" s="100"/>
      <c r="Q31" s="102"/>
      <c r="R31" s="102"/>
    </row>
    <row r="32" spans="2:18">
      <c r="B32" s="144" t="s">
        <v>174</v>
      </c>
      <c r="C32" s="109" t="s">
        <v>300</v>
      </c>
      <c r="D32" s="109" t="s">
        <v>300</v>
      </c>
      <c r="E32" s="109" t="s">
        <v>301</v>
      </c>
      <c r="F32" s="102"/>
      <c r="G32" s="54"/>
      <c r="H32" s="102"/>
      <c r="I32" s="102"/>
      <c r="J32" s="54"/>
      <c r="K32" s="102"/>
      <c r="L32" s="102"/>
      <c r="M32" s="54"/>
      <c r="N32" s="102"/>
      <c r="O32" s="102"/>
      <c r="P32" s="100"/>
      <c r="Q32" s="102"/>
      <c r="R32" s="102"/>
    </row>
    <row r="33" spans="2:18">
      <c r="B33" s="144" t="s">
        <v>175</v>
      </c>
      <c r="C33" s="109" t="s">
        <v>300</v>
      </c>
      <c r="D33" s="109" t="s">
        <v>300</v>
      </c>
      <c r="E33" s="109" t="s">
        <v>301</v>
      </c>
      <c r="F33" s="102"/>
      <c r="G33" s="54"/>
      <c r="H33" s="102"/>
      <c r="I33" s="102"/>
      <c r="J33" s="54"/>
      <c r="K33" s="102"/>
      <c r="L33" s="102"/>
      <c r="M33" s="54"/>
      <c r="N33" s="102"/>
      <c r="O33" s="102"/>
      <c r="P33" s="100"/>
      <c r="Q33" s="102"/>
      <c r="R33" s="102"/>
    </row>
    <row r="34" spans="2:18">
      <c r="B34" s="144" t="s">
        <v>176</v>
      </c>
      <c r="C34" s="109" t="s">
        <v>300</v>
      </c>
      <c r="D34" s="109" t="s">
        <v>300</v>
      </c>
      <c r="E34" s="109" t="s">
        <v>301</v>
      </c>
      <c r="F34" s="102"/>
      <c r="G34" s="54"/>
      <c r="H34" s="102"/>
      <c r="I34" s="102"/>
      <c r="J34" s="54"/>
      <c r="K34" s="102"/>
      <c r="L34" s="102"/>
      <c r="M34" s="54"/>
      <c r="N34" s="102"/>
      <c r="O34" s="102"/>
      <c r="P34" s="100"/>
      <c r="Q34" s="102"/>
      <c r="R34" s="102"/>
    </row>
    <row r="35" spans="2:18">
      <c r="B35" s="144" t="s">
        <v>177</v>
      </c>
      <c r="C35" s="109" t="s">
        <v>300</v>
      </c>
      <c r="D35" s="109" t="s">
        <v>300</v>
      </c>
      <c r="E35" s="109" t="s">
        <v>301</v>
      </c>
      <c r="F35" s="102"/>
      <c r="G35" s="54"/>
      <c r="H35" s="102"/>
      <c r="I35" s="102"/>
      <c r="J35" s="54"/>
      <c r="K35" s="102"/>
      <c r="L35" s="102"/>
      <c r="M35" s="54"/>
      <c r="N35" s="102"/>
      <c r="O35" s="102"/>
      <c r="P35" s="100"/>
      <c r="Q35" s="102"/>
      <c r="R35" s="102"/>
    </row>
    <row r="36" spans="2:18">
      <c r="B36" s="144" t="s">
        <v>178</v>
      </c>
      <c r="C36" s="109" t="s">
        <v>300</v>
      </c>
      <c r="D36" s="109" t="s">
        <v>300</v>
      </c>
      <c r="E36" s="109" t="s">
        <v>301</v>
      </c>
      <c r="F36" s="102"/>
      <c r="G36" s="54"/>
      <c r="H36" s="102"/>
      <c r="I36" s="102"/>
      <c r="J36" s="54"/>
      <c r="K36" s="102"/>
      <c r="L36" s="102"/>
      <c r="M36" s="54"/>
      <c r="N36" s="102"/>
      <c r="O36" s="102"/>
      <c r="P36" s="100"/>
      <c r="Q36" s="102"/>
      <c r="R36" s="102"/>
    </row>
    <row r="37" spans="2:18">
      <c r="B37" s="144" t="s">
        <v>941</v>
      </c>
      <c r="C37" s="109" t="s">
        <v>300</v>
      </c>
      <c r="D37" s="109" t="s">
        <v>300</v>
      </c>
      <c r="E37" s="109" t="s">
        <v>301</v>
      </c>
      <c r="F37" s="102"/>
      <c r="G37" s="54"/>
      <c r="H37" s="102"/>
      <c r="I37" s="102"/>
      <c r="J37" s="54"/>
      <c r="K37" s="102"/>
      <c r="L37" s="102"/>
      <c r="M37" s="54"/>
      <c r="N37" s="102"/>
      <c r="O37" s="102"/>
      <c r="P37" s="100"/>
      <c r="Q37" s="102"/>
      <c r="R37" s="102"/>
    </row>
    <row r="38" spans="2:18">
      <c r="B38" s="144" t="s">
        <v>942</v>
      </c>
      <c r="C38" s="109" t="s">
        <v>300</v>
      </c>
      <c r="D38" s="109" t="s">
        <v>300</v>
      </c>
      <c r="E38" s="109" t="s">
        <v>301</v>
      </c>
      <c r="F38" s="102"/>
      <c r="G38" s="54"/>
      <c r="H38" s="102"/>
      <c r="I38" s="102"/>
      <c r="J38" s="54"/>
      <c r="K38" s="102"/>
      <c r="L38" s="102"/>
      <c r="M38" s="54"/>
      <c r="N38" s="102"/>
      <c r="O38" s="102"/>
      <c r="P38" s="100"/>
      <c r="Q38" s="102"/>
      <c r="R38" s="102"/>
    </row>
    <row r="39" spans="2:18">
      <c r="B39" s="144" t="s">
        <v>181</v>
      </c>
      <c r="C39" s="109" t="s">
        <v>300</v>
      </c>
      <c r="D39" s="109" t="s">
        <v>300</v>
      </c>
      <c r="E39" s="109" t="s">
        <v>301</v>
      </c>
      <c r="F39" s="102"/>
      <c r="G39" s="54"/>
      <c r="H39" s="102"/>
      <c r="I39" s="102"/>
      <c r="J39" s="54"/>
      <c r="K39" s="102"/>
      <c r="L39" s="102"/>
      <c r="M39" s="54"/>
      <c r="N39" s="102"/>
      <c r="O39" s="102"/>
      <c r="P39" s="100"/>
      <c r="Q39" s="102"/>
      <c r="R39" s="102"/>
    </row>
    <row r="40" spans="2:18">
      <c r="B40" s="144" t="s">
        <v>373</v>
      </c>
      <c r="C40" s="109" t="s">
        <v>300</v>
      </c>
      <c r="D40" s="109" t="s">
        <v>300</v>
      </c>
      <c r="E40" s="109" t="s">
        <v>301</v>
      </c>
      <c r="F40" s="102"/>
      <c r="G40" s="54"/>
      <c r="H40" s="102"/>
      <c r="I40" s="102"/>
      <c r="J40" s="54"/>
      <c r="K40" s="102"/>
      <c r="L40" s="102"/>
      <c r="M40" s="54"/>
      <c r="N40" s="102"/>
      <c r="O40" s="102"/>
      <c r="P40" s="100"/>
      <c r="Q40" s="102"/>
      <c r="R40" s="102"/>
    </row>
    <row r="41" spans="2:18">
      <c r="B41" s="144" t="s">
        <v>183</v>
      </c>
      <c r="C41" s="109" t="s">
        <v>300</v>
      </c>
      <c r="D41" s="109" t="s">
        <v>300</v>
      </c>
      <c r="E41" s="109" t="s">
        <v>301</v>
      </c>
      <c r="F41" s="102"/>
      <c r="G41" s="54"/>
      <c r="H41" s="102"/>
      <c r="I41" s="102"/>
      <c r="J41" s="54"/>
      <c r="K41" s="102"/>
      <c r="L41" s="102"/>
      <c r="M41" s="54"/>
      <c r="N41" s="102"/>
      <c r="O41" s="102"/>
      <c r="P41" s="100"/>
      <c r="Q41" s="102"/>
      <c r="R41" s="102"/>
    </row>
    <row r="42" spans="2:18">
      <c r="B42" s="144" t="s">
        <v>374</v>
      </c>
      <c r="C42" s="109" t="s">
        <v>300</v>
      </c>
      <c r="D42" s="109" t="s">
        <v>300</v>
      </c>
      <c r="E42" s="109" t="s">
        <v>301</v>
      </c>
      <c r="F42" s="102"/>
      <c r="G42" s="54"/>
      <c r="H42" s="102"/>
      <c r="I42" s="102"/>
      <c r="J42" s="54"/>
      <c r="K42" s="102"/>
      <c r="L42" s="102"/>
      <c r="M42" s="54"/>
      <c r="N42" s="102"/>
      <c r="O42" s="102"/>
      <c r="P42" s="100"/>
      <c r="Q42" s="102"/>
      <c r="R42" s="102"/>
    </row>
    <row r="43" spans="2:18">
      <c r="B43" s="144" t="s">
        <v>938</v>
      </c>
      <c r="C43" s="109" t="s">
        <v>301</v>
      </c>
      <c r="D43" s="109" t="s">
        <v>301</v>
      </c>
      <c r="E43" s="109" t="s">
        <v>300</v>
      </c>
      <c r="F43" s="102"/>
      <c r="G43" s="54"/>
      <c r="H43" s="102"/>
      <c r="I43" s="102"/>
      <c r="J43" s="54"/>
      <c r="K43" s="102"/>
      <c r="L43" s="102"/>
      <c r="M43" s="54"/>
      <c r="N43" s="102"/>
      <c r="O43" s="102"/>
      <c r="P43" s="100"/>
      <c r="Q43" s="102"/>
      <c r="R43" s="102"/>
    </row>
    <row r="44" spans="2:18">
      <c r="B44" s="144" t="s">
        <v>186</v>
      </c>
      <c r="C44" s="109" t="s">
        <v>301</v>
      </c>
      <c r="D44" s="109" t="s">
        <v>301</v>
      </c>
      <c r="E44" s="109" t="s">
        <v>300</v>
      </c>
      <c r="F44" s="102"/>
      <c r="G44" s="54"/>
      <c r="H44" s="102"/>
      <c r="I44" s="102"/>
      <c r="J44" s="54"/>
      <c r="K44" s="102"/>
      <c r="L44" s="102"/>
      <c r="M44" s="54"/>
      <c r="N44" s="102"/>
      <c r="O44" s="102"/>
      <c r="P44" s="100"/>
      <c r="Q44" s="102"/>
      <c r="R44" s="102"/>
    </row>
    <row r="45" spans="2:18">
      <c r="B45" s="144" t="s">
        <v>187</v>
      </c>
      <c r="C45" s="109" t="s">
        <v>301</v>
      </c>
      <c r="D45" s="109" t="s">
        <v>301</v>
      </c>
      <c r="E45" s="109" t="s">
        <v>300</v>
      </c>
      <c r="F45" s="102"/>
      <c r="G45" s="54"/>
      <c r="H45" s="102"/>
      <c r="I45" s="102"/>
      <c r="J45" s="54"/>
      <c r="K45" s="102"/>
      <c r="L45" s="102"/>
      <c r="M45" s="54"/>
      <c r="N45" s="102"/>
      <c r="O45" s="102"/>
      <c r="P45" s="100"/>
      <c r="Q45" s="102"/>
      <c r="R45" s="102"/>
    </row>
    <row r="46" spans="2:18">
      <c r="B46" s="144" t="s">
        <v>939</v>
      </c>
      <c r="C46" s="109" t="s">
        <v>300</v>
      </c>
      <c r="D46" s="109" t="s">
        <v>300</v>
      </c>
      <c r="E46" s="109" t="s">
        <v>300</v>
      </c>
      <c r="F46" s="102"/>
      <c r="G46" s="54"/>
      <c r="H46" s="102"/>
      <c r="I46" s="102"/>
      <c r="J46" s="54"/>
      <c r="K46" s="102"/>
      <c r="L46" s="102"/>
      <c r="M46" s="54"/>
      <c r="N46" s="102"/>
      <c r="O46" s="102"/>
      <c r="P46" s="100"/>
      <c r="Q46" s="102"/>
      <c r="R46" s="102"/>
    </row>
    <row r="47" spans="2:18">
      <c r="B47" s="144" t="s">
        <v>940</v>
      </c>
      <c r="C47" s="109" t="s">
        <v>300</v>
      </c>
      <c r="D47" s="109" t="s">
        <v>300</v>
      </c>
      <c r="E47" s="109" t="s">
        <v>300</v>
      </c>
      <c r="F47" s="102"/>
      <c r="G47" s="54"/>
      <c r="H47" s="102"/>
      <c r="I47" s="102"/>
      <c r="J47" s="54"/>
      <c r="K47" s="102"/>
      <c r="L47" s="102"/>
      <c r="M47" s="54"/>
      <c r="N47" s="102"/>
      <c r="O47" s="102"/>
      <c r="P47" s="100"/>
      <c r="Q47" s="102"/>
      <c r="R47" s="102"/>
    </row>
  </sheetData>
  <mergeCells count="7">
    <mergeCell ref="P4:R4"/>
    <mergeCell ref="B4:B5"/>
    <mergeCell ref="C4:E4"/>
    <mergeCell ref="F4:H4"/>
    <mergeCell ref="I4:K4"/>
    <mergeCell ref="L4:N4"/>
    <mergeCell ref="O4:O5"/>
  </mergeCells>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4:R44"/>
  <sheetViews>
    <sheetView workbookViewId="0">
      <pane xSplit="1" ySplit="5" topLeftCell="B6" activePane="bottomRight" state="frozen"/>
      <selection pane="topRight" activeCell="B1" sqref="B1"/>
      <selection pane="bottomLeft" activeCell="A6" sqref="A6"/>
      <selection pane="bottomRight" activeCell="I30" sqref="I30"/>
    </sheetView>
  </sheetViews>
  <sheetFormatPr defaultRowHeight="13.5"/>
  <cols>
    <col min="1" max="1" width="2.25" customWidth="1"/>
    <col min="2" max="2" width="30.75" bestFit="1" customWidth="1"/>
    <col min="3" max="3" width="16.875" bestFit="1" customWidth="1"/>
    <col min="4" max="4" width="17.125" customWidth="1"/>
    <col min="5" max="5" width="19.375" customWidth="1"/>
    <col min="7" max="7" width="10.5" bestFit="1" customWidth="1"/>
    <col min="10" max="10" width="15" customWidth="1"/>
    <col min="13" max="13" width="12.25" customWidth="1"/>
  </cols>
  <sheetData>
    <row r="4" spans="2:18">
      <c r="B4" s="281" t="s">
        <v>296</v>
      </c>
      <c r="C4" s="281" t="s">
        <v>313</v>
      </c>
      <c r="D4" s="281"/>
      <c r="E4" s="281"/>
      <c r="F4" s="264" t="s">
        <v>91</v>
      </c>
      <c r="G4" s="264"/>
      <c r="H4" s="264"/>
      <c r="I4" s="264" t="s">
        <v>84</v>
      </c>
      <c r="J4" s="264"/>
      <c r="K4" s="264"/>
      <c r="L4" s="264" t="s">
        <v>85</v>
      </c>
      <c r="M4" s="264"/>
      <c r="N4" s="264"/>
      <c r="O4" s="283" t="s">
        <v>78</v>
      </c>
      <c r="P4" s="267" t="s">
        <v>14</v>
      </c>
      <c r="Q4" s="267"/>
      <c r="R4" s="267"/>
    </row>
    <row r="5" spans="2:18">
      <c r="B5" s="281"/>
      <c r="C5" s="281"/>
      <c r="D5" s="281"/>
      <c r="E5" s="281"/>
      <c r="F5" s="274" t="s">
        <v>8</v>
      </c>
      <c r="G5" s="274" t="s">
        <v>9</v>
      </c>
      <c r="H5" s="274" t="s">
        <v>10</v>
      </c>
      <c r="I5" s="274" t="s">
        <v>8</v>
      </c>
      <c r="J5" s="274" t="s">
        <v>9</v>
      </c>
      <c r="K5" s="274" t="s">
        <v>10</v>
      </c>
      <c r="L5" s="274" t="s">
        <v>8</v>
      </c>
      <c r="M5" s="274" t="s">
        <v>9</v>
      </c>
      <c r="N5" s="274" t="s">
        <v>10</v>
      </c>
      <c r="O5" s="264"/>
      <c r="P5" s="154"/>
      <c r="Q5" s="154"/>
      <c r="R5" s="154"/>
    </row>
    <row r="6" spans="2:18" ht="54">
      <c r="B6" s="187"/>
      <c r="C6" s="147" t="s">
        <v>927</v>
      </c>
      <c r="D6" s="147" t="s">
        <v>925</v>
      </c>
      <c r="E6" s="147" t="s">
        <v>926</v>
      </c>
      <c r="F6" s="266"/>
      <c r="G6" s="266"/>
      <c r="H6" s="266"/>
      <c r="I6" s="266"/>
      <c r="J6" s="266"/>
      <c r="K6" s="266"/>
      <c r="L6" s="266"/>
      <c r="M6" s="266"/>
      <c r="N6" s="266"/>
      <c r="O6" s="185"/>
      <c r="P6" s="186"/>
      <c r="Q6" s="186"/>
      <c r="R6" s="186"/>
    </row>
    <row r="7" spans="2:18" ht="12.95" customHeight="1">
      <c r="B7" s="109" t="s">
        <v>316</v>
      </c>
      <c r="C7" s="284"/>
      <c r="D7" s="194"/>
      <c r="E7" s="194"/>
      <c r="F7" s="102"/>
      <c r="G7" s="54"/>
      <c r="H7" s="102"/>
      <c r="I7" s="102"/>
      <c r="J7" s="54"/>
      <c r="K7" s="102"/>
      <c r="L7" s="102"/>
      <c r="M7" s="54"/>
      <c r="N7" s="102"/>
      <c r="O7" s="102"/>
      <c r="P7" s="100"/>
      <c r="Q7" s="102"/>
      <c r="R7" s="102"/>
    </row>
    <row r="8" spans="2:18">
      <c r="B8" s="109" t="s">
        <v>162</v>
      </c>
      <c r="C8" s="284"/>
      <c r="D8" s="195"/>
      <c r="E8" s="195"/>
      <c r="F8" s="102"/>
      <c r="G8" s="54"/>
      <c r="H8" s="102"/>
      <c r="I8" s="102"/>
      <c r="J8" s="54"/>
      <c r="K8" s="102"/>
      <c r="L8" s="102"/>
      <c r="M8" s="54"/>
      <c r="N8" s="102"/>
      <c r="O8" s="102"/>
      <c r="P8" s="100"/>
      <c r="Q8" s="102"/>
      <c r="R8" s="102"/>
    </row>
    <row r="9" spans="2:18">
      <c r="B9" s="109" t="s">
        <v>161</v>
      </c>
      <c r="C9" s="284"/>
      <c r="D9" s="195"/>
      <c r="E9" s="195"/>
      <c r="F9" s="102"/>
      <c r="G9" s="54"/>
      <c r="H9" s="102"/>
      <c r="I9" s="102"/>
      <c r="J9" s="54"/>
      <c r="K9" s="102"/>
      <c r="L9" s="102"/>
      <c r="M9" s="54"/>
      <c r="N9" s="102"/>
      <c r="O9" s="102"/>
      <c r="P9" s="100"/>
      <c r="Q9" s="102"/>
      <c r="R9" s="102"/>
    </row>
    <row r="10" spans="2:18">
      <c r="B10" s="109" t="s">
        <v>163</v>
      </c>
      <c r="C10" s="284"/>
      <c r="D10" s="195"/>
      <c r="E10" s="195"/>
      <c r="F10" s="102"/>
      <c r="G10" s="54"/>
      <c r="H10" s="102"/>
      <c r="I10" s="102"/>
      <c r="J10" s="54"/>
      <c r="K10" s="102"/>
      <c r="L10" s="102"/>
      <c r="M10" s="54"/>
      <c r="N10" s="102"/>
      <c r="O10" s="102"/>
      <c r="P10" s="100"/>
      <c r="Q10" s="102"/>
      <c r="R10" s="102"/>
    </row>
    <row r="11" spans="2:18">
      <c r="B11" s="109" t="s">
        <v>164</v>
      </c>
      <c r="C11" s="284"/>
      <c r="D11" s="195"/>
      <c r="E11" s="195"/>
      <c r="F11" s="102"/>
      <c r="G11" s="54"/>
      <c r="H11" s="102"/>
      <c r="I11" s="102"/>
      <c r="J11" s="54"/>
      <c r="K11" s="102"/>
      <c r="L11" s="102"/>
      <c r="M11" s="54"/>
      <c r="N11" s="102"/>
      <c r="O11" s="102"/>
      <c r="P11" s="100"/>
      <c r="Q11" s="102"/>
      <c r="R11" s="102"/>
    </row>
    <row r="12" spans="2:18">
      <c r="B12" s="109" t="s">
        <v>165</v>
      </c>
      <c r="C12" s="284"/>
      <c r="D12" s="195"/>
      <c r="E12" s="195"/>
      <c r="F12" s="102"/>
      <c r="G12" s="54"/>
      <c r="H12" s="102"/>
      <c r="I12" s="102"/>
      <c r="J12" s="54"/>
      <c r="K12" s="102"/>
      <c r="L12" s="102"/>
      <c r="M12" s="54"/>
      <c r="N12" s="102"/>
      <c r="O12" s="102"/>
      <c r="P12" s="100"/>
      <c r="Q12" s="102"/>
      <c r="R12" s="102"/>
    </row>
    <row r="13" spans="2:18">
      <c r="B13" s="109" t="s">
        <v>152</v>
      </c>
      <c r="C13" s="284"/>
      <c r="D13" s="195"/>
      <c r="E13" s="195"/>
      <c r="F13" s="102"/>
      <c r="G13" s="54"/>
      <c r="H13" s="102"/>
      <c r="I13" s="102"/>
      <c r="J13" s="54"/>
      <c r="K13" s="102"/>
      <c r="L13" s="102"/>
      <c r="M13" s="54"/>
      <c r="N13" s="102"/>
      <c r="O13" s="102"/>
      <c r="P13" s="100"/>
      <c r="Q13" s="102"/>
      <c r="R13" s="102"/>
    </row>
    <row r="14" spans="2:18">
      <c r="B14" s="109" t="s">
        <v>317</v>
      </c>
      <c r="C14" s="284"/>
      <c r="D14" s="195"/>
      <c r="E14" s="195"/>
      <c r="F14" s="102"/>
      <c r="G14" s="54"/>
      <c r="H14" s="102"/>
      <c r="I14" s="102"/>
      <c r="J14" s="54"/>
      <c r="K14" s="102"/>
      <c r="L14" s="102"/>
      <c r="M14" s="54"/>
      <c r="N14" s="102"/>
      <c r="O14" s="102"/>
      <c r="P14" s="100"/>
      <c r="Q14" s="102"/>
      <c r="R14" s="102"/>
    </row>
    <row r="15" spans="2:18">
      <c r="B15" s="109" t="s">
        <v>153</v>
      </c>
      <c r="C15" s="284"/>
      <c r="D15" s="195"/>
      <c r="E15" s="195"/>
      <c r="F15" s="102"/>
      <c r="G15" s="54"/>
      <c r="H15" s="102"/>
      <c r="I15" s="102"/>
      <c r="J15" s="54"/>
      <c r="K15" s="102"/>
      <c r="L15" s="102"/>
      <c r="M15" s="54"/>
      <c r="N15" s="102"/>
      <c r="O15" s="102"/>
      <c r="P15" s="100"/>
      <c r="Q15" s="102"/>
      <c r="R15" s="102"/>
    </row>
    <row r="16" spans="2:18">
      <c r="B16" s="109" t="s">
        <v>154</v>
      </c>
      <c r="C16" s="284"/>
      <c r="D16" s="195"/>
      <c r="E16" s="195"/>
      <c r="F16" s="102"/>
      <c r="G16" s="54"/>
      <c r="H16" s="102"/>
      <c r="I16" s="102"/>
      <c r="J16" s="54"/>
      <c r="K16" s="102"/>
      <c r="L16" s="102"/>
      <c r="M16" s="54"/>
      <c r="N16" s="102"/>
      <c r="O16" s="102"/>
      <c r="P16" s="100"/>
      <c r="Q16" s="102"/>
      <c r="R16" s="102"/>
    </row>
    <row r="17" spans="2:18">
      <c r="B17" s="109" t="s">
        <v>318</v>
      </c>
      <c r="C17" s="284"/>
      <c r="D17" s="195"/>
      <c r="E17" s="195"/>
      <c r="F17" s="102"/>
      <c r="G17" s="54"/>
      <c r="H17" s="102"/>
      <c r="I17" s="102"/>
      <c r="J17" s="54"/>
      <c r="K17" s="102"/>
      <c r="L17" s="102"/>
      <c r="M17" s="54"/>
      <c r="N17" s="102"/>
      <c r="O17" s="102"/>
      <c r="P17" s="100"/>
      <c r="Q17" s="102"/>
      <c r="R17" s="102"/>
    </row>
    <row r="18" spans="2:18">
      <c r="B18" s="109" t="s">
        <v>155</v>
      </c>
      <c r="C18" s="284"/>
      <c r="D18" s="195"/>
      <c r="E18" s="195"/>
      <c r="F18" s="102"/>
      <c r="G18" s="54"/>
      <c r="H18" s="102"/>
      <c r="I18" s="102"/>
      <c r="J18" s="54"/>
      <c r="K18" s="102"/>
      <c r="L18" s="102"/>
      <c r="M18" s="54"/>
      <c r="N18" s="102"/>
      <c r="O18" s="102"/>
      <c r="P18" s="100"/>
      <c r="Q18" s="102"/>
      <c r="R18" s="102"/>
    </row>
    <row r="19" spans="2:18">
      <c r="B19" s="109" t="s">
        <v>319</v>
      </c>
      <c r="C19" s="284"/>
      <c r="D19" s="195"/>
      <c r="E19" s="195"/>
      <c r="F19" s="102"/>
      <c r="G19" s="54"/>
      <c r="H19" s="102"/>
      <c r="I19" s="102"/>
      <c r="J19" s="54"/>
      <c r="K19" s="102"/>
      <c r="L19" s="102"/>
      <c r="M19" s="54"/>
      <c r="N19" s="102"/>
      <c r="O19" s="102"/>
      <c r="P19" s="100"/>
      <c r="Q19" s="102"/>
      <c r="R19" s="102"/>
    </row>
    <row r="20" spans="2:18">
      <c r="B20" s="109" t="s">
        <v>320</v>
      </c>
      <c r="C20" s="284"/>
      <c r="D20" s="195"/>
      <c r="E20" s="195"/>
      <c r="F20" s="102"/>
      <c r="G20" s="54"/>
      <c r="H20" s="102"/>
      <c r="I20" s="102"/>
      <c r="J20" s="54"/>
      <c r="K20" s="102"/>
      <c r="L20" s="102"/>
      <c r="M20" s="54"/>
      <c r="N20" s="102"/>
      <c r="O20" s="102"/>
      <c r="P20" s="100"/>
      <c r="Q20" s="102"/>
      <c r="R20" s="102"/>
    </row>
    <row r="21" spans="2:18">
      <c r="B21" s="109" t="s">
        <v>157</v>
      </c>
      <c r="C21" s="284"/>
      <c r="D21" s="195"/>
      <c r="E21" s="195"/>
      <c r="F21" s="102"/>
      <c r="G21" s="54"/>
      <c r="H21" s="102"/>
      <c r="I21" s="102"/>
      <c r="J21" s="54"/>
      <c r="K21" s="102"/>
      <c r="L21" s="102"/>
      <c r="M21" s="54"/>
      <c r="N21" s="102"/>
      <c r="O21" s="102"/>
      <c r="P21" s="100"/>
      <c r="Q21" s="102"/>
      <c r="R21" s="102"/>
    </row>
    <row r="22" spans="2:18">
      <c r="B22" s="109" t="s">
        <v>168</v>
      </c>
      <c r="C22" s="284"/>
      <c r="D22" s="195"/>
      <c r="E22" s="195"/>
      <c r="F22" s="102"/>
      <c r="G22" s="54"/>
      <c r="H22" s="102"/>
      <c r="I22" s="102"/>
      <c r="J22" s="54"/>
      <c r="K22" s="102"/>
      <c r="L22" s="102"/>
      <c r="M22" s="54"/>
      <c r="N22" s="102"/>
      <c r="O22" s="102"/>
      <c r="P22" s="100"/>
      <c r="Q22" s="102"/>
      <c r="R22" s="102"/>
    </row>
    <row r="23" spans="2:18">
      <c r="B23" s="109" t="s">
        <v>169</v>
      </c>
      <c r="C23" s="284"/>
      <c r="D23" s="195"/>
      <c r="E23" s="195"/>
      <c r="F23" s="102"/>
      <c r="G23" s="54"/>
      <c r="H23" s="102"/>
      <c r="I23" s="102"/>
      <c r="J23" s="54"/>
      <c r="K23" s="102"/>
      <c r="L23" s="102"/>
      <c r="M23" s="54"/>
      <c r="N23" s="102"/>
      <c r="O23" s="102"/>
      <c r="P23" s="100"/>
      <c r="Q23" s="102"/>
      <c r="R23" s="102"/>
    </row>
    <row r="24" spans="2:18">
      <c r="B24" s="109" t="s">
        <v>170</v>
      </c>
      <c r="C24" s="284"/>
      <c r="D24" s="195"/>
      <c r="E24" s="195"/>
      <c r="F24" s="102"/>
      <c r="G24" s="54"/>
      <c r="H24" s="102"/>
      <c r="I24" s="102"/>
      <c r="J24" s="54"/>
      <c r="K24" s="102"/>
      <c r="L24" s="102"/>
      <c r="M24" s="54"/>
      <c r="N24" s="102"/>
      <c r="O24" s="102"/>
      <c r="P24" s="100"/>
      <c r="Q24" s="102"/>
      <c r="R24" s="102"/>
    </row>
    <row r="25" spans="2:18">
      <c r="B25" s="109" t="s">
        <v>171</v>
      </c>
      <c r="C25" s="284"/>
      <c r="D25" s="195"/>
      <c r="E25" s="195"/>
      <c r="F25" s="102"/>
      <c r="G25" s="54"/>
      <c r="H25" s="102"/>
      <c r="I25" s="102"/>
      <c r="J25" s="54"/>
      <c r="K25" s="102"/>
      <c r="L25" s="102"/>
      <c r="M25" s="54"/>
      <c r="N25" s="102"/>
      <c r="O25" s="102"/>
      <c r="P25" s="100"/>
      <c r="Q25" s="102"/>
      <c r="R25" s="102"/>
    </row>
    <row r="26" spans="2:18">
      <c r="B26" s="109" t="s">
        <v>321</v>
      </c>
      <c r="C26" s="284"/>
      <c r="D26" s="195"/>
      <c r="E26" s="195"/>
      <c r="F26" s="102"/>
      <c r="G26" s="54"/>
      <c r="H26" s="102"/>
      <c r="I26" s="102"/>
      <c r="J26" s="54"/>
      <c r="K26" s="102"/>
      <c r="L26" s="102"/>
      <c r="M26" s="54"/>
      <c r="N26" s="102"/>
      <c r="O26" s="102"/>
      <c r="P26" s="100"/>
      <c r="Q26" s="102"/>
      <c r="R26" s="102"/>
    </row>
    <row r="27" spans="2:18">
      <c r="B27" s="109" t="s">
        <v>172</v>
      </c>
      <c r="C27" s="284"/>
      <c r="D27" s="195"/>
      <c r="E27" s="195"/>
      <c r="F27" s="102"/>
      <c r="G27" s="54"/>
      <c r="H27" s="102"/>
      <c r="I27" s="102"/>
      <c r="J27" s="54"/>
      <c r="K27" s="102"/>
      <c r="L27" s="102"/>
      <c r="M27" s="54"/>
      <c r="N27" s="102"/>
      <c r="O27" s="102"/>
      <c r="P27" s="100"/>
      <c r="Q27" s="102"/>
      <c r="R27" s="102"/>
    </row>
    <row r="28" spans="2:18">
      <c r="B28" s="109" t="s">
        <v>173</v>
      </c>
      <c r="C28" s="284"/>
      <c r="D28" s="195"/>
      <c r="E28" s="195"/>
      <c r="F28" s="102"/>
      <c r="G28" s="54"/>
      <c r="H28" s="102"/>
      <c r="I28" s="102"/>
      <c r="J28" s="54"/>
      <c r="K28" s="102"/>
      <c r="L28" s="102"/>
      <c r="M28" s="54"/>
      <c r="N28" s="102"/>
      <c r="O28" s="102"/>
      <c r="P28" s="100"/>
      <c r="Q28" s="102"/>
      <c r="R28" s="102"/>
    </row>
    <row r="29" spans="2:18">
      <c r="B29" s="109" t="s">
        <v>174</v>
      </c>
      <c r="C29" s="284"/>
      <c r="D29" s="195"/>
      <c r="E29" s="195"/>
      <c r="F29" s="102"/>
      <c r="G29" s="54"/>
      <c r="H29" s="102"/>
      <c r="I29" s="102"/>
      <c r="J29" s="54"/>
      <c r="K29" s="102"/>
      <c r="L29" s="102"/>
      <c r="M29" s="54"/>
      <c r="N29" s="102"/>
      <c r="O29" s="102"/>
      <c r="P29" s="100"/>
      <c r="Q29" s="102"/>
      <c r="R29" s="102"/>
    </row>
    <row r="30" spans="2:18">
      <c r="B30" s="109" t="s">
        <v>175</v>
      </c>
      <c r="C30" s="284"/>
      <c r="D30" s="195"/>
      <c r="E30" s="195"/>
      <c r="F30" s="102"/>
      <c r="G30" s="54"/>
      <c r="H30" s="102"/>
      <c r="I30" s="102"/>
      <c r="J30" s="54"/>
      <c r="K30" s="102"/>
      <c r="L30" s="102"/>
      <c r="M30" s="54"/>
      <c r="N30" s="102"/>
      <c r="O30" s="102"/>
      <c r="P30" s="100"/>
      <c r="Q30" s="102"/>
      <c r="R30" s="102"/>
    </row>
    <row r="31" spans="2:18">
      <c r="B31" s="109" t="s">
        <v>176</v>
      </c>
      <c r="C31" s="284"/>
      <c r="D31" s="195"/>
      <c r="E31" s="195"/>
      <c r="F31" s="102"/>
      <c r="G31" s="54"/>
      <c r="H31" s="102"/>
      <c r="I31" s="102"/>
      <c r="J31" s="54"/>
      <c r="K31" s="102"/>
      <c r="L31" s="102"/>
      <c r="M31" s="54"/>
      <c r="N31" s="102"/>
      <c r="O31" s="102"/>
      <c r="P31" s="100"/>
      <c r="Q31" s="102"/>
      <c r="R31" s="102"/>
    </row>
    <row r="32" spans="2:18">
      <c r="B32" s="109" t="s">
        <v>322</v>
      </c>
      <c r="C32" s="284"/>
      <c r="D32" s="195"/>
      <c r="E32" s="195"/>
      <c r="F32" s="102"/>
      <c r="G32" s="54"/>
      <c r="H32" s="102"/>
      <c r="I32" s="102"/>
      <c r="J32" s="54"/>
      <c r="K32" s="102"/>
      <c r="L32" s="102"/>
      <c r="M32" s="54"/>
      <c r="N32" s="102"/>
      <c r="O32" s="102"/>
      <c r="P32" s="100"/>
      <c r="Q32" s="102"/>
      <c r="R32" s="102"/>
    </row>
    <row r="33" spans="2:18">
      <c r="B33" s="109" t="s">
        <v>323</v>
      </c>
      <c r="C33" s="284"/>
      <c r="D33" s="195"/>
      <c r="E33" s="195"/>
      <c r="F33" s="102"/>
      <c r="G33" s="54"/>
      <c r="H33" s="102"/>
      <c r="I33" s="102"/>
      <c r="J33" s="54"/>
      <c r="K33" s="102"/>
      <c r="L33" s="102"/>
      <c r="M33" s="54"/>
      <c r="N33" s="102"/>
      <c r="O33" s="102"/>
      <c r="P33" s="100"/>
      <c r="Q33" s="102"/>
      <c r="R33" s="102"/>
    </row>
    <row r="34" spans="2:18">
      <c r="B34" s="109" t="s">
        <v>184</v>
      </c>
      <c r="C34" s="284"/>
      <c r="D34" s="195"/>
      <c r="E34" s="195"/>
      <c r="F34" s="102"/>
      <c r="G34" s="54"/>
      <c r="H34" s="102"/>
      <c r="I34" s="102"/>
      <c r="J34" s="54"/>
      <c r="K34" s="102"/>
      <c r="L34" s="102"/>
      <c r="M34" s="54"/>
      <c r="N34" s="102"/>
      <c r="O34" s="102"/>
      <c r="P34" s="100"/>
      <c r="Q34" s="102"/>
      <c r="R34" s="102"/>
    </row>
    <row r="35" spans="2:18">
      <c r="B35" s="109" t="s">
        <v>166</v>
      </c>
      <c r="C35" s="284"/>
      <c r="D35" s="195"/>
      <c r="E35" s="195"/>
      <c r="F35" s="102"/>
      <c r="G35" s="54"/>
      <c r="H35" s="102"/>
      <c r="I35" s="102"/>
      <c r="J35" s="54"/>
      <c r="K35" s="102"/>
      <c r="L35" s="102"/>
      <c r="M35" s="54"/>
      <c r="N35" s="102"/>
      <c r="O35" s="102"/>
      <c r="P35" s="100"/>
      <c r="Q35" s="102"/>
      <c r="R35" s="102"/>
    </row>
    <row r="36" spans="2:18">
      <c r="B36" s="109" t="s">
        <v>324</v>
      </c>
      <c r="C36" s="284"/>
      <c r="D36" s="195"/>
      <c r="E36" s="195"/>
      <c r="F36" s="102"/>
      <c r="G36" s="54"/>
      <c r="H36" s="102"/>
      <c r="I36" s="102"/>
      <c r="J36" s="54"/>
      <c r="K36" s="102"/>
      <c r="L36" s="102"/>
      <c r="M36" s="54"/>
      <c r="N36" s="102"/>
      <c r="O36" s="102"/>
      <c r="P36" s="100"/>
      <c r="Q36" s="102"/>
      <c r="R36" s="102"/>
    </row>
    <row r="37" spans="2:18">
      <c r="B37" s="109" t="s">
        <v>158</v>
      </c>
      <c r="C37" s="284"/>
      <c r="D37" s="195"/>
      <c r="E37" s="195"/>
      <c r="F37" s="102"/>
      <c r="G37" s="54"/>
      <c r="H37" s="102"/>
      <c r="I37" s="102"/>
      <c r="J37" s="54"/>
      <c r="K37" s="102"/>
      <c r="L37" s="102"/>
      <c r="M37" s="54"/>
      <c r="N37" s="102"/>
      <c r="O37" s="102"/>
      <c r="P37" s="100"/>
      <c r="Q37" s="102"/>
      <c r="R37" s="102"/>
    </row>
    <row r="38" spans="2:18">
      <c r="B38" s="109" t="s">
        <v>159</v>
      </c>
      <c r="C38" s="284"/>
      <c r="D38" s="195"/>
      <c r="E38" s="195"/>
      <c r="F38" s="102"/>
      <c r="G38" s="54"/>
      <c r="H38" s="102"/>
      <c r="I38" s="102"/>
      <c r="J38" s="54"/>
      <c r="K38" s="102"/>
      <c r="L38" s="102"/>
      <c r="M38" s="54"/>
      <c r="N38" s="102"/>
      <c r="O38" s="102"/>
      <c r="P38" s="100"/>
      <c r="Q38" s="102"/>
      <c r="R38" s="102"/>
    </row>
    <row r="39" spans="2:18">
      <c r="B39" s="109" t="s">
        <v>160</v>
      </c>
      <c r="C39" s="284"/>
      <c r="D39" s="195"/>
      <c r="E39" s="195"/>
      <c r="F39" s="102"/>
      <c r="G39" s="54"/>
      <c r="H39" s="102"/>
      <c r="I39" s="102"/>
      <c r="J39" s="54"/>
      <c r="K39" s="102"/>
      <c r="L39" s="102"/>
      <c r="M39" s="54"/>
      <c r="N39" s="102"/>
      <c r="O39" s="102"/>
      <c r="P39" s="100"/>
      <c r="Q39" s="102"/>
      <c r="R39" s="102"/>
    </row>
    <row r="40" spans="2:18">
      <c r="B40" s="109" t="s">
        <v>179</v>
      </c>
      <c r="C40" s="284"/>
      <c r="D40" s="195"/>
      <c r="E40" s="195"/>
      <c r="F40" s="102"/>
      <c r="G40" s="54"/>
      <c r="H40" s="102"/>
      <c r="I40" s="102"/>
      <c r="J40" s="54"/>
      <c r="K40" s="102"/>
      <c r="L40" s="102"/>
      <c r="M40" s="54"/>
      <c r="N40" s="102"/>
      <c r="O40" s="102"/>
      <c r="P40" s="100"/>
      <c r="Q40" s="102"/>
      <c r="R40" s="102"/>
    </row>
    <row r="41" spans="2:18">
      <c r="B41" s="109" t="s">
        <v>325</v>
      </c>
      <c r="C41" s="284"/>
      <c r="D41" s="195"/>
      <c r="E41" s="195"/>
      <c r="F41" s="102"/>
      <c r="G41" s="54"/>
      <c r="H41" s="102"/>
      <c r="I41" s="102"/>
      <c r="J41" s="54"/>
      <c r="K41" s="102"/>
      <c r="L41" s="102"/>
      <c r="M41" s="54"/>
      <c r="N41" s="102"/>
      <c r="O41" s="102"/>
      <c r="P41" s="100"/>
      <c r="Q41" s="102"/>
      <c r="R41" s="102"/>
    </row>
    <row r="42" spans="2:18">
      <c r="B42" s="109" t="s">
        <v>326</v>
      </c>
      <c r="C42" s="284"/>
      <c r="D42" s="195"/>
      <c r="E42" s="195"/>
      <c r="F42" s="102"/>
      <c r="G42" s="54"/>
      <c r="H42" s="102"/>
      <c r="I42" s="102"/>
      <c r="J42" s="54"/>
      <c r="K42" s="102"/>
      <c r="L42" s="102"/>
      <c r="M42" s="54"/>
      <c r="N42" s="102"/>
      <c r="O42" s="102"/>
      <c r="P42" s="100"/>
      <c r="Q42" s="102"/>
      <c r="R42" s="102"/>
    </row>
    <row r="43" spans="2:18">
      <c r="B43" s="109" t="s">
        <v>327</v>
      </c>
      <c r="C43" s="284"/>
      <c r="D43" s="195"/>
      <c r="E43" s="195"/>
      <c r="F43" s="102"/>
      <c r="G43" s="54"/>
      <c r="H43" s="102"/>
      <c r="I43" s="102"/>
      <c r="J43" s="54"/>
      <c r="K43" s="102"/>
      <c r="L43" s="102"/>
      <c r="M43" s="54"/>
      <c r="N43" s="102"/>
      <c r="O43" s="102"/>
      <c r="P43" s="100"/>
      <c r="Q43" s="102"/>
      <c r="R43" s="102"/>
    </row>
    <row r="44" spans="2:18">
      <c r="B44" s="109" t="s">
        <v>328</v>
      </c>
      <c r="C44" s="284"/>
      <c r="D44" s="196"/>
      <c r="E44" s="196"/>
      <c r="F44" s="102"/>
      <c r="G44" s="54"/>
      <c r="H44" s="102"/>
      <c r="I44" s="102"/>
      <c r="J44" s="54"/>
      <c r="K44" s="102"/>
      <c r="L44" s="102"/>
      <c r="M44" s="54"/>
      <c r="N44" s="102"/>
      <c r="O44" s="102"/>
      <c r="P44" s="100"/>
      <c r="Q44" s="102"/>
      <c r="R44" s="102"/>
    </row>
  </sheetData>
  <mergeCells count="17">
    <mergeCell ref="N5:N6"/>
    <mergeCell ref="P4:R4"/>
    <mergeCell ref="C7:C44"/>
    <mergeCell ref="C4:E5"/>
    <mergeCell ref="B4:B5"/>
    <mergeCell ref="F4:H4"/>
    <mergeCell ref="I4:K4"/>
    <mergeCell ref="L4:N4"/>
    <mergeCell ref="O4:O5"/>
    <mergeCell ref="H5:H6"/>
    <mergeCell ref="G5:G6"/>
    <mergeCell ref="F5:F6"/>
    <mergeCell ref="I5:I6"/>
    <mergeCell ref="J5:J6"/>
    <mergeCell ref="K5:K6"/>
    <mergeCell ref="L5:L6"/>
    <mergeCell ref="M5:M6"/>
  </mergeCells>
  <phoneticPr fontId="2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4:R43"/>
  <sheetViews>
    <sheetView workbookViewId="0">
      <selection activeCell="E45" sqref="E45"/>
    </sheetView>
  </sheetViews>
  <sheetFormatPr defaultRowHeight="13.5"/>
  <cols>
    <col min="1" max="1" width="2.25" customWidth="1"/>
    <col min="2" max="2" width="30.75" bestFit="1" customWidth="1"/>
    <col min="3" max="4" width="12.625" bestFit="1" customWidth="1"/>
    <col min="5" max="5" width="5.25" bestFit="1" customWidth="1"/>
    <col min="7" max="7" width="12.5" customWidth="1"/>
    <col min="10" max="10" width="12.5" customWidth="1"/>
    <col min="13" max="13" width="11.5" customWidth="1"/>
  </cols>
  <sheetData>
    <row r="4" spans="2:18">
      <c r="B4" s="281" t="s">
        <v>296</v>
      </c>
      <c r="C4" s="282" t="s">
        <v>297</v>
      </c>
      <c r="D4" s="282"/>
      <c r="E4" s="282"/>
      <c r="F4" s="264" t="s">
        <v>91</v>
      </c>
      <c r="G4" s="264"/>
      <c r="H4" s="264"/>
      <c r="I4" s="264" t="s">
        <v>84</v>
      </c>
      <c r="J4" s="264"/>
      <c r="K4" s="264"/>
      <c r="L4" s="264" t="s">
        <v>85</v>
      </c>
      <c r="M4" s="264"/>
      <c r="N4" s="264"/>
      <c r="O4" s="283" t="s">
        <v>78</v>
      </c>
      <c r="P4" s="267" t="s">
        <v>14</v>
      </c>
      <c r="Q4" s="267"/>
      <c r="R4" s="267"/>
    </row>
    <row r="5" spans="2:18">
      <c r="B5" s="281"/>
      <c r="C5" s="152" t="s">
        <v>298</v>
      </c>
      <c r="D5" s="147" t="s">
        <v>299</v>
      </c>
      <c r="E5" s="147" t="s">
        <v>267</v>
      </c>
      <c r="F5" s="150" t="s">
        <v>8</v>
      </c>
      <c r="G5" s="150" t="s">
        <v>9</v>
      </c>
      <c r="H5" s="150" t="s">
        <v>10</v>
      </c>
      <c r="I5" s="150" t="s">
        <v>8</v>
      </c>
      <c r="J5" s="150" t="s">
        <v>9</v>
      </c>
      <c r="K5" s="150" t="s">
        <v>10</v>
      </c>
      <c r="L5" s="150" t="s">
        <v>8</v>
      </c>
      <c r="M5" s="150" t="s">
        <v>9</v>
      </c>
      <c r="N5" s="150" t="s">
        <v>10</v>
      </c>
      <c r="O5" s="264"/>
      <c r="P5" s="151"/>
      <c r="Q5" s="151"/>
      <c r="R5" s="151"/>
    </row>
    <row r="6" spans="2:18">
      <c r="B6" s="109" t="s">
        <v>316</v>
      </c>
      <c r="C6" s="109" t="s">
        <v>300</v>
      </c>
      <c r="D6" s="109" t="s">
        <v>300</v>
      </c>
      <c r="E6" s="109" t="s">
        <v>301</v>
      </c>
      <c r="F6" s="102"/>
      <c r="G6" s="54"/>
      <c r="H6" s="102"/>
      <c r="I6" s="102"/>
      <c r="J6" s="54"/>
      <c r="K6" s="102"/>
      <c r="L6" s="102"/>
      <c r="M6" s="54"/>
      <c r="N6" s="102"/>
      <c r="O6" s="102"/>
      <c r="P6" s="100"/>
      <c r="Q6" s="102"/>
      <c r="R6" s="102"/>
    </row>
    <row r="7" spans="2:18">
      <c r="B7" s="109" t="s">
        <v>162</v>
      </c>
      <c r="C7" s="109" t="s">
        <v>300</v>
      </c>
      <c r="D7" s="109" t="s">
        <v>300</v>
      </c>
      <c r="E7" s="109" t="s">
        <v>301</v>
      </c>
      <c r="F7" s="102"/>
      <c r="G7" s="54"/>
      <c r="H7" s="102"/>
      <c r="I7" s="102"/>
      <c r="J7" s="54"/>
      <c r="K7" s="102"/>
      <c r="L7" s="102"/>
      <c r="M7" s="54"/>
      <c r="N7" s="102"/>
      <c r="O7" s="102"/>
      <c r="P7" s="100"/>
      <c r="Q7" s="102"/>
      <c r="R7" s="102"/>
    </row>
    <row r="8" spans="2:18">
      <c r="B8" s="109" t="s">
        <v>161</v>
      </c>
      <c r="C8" s="109" t="s">
        <v>300</v>
      </c>
      <c r="D8" s="109" t="s">
        <v>300</v>
      </c>
      <c r="E8" s="109" t="s">
        <v>301</v>
      </c>
      <c r="F8" s="102"/>
      <c r="G8" s="54"/>
      <c r="H8" s="102"/>
      <c r="I8" s="102"/>
      <c r="J8" s="54"/>
      <c r="K8" s="102"/>
      <c r="L8" s="102"/>
      <c r="M8" s="54"/>
      <c r="N8" s="102"/>
      <c r="O8" s="102"/>
      <c r="P8" s="100"/>
      <c r="Q8" s="102"/>
      <c r="R8" s="102"/>
    </row>
    <row r="9" spans="2:18">
      <c r="B9" s="109" t="s">
        <v>163</v>
      </c>
      <c r="C9" s="109" t="s">
        <v>300</v>
      </c>
      <c r="D9" s="109" t="s">
        <v>300</v>
      </c>
      <c r="E9" s="109" t="s">
        <v>301</v>
      </c>
      <c r="F9" s="102"/>
      <c r="G9" s="54"/>
      <c r="H9" s="102"/>
      <c r="I9" s="102"/>
      <c r="J9" s="54"/>
      <c r="K9" s="102"/>
      <c r="L9" s="102"/>
      <c r="M9" s="54"/>
      <c r="N9" s="102"/>
      <c r="O9" s="102"/>
      <c r="P9" s="100"/>
      <c r="Q9" s="102"/>
      <c r="R9" s="102"/>
    </row>
    <row r="10" spans="2:18">
      <c r="B10" s="109" t="s">
        <v>164</v>
      </c>
      <c r="C10" s="109" t="s">
        <v>300</v>
      </c>
      <c r="D10" s="109" t="s">
        <v>300</v>
      </c>
      <c r="E10" s="109" t="s">
        <v>301</v>
      </c>
      <c r="F10" s="102"/>
      <c r="G10" s="54"/>
      <c r="H10" s="102"/>
      <c r="I10" s="102"/>
      <c r="J10" s="54"/>
      <c r="K10" s="102"/>
      <c r="L10" s="102"/>
      <c r="M10" s="54"/>
      <c r="N10" s="102"/>
      <c r="O10" s="102"/>
      <c r="P10" s="100"/>
      <c r="Q10" s="102"/>
      <c r="R10" s="102"/>
    </row>
    <row r="11" spans="2:18">
      <c r="B11" s="109" t="s">
        <v>165</v>
      </c>
      <c r="C11" s="109" t="s">
        <v>300</v>
      </c>
      <c r="D11" s="109" t="s">
        <v>300</v>
      </c>
      <c r="E11" s="109" t="s">
        <v>301</v>
      </c>
      <c r="F11" s="102"/>
      <c r="G11" s="54"/>
      <c r="H11" s="102"/>
      <c r="I11" s="102"/>
      <c r="J11" s="54"/>
      <c r="K11" s="102"/>
      <c r="L11" s="102"/>
      <c r="M11" s="54"/>
      <c r="N11" s="102"/>
      <c r="O11" s="102"/>
      <c r="P11" s="100"/>
      <c r="Q11" s="102"/>
      <c r="R11" s="102"/>
    </row>
    <row r="12" spans="2:18">
      <c r="B12" s="109" t="s">
        <v>152</v>
      </c>
      <c r="C12" s="109" t="s">
        <v>300</v>
      </c>
      <c r="D12" s="109" t="s">
        <v>300</v>
      </c>
      <c r="E12" s="109" t="s">
        <v>301</v>
      </c>
      <c r="F12" s="102"/>
      <c r="G12" s="54"/>
      <c r="H12" s="102"/>
      <c r="I12" s="102"/>
      <c r="J12" s="54"/>
      <c r="K12" s="102"/>
      <c r="L12" s="102"/>
      <c r="M12" s="54"/>
      <c r="N12" s="102"/>
      <c r="O12" s="102"/>
      <c r="P12" s="100"/>
      <c r="Q12" s="102"/>
      <c r="R12" s="102"/>
    </row>
    <row r="13" spans="2:18">
      <c r="B13" s="109" t="s">
        <v>317</v>
      </c>
      <c r="C13" s="109" t="s">
        <v>300</v>
      </c>
      <c r="D13" s="109" t="s">
        <v>300</v>
      </c>
      <c r="E13" s="109" t="s">
        <v>301</v>
      </c>
      <c r="F13" s="102"/>
      <c r="G13" s="54"/>
      <c r="H13" s="102"/>
      <c r="I13" s="102"/>
      <c r="J13" s="54"/>
      <c r="K13" s="102"/>
      <c r="L13" s="102"/>
      <c r="M13" s="54"/>
      <c r="N13" s="102"/>
      <c r="O13" s="102"/>
      <c r="P13" s="100"/>
      <c r="Q13" s="102"/>
      <c r="R13" s="102"/>
    </row>
    <row r="14" spans="2:18">
      <c r="B14" s="109" t="s">
        <v>153</v>
      </c>
      <c r="C14" s="109" t="s">
        <v>300</v>
      </c>
      <c r="D14" s="109" t="s">
        <v>300</v>
      </c>
      <c r="E14" s="109" t="s">
        <v>301</v>
      </c>
      <c r="F14" s="102"/>
      <c r="G14" s="54"/>
      <c r="H14" s="102"/>
      <c r="I14" s="102"/>
      <c r="J14" s="54"/>
      <c r="K14" s="102"/>
      <c r="L14" s="102"/>
      <c r="M14" s="54"/>
      <c r="N14" s="102"/>
      <c r="O14" s="102"/>
      <c r="P14" s="100"/>
      <c r="Q14" s="102"/>
      <c r="R14" s="102"/>
    </row>
    <row r="15" spans="2:18">
      <c r="B15" s="109" t="s">
        <v>154</v>
      </c>
      <c r="C15" s="109" t="s">
        <v>300</v>
      </c>
      <c r="D15" s="109" t="s">
        <v>300</v>
      </c>
      <c r="E15" s="109" t="s">
        <v>301</v>
      </c>
      <c r="F15" s="102"/>
      <c r="G15" s="54"/>
      <c r="H15" s="102"/>
      <c r="I15" s="102"/>
      <c r="J15" s="54"/>
      <c r="K15" s="102"/>
      <c r="L15" s="102"/>
      <c r="M15" s="54"/>
      <c r="N15" s="102"/>
      <c r="O15" s="102"/>
      <c r="P15" s="100"/>
      <c r="Q15" s="102"/>
      <c r="R15" s="102"/>
    </row>
    <row r="16" spans="2:18">
      <c r="B16" s="109" t="s">
        <v>318</v>
      </c>
      <c r="C16" s="109" t="s">
        <v>300</v>
      </c>
      <c r="D16" s="109" t="s">
        <v>300</v>
      </c>
      <c r="E16" s="109" t="s">
        <v>301</v>
      </c>
      <c r="F16" s="102"/>
      <c r="G16" s="54"/>
      <c r="H16" s="102"/>
      <c r="I16" s="102"/>
      <c r="J16" s="54"/>
      <c r="K16" s="102"/>
      <c r="L16" s="102"/>
      <c r="M16" s="54"/>
      <c r="N16" s="102"/>
      <c r="O16" s="102"/>
      <c r="P16" s="100"/>
      <c r="Q16" s="102"/>
      <c r="R16" s="102"/>
    </row>
    <row r="17" spans="2:18">
      <c r="B17" s="109" t="s">
        <v>155</v>
      </c>
      <c r="C17" s="109" t="s">
        <v>300</v>
      </c>
      <c r="D17" s="109" t="s">
        <v>300</v>
      </c>
      <c r="E17" s="109" t="s">
        <v>301</v>
      </c>
      <c r="F17" s="102"/>
      <c r="G17" s="54"/>
      <c r="H17" s="102"/>
      <c r="I17" s="102"/>
      <c r="J17" s="54"/>
      <c r="K17" s="102"/>
      <c r="L17" s="102"/>
      <c r="M17" s="54"/>
      <c r="N17" s="102"/>
      <c r="O17" s="102"/>
      <c r="P17" s="100"/>
      <c r="Q17" s="102"/>
      <c r="R17" s="102"/>
    </row>
    <row r="18" spans="2:18">
      <c r="B18" s="109" t="s">
        <v>319</v>
      </c>
      <c r="C18" s="109" t="s">
        <v>300</v>
      </c>
      <c r="D18" s="109" t="s">
        <v>300</v>
      </c>
      <c r="E18" s="109" t="s">
        <v>301</v>
      </c>
      <c r="F18" s="102"/>
      <c r="G18" s="54"/>
      <c r="H18" s="102"/>
      <c r="I18" s="102"/>
      <c r="J18" s="54"/>
      <c r="K18" s="102"/>
      <c r="L18" s="102"/>
      <c r="M18" s="54"/>
      <c r="N18" s="102"/>
      <c r="O18" s="102"/>
      <c r="P18" s="100"/>
      <c r="Q18" s="102"/>
      <c r="R18" s="102"/>
    </row>
    <row r="19" spans="2:18">
      <c r="B19" s="109" t="s">
        <v>320</v>
      </c>
      <c r="C19" s="109" t="s">
        <v>300</v>
      </c>
      <c r="D19" s="109" t="s">
        <v>300</v>
      </c>
      <c r="E19" s="109" t="s">
        <v>301</v>
      </c>
      <c r="F19" s="102"/>
      <c r="G19" s="54"/>
      <c r="H19" s="102"/>
      <c r="I19" s="102"/>
      <c r="J19" s="54"/>
      <c r="K19" s="102"/>
      <c r="L19" s="102"/>
      <c r="M19" s="54"/>
      <c r="N19" s="102"/>
      <c r="O19" s="102"/>
      <c r="P19" s="100"/>
      <c r="Q19" s="102"/>
      <c r="R19" s="102"/>
    </row>
    <row r="20" spans="2:18">
      <c r="B20" s="109" t="s">
        <v>157</v>
      </c>
      <c r="C20" s="109" t="s">
        <v>300</v>
      </c>
      <c r="D20" s="109" t="s">
        <v>300</v>
      </c>
      <c r="E20" s="109" t="s">
        <v>301</v>
      </c>
      <c r="F20" s="102"/>
      <c r="G20" s="54"/>
      <c r="H20" s="102"/>
      <c r="I20" s="102"/>
      <c r="J20" s="54"/>
      <c r="K20" s="102"/>
      <c r="L20" s="102"/>
      <c r="M20" s="54"/>
      <c r="N20" s="102"/>
      <c r="O20" s="102"/>
      <c r="P20" s="100"/>
      <c r="Q20" s="102"/>
      <c r="R20" s="102"/>
    </row>
    <row r="21" spans="2:18">
      <c r="B21" s="109" t="s">
        <v>168</v>
      </c>
      <c r="C21" s="109" t="s">
        <v>300</v>
      </c>
      <c r="D21" s="109" t="s">
        <v>300</v>
      </c>
      <c r="E21" s="109" t="s">
        <v>301</v>
      </c>
      <c r="F21" s="102"/>
      <c r="G21" s="54"/>
      <c r="H21" s="102"/>
      <c r="I21" s="102"/>
      <c r="J21" s="54"/>
      <c r="K21" s="102"/>
      <c r="L21" s="102"/>
      <c r="M21" s="54"/>
      <c r="N21" s="102"/>
      <c r="O21" s="102"/>
      <c r="P21" s="100"/>
      <c r="Q21" s="102"/>
      <c r="R21" s="102"/>
    </row>
    <row r="22" spans="2:18">
      <c r="B22" s="109" t="s">
        <v>169</v>
      </c>
      <c r="C22" s="109" t="s">
        <v>300</v>
      </c>
      <c r="D22" s="109" t="s">
        <v>300</v>
      </c>
      <c r="E22" s="109" t="s">
        <v>301</v>
      </c>
      <c r="F22" s="102"/>
      <c r="G22" s="54"/>
      <c r="H22" s="102"/>
      <c r="I22" s="102"/>
      <c r="J22" s="54"/>
      <c r="K22" s="102"/>
      <c r="L22" s="102"/>
      <c r="M22" s="54"/>
      <c r="N22" s="102"/>
      <c r="O22" s="102"/>
      <c r="P22" s="100"/>
      <c r="Q22" s="102"/>
      <c r="R22" s="102"/>
    </row>
    <row r="23" spans="2:18">
      <c r="B23" s="109" t="s">
        <v>170</v>
      </c>
      <c r="C23" s="109" t="s">
        <v>300</v>
      </c>
      <c r="D23" s="109" t="s">
        <v>300</v>
      </c>
      <c r="E23" s="109" t="s">
        <v>301</v>
      </c>
      <c r="F23" s="102"/>
      <c r="G23" s="54"/>
      <c r="H23" s="102"/>
      <c r="I23" s="102"/>
      <c r="J23" s="54"/>
      <c r="K23" s="102"/>
      <c r="L23" s="102"/>
      <c r="M23" s="54"/>
      <c r="N23" s="102"/>
      <c r="O23" s="102"/>
      <c r="P23" s="100"/>
      <c r="Q23" s="102"/>
      <c r="R23" s="102"/>
    </row>
    <row r="24" spans="2:18">
      <c r="B24" s="109" t="s">
        <v>171</v>
      </c>
      <c r="C24" s="109" t="s">
        <v>300</v>
      </c>
      <c r="D24" s="109" t="s">
        <v>300</v>
      </c>
      <c r="E24" s="109" t="s">
        <v>301</v>
      </c>
      <c r="F24" s="102"/>
      <c r="G24" s="54"/>
      <c r="H24" s="102"/>
      <c r="I24" s="102"/>
      <c r="J24" s="54"/>
      <c r="K24" s="102"/>
      <c r="L24" s="102"/>
      <c r="M24" s="54"/>
      <c r="N24" s="102"/>
      <c r="O24" s="102"/>
      <c r="P24" s="100"/>
      <c r="Q24" s="102"/>
      <c r="R24" s="102"/>
    </row>
    <row r="25" spans="2:18">
      <c r="B25" s="109" t="s">
        <v>321</v>
      </c>
      <c r="C25" s="109" t="s">
        <v>300</v>
      </c>
      <c r="D25" s="109" t="s">
        <v>300</v>
      </c>
      <c r="E25" s="109" t="s">
        <v>301</v>
      </c>
      <c r="F25" s="102"/>
      <c r="G25" s="54"/>
      <c r="H25" s="102"/>
      <c r="I25" s="102"/>
      <c r="J25" s="54"/>
      <c r="K25" s="102"/>
      <c r="L25" s="102"/>
      <c r="M25" s="54"/>
      <c r="N25" s="102"/>
      <c r="O25" s="102"/>
      <c r="P25" s="100"/>
      <c r="Q25" s="102"/>
      <c r="R25" s="102"/>
    </row>
    <row r="26" spans="2:18">
      <c r="B26" s="109" t="s">
        <v>172</v>
      </c>
      <c r="C26" s="109" t="s">
        <v>300</v>
      </c>
      <c r="D26" s="109" t="s">
        <v>300</v>
      </c>
      <c r="E26" s="109" t="s">
        <v>301</v>
      </c>
      <c r="F26" s="102"/>
      <c r="G26" s="54"/>
      <c r="H26" s="102"/>
      <c r="I26" s="102"/>
      <c r="J26" s="54"/>
      <c r="K26" s="102"/>
      <c r="L26" s="102"/>
      <c r="M26" s="54"/>
      <c r="N26" s="102"/>
      <c r="O26" s="102"/>
      <c r="P26" s="100"/>
      <c r="Q26" s="102"/>
      <c r="R26" s="102"/>
    </row>
    <row r="27" spans="2:18">
      <c r="B27" s="109" t="s">
        <v>173</v>
      </c>
      <c r="C27" s="109" t="s">
        <v>300</v>
      </c>
      <c r="D27" s="109" t="s">
        <v>300</v>
      </c>
      <c r="E27" s="109" t="s">
        <v>301</v>
      </c>
      <c r="F27" s="102"/>
      <c r="G27" s="54"/>
      <c r="H27" s="102"/>
      <c r="I27" s="102"/>
      <c r="J27" s="54"/>
      <c r="K27" s="102"/>
      <c r="L27" s="102"/>
      <c r="M27" s="54"/>
      <c r="N27" s="102"/>
      <c r="O27" s="102"/>
      <c r="P27" s="100"/>
      <c r="Q27" s="102"/>
      <c r="R27" s="102"/>
    </row>
    <row r="28" spans="2:18">
      <c r="B28" s="109" t="s">
        <v>174</v>
      </c>
      <c r="C28" s="109" t="s">
        <v>300</v>
      </c>
      <c r="D28" s="109" t="s">
        <v>300</v>
      </c>
      <c r="E28" s="109" t="s">
        <v>301</v>
      </c>
      <c r="F28" s="102"/>
      <c r="G28" s="54"/>
      <c r="H28" s="102"/>
      <c r="I28" s="102"/>
      <c r="J28" s="54"/>
      <c r="K28" s="102"/>
      <c r="L28" s="102"/>
      <c r="M28" s="54"/>
      <c r="N28" s="102"/>
      <c r="O28" s="102"/>
      <c r="P28" s="100"/>
      <c r="Q28" s="102"/>
      <c r="R28" s="102"/>
    </row>
    <row r="29" spans="2:18">
      <c r="B29" s="109" t="s">
        <v>175</v>
      </c>
      <c r="C29" s="109" t="s">
        <v>300</v>
      </c>
      <c r="D29" s="109" t="s">
        <v>300</v>
      </c>
      <c r="E29" s="109" t="s">
        <v>301</v>
      </c>
      <c r="F29" s="102"/>
      <c r="G29" s="54"/>
      <c r="H29" s="102"/>
      <c r="I29" s="102"/>
      <c r="J29" s="54"/>
      <c r="K29" s="102"/>
      <c r="L29" s="102"/>
      <c r="M29" s="54"/>
      <c r="N29" s="102"/>
      <c r="O29" s="102"/>
      <c r="P29" s="100"/>
      <c r="Q29" s="102"/>
      <c r="R29" s="102"/>
    </row>
    <row r="30" spans="2:18">
      <c r="B30" s="109" t="s">
        <v>176</v>
      </c>
      <c r="C30" s="109" t="s">
        <v>300</v>
      </c>
      <c r="D30" s="109" t="s">
        <v>300</v>
      </c>
      <c r="E30" s="109" t="s">
        <v>301</v>
      </c>
      <c r="F30" s="102"/>
      <c r="G30" s="54"/>
      <c r="H30" s="102"/>
      <c r="I30" s="102"/>
      <c r="J30" s="54"/>
      <c r="K30" s="102"/>
      <c r="L30" s="102"/>
      <c r="M30" s="54"/>
      <c r="N30" s="102"/>
      <c r="O30" s="102"/>
      <c r="P30" s="100"/>
      <c r="Q30" s="102"/>
      <c r="R30" s="102"/>
    </row>
    <row r="31" spans="2:18">
      <c r="B31" s="109" t="s">
        <v>322</v>
      </c>
      <c r="C31" s="109" t="s">
        <v>300</v>
      </c>
      <c r="D31" s="109" t="s">
        <v>300</v>
      </c>
      <c r="E31" s="109" t="s">
        <v>301</v>
      </c>
      <c r="F31" s="102"/>
      <c r="G31" s="54"/>
      <c r="H31" s="102"/>
      <c r="I31" s="102"/>
      <c r="J31" s="54"/>
      <c r="K31" s="102"/>
      <c r="L31" s="102"/>
      <c r="M31" s="54"/>
      <c r="N31" s="102"/>
      <c r="O31" s="102"/>
      <c r="P31" s="100"/>
      <c r="Q31" s="102"/>
      <c r="R31" s="102"/>
    </row>
    <row r="32" spans="2:18">
      <c r="B32" s="109" t="s">
        <v>323</v>
      </c>
      <c r="C32" s="109" t="s">
        <v>300</v>
      </c>
      <c r="D32" s="109" t="s">
        <v>300</v>
      </c>
      <c r="E32" s="109" t="s">
        <v>301</v>
      </c>
      <c r="F32" s="102"/>
      <c r="G32" s="54"/>
      <c r="H32" s="102"/>
      <c r="I32" s="102"/>
      <c r="J32" s="54"/>
      <c r="K32" s="102"/>
      <c r="L32" s="102"/>
      <c r="M32" s="54"/>
      <c r="N32" s="102"/>
      <c r="O32" s="102"/>
      <c r="P32" s="100"/>
      <c r="Q32" s="102"/>
      <c r="R32" s="102"/>
    </row>
    <row r="33" spans="2:18">
      <c r="B33" s="109" t="s">
        <v>184</v>
      </c>
      <c r="C33" s="109" t="s">
        <v>300</v>
      </c>
      <c r="D33" s="109" t="s">
        <v>300</v>
      </c>
      <c r="E33" s="109" t="s">
        <v>301</v>
      </c>
      <c r="F33" s="102"/>
      <c r="G33" s="54"/>
      <c r="H33" s="102"/>
      <c r="I33" s="102"/>
      <c r="J33" s="54"/>
      <c r="K33" s="102"/>
      <c r="L33" s="102"/>
      <c r="M33" s="54"/>
      <c r="N33" s="102"/>
      <c r="O33" s="102"/>
      <c r="P33" s="100"/>
      <c r="Q33" s="102"/>
      <c r="R33" s="102"/>
    </row>
    <row r="34" spans="2:18">
      <c r="B34" s="109" t="s">
        <v>166</v>
      </c>
      <c r="C34" s="109" t="s">
        <v>300</v>
      </c>
      <c r="D34" s="109" t="s">
        <v>300</v>
      </c>
      <c r="E34" s="109" t="s">
        <v>301</v>
      </c>
      <c r="F34" s="102"/>
      <c r="G34" s="54"/>
      <c r="H34" s="102"/>
      <c r="I34" s="102"/>
      <c r="J34" s="54"/>
      <c r="K34" s="102"/>
      <c r="L34" s="102"/>
      <c r="M34" s="54"/>
      <c r="N34" s="102"/>
      <c r="O34" s="102"/>
      <c r="P34" s="100"/>
      <c r="Q34" s="102"/>
      <c r="R34" s="102"/>
    </row>
    <row r="35" spans="2:18">
      <c r="B35" s="109" t="s">
        <v>324</v>
      </c>
      <c r="C35" s="109" t="s">
        <v>300</v>
      </c>
      <c r="D35" s="109" t="s">
        <v>300</v>
      </c>
      <c r="E35" s="109" t="s">
        <v>301</v>
      </c>
      <c r="F35" s="102"/>
      <c r="G35" s="54"/>
      <c r="H35" s="102"/>
      <c r="I35" s="102"/>
      <c r="J35" s="54"/>
      <c r="K35" s="102"/>
      <c r="L35" s="102"/>
      <c r="M35" s="54"/>
      <c r="N35" s="102"/>
      <c r="O35" s="102"/>
      <c r="P35" s="100"/>
      <c r="Q35" s="102"/>
      <c r="R35" s="102"/>
    </row>
    <row r="36" spans="2:18">
      <c r="B36" s="109" t="s">
        <v>158</v>
      </c>
      <c r="C36" s="109" t="s">
        <v>300</v>
      </c>
      <c r="D36" s="109" t="s">
        <v>300</v>
      </c>
      <c r="E36" s="109" t="s">
        <v>301</v>
      </c>
      <c r="F36" s="102"/>
      <c r="G36" s="54"/>
      <c r="H36" s="102"/>
      <c r="I36" s="102"/>
      <c r="J36" s="54"/>
      <c r="K36" s="102"/>
      <c r="L36" s="102"/>
      <c r="M36" s="54"/>
      <c r="N36" s="102"/>
      <c r="O36" s="102"/>
      <c r="P36" s="100"/>
      <c r="Q36" s="102"/>
      <c r="R36" s="102"/>
    </row>
    <row r="37" spans="2:18">
      <c r="B37" s="109" t="s">
        <v>159</v>
      </c>
      <c r="C37" s="109" t="s">
        <v>300</v>
      </c>
      <c r="D37" s="109" t="s">
        <v>300</v>
      </c>
      <c r="E37" s="109" t="s">
        <v>301</v>
      </c>
      <c r="F37" s="102"/>
      <c r="G37" s="54"/>
      <c r="H37" s="102"/>
      <c r="I37" s="102"/>
      <c r="J37" s="54"/>
      <c r="K37" s="102"/>
      <c r="L37" s="102"/>
      <c r="M37" s="54"/>
      <c r="N37" s="102"/>
      <c r="O37" s="102"/>
      <c r="P37" s="100"/>
      <c r="Q37" s="102"/>
      <c r="R37" s="102"/>
    </row>
    <row r="38" spans="2:18">
      <c r="B38" s="109" t="s">
        <v>160</v>
      </c>
      <c r="C38" s="109" t="s">
        <v>300</v>
      </c>
      <c r="D38" s="109" t="s">
        <v>300</v>
      </c>
      <c r="E38" s="109" t="s">
        <v>301</v>
      </c>
      <c r="F38" s="102"/>
      <c r="G38" s="54"/>
      <c r="H38" s="102"/>
      <c r="I38" s="102"/>
      <c r="J38" s="54"/>
      <c r="K38" s="102"/>
      <c r="L38" s="102"/>
      <c r="M38" s="54"/>
      <c r="N38" s="102"/>
      <c r="O38" s="102"/>
      <c r="P38" s="100"/>
      <c r="Q38" s="102"/>
      <c r="R38" s="102"/>
    </row>
    <row r="39" spans="2:18">
      <c r="B39" s="109" t="s">
        <v>179</v>
      </c>
      <c r="C39" s="109" t="s">
        <v>300</v>
      </c>
      <c r="D39" s="109" t="s">
        <v>300</v>
      </c>
      <c r="E39" s="109" t="s">
        <v>301</v>
      </c>
      <c r="F39" s="102"/>
      <c r="G39" s="54"/>
      <c r="H39" s="102"/>
      <c r="I39" s="102"/>
      <c r="J39" s="54"/>
      <c r="K39" s="102"/>
      <c r="L39" s="102"/>
      <c r="M39" s="54"/>
      <c r="N39" s="102"/>
      <c r="O39" s="102"/>
      <c r="P39" s="100"/>
      <c r="Q39" s="102"/>
      <c r="R39" s="102"/>
    </row>
    <row r="40" spans="2:18">
      <c r="B40" s="109" t="s">
        <v>325</v>
      </c>
      <c r="C40" s="109" t="s">
        <v>300</v>
      </c>
      <c r="D40" s="109" t="s">
        <v>300</v>
      </c>
      <c r="E40" s="109" t="s">
        <v>301</v>
      </c>
      <c r="F40" s="102"/>
      <c r="G40" s="54"/>
      <c r="H40" s="102"/>
      <c r="I40" s="102"/>
      <c r="J40" s="54"/>
      <c r="K40" s="102"/>
      <c r="L40" s="102"/>
      <c r="M40" s="54"/>
      <c r="N40" s="102"/>
      <c r="O40" s="102"/>
      <c r="P40" s="100"/>
      <c r="Q40" s="102"/>
      <c r="R40" s="102"/>
    </row>
    <row r="41" spans="2:18">
      <c r="B41" s="109" t="s">
        <v>326</v>
      </c>
      <c r="C41" s="109" t="s">
        <v>300</v>
      </c>
      <c r="D41" s="109" t="s">
        <v>300</v>
      </c>
      <c r="E41" s="109" t="s">
        <v>301</v>
      </c>
      <c r="F41" s="102"/>
      <c r="G41" s="54"/>
      <c r="H41" s="102"/>
      <c r="I41" s="102"/>
      <c r="J41" s="54"/>
      <c r="K41" s="102"/>
      <c r="L41" s="102"/>
      <c r="M41" s="54"/>
      <c r="N41" s="102"/>
      <c r="O41" s="102"/>
      <c r="P41" s="100"/>
      <c r="Q41" s="102"/>
      <c r="R41" s="102"/>
    </row>
    <row r="42" spans="2:18">
      <c r="B42" s="109" t="s">
        <v>327</v>
      </c>
      <c r="C42" s="109" t="s">
        <v>300</v>
      </c>
      <c r="D42" s="109" t="s">
        <v>300</v>
      </c>
      <c r="E42" s="109" t="s">
        <v>301</v>
      </c>
      <c r="F42" s="102"/>
      <c r="G42" s="54"/>
      <c r="H42" s="102"/>
      <c r="I42" s="102"/>
      <c r="J42" s="54"/>
      <c r="K42" s="102"/>
      <c r="L42" s="102"/>
      <c r="M42" s="54"/>
      <c r="N42" s="102"/>
      <c r="O42" s="102"/>
      <c r="P42" s="100"/>
      <c r="Q42" s="102"/>
      <c r="R42" s="102"/>
    </row>
    <row r="43" spans="2:18">
      <c r="B43" s="109" t="s">
        <v>328</v>
      </c>
      <c r="C43" s="109" t="s">
        <v>300</v>
      </c>
      <c r="D43" s="109" t="s">
        <v>300</v>
      </c>
      <c r="E43" s="109" t="s">
        <v>301</v>
      </c>
      <c r="F43" s="102"/>
      <c r="G43" s="54"/>
      <c r="H43" s="102"/>
      <c r="I43" s="102"/>
      <c r="J43" s="54"/>
      <c r="K43" s="102"/>
      <c r="L43" s="102"/>
      <c r="M43" s="54"/>
      <c r="N43" s="102"/>
      <c r="O43" s="102"/>
      <c r="P43" s="100"/>
      <c r="Q43" s="102"/>
      <c r="R43" s="102"/>
    </row>
  </sheetData>
  <mergeCells count="7">
    <mergeCell ref="P4:R4"/>
    <mergeCell ref="B4:B5"/>
    <mergeCell ref="C4:E4"/>
    <mergeCell ref="F4:H4"/>
    <mergeCell ref="I4:K4"/>
    <mergeCell ref="L4:N4"/>
    <mergeCell ref="O4:O5"/>
  </mergeCells>
  <phoneticPr fontId="2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M362"/>
  <sheetViews>
    <sheetView zoomScale="70" zoomScaleNormal="70" workbookViewId="0"/>
  </sheetViews>
  <sheetFormatPr defaultRowHeight="13.5"/>
  <cols>
    <col min="1" max="1" width="2.5" customWidth="1"/>
    <col min="2" max="2" width="56.5" bestFit="1" customWidth="1"/>
    <col min="3" max="3" width="30.5" customWidth="1"/>
    <col min="4" max="4" width="56.875" style="171" customWidth="1"/>
  </cols>
  <sheetData>
    <row r="1" spans="1:11">
      <c r="A1" t="s">
        <v>94</v>
      </c>
    </row>
    <row r="4" spans="1:11">
      <c r="A4" s="105" t="s">
        <v>114</v>
      </c>
      <c r="E4" s="176" t="s">
        <v>519</v>
      </c>
    </row>
    <row r="5" spans="1:11">
      <c r="A5" s="107"/>
      <c r="B5" s="105" t="s">
        <v>107</v>
      </c>
      <c r="C5" s="110"/>
    </row>
    <row r="6" spans="1:11">
      <c r="B6" s="106" t="s">
        <v>95</v>
      </c>
      <c r="C6" s="106" t="s">
        <v>96</v>
      </c>
      <c r="D6" s="172" t="s">
        <v>97</v>
      </c>
      <c r="E6" s="166" t="s">
        <v>521</v>
      </c>
      <c r="F6" s="166" t="s">
        <v>522</v>
      </c>
      <c r="G6" s="166" t="s">
        <v>524</v>
      </c>
      <c r="H6" s="166" t="s">
        <v>526</v>
      </c>
      <c r="I6" s="166" t="s">
        <v>527</v>
      </c>
      <c r="J6" s="166" t="s">
        <v>528</v>
      </c>
      <c r="K6" s="166" t="s">
        <v>529</v>
      </c>
    </row>
    <row r="7" spans="1:11">
      <c r="A7" s="107"/>
      <c r="B7" s="108" t="s">
        <v>420</v>
      </c>
      <c r="C7" s="139" t="s">
        <v>421</v>
      </c>
      <c r="D7" s="119"/>
      <c r="E7" s="167"/>
      <c r="F7" s="167"/>
      <c r="G7" s="193" t="s">
        <v>949</v>
      </c>
      <c r="H7" s="193" t="s">
        <v>949</v>
      </c>
      <c r="I7" s="193" t="s">
        <v>949</v>
      </c>
      <c r="J7" s="167"/>
      <c r="K7" s="167"/>
    </row>
    <row r="8" spans="1:11">
      <c r="A8" s="107"/>
      <c r="B8" s="108" t="s">
        <v>422</v>
      </c>
      <c r="C8" s="139" t="s">
        <v>423</v>
      </c>
      <c r="D8" s="119"/>
      <c r="E8" s="167"/>
      <c r="F8" s="167"/>
      <c r="G8" s="193" t="s">
        <v>949</v>
      </c>
      <c r="H8" s="193" t="s">
        <v>949</v>
      </c>
      <c r="I8" s="193" t="s">
        <v>949</v>
      </c>
      <c r="J8" s="167"/>
      <c r="K8" s="167"/>
    </row>
    <row r="9" spans="1:11">
      <c r="A9" s="107"/>
      <c r="B9" s="108" t="s">
        <v>424</v>
      </c>
      <c r="C9" s="139" t="s">
        <v>425</v>
      </c>
      <c r="D9" s="119"/>
      <c r="E9" s="167"/>
      <c r="F9" s="167"/>
      <c r="G9" s="193" t="s">
        <v>949</v>
      </c>
      <c r="H9" s="193" t="s">
        <v>949</v>
      </c>
      <c r="I9" s="193" t="s">
        <v>949</v>
      </c>
      <c r="J9" s="167"/>
      <c r="K9" s="167"/>
    </row>
    <row r="10" spans="1:11">
      <c r="A10" s="107"/>
      <c r="B10" s="108" t="s">
        <v>426</v>
      </c>
      <c r="C10" s="139" t="s">
        <v>427</v>
      </c>
      <c r="D10" s="119"/>
      <c r="E10" s="167"/>
      <c r="F10" s="167"/>
      <c r="G10" s="193" t="s">
        <v>949</v>
      </c>
      <c r="H10" s="193" t="s">
        <v>949</v>
      </c>
      <c r="I10" s="193" t="s">
        <v>949</v>
      </c>
      <c r="J10" s="167"/>
      <c r="K10" s="167"/>
    </row>
    <row r="11" spans="1:11">
      <c r="A11" s="107"/>
      <c r="B11" s="108" t="s">
        <v>428</v>
      </c>
      <c r="C11" s="139" t="s">
        <v>429</v>
      </c>
      <c r="D11" s="119"/>
      <c r="E11" s="167"/>
      <c r="F11" s="167"/>
      <c r="G11" s="193" t="s">
        <v>949</v>
      </c>
      <c r="H11" s="193" t="s">
        <v>949</v>
      </c>
      <c r="I11" s="193" t="s">
        <v>949</v>
      </c>
      <c r="J11" s="167"/>
      <c r="K11" s="167"/>
    </row>
    <row r="12" spans="1:11">
      <c r="A12" s="107"/>
      <c r="B12" s="108" t="s">
        <v>687</v>
      </c>
      <c r="C12" s="139" t="s">
        <v>430</v>
      </c>
      <c r="D12" s="119"/>
      <c r="E12" s="167"/>
      <c r="F12" s="167"/>
      <c r="G12" s="193" t="s">
        <v>949</v>
      </c>
      <c r="H12" s="193" t="s">
        <v>949</v>
      </c>
      <c r="I12" s="193" t="s">
        <v>949</v>
      </c>
      <c r="J12" s="167"/>
      <c r="K12" s="167"/>
    </row>
    <row r="13" spans="1:11">
      <c r="A13" s="107"/>
      <c r="B13" s="108" t="s">
        <v>431</v>
      </c>
      <c r="C13" s="139" t="s">
        <v>432</v>
      </c>
      <c r="D13" s="119"/>
      <c r="E13" s="167"/>
      <c r="F13" s="167"/>
      <c r="G13" s="193" t="s">
        <v>949</v>
      </c>
      <c r="H13" s="193" t="s">
        <v>949</v>
      </c>
      <c r="I13" s="193" t="s">
        <v>949</v>
      </c>
      <c r="J13" s="167"/>
      <c r="K13" s="167"/>
    </row>
    <row r="14" spans="1:11">
      <c r="A14" s="107"/>
      <c r="B14" s="108" t="s">
        <v>433</v>
      </c>
      <c r="C14" s="139" t="s">
        <v>434</v>
      </c>
      <c r="D14" s="119"/>
      <c r="E14" s="167"/>
      <c r="F14" s="167"/>
      <c r="G14" s="193" t="s">
        <v>949</v>
      </c>
      <c r="H14" s="193" t="s">
        <v>949</v>
      </c>
      <c r="I14" s="193" t="s">
        <v>949</v>
      </c>
      <c r="J14" s="167"/>
      <c r="K14" s="167"/>
    </row>
    <row r="15" spans="1:11">
      <c r="A15" s="107"/>
      <c r="B15" s="108" t="s">
        <v>435</v>
      </c>
      <c r="C15" s="139" t="s">
        <v>436</v>
      </c>
      <c r="D15" s="119"/>
      <c r="E15" s="167"/>
      <c r="F15" s="167"/>
      <c r="G15" s="193" t="s">
        <v>949</v>
      </c>
      <c r="H15" s="193" t="s">
        <v>949</v>
      </c>
      <c r="I15" s="193" t="s">
        <v>949</v>
      </c>
      <c r="J15" s="167"/>
      <c r="K15" s="167"/>
    </row>
    <row r="16" spans="1:11">
      <c r="A16" s="107"/>
      <c r="B16" s="139" t="s">
        <v>688</v>
      </c>
      <c r="C16" s="139" t="s">
        <v>439</v>
      </c>
      <c r="D16" s="119"/>
      <c r="E16" s="167"/>
      <c r="F16" s="167"/>
      <c r="G16" s="193" t="s">
        <v>949</v>
      </c>
      <c r="H16" s="193" t="s">
        <v>949</v>
      </c>
      <c r="I16" s="193" t="s">
        <v>949</v>
      </c>
      <c r="J16" s="167"/>
      <c r="K16" s="167"/>
    </row>
    <row r="17" spans="1:11">
      <c r="A17" s="107"/>
      <c r="B17" s="105" t="s">
        <v>108</v>
      </c>
      <c r="C17" s="110"/>
    </row>
    <row r="18" spans="1:11">
      <c r="B18" s="106" t="s">
        <v>95</v>
      </c>
      <c r="C18" s="106" t="s">
        <v>96</v>
      </c>
      <c r="D18" s="172" t="s">
        <v>97</v>
      </c>
      <c r="E18" s="166" t="s">
        <v>520</v>
      </c>
      <c r="F18" s="166" t="s">
        <v>522</v>
      </c>
      <c r="G18" s="166" t="s">
        <v>523</v>
      </c>
      <c r="H18" s="166" t="s">
        <v>525</v>
      </c>
      <c r="I18" s="166" t="s">
        <v>531</v>
      </c>
      <c r="J18" s="166" t="s">
        <v>532</v>
      </c>
      <c r="K18" s="166" t="s">
        <v>529</v>
      </c>
    </row>
    <row r="19" spans="1:11">
      <c r="B19" s="108" t="s">
        <v>109</v>
      </c>
      <c r="C19" s="108" t="s">
        <v>405</v>
      </c>
      <c r="D19" s="119" t="s">
        <v>406</v>
      </c>
      <c r="E19" s="167"/>
      <c r="F19" s="167"/>
      <c r="G19" s="193" t="s">
        <v>949</v>
      </c>
      <c r="H19" s="193" t="s">
        <v>949</v>
      </c>
      <c r="I19" s="193" t="s">
        <v>949</v>
      </c>
      <c r="J19" s="167"/>
      <c r="K19" s="167"/>
    </row>
    <row r="20" spans="1:11">
      <c r="B20" s="108" t="s">
        <v>110</v>
      </c>
      <c r="C20" s="108" t="s">
        <v>407</v>
      </c>
      <c r="D20" s="119"/>
      <c r="E20" s="167"/>
      <c r="F20" s="167"/>
      <c r="G20" s="193" t="s">
        <v>949</v>
      </c>
      <c r="H20" s="193" t="s">
        <v>949</v>
      </c>
      <c r="I20" s="193" t="s">
        <v>949</v>
      </c>
      <c r="J20" s="167"/>
      <c r="K20" s="167"/>
    </row>
    <row r="21" spans="1:11" ht="27">
      <c r="B21" s="108" t="s">
        <v>408</v>
      </c>
      <c r="C21" s="108" t="s">
        <v>409</v>
      </c>
      <c r="D21" s="119" t="s">
        <v>410</v>
      </c>
      <c r="E21" s="167"/>
      <c r="F21" s="167"/>
      <c r="G21" s="193" t="s">
        <v>949</v>
      </c>
      <c r="H21" s="193" t="s">
        <v>949</v>
      </c>
      <c r="I21" s="193" t="s">
        <v>949</v>
      </c>
      <c r="J21" s="167"/>
      <c r="K21" s="167"/>
    </row>
    <row r="22" spans="1:11">
      <c r="B22" s="108" t="s">
        <v>111</v>
      </c>
      <c r="C22" s="108" t="s">
        <v>411</v>
      </c>
      <c r="D22" s="119"/>
      <c r="E22" s="193"/>
      <c r="F22" s="193"/>
      <c r="G22" s="193"/>
      <c r="H22" s="193"/>
      <c r="I22" s="193"/>
      <c r="J22" s="193"/>
      <c r="K22" s="167"/>
    </row>
    <row r="23" spans="1:11">
      <c r="B23" s="108" t="s">
        <v>112</v>
      </c>
      <c r="C23" s="108" t="s">
        <v>412</v>
      </c>
      <c r="D23" s="119"/>
      <c r="E23" s="167"/>
      <c r="F23" s="167"/>
      <c r="G23" s="193" t="s">
        <v>949</v>
      </c>
      <c r="H23" s="193" t="s">
        <v>949</v>
      </c>
      <c r="I23" s="193" t="s">
        <v>949</v>
      </c>
      <c r="J23" s="167"/>
      <c r="K23" s="167"/>
    </row>
    <row r="24" spans="1:11">
      <c r="B24" s="108" t="s">
        <v>113</v>
      </c>
      <c r="C24" s="108" t="s">
        <v>407</v>
      </c>
      <c r="D24" s="119"/>
      <c r="E24" s="167"/>
      <c r="F24" s="167"/>
      <c r="G24" s="193" t="s">
        <v>949</v>
      </c>
      <c r="H24" s="193" t="s">
        <v>949</v>
      </c>
      <c r="I24" s="193" t="s">
        <v>949</v>
      </c>
      <c r="J24" s="167"/>
      <c r="K24" s="167"/>
    </row>
    <row r="25" spans="1:11">
      <c r="B25" s="108" t="s">
        <v>413</v>
      </c>
      <c r="C25" s="108" t="s">
        <v>414</v>
      </c>
      <c r="D25" s="119"/>
      <c r="E25" s="167"/>
      <c r="F25" s="167"/>
      <c r="G25" s="193" t="s">
        <v>949</v>
      </c>
      <c r="H25" s="193" t="s">
        <v>949</v>
      </c>
      <c r="I25" s="193" t="s">
        <v>949</v>
      </c>
      <c r="J25" s="167"/>
      <c r="K25" s="167"/>
    </row>
    <row r="26" spans="1:11">
      <c r="B26" s="120"/>
      <c r="C26" s="120"/>
      <c r="D26" s="173"/>
    </row>
    <row r="27" spans="1:11">
      <c r="A27" s="105" t="s">
        <v>375</v>
      </c>
    </row>
    <row r="28" spans="1:11">
      <c r="A28" s="107"/>
      <c r="B28" s="105" t="s">
        <v>107</v>
      </c>
      <c r="C28" s="110"/>
    </row>
    <row r="29" spans="1:11">
      <c r="B29" s="106" t="s">
        <v>95</v>
      </c>
      <c r="C29" s="106" t="s">
        <v>96</v>
      </c>
      <c r="D29" s="172" t="s">
        <v>97</v>
      </c>
      <c r="E29" s="166"/>
    </row>
    <row r="30" spans="1:11">
      <c r="A30" s="107"/>
      <c r="B30" s="108" t="s">
        <v>420</v>
      </c>
      <c r="C30" s="139" t="s">
        <v>421</v>
      </c>
      <c r="D30" s="119"/>
      <c r="E30" s="167"/>
    </row>
    <row r="31" spans="1:11">
      <c r="A31" s="107"/>
      <c r="B31" s="108" t="s">
        <v>422</v>
      </c>
      <c r="C31" s="139" t="s">
        <v>423</v>
      </c>
      <c r="D31" s="119"/>
      <c r="E31" s="167"/>
    </row>
    <row r="32" spans="1:11">
      <c r="A32" s="107"/>
      <c r="B32" s="108" t="s">
        <v>424</v>
      </c>
      <c r="C32" s="139" t="s">
        <v>425</v>
      </c>
      <c r="D32" s="119"/>
      <c r="E32" s="167"/>
    </row>
    <row r="33" spans="1:5">
      <c r="A33" s="107"/>
      <c r="B33" s="108" t="s">
        <v>426</v>
      </c>
      <c r="C33" s="139" t="s">
        <v>427</v>
      </c>
      <c r="D33" s="119"/>
      <c r="E33" s="167"/>
    </row>
    <row r="34" spans="1:5">
      <c r="A34" s="107"/>
      <c r="B34" s="108" t="s">
        <v>428</v>
      </c>
      <c r="C34" s="139" t="s">
        <v>429</v>
      </c>
      <c r="D34" s="119"/>
      <c r="E34" s="167"/>
    </row>
    <row r="35" spans="1:5">
      <c r="A35" s="107"/>
      <c r="B35" s="108" t="s">
        <v>687</v>
      </c>
      <c r="C35" s="139" t="s">
        <v>430</v>
      </c>
      <c r="D35" s="119"/>
      <c r="E35" s="167"/>
    </row>
    <row r="36" spans="1:5">
      <c r="A36" s="107"/>
      <c r="B36" s="108" t="s">
        <v>431</v>
      </c>
      <c r="C36" s="139" t="s">
        <v>432</v>
      </c>
      <c r="D36" s="119"/>
      <c r="E36" s="167"/>
    </row>
    <row r="37" spans="1:5">
      <c r="A37" s="107"/>
      <c r="B37" s="108" t="s">
        <v>433</v>
      </c>
      <c r="C37" s="139" t="s">
        <v>434</v>
      </c>
      <c r="D37" s="119"/>
      <c r="E37" s="167"/>
    </row>
    <row r="38" spans="1:5">
      <c r="A38" s="107"/>
      <c r="B38" s="108" t="s">
        <v>435</v>
      </c>
      <c r="C38" s="139" t="s">
        <v>436</v>
      </c>
      <c r="D38" s="119"/>
      <c r="E38" s="167"/>
    </row>
    <row r="39" spans="1:5">
      <c r="A39" s="107"/>
      <c r="B39" s="108" t="s">
        <v>437</v>
      </c>
      <c r="C39" s="139" t="s">
        <v>363</v>
      </c>
      <c r="D39" s="119"/>
      <c r="E39" s="167"/>
    </row>
    <row r="40" spans="1:5">
      <c r="A40" s="107"/>
      <c r="B40" s="139" t="s">
        <v>688</v>
      </c>
      <c r="C40" s="139" t="s">
        <v>439</v>
      </c>
      <c r="D40" s="119"/>
      <c r="E40" s="167"/>
    </row>
    <row r="41" spans="1:5">
      <c r="A41" s="107"/>
      <c r="B41" s="139" t="s">
        <v>440</v>
      </c>
      <c r="C41" s="139" t="s">
        <v>441</v>
      </c>
      <c r="D41" s="119"/>
      <c r="E41" s="167"/>
    </row>
    <row r="42" spans="1:5">
      <c r="A42" s="107"/>
      <c r="B42" s="139" t="s">
        <v>442</v>
      </c>
      <c r="C42" s="139" t="s">
        <v>443</v>
      </c>
      <c r="D42" s="119"/>
      <c r="E42" s="167"/>
    </row>
    <row r="43" spans="1:5">
      <c r="A43" s="107"/>
      <c r="B43" s="139" t="s">
        <v>444</v>
      </c>
      <c r="C43" s="139" t="s">
        <v>445</v>
      </c>
      <c r="D43" s="119"/>
      <c r="E43" s="167"/>
    </row>
    <row r="44" spans="1:5">
      <c r="A44" s="107"/>
      <c r="B44" s="105" t="s">
        <v>108</v>
      </c>
      <c r="C44" s="110"/>
    </row>
    <row r="45" spans="1:5">
      <c r="B45" s="106" t="s">
        <v>95</v>
      </c>
      <c r="C45" s="106" t="s">
        <v>96</v>
      </c>
      <c r="D45" s="172" t="s">
        <v>97</v>
      </c>
      <c r="E45" s="166"/>
    </row>
    <row r="46" spans="1:5">
      <c r="B46" s="108" t="s">
        <v>109</v>
      </c>
      <c r="C46" s="108" t="s">
        <v>379</v>
      </c>
      <c r="D46" s="119" t="s">
        <v>380</v>
      </c>
      <c r="E46" s="167"/>
    </row>
    <row r="47" spans="1:5">
      <c r="B47" s="108" t="s">
        <v>376</v>
      </c>
      <c r="C47" s="108" t="s">
        <v>377</v>
      </c>
      <c r="D47" s="119" t="s">
        <v>378</v>
      </c>
      <c r="E47" s="167"/>
    </row>
    <row r="48" spans="1:5">
      <c r="B48" s="120"/>
      <c r="C48" s="120"/>
      <c r="D48" s="173"/>
    </row>
    <row r="49" spans="1:5">
      <c r="A49" s="105" t="s">
        <v>384</v>
      </c>
    </row>
    <row r="50" spans="1:5">
      <c r="A50" s="107"/>
      <c r="B50" s="105" t="s">
        <v>107</v>
      </c>
      <c r="C50" s="110"/>
    </row>
    <row r="51" spans="1:5">
      <c r="B51" s="106" t="s">
        <v>95</v>
      </c>
      <c r="C51" s="106" t="s">
        <v>96</v>
      </c>
      <c r="D51" s="172" t="s">
        <v>97</v>
      </c>
      <c r="E51" s="166"/>
    </row>
    <row r="52" spans="1:5">
      <c r="A52" s="107"/>
      <c r="B52" s="108" t="s">
        <v>420</v>
      </c>
      <c r="C52" s="139" t="s">
        <v>421</v>
      </c>
      <c r="D52" s="119"/>
      <c r="E52" s="167"/>
    </row>
    <row r="53" spans="1:5">
      <c r="A53" s="107"/>
      <c r="B53" s="108" t="s">
        <v>422</v>
      </c>
      <c r="C53" s="139" t="s">
        <v>423</v>
      </c>
      <c r="D53" s="119"/>
      <c r="E53" s="167"/>
    </row>
    <row r="54" spans="1:5">
      <c r="A54" s="107"/>
      <c r="B54" s="108" t="s">
        <v>424</v>
      </c>
      <c r="C54" s="139" t="s">
        <v>425</v>
      </c>
      <c r="D54" s="119"/>
      <c r="E54" s="167"/>
    </row>
    <row r="55" spans="1:5">
      <c r="A55" s="107"/>
      <c r="B55" s="108" t="s">
        <v>426</v>
      </c>
      <c r="C55" s="139" t="s">
        <v>427</v>
      </c>
      <c r="D55" s="119"/>
      <c r="E55" s="167"/>
    </row>
    <row r="56" spans="1:5">
      <c r="A56" s="107"/>
      <c r="B56" s="108" t="s">
        <v>428</v>
      </c>
      <c r="C56" s="139" t="s">
        <v>429</v>
      </c>
      <c r="D56" s="119"/>
      <c r="E56" s="167"/>
    </row>
    <row r="57" spans="1:5">
      <c r="A57" s="107"/>
      <c r="B57" s="108" t="s">
        <v>687</v>
      </c>
      <c r="C57" s="139" t="s">
        <v>430</v>
      </c>
      <c r="D57" s="119"/>
      <c r="E57" s="167"/>
    </row>
    <row r="58" spans="1:5">
      <c r="A58" s="107"/>
      <c r="B58" s="108" t="s">
        <v>431</v>
      </c>
      <c r="C58" s="139" t="s">
        <v>432</v>
      </c>
      <c r="D58" s="119"/>
      <c r="E58" s="167"/>
    </row>
    <row r="59" spans="1:5">
      <c r="A59" s="107"/>
      <c r="B59" s="108" t="s">
        <v>433</v>
      </c>
      <c r="C59" s="139" t="s">
        <v>434</v>
      </c>
      <c r="D59" s="119"/>
      <c r="E59" s="167"/>
    </row>
    <row r="60" spans="1:5">
      <c r="A60" s="107"/>
      <c r="B60" s="108" t="s">
        <v>435</v>
      </c>
      <c r="C60" s="139" t="s">
        <v>436</v>
      </c>
      <c r="D60" s="119"/>
      <c r="E60" s="167"/>
    </row>
    <row r="61" spans="1:5">
      <c r="A61" s="107"/>
      <c r="B61" s="108" t="s">
        <v>437</v>
      </c>
      <c r="C61" s="139" t="s">
        <v>363</v>
      </c>
      <c r="D61" s="119"/>
      <c r="E61" s="167"/>
    </row>
    <row r="62" spans="1:5">
      <c r="A62" s="107"/>
      <c r="B62" s="139" t="s">
        <v>688</v>
      </c>
      <c r="C62" s="139" t="s">
        <v>439</v>
      </c>
      <c r="D62" s="119"/>
      <c r="E62" s="167"/>
    </row>
    <row r="63" spans="1:5">
      <c r="A63" s="107"/>
      <c r="B63" s="139" t="s">
        <v>440</v>
      </c>
      <c r="C63" s="139" t="s">
        <v>441</v>
      </c>
      <c r="D63" s="119"/>
      <c r="E63" s="167"/>
    </row>
    <row r="64" spans="1:5">
      <c r="A64" s="107"/>
      <c r="B64" s="139" t="s">
        <v>442</v>
      </c>
      <c r="C64" s="139" t="s">
        <v>443</v>
      </c>
      <c r="D64" s="119"/>
      <c r="E64" s="167"/>
    </row>
    <row r="65" spans="1:12">
      <c r="A65" s="107"/>
      <c r="B65" s="139" t="s">
        <v>444</v>
      </c>
      <c r="C65" s="139" t="s">
        <v>445</v>
      </c>
      <c r="D65" s="119"/>
      <c r="E65" s="167"/>
    </row>
    <row r="66" spans="1:12">
      <c r="A66" s="107"/>
      <c r="B66" s="105" t="s">
        <v>108</v>
      </c>
      <c r="C66" s="110"/>
    </row>
    <row r="67" spans="1:12">
      <c r="B67" s="106" t="s">
        <v>95</v>
      </c>
      <c r="C67" s="106" t="s">
        <v>96</v>
      </c>
      <c r="D67" s="172" t="s">
        <v>97</v>
      </c>
      <c r="E67" s="166"/>
    </row>
    <row r="68" spans="1:12">
      <c r="B68" s="108" t="s">
        <v>109</v>
      </c>
      <c r="C68" s="108" t="s">
        <v>379</v>
      </c>
      <c r="D68" s="119" t="s">
        <v>380</v>
      </c>
      <c r="E68" s="167"/>
    </row>
    <row r="69" spans="1:12">
      <c r="B69" s="108" t="s">
        <v>376</v>
      </c>
      <c r="C69" s="108" t="s">
        <v>377</v>
      </c>
      <c r="D69" s="119" t="s">
        <v>378</v>
      </c>
      <c r="E69" s="167"/>
    </row>
    <row r="70" spans="1:12">
      <c r="B70" s="108" t="s">
        <v>385</v>
      </c>
      <c r="C70" s="108" t="s">
        <v>386</v>
      </c>
      <c r="D70" s="119" t="s">
        <v>378</v>
      </c>
      <c r="E70" s="167"/>
    </row>
    <row r="71" spans="1:12">
      <c r="B71" s="108" t="s">
        <v>387</v>
      </c>
      <c r="C71" s="108"/>
      <c r="D71" s="119"/>
      <c r="E71" s="167"/>
    </row>
    <row r="72" spans="1:12">
      <c r="B72" s="108" t="s">
        <v>388</v>
      </c>
      <c r="C72" s="108" t="s">
        <v>390</v>
      </c>
      <c r="D72" s="119" t="s">
        <v>391</v>
      </c>
      <c r="E72" s="167"/>
    </row>
    <row r="73" spans="1:12">
      <c r="B73" s="108" t="s">
        <v>389</v>
      </c>
      <c r="C73" s="108"/>
      <c r="D73" s="119"/>
      <c r="E73" s="167"/>
    </row>
    <row r="74" spans="1:12">
      <c r="B74" s="120"/>
      <c r="C74" s="120"/>
      <c r="D74" s="173"/>
    </row>
    <row r="75" spans="1:12">
      <c r="B75" s="146"/>
      <c r="C75" s="146"/>
    </row>
    <row r="76" spans="1:12">
      <c r="A76" s="285" t="s">
        <v>418</v>
      </c>
      <c r="B76" s="285"/>
      <c r="C76" s="110"/>
      <c r="E76" s="110"/>
    </row>
    <row r="77" spans="1:12">
      <c r="B77" t="s">
        <v>419</v>
      </c>
    </row>
    <row r="78" spans="1:12">
      <c r="B78" s="106" t="s">
        <v>95</v>
      </c>
      <c r="C78" s="106" t="s">
        <v>96</v>
      </c>
      <c r="D78" s="172" t="s">
        <v>97</v>
      </c>
      <c r="E78" s="166" t="s">
        <v>521</v>
      </c>
      <c r="F78" s="166" t="s">
        <v>522</v>
      </c>
      <c r="G78" s="166" t="s">
        <v>524</v>
      </c>
      <c r="H78" s="166" t="s">
        <v>526</v>
      </c>
      <c r="I78" s="166" t="s">
        <v>527</v>
      </c>
      <c r="J78" s="166" t="s">
        <v>528</v>
      </c>
      <c r="K78" s="166" t="s">
        <v>529</v>
      </c>
      <c r="L78" s="166" t="s">
        <v>530</v>
      </c>
    </row>
    <row r="79" spans="1:12">
      <c r="A79" s="107"/>
      <c r="B79" s="108" t="s">
        <v>420</v>
      </c>
      <c r="C79" s="139" t="s">
        <v>421</v>
      </c>
      <c r="D79" s="119"/>
      <c r="E79" s="167"/>
      <c r="F79" s="167"/>
      <c r="G79" s="167"/>
      <c r="H79" s="167"/>
      <c r="I79" s="167"/>
      <c r="J79" s="167"/>
      <c r="K79" s="167"/>
      <c r="L79" s="167"/>
    </row>
    <row r="80" spans="1:12">
      <c r="A80" s="107"/>
      <c r="B80" s="108" t="s">
        <v>422</v>
      </c>
      <c r="C80" s="139" t="s">
        <v>423</v>
      </c>
      <c r="D80" s="119"/>
      <c r="E80" s="167"/>
      <c r="F80" s="167"/>
      <c r="G80" s="167"/>
      <c r="H80" s="167"/>
      <c r="I80" s="167"/>
      <c r="J80" s="167"/>
      <c r="K80" s="167"/>
      <c r="L80" s="167"/>
    </row>
    <row r="81" spans="1:13">
      <c r="A81" s="107"/>
      <c r="B81" s="108" t="s">
        <v>424</v>
      </c>
      <c r="C81" s="139" t="s">
        <v>425</v>
      </c>
      <c r="D81" s="119"/>
      <c r="E81" s="167"/>
      <c r="F81" s="167"/>
      <c r="G81" s="167"/>
      <c r="H81" s="167"/>
      <c r="I81" s="167"/>
      <c r="J81" s="167"/>
      <c r="K81" s="167"/>
      <c r="L81" s="167"/>
    </row>
    <row r="82" spans="1:13">
      <c r="A82" s="107"/>
      <c r="B82" s="108" t="s">
        <v>426</v>
      </c>
      <c r="C82" s="139" t="s">
        <v>427</v>
      </c>
      <c r="D82" s="119"/>
      <c r="E82" s="167"/>
      <c r="F82" s="167"/>
      <c r="G82" s="167"/>
      <c r="H82" s="167"/>
      <c r="I82" s="167"/>
      <c r="J82" s="167"/>
      <c r="K82" s="167"/>
      <c r="L82" s="167"/>
    </row>
    <row r="83" spans="1:13">
      <c r="A83" s="107"/>
      <c r="B83" s="108" t="s">
        <v>428</v>
      </c>
      <c r="C83" s="139" t="s">
        <v>429</v>
      </c>
      <c r="D83" s="119"/>
      <c r="E83" s="167"/>
      <c r="F83" s="167"/>
      <c r="G83" s="167"/>
      <c r="H83" s="167"/>
      <c r="I83" s="167"/>
      <c r="J83" s="167"/>
      <c r="K83" s="167"/>
      <c r="L83" s="167"/>
    </row>
    <row r="84" spans="1:13">
      <c r="A84" s="107"/>
      <c r="B84" s="108" t="s">
        <v>687</v>
      </c>
      <c r="C84" s="139" t="s">
        <v>430</v>
      </c>
      <c r="D84" s="119"/>
      <c r="E84" s="167"/>
      <c r="F84" s="167"/>
      <c r="G84" s="167"/>
      <c r="H84" s="167"/>
      <c r="I84" s="167"/>
      <c r="J84" s="167"/>
      <c r="K84" s="167"/>
      <c r="L84" s="167"/>
    </row>
    <row r="85" spans="1:13">
      <c r="A85" s="107"/>
      <c r="B85" s="108" t="s">
        <v>431</v>
      </c>
      <c r="C85" s="139" t="s">
        <v>432</v>
      </c>
      <c r="D85" s="119"/>
      <c r="E85" s="167"/>
      <c r="F85" s="167"/>
      <c r="G85" s="167"/>
      <c r="H85" s="167"/>
      <c r="I85" s="167"/>
      <c r="J85" s="167"/>
      <c r="K85" s="167"/>
      <c r="L85" s="167"/>
    </row>
    <row r="86" spans="1:13">
      <c r="A86" s="107"/>
      <c r="B86" s="108" t="s">
        <v>433</v>
      </c>
      <c r="C86" s="139" t="s">
        <v>434</v>
      </c>
      <c r="D86" s="119"/>
      <c r="E86" s="167"/>
      <c r="F86" s="167"/>
      <c r="G86" s="167"/>
      <c r="H86" s="167"/>
      <c r="I86" s="167"/>
      <c r="J86" s="167"/>
      <c r="K86" s="167"/>
      <c r="L86" s="167"/>
    </row>
    <row r="87" spans="1:13">
      <c r="A87" s="107"/>
      <c r="B87" s="108" t="s">
        <v>435</v>
      </c>
      <c r="C87" s="139" t="s">
        <v>436</v>
      </c>
      <c r="D87" s="119"/>
      <c r="E87" s="167"/>
      <c r="F87" s="167"/>
      <c r="G87" s="167"/>
      <c r="H87" s="167"/>
      <c r="I87" s="167"/>
      <c r="J87" s="167"/>
      <c r="K87" s="167"/>
      <c r="L87" s="167"/>
    </row>
    <row r="88" spans="1:13">
      <c r="A88" s="107"/>
      <c r="B88" s="108" t="s">
        <v>437</v>
      </c>
      <c r="C88" s="139" t="s">
        <v>438</v>
      </c>
      <c r="D88" s="119"/>
      <c r="E88" s="167"/>
      <c r="F88" s="167"/>
      <c r="G88" s="167"/>
      <c r="H88" s="167"/>
      <c r="I88" s="167"/>
      <c r="J88" s="167"/>
      <c r="K88" s="167"/>
      <c r="L88" s="167"/>
    </row>
    <row r="89" spans="1:13">
      <c r="A89" s="107"/>
      <c r="B89" s="139" t="s">
        <v>688</v>
      </c>
      <c r="C89" s="139" t="s">
        <v>439</v>
      </c>
      <c r="D89" s="119"/>
      <c r="E89" s="167"/>
      <c r="F89" s="167"/>
      <c r="G89" s="167"/>
      <c r="H89" s="167"/>
      <c r="I89" s="167"/>
      <c r="J89" s="167"/>
      <c r="K89" s="167"/>
      <c r="L89" s="167"/>
    </row>
    <row r="90" spans="1:13">
      <c r="A90" s="107"/>
      <c r="B90" s="139" t="s">
        <v>440</v>
      </c>
      <c r="C90" s="139" t="s">
        <v>441</v>
      </c>
      <c r="D90" s="119"/>
      <c r="E90" s="167"/>
      <c r="F90" s="167"/>
      <c r="G90" s="167"/>
      <c r="H90" s="167"/>
      <c r="I90" s="167"/>
      <c r="J90" s="167"/>
      <c r="K90" s="167"/>
      <c r="L90" s="167"/>
    </row>
    <row r="91" spans="1:13">
      <c r="A91" s="107"/>
      <c r="B91" s="139" t="s">
        <v>442</v>
      </c>
      <c r="C91" s="139" t="s">
        <v>443</v>
      </c>
      <c r="D91" s="119"/>
      <c r="E91" s="167"/>
      <c r="F91" s="167"/>
      <c r="G91" s="167"/>
      <c r="H91" s="167"/>
      <c r="I91" s="167"/>
      <c r="J91" s="167"/>
      <c r="K91" s="167"/>
      <c r="L91" s="167"/>
    </row>
    <row r="92" spans="1:13">
      <c r="A92" s="107"/>
      <c r="B92" s="139" t="s">
        <v>444</v>
      </c>
      <c r="C92" s="139" t="s">
        <v>445</v>
      </c>
      <c r="D92" s="119"/>
      <c r="E92" s="167"/>
      <c r="F92" s="167"/>
      <c r="G92" s="167"/>
      <c r="H92" s="167"/>
      <c r="I92" s="167"/>
      <c r="J92" s="167"/>
      <c r="K92" s="167"/>
      <c r="L92" s="167"/>
    </row>
    <row r="93" spans="1:13">
      <c r="A93" s="107"/>
      <c r="B93" s="141"/>
      <c r="C93" s="142"/>
      <c r="D93" s="143"/>
      <c r="E93" s="121"/>
    </row>
    <row r="94" spans="1:13">
      <c r="A94" s="107"/>
      <c r="B94" s="120" t="s">
        <v>446</v>
      </c>
      <c r="C94" s="143"/>
      <c r="D94" s="173"/>
    </row>
    <row r="95" spans="1:13">
      <c r="B95" s="106" t="s">
        <v>95</v>
      </c>
      <c r="C95" s="106" t="s">
        <v>96</v>
      </c>
      <c r="D95" s="172" t="s">
        <v>97</v>
      </c>
      <c r="E95" s="172" t="s">
        <v>691</v>
      </c>
      <c r="F95" s="166" t="s">
        <v>521</v>
      </c>
      <c r="G95" s="166" t="s">
        <v>522</v>
      </c>
      <c r="H95" s="166" t="s">
        <v>524</v>
      </c>
      <c r="I95" s="166" t="s">
        <v>526</v>
      </c>
      <c r="J95" s="166" t="s">
        <v>527</v>
      </c>
      <c r="K95" s="166" t="s">
        <v>528</v>
      </c>
      <c r="L95" s="166" t="s">
        <v>529</v>
      </c>
      <c r="M95" s="166" t="s">
        <v>530</v>
      </c>
    </row>
    <row r="96" spans="1:13">
      <c r="B96" s="144" t="s">
        <v>706</v>
      </c>
      <c r="C96" s="144"/>
      <c r="D96" s="174"/>
      <c r="E96" s="174"/>
      <c r="F96" s="167"/>
      <c r="G96" s="167"/>
      <c r="H96" s="167"/>
      <c r="I96" s="167"/>
      <c r="J96" s="167"/>
      <c r="K96" s="167"/>
      <c r="L96" s="167"/>
      <c r="M96" s="167"/>
    </row>
    <row r="97" spans="1:13">
      <c r="B97" s="108" t="s">
        <v>707</v>
      </c>
      <c r="C97" s="108" t="s">
        <v>708</v>
      </c>
      <c r="D97" s="119"/>
      <c r="E97" s="119"/>
      <c r="F97" s="167"/>
      <c r="G97" s="167"/>
      <c r="H97" s="167"/>
      <c r="I97" s="167"/>
      <c r="J97" s="167"/>
      <c r="K97" s="167"/>
      <c r="L97" s="167"/>
      <c r="M97" s="167"/>
    </row>
    <row r="98" spans="1:13">
      <c r="A98" s="107"/>
      <c r="B98" s="108" t="s">
        <v>709</v>
      </c>
      <c r="C98" s="108" t="s">
        <v>447</v>
      </c>
      <c r="D98" s="119"/>
      <c r="E98" s="119"/>
      <c r="F98" s="193"/>
      <c r="G98" s="193"/>
      <c r="H98" s="193"/>
      <c r="I98" s="193"/>
      <c r="J98" s="193"/>
      <c r="K98" s="193"/>
      <c r="L98" s="193"/>
      <c r="M98" s="193"/>
    </row>
    <row r="99" spans="1:13">
      <c r="A99" s="107"/>
      <c r="B99" s="108" t="s">
        <v>909</v>
      </c>
      <c r="C99" s="108" t="s">
        <v>710</v>
      </c>
      <c r="D99" s="119"/>
      <c r="E99" s="119" t="s">
        <v>704</v>
      </c>
      <c r="F99" s="167"/>
      <c r="G99" s="167"/>
      <c r="H99" s="167"/>
      <c r="I99" s="167"/>
      <c r="J99" s="167"/>
      <c r="K99" s="167"/>
      <c r="L99" s="167"/>
      <c r="M99" s="167"/>
    </row>
    <row r="100" spans="1:13" ht="27">
      <c r="A100" s="107"/>
      <c r="B100" s="108" t="s">
        <v>711</v>
      </c>
      <c r="C100" s="108" t="s">
        <v>712</v>
      </c>
      <c r="D100" s="119" t="s">
        <v>713</v>
      </c>
      <c r="E100" s="119" t="s">
        <v>714</v>
      </c>
      <c r="F100" s="167"/>
      <c r="G100" s="167"/>
      <c r="H100" s="167"/>
      <c r="I100" s="167"/>
      <c r="J100" s="167"/>
      <c r="K100" s="167"/>
      <c r="L100" s="167"/>
      <c r="M100" s="167"/>
    </row>
    <row r="101" spans="1:13">
      <c r="A101" s="107"/>
      <c r="B101" s="108" t="s">
        <v>715</v>
      </c>
      <c r="C101" s="108" t="s">
        <v>716</v>
      </c>
      <c r="D101" s="119" t="s">
        <v>717</v>
      </c>
      <c r="E101" s="119" t="s">
        <v>692</v>
      </c>
      <c r="F101" s="167"/>
      <c r="G101" s="167"/>
      <c r="H101" s="167"/>
      <c r="I101" s="167"/>
      <c r="J101" s="167"/>
      <c r="K101" s="167"/>
      <c r="L101" s="167"/>
      <c r="M101" s="167"/>
    </row>
    <row r="102" spans="1:13">
      <c r="A102" s="107"/>
      <c r="B102" s="108" t="s">
        <v>910</v>
      </c>
      <c r="C102" s="108" t="s">
        <v>266</v>
      </c>
      <c r="D102" s="119" t="s">
        <v>718</v>
      </c>
      <c r="E102" s="119"/>
      <c r="F102" s="193"/>
      <c r="G102" s="193"/>
      <c r="H102" s="193"/>
      <c r="I102" s="193"/>
      <c r="J102" s="193"/>
      <c r="K102" s="193"/>
      <c r="L102" s="193"/>
      <c r="M102" s="193"/>
    </row>
    <row r="103" spans="1:13">
      <c r="A103" s="107"/>
      <c r="B103" s="108" t="s">
        <v>719</v>
      </c>
      <c r="C103" s="108" t="s">
        <v>720</v>
      </c>
      <c r="D103" s="119" t="s">
        <v>718</v>
      </c>
      <c r="E103" s="119"/>
      <c r="F103" s="193"/>
      <c r="G103" s="193"/>
      <c r="H103" s="193"/>
      <c r="I103" s="193"/>
      <c r="J103" s="193"/>
      <c r="K103" s="193"/>
      <c r="L103" s="193"/>
      <c r="M103" s="193"/>
    </row>
    <row r="104" spans="1:13">
      <c r="A104" s="107"/>
      <c r="B104" s="108" t="s">
        <v>912</v>
      </c>
      <c r="C104" s="108" t="s">
        <v>448</v>
      </c>
      <c r="D104" s="119" t="s">
        <v>718</v>
      </c>
      <c r="E104" s="119" t="s">
        <v>693</v>
      </c>
      <c r="F104" s="167"/>
      <c r="G104" s="167"/>
      <c r="H104" s="167"/>
      <c r="I104" s="167"/>
      <c r="J104" s="167"/>
      <c r="K104" s="167"/>
      <c r="L104" s="167"/>
      <c r="M104" s="167"/>
    </row>
    <row r="105" spans="1:13">
      <c r="A105" s="107"/>
      <c r="B105" s="108" t="s">
        <v>913</v>
      </c>
      <c r="C105" s="108" t="s">
        <v>721</v>
      </c>
      <c r="D105" s="119" t="s">
        <v>722</v>
      </c>
      <c r="E105" s="119" t="s">
        <v>694</v>
      </c>
      <c r="F105" s="167"/>
      <c r="G105" s="167"/>
      <c r="H105" s="167"/>
      <c r="I105" s="167"/>
      <c r="J105" s="167"/>
      <c r="K105" s="167"/>
      <c r="L105" s="167"/>
      <c r="M105" s="167"/>
    </row>
    <row r="106" spans="1:13">
      <c r="A106" s="107"/>
      <c r="B106" s="108" t="s">
        <v>723</v>
      </c>
      <c r="C106" s="108" t="s">
        <v>724</v>
      </c>
      <c r="D106" s="119" t="s">
        <v>718</v>
      </c>
      <c r="E106" s="119"/>
      <c r="F106" s="193"/>
      <c r="G106" s="193"/>
      <c r="H106" s="193"/>
      <c r="I106" s="193"/>
      <c r="J106" s="193"/>
      <c r="K106" s="193"/>
      <c r="L106" s="193"/>
      <c r="M106" s="193"/>
    </row>
    <row r="107" spans="1:13" ht="27">
      <c r="A107" s="107"/>
      <c r="B107" s="108" t="s">
        <v>914</v>
      </c>
      <c r="C107" s="108" t="s">
        <v>725</v>
      </c>
      <c r="D107" s="119" t="s">
        <v>726</v>
      </c>
      <c r="E107" s="119" t="s">
        <v>695</v>
      </c>
      <c r="F107" s="167"/>
      <c r="G107" s="167"/>
      <c r="H107" s="167"/>
      <c r="I107" s="167"/>
      <c r="J107" s="167"/>
      <c r="K107" s="167"/>
      <c r="L107" s="167"/>
      <c r="M107" s="167"/>
    </row>
    <row r="108" spans="1:13" ht="39" customHeight="1">
      <c r="A108" s="107"/>
      <c r="B108" s="108" t="s">
        <v>911</v>
      </c>
      <c r="C108" s="109" t="s">
        <v>727</v>
      </c>
      <c r="D108" s="119"/>
      <c r="E108" s="119"/>
      <c r="F108" s="193"/>
      <c r="G108" s="193"/>
      <c r="H108" s="193"/>
      <c r="I108" s="193"/>
      <c r="J108" s="193"/>
      <c r="K108" s="193"/>
      <c r="L108" s="193"/>
      <c r="M108" s="193"/>
    </row>
    <row r="109" spans="1:13" ht="27">
      <c r="A109" s="107"/>
      <c r="B109" s="108" t="s">
        <v>728</v>
      </c>
      <c r="C109" s="108" t="s">
        <v>729</v>
      </c>
      <c r="D109" s="119" t="s">
        <v>730</v>
      </c>
      <c r="E109" s="119"/>
      <c r="F109" s="193"/>
      <c r="G109" s="193"/>
      <c r="H109" s="193"/>
      <c r="I109" s="193"/>
      <c r="J109" s="193"/>
      <c r="K109" s="193"/>
      <c r="L109" s="193"/>
      <c r="M109" s="193"/>
    </row>
    <row r="110" spans="1:13">
      <c r="A110" s="107"/>
      <c r="B110" s="108" t="s">
        <v>916</v>
      </c>
      <c r="C110" s="108" t="s">
        <v>731</v>
      </c>
      <c r="D110" s="119" t="s">
        <v>732</v>
      </c>
      <c r="E110" s="119"/>
      <c r="F110" s="167"/>
      <c r="G110" s="167"/>
      <c r="H110" s="167"/>
      <c r="I110" s="167"/>
      <c r="J110" s="167"/>
      <c r="K110" s="167"/>
      <c r="L110" s="167"/>
      <c r="M110" s="167"/>
    </row>
    <row r="111" spans="1:13" ht="27">
      <c r="A111" s="107"/>
      <c r="B111" s="108" t="s">
        <v>915</v>
      </c>
      <c r="C111" s="108"/>
      <c r="D111" s="119"/>
      <c r="E111" s="119" t="s">
        <v>733</v>
      </c>
      <c r="F111" s="167"/>
      <c r="G111" s="167"/>
      <c r="H111" s="167"/>
      <c r="I111" s="167"/>
      <c r="J111" s="167"/>
      <c r="K111" s="167"/>
      <c r="L111" s="167"/>
      <c r="M111" s="167"/>
    </row>
    <row r="112" spans="1:13">
      <c r="A112" s="107"/>
      <c r="B112" s="108" t="s">
        <v>917</v>
      </c>
      <c r="C112" s="119" t="s">
        <v>734</v>
      </c>
      <c r="D112" s="119"/>
      <c r="E112" s="119"/>
      <c r="F112" s="167"/>
      <c r="G112" s="167"/>
      <c r="H112" s="167"/>
      <c r="I112" s="167"/>
      <c r="J112" s="167"/>
      <c r="K112" s="167"/>
      <c r="L112" s="167"/>
      <c r="M112" s="167"/>
    </row>
    <row r="113" spans="1:13">
      <c r="A113" s="107"/>
      <c r="B113" s="108" t="s">
        <v>735</v>
      </c>
      <c r="C113" s="108" t="s">
        <v>736</v>
      </c>
      <c r="D113" s="145" t="s">
        <v>737</v>
      </c>
      <c r="E113" s="145" t="s">
        <v>738</v>
      </c>
      <c r="F113" s="167"/>
      <c r="G113" s="167"/>
      <c r="H113" s="167"/>
      <c r="I113" s="167"/>
      <c r="J113" s="167"/>
      <c r="K113" s="167"/>
      <c r="L113" s="167"/>
      <c r="M113" s="167"/>
    </row>
    <row r="114" spans="1:13" ht="27">
      <c r="A114" s="107"/>
      <c r="B114" s="108" t="s">
        <v>739</v>
      </c>
      <c r="C114" s="108" t="s">
        <v>740</v>
      </c>
      <c r="D114" s="145" t="s">
        <v>737</v>
      </c>
      <c r="E114" s="145" t="s">
        <v>696</v>
      </c>
      <c r="F114" s="167"/>
      <c r="G114" s="167"/>
      <c r="H114" s="167"/>
      <c r="I114" s="167"/>
      <c r="J114" s="167"/>
      <c r="K114" s="167"/>
      <c r="L114" s="167"/>
      <c r="M114" s="167"/>
    </row>
    <row r="115" spans="1:13">
      <c r="A115" s="107"/>
      <c r="B115" s="108" t="s">
        <v>918</v>
      </c>
      <c r="C115" s="109" t="s">
        <v>741</v>
      </c>
      <c r="D115" s="145"/>
      <c r="E115" s="145"/>
      <c r="F115" s="167"/>
      <c r="G115" s="167"/>
      <c r="H115" s="167"/>
      <c r="I115" s="167"/>
      <c r="J115" s="167"/>
      <c r="K115" s="167"/>
      <c r="L115" s="167"/>
      <c r="M115" s="167"/>
    </row>
    <row r="116" spans="1:13" ht="27">
      <c r="A116" s="107"/>
      <c r="B116" s="108" t="s">
        <v>735</v>
      </c>
      <c r="C116" s="108" t="s">
        <v>742</v>
      </c>
      <c r="D116" s="145" t="s">
        <v>743</v>
      </c>
      <c r="E116" s="145" t="s">
        <v>744</v>
      </c>
      <c r="F116" s="167"/>
      <c r="G116" s="167"/>
      <c r="H116" s="167"/>
      <c r="I116" s="167"/>
      <c r="J116" s="167"/>
      <c r="K116" s="167"/>
      <c r="L116" s="167"/>
      <c r="M116" s="167"/>
    </row>
    <row r="117" spans="1:13" ht="40.5">
      <c r="A117" s="107"/>
      <c r="B117" s="108" t="s">
        <v>739</v>
      </c>
      <c r="C117" s="108" t="s">
        <v>745</v>
      </c>
      <c r="D117" s="145" t="s">
        <v>449</v>
      </c>
      <c r="E117" s="145" t="s">
        <v>697</v>
      </c>
      <c r="F117" s="167"/>
      <c r="G117" s="167"/>
      <c r="H117" s="167"/>
      <c r="I117" s="167"/>
      <c r="J117" s="167"/>
      <c r="K117" s="167"/>
      <c r="L117" s="167"/>
      <c r="M117" s="167"/>
    </row>
    <row r="118" spans="1:13">
      <c r="A118" s="107"/>
      <c r="B118" s="108" t="s">
        <v>746</v>
      </c>
      <c r="C118" s="108" t="s">
        <v>747</v>
      </c>
      <c r="D118" s="119" t="s">
        <v>748</v>
      </c>
      <c r="E118" s="119" t="s">
        <v>698</v>
      </c>
      <c r="F118" s="167"/>
      <c r="G118" s="167"/>
      <c r="H118" s="167"/>
      <c r="I118" s="167"/>
      <c r="J118" s="167"/>
      <c r="K118" s="167"/>
      <c r="L118" s="167"/>
      <c r="M118" s="167"/>
    </row>
    <row r="119" spans="1:13">
      <c r="A119" s="107"/>
      <c r="B119" s="108" t="s">
        <v>749</v>
      </c>
      <c r="C119" s="108" t="s">
        <v>750</v>
      </c>
      <c r="D119" s="108"/>
      <c r="E119" s="108"/>
      <c r="F119" s="193"/>
      <c r="G119" s="193"/>
      <c r="H119" s="193"/>
      <c r="I119" s="193"/>
      <c r="J119" s="193"/>
      <c r="K119" s="193"/>
      <c r="L119" s="193"/>
      <c r="M119" s="193"/>
    </row>
    <row r="120" spans="1:13">
      <c r="A120" s="107"/>
      <c r="B120" s="108" t="s">
        <v>751</v>
      </c>
      <c r="C120" s="109" t="s">
        <v>752</v>
      </c>
      <c r="D120" s="145" t="s">
        <v>753</v>
      </c>
      <c r="E120" s="145"/>
      <c r="F120" s="193"/>
      <c r="G120" s="193"/>
      <c r="H120" s="193"/>
      <c r="I120" s="193"/>
      <c r="J120" s="193"/>
      <c r="K120" s="193"/>
      <c r="L120" s="193"/>
      <c r="M120" s="193"/>
    </row>
    <row r="121" spans="1:13">
      <c r="A121" s="107"/>
      <c r="B121" s="108" t="s">
        <v>919</v>
      </c>
      <c r="C121" s="109" t="s">
        <v>267</v>
      </c>
      <c r="D121" s="119"/>
      <c r="E121" s="119"/>
      <c r="F121" s="167"/>
      <c r="G121" s="167"/>
      <c r="H121" s="167"/>
      <c r="I121" s="167"/>
      <c r="J121" s="167"/>
      <c r="K121" s="167"/>
      <c r="L121" s="167"/>
      <c r="M121" s="167"/>
    </row>
    <row r="122" spans="1:13">
      <c r="A122" s="107"/>
      <c r="B122" s="108" t="s">
        <v>735</v>
      </c>
      <c r="C122" s="108" t="s">
        <v>754</v>
      </c>
      <c r="D122" s="145" t="s">
        <v>755</v>
      </c>
      <c r="E122" s="119" t="s">
        <v>699</v>
      </c>
      <c r="F122" s="167"/>
      <c r="G122" s="167"/>
      <c r="H122" s="167"/>
      <c r="I122" s="167"/>
      <c r="J122" s="167"/>
      <c r="K122" s="167"/>
      <c r="L122" s="167"/>
      <c r="M122" s="167"/>
    </row>
    <row r="123" spans="1:13" ht="27">
      <c r="A123" s="107"/>
      <c r="B123" s="108" t="s">
        <v>739</v>
      </c>
      <c r="C123" s="108" t="s">
        <v>740</v>
      </c>
      <c r="D123" s="145" t="s">
        <v>756</v>
      </c>
      <c r="E123" s="119" t="s">
        <v>908</v>
      </c>
      <c r="F123" s="167"/>
      <c r="G123" s="167"/>
      <c r="H123" s="167"/>
      <c r="I123" s="167"/>
      <c r="J123" s="167"/>
      <c r="K123" s="167"/>
      <c r="L123" s="167"/>
      <c r="M123" s="167"/>
    </row>
    <row r="124" spans="1:13">
      <c r="A124" s="107"/>
      <c r="B124" s="108" t="s">
        <v>757</v>
      </c>
      <c r="C124" s="108" t="s">
        <v>758</v>
      </c>
      <c r="D124" s="145" t="s">
        <v>759</v>
      </c>
      <c r="E124" s="145" t="s">
        <v>700</v>
      </c>
      <c r="F124" s="167"/>
      <c r="G124" s="167"/>
      <c r="H124" s="167"/>
      <c r="I124" s="167"/>
      <c r="J124" s="167"/>
      <c r="K124" s="167"/>
      <c r="L124" s="167"/>
      <c r="M124" s="167"/>
    </row>
    <row r="125" spans="1:13">
      <c r="A125" s="107"/>
      <c r="B125" s="108" t="s">
        <v>921</v>
      </c>
      <c r="C125" s="119" t="s">
        <v>760</v>
      </c>
      <c r="D125" s="119"/>
      <c r="E125" s="119"/>
      <c r="F125" s="167"/>
      <c r="G125" s="167"/>
      <c r="H125" s="167"/>
      <c r="I125" s="167"/>
      <c r="J125" s="167"/>
      <c r="K125" s="167"/>
      <c r="L125" s="167"/>
      <c r="M125" s="167"/>
    </row>
    <row r="126" spans="1:13" ht="27">
      <c r="A126" s="107"/>
      <c r="B126" s="108" t="s">
        <v>920</v>
      </c>
      <c r="C126" s="108" t="s">
        <v>761</v>
      </c>
      <c r="D126" s="145" t="s">
        <v>759</v>
      </c>
      <c r="E126" s="145" t="s">
        <v>762</v>
      </c>
      <c r="F126" s="167"/>
      <c r="G126" s="167"/>
      <c r="H126" s="167"/>
      <c r="I126" s="167"/>
      <c r="J126" s="167"/>
      <c r="K126" s="167"/>
      <c r="L126" s="167"/>
      <c r="M126" s="167"/>
    </row>
    <row r="127" spans="1:13">
      <c r="A127" s="107"/>
      <c r="B127" s="108" t="s">
        <v>922</v>
      </c>
      <c r="C127" s="119" t="s">
        <v>763</v>
      </c>
      <c r="D127" s="119"/>
      <c r="E127" s="119"/>
      <c r="F127" s="167"/>
      <c r="G127" s="167"/>
      <c r="H127" s="167"/>
      <c r="I127" s="167"/>
      <c r="J127" s="167"/>
      <c r="K127" s="167"/>
      <c r="L127" s="167"/>
      <c r="M127" s="167"/>
    </row>
    <row r="128" spans="1:13">
      <c r="A128" s="107"/>
      <c r="B128" s="108" t="s">
        <v>764</v>
      </c>
      <c r="C128" s="108" t="s">
        <v>765</v>
      </c>
      <c r="D128" s="145" t="s">
        <v>766</v>
      </c>
      <c r="E128" s="108" t="s">
        <v>767</v>
      </c>
      <c r="F128" s="167"/>
      <c r="G128" s="167"/>
      <c r="H128" s="167"/>
      <c r="I128" s="167"/>
      <c r="J128" s="167"/>
      <c r="K128" s="167"/>
      <c r="L128" s="167"/>
      <c r="M128" s="167"/>
    </row>
    <row r="129" spans="1:13" ht="27">
      <c r="A129" s="107"/>
      <c r="B129" s="108" t="s">
        <v>768</v>
      </c>
      <c r="C129" s="108" t="s">
        <v>701</v>
      </c>
      <c r="D129" s="145" t="s">
        <v>737</v>
      </c>
      <c r="E129" s="108" t="s">
        <v>701</v>
      </c>
      <c r="F129" s="167"/>
      <c r="G129" s="167"/>
      <c r="H129" s="167"/>
      <c r="I129" s="167"/>
      <c r="J129" s="167"/>
      <c r="K129" s="167"/>
      <c r="L129" s="167"/>
      <c r="M129" s="167"/>
    </row>
    <row r="130" spans="1:13" ht="27">
      <c r="A130" s="107"/>
      <c r="B130" s="108" t="s">
        <v>769</v>
      </c>
      <c r="C130" s="108" t="s">
        <v>705</v>
      </c>
      <c r="D130" s="145" t="s">
        <v>770</v>
      </c>
      <c r="E130" s="108" t="s">
        <v>771</v>
      </c>
      <c r="F130" s="167"/>
      <c r="G130" s="167"/>
      <c r="H130" s="167"/>
      <c r="I130" s="167"/>
      <c r="J130" s="167"/>
      <c r="K130" s="167"/>
      <c r="L130" s="167"/>
      <c r="M130" s="167"/>
    </row>
    <row r="131" spans="1:13" ht="27">
      <c r="A131" s="107"/>
      <c r="B131" s="108" t="s">
        <v>772</v>
      </c>
      <c r="C131" s="108" t="s">
        <v>702</v>
      </c>
      <c r="D131" s="145" t="s">
        <v>773</v>
      </c>
      <c r="E131" s="108" t="s">
        <v>774</v>
      </c>
      <c r="F131" s="167"/>
      <c r="G131" s="167"/>
      <c r="H131" s="167"/>
      <c r="I131" s="167"/>
      <c r="J131" s="167"/>
      <c r="K131" s="167"/>
      <c r="L131" s="167"/>
      <c r="M131" s="167"/>
    </row>
    <row r="132" spans="1:13">
      <c r="A132" s="107"/>
      <c r="B132" s="108" t="s">
        <v>923</v>
      </c>
      <c r="C132" s="109" t="s">
        <v>775</v>
      </c>
      <c r="D132" s="119"/>
      <c r="E132" s="119"/>
      <c r="F132" s="167"/>
      <c r="G132" s="167"/>
      <c r="H132" s="167"/>
      <c r="I132" s="167"/>
      <c r="J132" s="167"/>
      <c r="K132" s="167"/>
      <c r="L132" s="167"/>
      <c r="M132" s="167"/>
    </row>
    <row r="133" spans="1:13">
      <c r="A133" s="107"/>
      <c r="B133" s="108" t="s">
        <v>776</v>
      </c>
      <c r="C133" s="108" t="s">
        <v>777</v>
      </c>
      <c r="D133" s="119" t="s">
        <v>778</v>
      </c>
      <c r="E133" s="119" t="s">
        <v>703</v>
      </c>
    </row>
    <row r="134" spans="1:13">
      <c r="A134" s="107"/>
      <c r="B134" s="108" t="s">
        <v>779</v>
      </c>
      <c r="C134" s="108" t="s">
        <v>780</v>
      </c>
      <c r="D134" s="119"/>
      <c r="E134" s="119"/>
      <c r="F134" s="193"/>
      <c r="G134" s="193"/>
      <c r="H134" s="193"/>
      <c r="I134" s="193"/>
      <c r="J134" s="193"/>
      <c r="K134" s="193"/>
      <c r="L134" s="193"/>
      <c r="M134" s="193"/>
    </row>
    <row r="135" spans="1:13">
      <c r="A135" s="107"/>
      <c r="B135" s="108" t="s">
        <v>781</v>
      </c>
      <c r="C135" s="108" t="s">
        <v>782</v>
      </c>
      <c r="D135" s="119"/>
      <c r="E135" s="119"/>
      <c r="F135" s="193"/>
      <c r="G135" s="193"/>
      <c r="H135" s="193"/>
      <c r="I135" s="193"/>
      <c r="J135" s="193"/>
      <c r="K135" s="193"/>
      <c r="L135" s="193"/>
      <c r="M135" s="193"/>
    </row>
    <row r="136" spans="1:13">
      <c r="A136" s="107"/>
      <c r="B136" s="108" t="s">
        <v>783</v>
      </c>
      <c r="C136" s="108" t="s">
        <v>784</v>
      </c>
      <c r="D136" s="119" t="s">
        <v>785</v>
      </c>
      <c r="E136" s="119"/>
      <c r="F136" s="193"/>
      <c r="G136" s="193"/>
      <c r="H136" s="193"/>
      <c r="I136" s="193"/>
      <c r="J136" s="193"/>
      <c r="K136" s="193"/>
      <c r="L136" s="193"/>
      <c r="M136" s="193"/>
    </row>
    <row r="137" spans="1:13">
      <c r="A137" s="107"/>
      <c r="B137" s="108" t="s">
        <v>786</v>
      </c>
      <c r="C137" s="108" t="s">
        <v>787</v>
      </c>
      <c r="D137" s="119"/>
      <c r="E137" s="119"/>
      <c r="F137" s="193"/>
      <c r="G137" s="193"/>
      <c r="H137" s="193"/>
      <c r="I137" s="193"/>
      <c r="J137" s="193"/>
      <c r="K137" s="193"/>
      <c r="L137" s="193"/>
      <c r="M137" s="193"/>
    </row>
    <row r="138" spans="1:13">
      <c r="A138" s="107"/>
      <c r="B138" s="108" t="s">
        <v>788</v>
      </c>
      <c r="C138" s="108" t="s">
        <v>789</v>
      </c>
      <c r="D138" s="119"/>
      <c r="E138" s="119"/>
      <c r="F138" s="193"/>
      <c r="G138" s="193"/>
      <c r="H138" s="193"/>
      <c r="I138" s="193"/>
      <c r="J138" s="193"/>
      <c r="K138" s="193"/>
      <c r="L138" s="193"/>
      <c r="M138" s="193"/>
    </row>
    <row r="139" spans="1:13">
      <c r="A139" s="107"/>
      <c r="B139" s="108" t="s">
        <v>790</v>
      </c>
      <c r="C139" s="108" t="s">
        <v>791</v>
      </c>
      <c r="D139" s="119"/>
      <c r="E139" s="119"/>
      <c r="F139" s="193"/>
      <c r="G139" s="193"/>
      <c r="H139" s="193"/>
      <c r="I139" s="193"/>
      <c r="J139" s="193"/>
      <c r="K139" s="193"/>
      <c r="L139" s="193"/>
      <c r="M139" s="193"/>
    </row>
    <row r="140" spans="1:13">
      <c r="A140" s="107"/>
      <c r="B140" s="108" t="s">
        <v>792</v>
      </c>
      <c r="C140" s="108" t="s">
        <v>793</v>
      </c>
      <c r="D140" s="119"/>
      <c r="E140" s="119"/>
      <c r="F140" s="193"/>
      <c r="G140" s="193"/>
      <c r="H140" s="193"/>
      <c r="I140" s="193"/>
      <c r="J140" s="193"/>
      <c r="K140" s="193"/>
      <c r="L140" s="193"/>
      <c r="M140" s="193"/>
    </row>
    <row r="141" spans="1:13">
      <c r="A141" s="107"/>
      <c r="B141" s="108" t="s">
        <v>794</v>
      </c>
      <c r="C141" s="108" t="s">
        <v>795</v>
      </c>
      <c r="D141" s="119"/>
      <c r="E141" s="119"/>
      <c r="F141" s="193"/>
      <c r="G141" s="193"/>
      <c r="H141" s="193"/>
      <c r="I141" s="193"/>
      <c r="J141" s="193"/>
      <c r="K141" s="193"/>
      <c r="L141" s="193"/>
      <c r="M141" s="193"/>
    </row>
    <row r="142" spans="1:13">
      <c r="A142" s="107"/>
      <c r="B142" s="108" t="s">
        <v>796</v>
      </c>
      <c r="C142" s="108" t="s">
        <v>797</v>
      </c>
      <c r="D142" s="119"/>
      <c r="E142" s="119"/>
      <c r="F142" s="193"/>
      <c r="G142" s="193"/>
      <c r="H142" s="193"/>
      <c r="I142" s="193"/>
      <c r="J142" s="193"/>
      <c r="K142" s="193"/>
      <c r="L142" s="193"/>
      <c r="M142" s="193"/>
    </row>
    <row r="143" spans="1:13">
      <c r="A143" s="107"/>
      <c r="B143" s="108" t="s">
        <v>798</v>
      </c>
      <c r="C143" s="108" t="s">
        <v>799</v>
      </c>
      <c r="D143" s="119"/>
      <c r="E143" s="119"/>
      <c r="F143" s="193"/>
      <c r="G143" s="193"/>
      <c r="H143" s="193"/>
      <c r="I143" s="193"/>
      <c r="J143" s="193"/>
      <c r="K143" s="193"/>
      <c r="L143" s="193"/>
      <c r="M143" s="193"/>
    </row>
    <row r="144" spans="1:13">
      <c r="A144" s="107"/>
      <c r="B144" s="108" t="s">
        <v>800</v>
      </c>
      <c r="C144" s="108" t="s">
        <v>801</v>
      </c>
      <c r="D144" s="119"/>
      <c r="E144" s="119"/>
      <c r="F144" s="193"/>
      <c r="G144" s="193"/>
      <c r="H144" s="193"/>
      <c r="I144" s="193"/>
      <c r="J144" s="193"/>
      <c r="K144" s="193"/>
      <c r="L144" s="193"/>
      <c r="M144" s="193"/>
    </row>
    <row r="145" spans="1:13">
      <c r="A145" s="107"/>
      <c r="B145" s="108" t="s">
        <v>802</v>
      </c>
      <c r="C145" s="108" t="s">
        <v>803</v>
      </c>
      <c r="D145" s="119"/>
      <c r="E145" s="119"/>
      <c r="F145" s="193"/>
      <c r="G145" s="193"/>
      <c r="H145" s="193"/>
      <c r="I145" s="193"/>
      <c r="J145" s="193"/>
      <c r="K145" s="193"/>
      <c r="L145" s="193"/>
      <c r="M145" s="193"/>
    </row>
    <row r="146" spans="1:13">
      <c r="A146" s="107"/>
      <c r="B146" s="108" t="s">
        <v>804</v>
      </c>
      <c r="C146" s="108" t="s">
        <v>805</v>
      </c>
      <c r="D146" s="119"/>
      <c r="E146" s="119"/>
      <c r="F146" s="193"/>
      <c r="G146" s="193"/>
      <c r="H146" s="193"/>
      <c r="I146" s="193"/>
      <c r="J146" s="193"/>
      <c r="K146" s="193"/>
      <c r="L146" s="193"/>
      <c r="M146" s="193"/>
    </row>
    <row r="147" spans="1:13" ht="27">
      <c r="A147" s="107"/>
      <c r="B147" s="108" t="s">
        <v>924</v>
      </c>
      <c r="C147" s="108" t="s">
        <v>806</v>
      </c>
      <c r="D147" s="145" t="s">
        <v>807</v>
      </c>
      <c r="E147" s="145" t="s">
        <v>808</v>
      </c>
      <c r="F147" s="167"/>
      <c r="G147" s="167"/>
      <c r="H147" s="167"/>
      <c r="I147" s="167"/>
      <c r="J147" s="167"/>
      <c r="K147" s="167"/>
      <c r="L147" s="167"/>
      <c r="M147" s="167"/>
    </row>
    <row r="148" spans="1:13" ht="27">
      <c r="A148" s="107"/>
      <c r="B148" s="108" t="s">
        <v>809</v>
      </c>
      <c r="C148" s="108" t="s">
        <v>810</v>
      </c>
      <c r="D148" s="145" t="s">
        <v>807</v>
      </c>
      <c r="E148" s="145" t="s">
        <v>811</v>
      </c>
      <c r="F148" s="167"/>
      <c r="G148" s="167"/>
      <c r="H148" s="167"/>
      <c r="I148" s="167"/>
      <c r="J148" s="167"/>
      <c r="K148" s="167"/>
      <c r="L148" s="167"/>
      <c r="M148" s="167"/>
    </row>
    <row r="149" spans="1:13">
      <c r="A149" s="107"/>
      <c r="B149" s="108" t="s">
        <v>812</v>
      </c>
      <c r="C149" s="108" t="s">
        <v>813</v>
      </c>
      <c r="D149" s="119" t="s">
        <v>814</v>
      </c>
      <c r="E149" s="108" t="s">
        <v>815</v>
      </c>
      <c r="F149" s="167"/>
      <c r="G149" s="167"/>
      <c r="H149" s="167"/>
      <c r="I149" s="167"/>
      <c r="J149" s="167"/>
      <c r="K149" s="167"/>
      <c r="L149" s="167"/>
      <c r="M149" s="167"/>
    </row>
    <row r="150" spans="1:13">
      <c r="A150" s="107"/>
      <c r="B150" s="108" t="s">
        <v>816</v>
      </c>
      <c r="C150" s="108" t="s">
        <v>268</v>
      </c>
      <c r="D150" s="119" t="s">
        <v>717</v>
      </c>
      <c r="E150" s="108" t="s">
        <v>268</v>
      </c>
      <c r="F150" s="167"/>
      <c r="G150" s="167"/>
      <c r="H150" s="167"/>
      <c r="I150" s="167"/>
      <c r="J150" s="167"/>
      <c r="K150" s="167"/>
      <c r="L150" s="167"/>
      <c r="M150" s="167"/>
    </row>
    <row r="151" spans="1:13">
      <c r="A151" s="107"/>
      <c r="B151" s="108" t="s">
        <v>817</v>
      </c>
      <c r="C151" s="108" t="s">
        <v>269</v>
      </c>
      <c r="D151" s="119" t="s">
        <v>717</v>
      </c>
      <c r="E151" s="108" t="s">
        <v>269</v>
      </c>
      <c r="F151" s="167"/>
      <c r="G151" s="167"/>
      <c r="H151" s="167"/>
      <c r="I151" s="167"/>
      <c r="J151" s="167"/>
      <c r="K151" s="167"/>
      <c r="L151" s="167"/>
      <c r="M151" s="167"/>
    </row>
    <row r="152" spans="1:13">
      <c r="A152" s="107"/>
      <c r="B152" s="108" t="s">
        <v>818</v>
      </c>
      <c r="C152" s="108" t="s">
        <v>270</v>
      </c>
      <c r="D152" s="119" t="s">
        <v>819</v>
      </c>
      <c r="E152" s="108" t="s">
        <v>270</v>
      </c>
      <c r="F152" s="167"/>
      <c r="G152" s="167"/>
      <c r="H152" s="167"/>
      <c r="I152" s="167"/>
      <c r="J152" s="167"/>
      <c r="K152" s="167"/>
      <c r="L152" s="167"/>
      <c r="M152" s="167"/>
    </row>
    <row r="153" spans="1:13">
      <c r="A153" s="107"/>
      <c r="B153" s="108" t="s">
        <v>820</v>
      </c>
      <c r="C153" s="108" t="s">
        <v>271</v>
      </c>
      <c r="D153" s="119" t="s">
        <v>821</v>
      </c>
      <c r="E153" s="108" t="s">
        <v>271</v>
      </c>
      <c r="F153" s="167"/>
      <c r="G153" s="167"/>
      <c r="H153" s="167"/>
      <c r="I153" s="167"/>
      <c r="J153" s="167"/>
      <c r="K153" s="167"/>
      <c r="L153" s="167"/>
      <c r="M153" s="167"/>
    </row>
    <row r="154" spans="1:13">
      <c r="A154" s="107"/>
      <c r="B154" s="108" t="s">
        <v>822</v>
      </c>
      <c r="C154" s="108" t="s">
        <v>823</v>
      </c>
      <c r="D154" s="145" t="s">
        <v>824</v>
      </c>
      <c r="E154" s="191" t="s">
        <v>825</v>
      </c>
      <c r="F154" s="167"/>
      <c r="G154" s="167"/>
      <c r="H154" s="167"/>
      <c r="I154" s="167"/>
      <c r="J154" s="167"/>
      <c r="K154" s="167"/>
      <c r="L154" s="167"/>
      <c r="M154" s="167"/>
    </row>
    <row r="155" spans="1:13">
      <c r="A155" s="107"/>
      <c r="B155" s="108" t="s">
        <v>826</v>
      </c>
      <c r="C155" s="108" t="s">
        <v>272</v>
      </c>
      <c r="D155" s="145" t="s">
        <v>827</v>
      </c>
      <c r="E155" s="191" t="s">
        <v>828</v>
      </c>
      <c r="F155" s="167"/>
      <c r="G155" s="167"/>
      <c r="H155" s="167"/>
      <c r="I155" s="167"/>
      <c r="J155" s="167"/>
      <c r="K155" s="167"/>
      <c r="L155" s="167"/>
      <c r="M155" s="167"/>
    </row>
    <row r="156" spans="1:13">
      <c r="A156" s="107"/>
      <c r="B156" s="108" t="s">
        <v>829</v>
      </c>
      <c r="C156" s="108" t="s">
        <v>273</v>
      </c>
      <c r="D156" s="145" t="s">
        <v>830</v>
      </c>
      <c r="E156" s="191" t="s">
        <v>831</v>
      </c>
      <c r="F156" s="167"/>
      <c r="G156" s="167"/>
      <c r="H156" s="167"/>
      <c r="I156" s="167"/>
      <c r="J156" s="167"/>
      <c r="K156" s="167"/>
      <c r="L156" s="167"/>
      <c r="M156" s="167"/>
    </row>
    <row r="157" spans="1:13">
      <c r="A157" s="107"/>
      <c r="B157" s="108" t="s">
        <v>832</v>
      </c>
      <c r="C157" s="108" t="s">
        <v>274</v>
      </c>
      <c r="D157" s="145" t="s">
        <v>824</v>
      </c>
      <c r="E157" s="191" t="s">
        <v>833</v>
      </c>
      <c r="F157" s="167"/>
      <c r="G157" s="167"/>
      <c r="H157" s="167"/>
      <c r="I157" s="167"/>
      <c r="J157" s="167"/>
      <c r="K157" s="167"/>
      <c r="L157" s="167"/>
      <c r="M157" s="167"/>
    </row>
    <row r="158" spans="1:13">
      <c r="A158" s="107"/>
      <c r="B158" s="108" t="s">
        <v>834</v>
      </c>
      <c r="C158" s="108" t="s">
        <v>275</v>
      </c>
      <c r="D158" s="145" t="s">
        <v>830</v>
      </c>
      <c r="E158" s="191" t="s">
        <v>835</v>
      </c>
      <c r="F158" s="167"/>
      <c r="G158" s="167"/>
      <c r="H158" s="167"/>
      <c r="I158" s="167"/>
      <c r="J158" s="167"/>
      <c r="K158" s="167"/>
      <c r="L158" s="167"/>
      <c r="M158" s="167"/>
    </row>
    <row r="159" spans="1:13">
      <c r="A159" s="107"/>
      <c r="B159" s="108" t="s">
        <v>836</v>
      </c>
      <c r="C159" s="108" t="s">
        <v>837</v>
      </c>
      <c r="D159" s="145" t="s">
        <v>830</v>
      </c>
      <c r="E159" s="191"/>
      <c r="F159" s="167"/>
      <c r="G159" s="167"/>
      <c r="H159" s="167"/>
      <c r="I159" s="167"/>
      <c r="J159" s="167"/>
      <c r="K159" s="167"/>
      <c r="L159" s="167"/>
      <c r="M159" s="167"/>
    </row>
    <row r="160" spans="1:13">
      <c r="A160" s="107"/>
      <c r="B160" s="108" t="s">
        <v>838</v>
      </c>
      <c r="C160" s="108" t="s">
        <v>276</v>
      </c>
      <c r="D160" s="145" t="s">
        <v>830</v>
      </c>
      <c r="E160" s="191"/>
      <c r="F160" s="167"/>
      <c r="G160" s="167"/>
      <c r="H160" s="167"/>
      <c r="I160" s="167"/>
      <c r="J160" s="167"/>
      <c r="K160" s="167"/>
      <c r="L160" s="167"/>
      <c r="M160" s="167"/>
    </row>
    <row r="161" spans="1:13">
      <c r="A161" s="107"/>
      <c r="B161" s="108" t="s">
        <v>839</v>
      </c>
      <c r="C161" s="108" t="s">
        <v>277</v>
      </c>
      <c r="D161" s="145" t="s">
        <v>840</v>
      </c>
      <c r="E161" s="191"/>
      <c r="F161" s="167"/>
      <c r="G161" s="167"/>
      <c r="H161" s="167"/>
      <c r="I161" s="167"/>
      <c r="J161" s="167"/>
      <c r="K161" s="167"/>
      <c r="L161" s="167"/>
      <c r="M161" s="167"/>
    </row>
    <row r="162" spans="1:13">
      <c r="A162" s="107"/>
      <c r="B162" s="108" t="s">
        <v>841</v>
      </c>
      <c r="C162" s="108" t="s">
        <v>278</v>
      </c>
      <c r="D162" s="145" t="s">
        <v>830</v>
      </c>
      <c r="E162" s="191"/>
      <c r="F162" s="167"/>
      <c r="G162" s="167"/>
      <c r="H162" s="167"/>
      <c r="I162" s="167"/>
      <c r="J162" s="167"/>
      <c r="K162" s="167"/>
      <c r="L162" s="167"/>
      <c r="M162" s="167"/>
    </row>
    <row r="163" spans="1:13">
      <c r="A163" s="107"/>
      <c r="B163" s="108" t="s">
        <v>842</v>
      </c>
      <c r="C163" s="108" t="s">
        <v>279</v>
      </c>
      <c r="D163" s="145" t="s">
        <v>830</v>
      </c>
      <c r="E163" s="191"/>
      <c r="F163" s="167"/>
      <c r="G163" s="167"/>
      <c r="H163" s="167"/>
      <c r="I163" s="167"/>
      <c r="J163" s="167"/>
      <c r="K163" s="167"/>
      <c r="L163" s="167"/>
      <c r="M163" s="167"/>
    </row>
    <row r="164" spans="1:13">
      <c r="A164" s="107"/>
      <c r="B164" s="108" t="s">
        <v>843</v>
      </c>
      <c r="C164" s="108" t="s">
        <v>280</v>
      </c>
      <c r="D164" s="145" t="s">
        <v>830</v>
      </c>
      <c r="E164" s="192"/>
      <c r="F164" s="167"/>
      <c r="G164" s="167"/>
      <c r="H164" s="167"/>
      <c r="I164" s="167"/>
      <c r="J164" s="167"/>
      <c r="K164" s="167"/>
      <c r="L164" s="167"/>
      <c r="M164" s="167"/>
    </row>
    <row r="165" spans="1:13">
      <c r="A165" s="107"/>
      <c r="B165" s="108" t="s">
        <v>844</v>
      </c>
      <c r="C165" s="108" t="s">
        <v>281</v>
      </c>
      <c r="D165" s="145" t="s">
        <v>830</v>
      </c>
      <c r="E165" s="192"/>
      <c r="F165" s="167"/>
      <c r="G165" s="167"/>
      <c r="H165" s="167"/>
      <c r="I165" s="167"/>
      <c r="J165" s="167"/>
      <c r="K165" s="167"/>
      <c r="L165" s="167"/>
      <c r="M165" s="167"/>
    </row>
    <row r="166" spans="1:13">
      <c r="A166" s="107"/>
      <c r="B166" s="108" t="s">
        <v>845</v>
      </c>
      <c r="C166" s="108" t="s">
        <v>282</v>
      </c>
      <c r="D166" s="145" t="s">
        <v>830</v>
      </c>
      <c r="E166" s="192"/>
      <c r="F166" s="167"/>
      <c r="G166" s="167"/>
      <c r="H166" s="167"/>
      <c r="I166" s="167"/>
      <c r="J166" s="167"/>
      <c r="K166" s="167"/>
      <c r="L166" s="167"/>
      <c r="M166" s="167"/>
    </row>
    <row r="167" spans="1:13">
      <c r="A167" s="107"/>
      <c r="B167" s="108" t="s">
        <v>846</v>
      </c>
      <c r="C167" s="108" t="s">
        <v>283</v>
      </c>
      <c r="D167" s="145" t="s">
        <v>847</v>
      </c>
      <c r="E167" s="192"/>
      <c r="F167" s="167"/>
      <c r="G167" s="167"/>
      <c r="H167" s="167"/>
      <c r="I167" s="167"/>
      <c r="J167" s="167"/>
      <c r="K167" s="167"/>
      <c r="L167" s="167"/>
      <c r="M167" s="167"/>
    </row>
    <row r="168" spans="1:13">
      <c r="A168" s="107"/>
      <c r="B168" s="108" t="s">
        <v>848</v>
      </c>
      <c r="C168" s="108" t="s">
        <v>284</v>
      </c>
      <c r="D168" s="145" t="s">
        <v>830</v>
      </c>
      <c r="E168" s="192"/>
      <c r="F168" s="167"/>
      <c r="G168" s="167"/>
      <c r="H168" s="167"/>
      <c r="I168" s="167"/>
      <c r="J168" s="167"/>
      <c r="K168" s="167"/>
      <c r="L168" s="167"/>
      <c r="M168" s="167"/>
    </row>
    <row r="169" spans="1:13">
      <c r="A169" s="107"/>
      <c r="B169" s="108" t="s">
        <v>849</v>
      </c>
      <c r="C169" s="108" t="s">
        <v>850</v>
      </c>
      <c r="D169" s="119"/>
      <c r="E169" s="119"/>
      <c r="F169" s="193"/>
      <c r="G169" s="193"/>
      <c r="H169" s="193"/>
      <c r="I169" s="193"/>
      <c r="J169" s="193"/>
      <c r="K169" s="193"/>
      <c r="L169" s="193"/>
      <c r="M169" s="193"/>
    </row>
    <row r="170" spans="1:13" ht="27">
      <c r="A170" s="107"/>
      <c r="B170" s="108" t="s">
        <v>851</v>
      </c>
      <c r="C170" s="108" t="s">
        <v>852</v>
      </c>
      <c r="D170" s="119" t="s">
        <v>853</v>
      </c>
      <c r="E170" s="119"/>
      <c r="F170" s="193"/>
      <c r="G170" s="193"/>
      <c r="H170" s="193"/>
      <c r="I170" s="193"/>
      <c r="J170" s="193"/>
      <c r="K170" s="193"/>
      <c r="L170" s="193"/>
      <c r="M170" s="193"/>
    </row>
    <row r="171" spans="1:13" ht="27">
      <c r="A171" s="107"/>
      <c r="B171" s="108" t="s">
        <v>854</v>
      </c>
      <c r="C171" s="108" t="s">
        <v>855</v>
      </c>
      <c r="D171" s="119" t="s">
        <v>856</v>
      </c>
      <c r="E171" s="119"/>
      <c r="F171" s="193"/>
      <c r="G171" s="193"/>
      <c r="H171" s="193"/>
      <c r="I171" s="193"/>
      <c r="J171" s="193"/>
      <c r="K171" s="193"/>
      <c r="L171" s="193"/>
      <c r="M171" s="193"/>
    </row>
    <row r="172" spans="1:13" ht="27">
      <c r="A172" s="107"/>
      <c r="B172" s="108" t="s">
        <v>857</v>
      </c>
      <c r="C172" s="108" t="s">
        <v>858</v>
      </c>
      <c r="D172" s="119" t="s">
        <v>859</v>
      </c>
      <c r="E172" s="119"/>
      <c r="F172" s="193"/>
      <c r="G172" s="193"/>
      <c r="H172" s="193"/>
      <c r="I172" s="193"/>
      <c r="J172" s="193"/>
      <c r="K172" s="193"/>
      <c r="L172" s="193"/>
      <c r="M172" s="193"/>
    </row>
    <row r="173" spans="1:13">
      <c r="A173" s="107"/>
      <c r="B173" s="108" t="s">
        <v>860</v>
      </c>
      <c r="C173" s="108" t="s">
        <v>861</v>
      </c>
      <c r="D173" s="119"/>
      <c r="E173" s="119"/>
      <c r="F173" s="167"/>
      <c r="G173" s="167"/>
      <c r="H173" s="167"/>
      <c r="I173" s="167"/>
      <c r="J173" s="167"/>
      <c r="K173" s="167"/>
      <c r="L173" s="167"/>
      <c r="M173" s="167"/>
    </row>
    <row r="174" spans="1:13">
      <c r="A174" s="107"/>
      <c r="B174" s="108" t="s">
        <v>862</v>
      </c>
      <c r="C174" s="108" t="s">
        <v>863</v>
      </c>
      <c r="D174" s="119"/>
      <c r="E174" s="119"/>
      <c r="F174" s="193"/>
      <c r="G174" s="193"/>
      <c r="H174" s="193"/>
      <c r="I174" s="193"/>
      <c r="J174" s="193"/>
      <c r="K174" s="193"/>
      <c r="L174" s="193"/>
      <c r="M174" s="193"/>
    </row>
    <row r="175" spans="1:13">
      <c r="A175" s="107"/>
      <c r="B175" s="108" t="s">
        <v>864</v>
      </c>
      <c r="C175" s="108" t="s">
        <v>865</v>
      </c>
      <c r="D175" s="119"/>
      <c r="E175" s="119"/>
      <c r="F175" s="193"/>
      <c r="G175" s="193"/>
      <c r="H175" s="193"/>
      <c r="I175" s="193"/>
      <c r="J175" s="193"/>
      <c r="K175" s="193"/>
      <c r="L175" s="193"/>
      <c r="M175" s="193"/>
    </row>
    <row r="176" spans="1:13">
      <c r="A176" s="107"/>
      <c r="B176" s="108" t="s">
        <v>866</v>
      </c>
      <c r="C176" s="108" t="s">
        <v>867</v>
      </c>
      <c r="D176" s="119" t="s">
        <v>868</v>
      </c>
      <c r="E176" s="119"/>
      <c r="F176" s="193"/>
      <c r="G176" s="193"/>
      <c r="H176" s="193"/>
      <c r="I176" s="193"/>
      <c r="J176" s="193"/>
      <c r="K176" s="193"/>
      <c r="L176" s="193"/>
      <c r="M176" s="193"/>
    </row>
    <row r="177" spans="1:13">
      <c r="A177" s="107"/>
      <c r="B177" s="108" t="s">
        <v>869</v>
      </c>
      <c r="C177" s="108" t="s">
        <v>870</v>
      </c>
      <c r="D177" s="119" t="s">
        <v>871</v>
      </c>
      <c r="E177" s="119"/>
      <c r="F177" s="193"/>
      <c r="G177" s="193"/>
      <c r="H177" s="193"/>
      <c r="I177" s="193"/>
      <c r="J177" s="193"/>
      <c r="K177" s="193"/>
      <c r="L177" s="193"/>
      <c r="M177" s="193"/>
    </row>
    <row r="178" spans="1:13">
      <c r="A178" s="107"/>
      <c r="B178" s="108" t="s">
        <v>872</v>
      </c>
      <c r="C178" s="108" t="s">
        <v>873</v>
      </c>
      <c r="D178" s="119"/>
      <c r="E178" s="108" t="s">
        <v>874</v>
      </c>
      <c r="F178" s="167"/>
      <c r="G178" s="167"/>
      <c r="H178" s="167"/>
      <c r="I178" s="167"/>
      <c r="J178" s="167"/>
      <c r="K178" s="167"/>
      <c r="L178" s="167"/>
      <c r="M178" s="167"/>
    </row>
    <row r="179" spans="1:13" ht="27">
      <c r="A179" s="107"/>
      <c r="B179" s="108" t="s">
        <v>875</v>
      </c>
      <c r="C179" s="108" t="s">
        <v>876</v>
      </c>
      <c r="D179" s="119" t="s">
        <v>877</v>
      </c>
      <c r="E179" s="119" t="s">
        <v>878</v>
      </c>
      <c r="F179" s="167"/>
      <c r="G179" s="167"/>
      <c r="H179" s="167"/>
      <c r="I179" s="167"/>
      <c r="J179" s="167"/>
      <c r="K179" s="167"/>
      <c r="L179" s="167"/>
      <c r="M179" s="167"/>
    </row>
    <row r="180" spans="1:13">
      <c r="A180" s="107"/>
      <c r="B180" s="108" t="s">
        <v>879</v>
      </c>
      <c r="C180" s="108" t="s">
        <v>880</v>
      </c>
      <c r="D180" s="119"/>
      <c r="E180" s="119"/>
      <c r="F180" s="193"/>
      <c r="G180" s="193"/>
      <c r="H180" s="193"/>
      <c r="I180" s="193"/>
      <c r="J180" s="193"/>
      <c r="K180" s="193"/>
      <c r="L180" s="193"/>
      <c r="M180" s="193"/>
    </row>
    <row r="181" spans="1:13">
      <c r="A181" s="107"/>
      <c r="B181" s="108" t="s">
        <v>881</v>
      </c>
      <c r="C181" s="108" t="s">
        <v>882</v>
      </c>
      <c r="D181" s="119"/>
      <c r="E181" s="119"/>
      <c r="F181" s="193"/>
      <c r="G181" s="193"/>
      <c r="H181" s="193"/>
      <c r="I181" s="193"/>
      <c r="J181" s="193"/>
      <c r="K181" s="193"/>
      <c r="L181" s="193"/>
      <c r="M181" s="193"/>
    </row>
    <row r="182" spans="1:13">
      <c r="A182" s="107"/>
      <c r="B182" s="108" t="s">
        <v>883</v>
      </c>
      <c r="C182" s="108"/>
      <c r="D182" s="119"/>
      <c r="E182" s="119"/>
      <c r="F182" s="193"/>
      <c r="G182" s="193"/>
      <c r="H182" s="193"/>
      <c r="I182" s="193"/>
      <c r="J182" s="193"/>
      <c r="K182" s="193"/>
      <c r="L182" s="193"/>
      <c r="M182" s="193"/>
    </row>
    <row r="183" spans="1:13">
      <c r="A183" s="107"/>
      <c r="B183" s="108" t="s">
        <v>884</v>
      </c>
      <c r="C183" s="108"/>
      <c r="D183" s="119"/>
      <c r="E183" s="119"/>
      <c r="F183" s="193"/>
      <c r="G183" s="193"/>
      <c r="H183" s="193"/>
      <c r="I183" s="193"/>
      <c r="J183" s="193"/>
      <c r="K183" s="193"/>
      <c r="L183" s="193"/>
      <c r="M183" s="193"/>
    </row>
    <row r="184" spans="1:13">
      <c r="A184" s="107"/>
      <c r="B184" s="108" t="s">
        <v>885</v>
      </c>
      <c r="C184" s="108" t="s">
        <v>886</v>
      </c>
      <c r="D184" s="119"/>
      <c r="E184" s="119"/>
      <c r="F184" s="193"/>
      <c r="G184" s="193"/>
      <c r="H184" s="193"/>
      <c r="I184" s="193"/>
      <c r="J184" s="193"/>
      <c r="K184" s="193"/>
      <c r="L184" s="193"/>
      <c r="M184" s="193"/>
    </row>
    <row r="185" spans="1:13">
      <c r="A185" s="107"/>
      <c r="B185" s="108" t="s">
        <v>883</v>
      </c>
      <c r="C185" s="108"/>
      <c r="D185" s="119"/>
      <c r="E185" s="119"/>
      <c r="F185" s="193"/>
      <c r="G185" s="193"/>
      <c r="H185" s="193"/>
      <c r="I185" s="193"/>
      <c r="J185" s="193"/>
      <c r="K185" s="193"/>
      <c r="L185" s="193"/>
      <c r="M185" s="193"/>
    </row>
    <row r="186" spans="1:13">
      <c r="A186" s="107"/>
      <c r="B186" s="108" t="s">
        <v>884</v>
      </c>
      <c r="C186" s="108"/>
      <c r="D186" s="119"/>
      <c r="E186" s="119"/>
      <c r="F186" s="193"/>
      <c r="G186" s="193"/>
      <c r="H186" s="193"/>
      <c r="I186" s="193"/>
      <c r="J186" s="193"/>
      <c r="K186" s="193"/>
      <c r="L186" s="193"/>
      <c r="M186" s="193"/>
    </row>
    <row r="187" spans="1:13">
      <c r="A187" s="107"/>
      <c r="B187" s="108" t="s">
        <v>887</v>
      </c>
      <c r="C187" s="108" t="s">
        <v>888</v>
      </c>
      <c r="D187" s="119"/>
      <c r="E187" s="119"/>
      <c r="F187" s="193"/>
      <c r="G187" s="193"/>
      <c r="H187" s="193"/>
      <c r="I187" s="193"/>
      <c r="J187" s="193"/>
      <c r="K187" s="193"/>
      <c r="L187" s="193"/>
      <c r="M187" s="193"/>
    </row>
    <row r="188" spans="1:13">
      <c r="A188" s="107"/>
      <c r="B188" s="108" t="s">
        <v>889</v>
      </c>
      <c r="C188" s="108" t="s">
        <v>890</v>
      </c>
      <c r="D188" s="119"/>
      <c r="E188" s="119"/>
      <c r="F188" s="193"/>
      <c r="G188" s="193"/>
      <c r="H188" s="193"/>
      <c r="I188" s="193"/>
      <c r="J188" s="193"/>
      <c r="K188" s="193"/>
      <c r="L188" s="193"/>
      <c r="M188" s="193"/>
    </row>
    <row r="189" spans="1:13">
      <c r="A189" s="107"/>
      <c r="B189" s="108" t="s">
        <v>891</v>
      </c>
      <c r="C189" s="108" t="s">
        <v>892</v>
      </c>
      <c r="D189" s="145" t="s">
        <v>893</v>
      </c>
      <c r="E189" s="145"/>
      <c r="F189" s="193"/>
      <c r="G189" s="193"/>
      <c r="H189" s="193"/>
      <c r="I189" s="193"/>
      <c r="J189" s="193"/>
      <c r="K189" s="193"/>
      <c r="L189" s="193"/>
      <c r="M189" s="193"/>
    </row>
    <row r="190" spans="1:13">
      <c r="A190" s="107"/>
      <c r="B190" s="108" t="s">
        <v>894</v>
      </c>
      <c r="C190" s="108" t="s">
        <v>895</v>
      </c>
      <c r="D190" s="119"/>
      <c r="E190" s="119"/>
      <c r="F190" s="193"/>
      <c r="G190" s="193"/>
      <c r="H190" s="193"/>
      <c r="I190" s="193"/>
      <c r="J190" s="193"/>
      <c r="K190" s="193"/>
      <c r="L190" s="193"/>
      <c r="M190" s="193"/>
    </row>
    <row r="191" spans="1:13">
      <c r="A191" s="107"/>
      <c r="B191" s="108" t="s">
        <v>896</v>
      </c>
      <c r="C191" s="108" t="s">
        <v>897</v>
      </c>
      <c r="D191" s="119" t="s">
        <v>898</v>
      </c>
      <c r="E191" s="119"/>
      <c r="F191" s="193"/>
      <c r="G191" s="193"/>
      <c r="H191" s="193"/>
      <c r="I191" s="193"/>
      <c r="J191" s="193"/>
      <c r="K191" s="193"/>
      <c r="L191" s="193"/>
      <c r="M191" s="193"/>
    </row>
    <row r="192" spans="1:13">
      <c r="A192" s="107"/>
      <c r="B192" s="108" t="s">
        <v>899</v>
      </c>
      <c r="C192" s="108" t="s">
        <v>900</v>
      </c>
      <c r="D192" s="119" t="s">
        <v>901</v>
      </c>
      <c r="E192" s="119"/>
      <c r="F192" s="193"/>
      <c r="G192" s="193"/>
      <c r="H192" s="193"/>
      <c r="I192" s="193"/>
      <c r="J192" s="193"/>
      <c r="K192" s="193"/>
      <c r="L192" s="193"/>
      <c r="M192" s="193"/>
    </row>
    <row r="193" spans="1:13" ht="40.5">
      <c r="A193" s="107"/>
      <c r="B193" s="108" t="s">
        <v>902</v>
      </c>
      <c r="C193" s="108" t="s">
        <v>903</v>
      </c>
      <c r="D193" s="145" t="s">
        <v>904</v>
      </c>
      <c r="E193" s="145" t="s">
        <v>905</v>
      </c>
      <c r="F193" s="167"/>
      <c r="G193" s="167"/>
      <c r="H193" s="167"/>
      <c r="I193" s="167"/>
      <c r="J193" s="167"/>
      <c r="K193" s="167"/>
      <c r="L193" s="167"/>
      <c r="M193" s="167"/>
    </row>
    <row r="194" spans="1:13">
      <c r="A194" s="107"/>
      <c r="B194" s="108" t="s">
        <v>906</v>
      </c>
      <c r="C194" s="108" t="s">
        <v>907</v>
      </c>
      <c r="D194" s="145"/>
      <c r="E194" s="145"/>
      <c r="F194" s="167"/>
      <c r="G194" s="167"/>
      <c r="H194" s="167"/>
      <c r="I194" s="167"/>
      <c r="J194" s="167"/>
      <c r="K194" s="167"/>
      <c r="L194" s="167"/>
      <c r="M194" s="167"/>
    </row>
    <row r="196" spans="1:13">
      <c r="A196" s="138" t="s">
        <v>334</v>
      </c>
      <c r="B196" s="138"/>
      <c r="C196" s="138"/>
    </row>
    <row r="197" spans="1:13">
      <c r="B197" t="s">
        <v>107</v>
      </c>
    </row>
    <row r="198" spans="1:13">
      <c r="B198" s="106" t="s">
        <v>95</v>
      </c>
      <c r="C198" s="106" t="s">
        <v>96</v>
      </c>
      <c r="D198" s="172" t="s">
        <v>97</v>
      </c>
      <c r="E198" s="166"/>
    </row>
    <row r="199" spans="1:13">
      <c r="A199" s="107"/>
      <c r="B199" s="108" t="s">
        <v>420</v>
      </c>
      <c r="C199" s="139" t="s">
        <v>421</v>
      </c>
      <c r="D199" s="119"/>
      <c r="E199" s="167"/>
    </row>
    <row r="200" spans="1:13">
      <c r="A200" s="107"/>
      <c r="B200" s="108" t="s">
        <v>422</v>
      </c>
      <c r="C200" s="139" t="s">
        <v>423</v>
      </c>
      <c r="D200" s="119"/>
      <c r="E200" s="167"/>
    </row>
    <row r="201" spans="1:13">
      <c r="A201" s="107"/>
      <c r="B201" s="108" t="s">
        <v>424</v>
      </c>
      <c r="C201" s="139" t="s">
        <v>425</v>
      </c>
      <c r="D201" s="119"/>
      <c r="E201" s="167"/>
    </row>
    <row r="202" spans="1:13">
      <c r="A202" s="107"/>
      <c r="B202" s="108" t="s">
        <v>426</v>
      </c>
      <c r="C202" s="139" t="s">
        <v>427</v>
      </c>
      <c r="D202" s="119"/>
      <c r="E202" s="167"/>
    </row>
    <row r="203" spans="1:13">
      <c r="A203" s="107"/>
      <c r="B203" s="108" t="s">
        <v>428</v>
      </c>
      <c r="C203" s="139" t="s">
        <v>429</v>
      </c>
      <c r="D203" s="119"/>
      <c r="E203" s="167"/>
    </row>
    <row r="204" spans="1:13">
      <c r="A204" s="107"/>
      <c r="B204" s="108" t="s">
        <v>687</v>
      </c>
      <c r="C204" s="139" t="s">
        <v>430</v>
      </c>
      <c r="D204" s="119"/>
      <c r="E204" s="167"/>
    </row>
    <row r="205" spans="1:13">
      <c r="A205" s="107"/>
      <c r="B205" s="108" t="s">
        <v>431</v>
      </c>
      <c r="C205" s="139" t="s">
        <v>432</v>
      </c>
      <c r="D205" s="119"/>
      <c r="E205" s="167"/>
    </row>
    <row r="206" spans="1:13">
      <c r="A206" s="107"/>
      <c r="B206" s="108" t="s">
        <v>433</v>
      </c>
      <c r="C206" s="139" t="s">
        <v>434</v>
      </c>
      <c r="D206" s="119"/>
      <c r="E206" s="167"/>
    </row>
    <row r="207" spans="1:13">
      <c r="A207" s="107"/>
      <c r="B207" s="108" t="s">
        <v>435</v>
      </c>
      <c r="C207" s="139" t="s">
        <v>436</v>
      </c>
      <c r="D207" s="119"/>
      <c r="E207" s="167"/>
    </row>
    <row r="208" spans="1:13">
      <c r="A208" s="107"/>
      <c r="B208" s="108" t="s">
        <v>437</v>
      </c>
      <c r="C208" s="139" t="s">
        <v>363</v>
      </c>
      <c r="D208" s="119"/>
      <c r="E208" s="167"/>
    </row>
    <row r="209" spans="1:5">
      <c r="A209" s="107"/>
      <c r="B209" s="139" t="s">
        <v>688</v>
      </c>
      <c r="C209" s="139" t="s">
        <v>439</v>
      </c>
      <c r="D209" s="119"/>
      <c r="E209" s="167"/>
    </row>
    <row r="210" spans="1:5">
      <c r="A210" s="107"/>
      <c r="B210" s="139" t="s">
        <v>440</v>
      </c>
      <c r="C210" s="139" t="s">
        <v>441</v>
      </c>
      <c r="D210" s="119"/>
      <c r="E210" s="167"/>
    </row>
    <row r="211" spans="1:5">
      <c r="A211" s="107"/>
      <c r="B211" s="139" t="s">
        <v>442</v>
      </c>
      <c r="C211" s="139" t="s">
        <v>443</v>
      </c>
      <c r="D211" s="119"/>
      <c r="E211" s="167"/>
    </row>
    <row r="212" spans="1:5">
      <c r="A212" s="107"/>
      <c r="B212" s="139" t="s">
        <v>444</v>
      </c>
      <c r="C212" s="139" t="s">
        <v>445</v>
      </c>
      <c r="D212" s="119"/>
      <c r="E212" s="167"/>
    </row>
    <row r="213" spans="1:5">
      <c r="A213" s="140"/>
      <c r="B213" s="141"/>
      <c r="C213" s="142"/>
      <c r="D213" s="175"/>
    </row>
    <row r="214" spans="1:5">
      <c r="B214" t="s">
        <v>291</v>
      </c>
    </row>
    <row r="215" spans="1:5">
      <c r="B215" s="106" t="s">
        <v>95</v>
      </c>
      <c r="C215" s="106" t="s">
        <v>96</v>
      </c>
      <c r="D215" s="172" t="s">
        <v>97</v>
      </c>
      <c r="E215" s="166"/>
    </row>
    <row r="216" spans="1:5">
      <c r="A216" s="107"/>
      <c r="B216" s="139" t="s">
        <v>335</v>
      </c>
      <c r="C216" s="139" t="s">
        <v>337</v>
      </c>
      <c r="D216" s="119" t="s">
        <v>339</v>
      </c>
      <c r="E216" s="167"/>
    </row>
    <row r="217" spans="1:5">
      <c r="B217" s="139" t="s">
        <v>336</v>
      </c>
      <c r="C217" s="139" t="s">
        <v>338</v>
      </c>
      <c r="D217" s="119" t="s">
        <v>340</v>
      </c>
      <c r="E217" s="167"/>
    </row>
    <row r="219" spans="1:5">
      <c r="A219" s="138" t="s">
        <v>929</v>
      </c>
      <c r="B219" s="138"/>
      <c r="C219" s="138"/>
    </row>
    <row r="220" spans="1:5">
      <c r="B220" t="s">
        <v>107</v>
      </c>
    </row>
    <row r="221" spans="1:5">
      <c r="B221" s="106" t="s">
        <v>95</v>
      </c>
      <c r="C221" s="106" t="s">
        <v>96</v>
      </c>
      <c r="D221" s="172" t="s">
        <v>97</v>
      </c>
      <c r="E221" s="166"/>
    </row>
    <row r="222" spans="1:5">
      <c r="A222" s="107"/>
      <c r="B222" s="108" t="s">
        <v>420</v>
      </c>
      <c r="C222" s="139" t="s">
        <v>421</v>
      </c>
      <c r="D222" s="119"/>
      <c r="E222" s="167"/>
    </row>
    <row r="223" spans="1:5">
      <c r="A223" s="107"/>
      <c r="B223" s="108" t="s">
        <v>422</v>
      </c>
      <c r="C223" s="139" t="s">
        <v>423</v>
      </c>
      <c r="D223" s="119"/>
      <c r="E223" s="167"/>
    </row>
    <row r="224" spans="1:5">
      <c r="A224" s="107"/>
      <c r="B224" s="108" t="s">
        <v>424</v>
      </c>
      <c r="C224" s="139" t="s">
        <v>425</v>
      </c>
      <c r="D224" s="119"/>
      <c r="E224" s="167"/>
    </row>
    <row r="225" spans="1:5">
      <c r="A225" s="107"/>
      <c r="B225" s="108" t="s">
        <v>426</v>
      </c>
      <c r="C225" s="139" t="s">
        <v>427</v>
      </c>
      <c r="D225" s="119"/>
      <c r="E225" s="167"/>
    </row>
    <row r="226" spans="1:5">
      <c r="A226" s="107"/>
      <c r="B226" s="108" t="s">
        <v>428</v>
      </c>
      <c r="C226" s="139" t="s">
        <v>429</v>
      </c>
      <c r="D226" s="119"/>
      <c r="E226" s="167"/>
    </row>
    <row r="227" spans="1:5">
      <c r="A227" s="107"/>
      <c r="B227" s="108" t="s">
        <v>687</v>
      </c>
      <c r="C227" s="139" t="s">
        <v>430</v>
      </c>
      <c r="D227" s="119"/>
      <c r="E227" s="167"/>
    </row>
    <row r="228" spans="1:5">
      <c r="A228" s="107"/>
      <c r="B228" s="108" t="s">
        <v>431</v>
      </c>
      <c r="C228" s="139" t="s">
        <v>432</v>
      </c>
      <c r="D228" s="119"/>
      <c r="E228" s="167"/>
    </row>
    <row r="229" spans="1:5">
      <c r="A229" s="107"/>
      <c r="B229" s="108" t="s">
        <v>433</v>
      </c>
      <c r="C229" s="139" t="s">
        <v>434</v>
      </c>
      <c r="D229" s="119"/>
      <c r="E229" s="167"/>
    </row>
    <row r="230" spans="1:5">
      <c r="A230" s="107"/>
      <c r="B230" s="108" t="s">
        <v>435</v>
      </c>
      <c r="C230" s="139" t="s">
        <v>436</v>
      </c>
      <c r="D230" s="119"/>
      <c r="E230" s="167"/>
    </row>
    <row r="231" spans="1:5">
      <c r="A231" s="107"/>
      <c r="B231" s="108" t="s">
        <v>437</v>
      </c>
      <c r="C231" s="139" t="s">
        <v>363</v>
      </c>
      <c r="D231" s="119"/>
      <c r="E231" s="167"/>
    </row>
    <row r="232" spans="1:5">
      <c r="A232" s="107"/>
      <c r="B232" s="139" t="s">
        <v>688</v>
      </c>
      <c r="C232" s="139" t="s">
        <v>439</v>
      </c>
      <c r="D232" s="119"/>
      <c r="E232" s="167"/>
    </row>
    <row r="233" spans="1:5">
      <c r="A233" s="107"/>
      <c r="B233" s="139" t="s">
        <v>440</v>
      </c>
      <c r="C233" s="139" t="s">
        <v>441</v>
      </c>
      <c r="D233" s="119"/>
      <c r="E233" s="167"/>
    </row>
    <row r="234" spans="1:5">
      <c r="A234" s="107"/>
      <c r="B234" s="139" t="s">
        <v>442</v>
      </c>
      <c r="C234" s="139" t="s">
        <v>443</v>
      </c>
      <c r="D234" s="119"/>
      <c r="E234" s="167"/>
    </row>
    <row r="235" spans="1:5">
      <c r="A235" s="107"/>
      <c r="B235" s="139" t="s">
        <v>444</v>
      </c>
      <c r="C235" s="139" t="s">
        <v>445</v>
      </c>
      <c r="D235" s="119"/>
      <c r="E235" s="167"/>
    </row>
    <row r="236" spans="1:5">
      <c r="A236" s="140"/>
      <c r="B236" s="141"/>
      <c r="C236" s="142"/>
      <c r="D236" s="175"/>
    </row>
    <row r="237" spans="1:5">
      <c r="B237" t="s">
        <v>930</v>
      </c>
    </row>
    <row r="238" spans="1:5">
      <c r="B238" s="106" t="s">
        <v>95</v>
      </c>
      <c r="C238" s="106" t="s">
        <v>96</v>
      </c>
      <c r="D238" s="172" t="s">
        <v>97</v>
      </c>
      <c r="E238" s="166"/>
    </row>
    <row r="239" spans="1:5">
      <c r="A239" s="107"/>
      <c r="B239" s="108" t="s">
        <v>335</v>
      </c>
      <c r="C239" s="139" t="s">
        <v>337</v>
      </c>
      <c r="D239" s="119"/>
      <c r="E239" s="167"/>
    </row>
    <row r="240" spans="1:5">
      <c r="B240" s="108" t="s">
        <v>931</v>
      </c>
      <c r="C240" s="139" t="s">
        <v>932</v>
      </c>
      <c r="D240" s="119"/>
      <c r="E240" s="167"/>
    </row>
    <row r="241" spans="1:5">
      <c r="B241" s="120"/>
      <c r="C241" s="143"/>
      <c r="D241" s="173"/>
      <c r="E241" s="168"/>
    </row>
    <row r="242" spans="1:5">
      <c r="A242" s="138" t="s">
        <v>353</v>
      </c>
      <c r="B242" s="138"/>
      <c r="C242" s="138"/>
    </row>
    <row r="243" spans="1:5">
      <c r="B243" t="s">
        <v>107</v>
      </c>
    </row>
    <row r="244" spans="1:5">
      <c r="B244" s="106" t="s">
        <v>95</v>
      </c>
      <c r="C244" s="106" t="s">
        <v>96</v>
      </c>
      <c r="D244" s="172" t="s">
        <v>97</v>
      </c>
      <c r="E244" s="166"/>
    </row>
    <row r="245" spans="1:5">
      <c r="A245" s="107"/>
      <c r="B245" s="108" t="s">
        <v>420</v>
      </c>
      <c r="C245" s="139" t="s">
        <v>421</v>
      </c>
      <c r="D245" s="119"/>
      <c r="E245" s="167"/>
    </row>
    <row r="246" spans="1:5">
      <c r="A246" s="107"/>
      <c r="B246" s="108" t="s">
        <v>422</v>
      </c>
      <c r="C246" s="139" t="s">
        <v>423</v>
      </c>
      <c r="D246" s="119"/>
      <c r="E246" s="167"/>
    </row>
    <row r="247" spans="1:5">
      <c r="A247" s="107"/>
      <c r="B247" s="108" t="s">
        <v>424</v>
      </c>
      <c r="C247" s="139" t="s">
        <v>425</v>
      </c>
      <c r="D247" s="119"/>
      <c r="E247" s="167"/>
    </row>
    <row r="248" spans="1:5">
      <c r="A248" s="107"/>
      <c r="B248" s="108" t="s">
        <v>426</v>
      </c>
      <c r="C248" s="139" t="s">
        <v>427</v>
      </c>
      <c r="D248" s="119"/>
      <c r="E248" s="167"/>
    </row>
    <row r="249" spans="1:5">
      <c r="A249" s="107"/>
      <c r="B249" s="108" t="s">
        <v>428</v>
      </c>
      <c r="C249" s="139" t="s">
        <v>429</v>
      </c>
      <c r="D249" s="119"/>
      <c r="E249" s="167"/>
    </row>
    <row r="250" spans="1:5">
      <c r="A250" s="107"/>
      <c r="B250" s="108" t="s">
        <v>687</v>
      </c>
      <c r="C250" s="139" t="s">
        <v>430</v>
      </c>
      <c r="D250" s="119"/>
      <c r="E250" s="167"/>
    </row>
    <row r="251" spans="1:5">
      <c r="A251" s="107"/>
      <c r="B251" s="108" t="s">
        <v>431</v>
      </c>
      <c r="C251" s="139" t="s">
        <v>432</v>
      </c>
      <c r="D251" s="119"/>
      <c r="E251" s="167"/>
    </row>
    <row r="252" spans="1:5">
      <c r="A252" s="107"/>
      <c r="B252" s="108" t="s">
        <v>433</v>
      </c>
      <c r="C252" s="139" t="s">
        <v>434</v>
      </c>
      <c r="D252" s="119"/>
      <c r="E252" s="167"/>
    </row>
    <row r="253" spans="1:5">
      <c r="A253" s="107"/>
      <c r="B253" s="108" t="s">
        <v>435</v>
      </c>
      <c r="C253" s="139" t="s">
        <v>436</v>
      </c>
      <c r="D253" s="119"/>
      <c r="E253" s="167"/>
    </row>
    <row r="254" spans="1:5">
      <c r="A254" s="107"/>
      <c r="B254" s="108" t="s">
        <v>437</v>
      </c>
      <c r="C254" s="139" t="s">
        <v>363</v>
      </c>
      <c r="D254" s="119"/>
      <c r="E254" s="167"/>
    </row>
    <row r="255" spans="1:5">
      <c r="A255" s="107"/>
      <c r="B255" s="139" t="s">
        <v>688</v>
      </c>
      <c r="C255" s="139" t="s">
        <v>439</v>
      </c>
      <c r="D255" s="119"/>
      <c r="E255" s="167"/>
    </row>
    <row r="256" spans="1:5">
      <c r="A256" s="107"/>
      <c r="B256" s="139" t="s">
        <v>440</v>
      </c>
      <c r="C256" s="139" t="s">
        <v>441</v>
      </c>
      <c r="D256" s="119"/>
      <c r="E256" s="167"/>
    </row>
    <row r="257" spans="1:5">
      <c r="A257" s="107"/>
      <c r="B257" s="139" t="s">
        <v>442</v>
      </c>
      <c r="C257" s="139" t="s">
        <v>443</v>
      </c>
      <c r="D257" s="119"/>
      <c r="E257" s="167"/>
    </row>
    <row r="258" spans="1:5">
      <c r="A258" s="107"/>
      <c r="B258" s="139" t="s">
        <v>444</v>
      </c>
      <c r="C258" s="139" t="s">
        <v>445</v>
      </c>
      <c r="D258" s="119"/>
      <c r="E258" s="167"/>
    </row>
    <row r="259" spans="1:5">
      <c r="A259" s="140"/>
      <c r="B259" s="141"/>
      <c r="C259" s="142"/>
      <c r="D259" s="175"/>
    </row>
    <row r="260" spans="1:5">
      <c r="B260" t="s">
        <v>354</v>
      </c>
    </row>
    <row r="261" spans="1:5">
      <c r="B261" s="106" t="s">
        <v>95</v>
      </c>
      <c r="C261" s="106" t="s">
        <v>96</v>
      </c>
      <c r="D261" s="172" t="s">
        <v>97</v>
      </c>
      <c r="E261" s="166"/>
    </row>
    <row r="262" spans="1:5">
      <c r="A262" s="107"/>
      <c r="B262" s="108" t="s">
        <v>335</v>
      </c>
      <c r="C262" s="139" t="s">
        <v>337</v>
      </c>
      <c r="D262" s="119"/>
      <c r="E262" s="167"/>
    </row>
    <row r="263" spans="1:5">
      <c r="B263" s="108" t="s">
        <v>355</v>
      </c>
      <c r="C263" s="139" t="s">
        <v>356</v>
      </c>
      <c r="D263" s="119"/>
      <c r="E263" s="167"/>
    </row>
    <row r="264" spans="1:5">
      <c r="B264" s="164" t="s">
        <v>415</v>
      </c>
      <c r="C264" s="139" t="s">
        <v>357</v>
      </c>
      <c r="D264" s="119" t="s">
        <v>340</v>
      </c>
      <c r="E264" s="167"/>
    </row>
    <row r="265" spans="1:5">
      <c r="B265" s="164" t="s">
        <v>416</v>
      </c>
      <c r="C265" s="139" t="s">
        <v>417</v>
      </c>
      <c r="D265" s="119"/>
      <c r="E265" s="167"/>
    </row>
    <row r="266" spans="1:5">
      <c r="B266" s="108" t="s">
        <v>358</v>
      </c>
      <c r="C266" s="139" t="s">
        <v>363</v>
      </c>
      <c r="D266" s="119"/>
      <c r="E266" s="167"/>
    </row>
    <row r="267" spans="1:5">
      <c r="B267" s="108" t="s">
        <v>359</v>
      </c>
      <c r="C267" s="139" t="s">
        <v>362</v>
      </c>
      <c r="D267" s="119"/>
      <c r="E267" s="167"/>
    </row>
    <row r="268" spans="1:5">
      <c r="B268" s="108" t="s">
        <v>360</v>
      </c>
      <c r="C268" s="139" t="s">
        <v>361</v>
      </c>
      <c r="D268" s="119"/>
      <c r="E268" s="167"/>
    </row>
    <row r="270" spans="1:5">
      <c r="A270" s="138" t="s">
        <v>450</v>
      </c>
      <c r="B270" s="138"/>
      <c r="C270" s="138"/>
    </row>
    <row r="271" spans="1:5">
      <c r="B271" t="s">
        <v>107</v>
      </c>
    </row>
    <row r="272" spans="1:5">
      <c r="B272" s="106" t="s">
        <v>95</v>
      </c>
      <c r="C272" s="106" t="s">
        <v>96</v>
      </c>
      <c r="D272" s="172" t="s">
        <v>97</v>
      </c>
      <c r="E272" s="166"/>
    </row>
    <row r="273" spans="1:5">
      <c r="A273" s="107"/>
      <c r="B273" s="108" t="s">
        <v>420</v>
      </c>
      <c r="C273" s="139" t="s">
        <v>421</v>
      </c>
      <c r="D273" s="119"/>
      <c r="E273" s="167"/>
    </row>
    <row r="274" spans="1:5">
      <c r="A274" s="107"/>
      <c r="B274" s="108" t="s">
        <v>422</v>
      </c>
      <c r="C274" s="139" t="s">
        <v>423</v>
      </c>
      <c r="D274" s="119"/>
      <c r="E274" s="167"/>
    </row>
    <row r="275" spans="1:5">
      <c r="A275" s="107"/>
      <c r="B275" s="108" t="s">
        <v>424</v>
      </c>
      <c r="C275" s="139" t="s">
        <v>425</v>
      </c>
      <c r="D275" s="119"/>
      <c r="E275" s="167"/>
    </row>
    <row r="276" spans="1:5">
      <c r="A276" s="107"/>
      <c r="B276" s="108" t="s">
        <v>426</v>
      </c>
      <c r="C276" s="139" t="s">
        <v>427</v>
      </c>
      <c r="D276" s="119"/>
      <c r="E276" s="167"/>
    </row>
    <row r="277" spans="1:5">
      <c r="A277" s="107"/>
      <c r="B277" s="108" t="s">
        <v>428</v>
      </c>
      <c r="C277" s="139" t="s">
        <v>429</v>
      </c>
      <c r="D277" s="119"/>
      <c r="E277" s="167"/>
    </row>
    <row r="278" spans="1:5">
      <c r="A278" s="107"/>
      <c r="B278" s="108" t="s">
        <v>687</v>
      </c>
      <c r="C278" s="139" t="s">
        <v>430</v>
      </c>
      <c r="D278" s="119"/>
      <c r="E278" s="167"/>
    </row>
    <row r="279" spans="1:5">
      <c r="A279" s="107"/>
      <c r="B279" s="108" t="s">
        <v>431</v>
      </c>
      <c r="C279" s="139" t="s">
        <v>432</v>
      </c>
      <c r="D279" s="119"/>
      <c r="E279" s="167"/>
    </row>
    <row r="280" spans="1:5">
      <c r="A280" s="107"/>
      <c r="B280" s="108" t="s">
        <v>433</v>
      </c>
      <c r="C280" s="139" t="s">
        <v>434</v>
      </c>
      <c r="D280" s="119"/>
      <c r="E280" s="167"/>
    </row>
    <row r="281" spans="1:5">
      <c r="A281" s="107"/>
      <c r="B281" s="108" t="s">
        <v>435</v>
      </c>
      <c r="C281" s="139" t="s">
        <v>436</v>
      </c>
      <c r="D281" s="119"/>
      <c r="E281" s="167"/>
    </row>
    <row r="282" spans="1:5">
      <c r="A282" s="107"/>
      <c r="B282" s="108" t="s">
        <v>437</v>
      </c>
      <c r="C282" s="139" t="s">
        <v>363</v>
      </c>
      <c r="D282" s="119"/>
      <c r="E282" s="167"/>
    </row>
    <row r="283" spans="1:5">
      <c r="A283" s="107"/>
      <c r="B283" s="139" t="s">
        <v>688</v>
      </c>
      <c r="C283" s="139" t="s">
        <v>439</v>
      </c>
      <c r="D283" s="119"/>
      <c r="E283" s="167"/>
    </row>
    <row r="284" spans="1:5">
      <c r="A284" s="107"/>
      <c r="B284" s="139" t="s">
        <v>440</v>
      </c>
      <c r="C284" s="139" t="s">
        <v>441</v>
      </c>
      <c r="D284" s="119"/>
      <c r="E284" s="167"/>
    </row>
    <row r="285" spans="1:5">
      <c r="A285" s="107"/>
      <c r="B285" s="139" t="s">
        <v>442</v>
      </c>
      <c r="C285" s="139" t="s">
        <v>443</v>
      </c>
      <c r="D285" s="119"/>
      <c r="E285" s="167"/>
    </row>
    <row r="286" spans="1:5">
      <c r="A286" s="107"/>
      <c r="B286" s="139" t="s">
        <v>444</v>
      </c>
      <c r="C286" s="139" t="s">
        <v>445</v>
      </c>
      <c r="D286" s="119"/>
      <c r="E286" s="167"/>
    </row>
    <row r="287" spans="1:5">
      <c r="A287" s="107"/>
      <c r="B287" s="143" t="s">
        <v>451</v>
      </c>
      <c r="C287" s="143"/>
      <c r="D287" s="173"/>
      <c r="E287" s="168"/>
    </row>
    <row r="288" spans="1:5">
      <c r="A288" s="107"/>
      <c r="B288" s="143"/>
      <c r="C288" s="143"/>
      <c r="D288" s="173"/>
      <c r="E288" s="168"/>
    </row>
    <row r="289" spans="1:5">
      <c r="A289" t="s">
        <v>398</v>
      </c>
    </row>
    <row r="290" spans="1:5">
      <c r="B290" t="s">
        <v>107</v>
      </c>
    </row>
    <row r="291" spans="1:5">
      <c r="B291" s="106" t="s">
        <v>95</v>
      </c>
      <c r="C291" s="106" t="s">
        <v>96</v>
      </c>
      <c r="D291" s="172" t="s">
        <v>97</v>
      </c>
      <c r="E291" s="166"/>
    </row>
    <row r="292" spans="1:5">
      <c r="A292" s="107"/>
      <c r="B292" s="108" t="s">
        <v>420</v>
      </c>
      <c r="C292" s="139" t="s">
        <v>421</v>
      </c>
      <c r="D292" s="119"/>
      <c r="E292" s="167"/>
    </row>
    <row r="293" spans="1:5">
      <c r="A293" s="107"/>
      <c r="B293" s="108" t="s">
        <v>422</v>
      </c>
      <c r="C293" s="139" t="s">
        <v>423</v>
      </c>
      <c r="D293" s="119"/>
      <c r="E293" s="167"/>
    </row>
    <row r="294" spans="1:5">
      <c r="A294" s="107"/>
      <c r="B294" s="108" t="s">
        <v>424</v>
      </c>
      <c r="C294" s="139" t="s">
        <v>425</v>
      </c>
      <c r="D294" s="119"/>
      <c r="E294" s="167"/>
    </row>
    <row r="295" spans="1:5">
      <c r="A295" s="107"/>
      <c r="B295" s="108" t="s">
        <v>426</v>
      </c>
      <c r="C295" s="139" t="s">
        <v>427</v>
      </c>
      <c r="D295" s="119"/>
      <c r="E295" s="167"/>
    </row>
    <row r="296" spans="1:5">
      <c r="A296" s="107"/>
      <c r="B296" s="108" t="s">
        <v>428</v>
      </c>
      <c r="C296" s="139" t="s">
        <v>429</v>
      </c>
      <c r="D296" s="119"/>
      <c r="E296" s="167"/>
    </row>
    <row r="297" spans="1:5">
      <c r="A297" s="107"/>
      <c r="B297" s="108" t="s">
        <v>687</v>
      </c>
      <c r="C297" s="139" t="s">
        <v>430</v>
      </c>
      <c r="D297" s="119"/>
      <c r="E297" s="167"/>
    </row>
    <row r="298" spans="1:5">
      <c r="A298" s="107"/>
      <c r="B298" s="108" t="s">
        <v>431</v>
      </c>
      <c r="C298" s="139" t="s">
        <v>432</v>
      </c>
      <c r="D298" s="119"/>
      <c r="E298" s="167"/>
    </row>
    <row r="299" spans="1:5">
      <c r="A299" s="107"/>
      <c r="B299" s="108" t="s">
        <v>433</v>
      </c>
      <c r="C299" s="139" t="s">
        <v>434</v>
      </c>
      <c r="D299" s="119"/>
      <c r="E299" s="167"/>
    </row>
    <row r="300" spans="1:5">
      <c r="A300" s="107"/>
      <c r="B300" s="108" t="s">
        <v>435</v>
      </c>
      <c r="C300" s="139" t="s">
        <v>436</v>
      </c>
      <c r="D300" s="119"/>
      <c r="E300" s="167"/>
    </row>
    <row r="301" spans="1:5">
      <c r="A301" s="107"/>
      <c r="B301" s="108" t="s">
        <v>437</v>
      </c>
      <c r="C301" s="139" t="s">
        <v>363</v>
      </c>
      <c r="D301" s="119"/>
      <c r="E301" s="167"/>
    </row>
    <row r="302" spans="1:5">
      <c r="A302" s="107"/>
      <c r="B302" s="139" t="s">
        <v>688</v>
      </c>
      <c r="C302" s="139" t="s">
        <v>439</v>
      </c>
      <c r="D302" s="119"/>
      <c r="E302" s="167"/>
    </row>
    <row r="303" spans="1:5">
      <c r="A303" s="107"/>
      <c r="B303" s="139" t="s">
        <v>440</v>
      </c>
      <c r="C303" s="139" t="s">
        <v>441</v>
      </c>
      <c r="D303" s="119"/>
      <c r="E303" s="167"/>
    </row>
    <row r="304" spans="1:5">
      <c r="A304" s="107"/>
      <c r="B304" s="139" t="s">
        <v>442</v>
      </c>
      <c r="C304" s="139" t="s">
        <v>443</v>
      </c>
      <c r="D304" s="119"/>
      <c r="E304" s="167"/>
    </row>
    <row r="305" spans="1:6">
      <c r="A305" s="107"/>
      <c r="B305" s="139" t="s">
        <v>444</v>
      </c>
      <c r="C305" s="139" t="s">
        <v>445</v>
      </c>
      <c r="D305" s="119"/>
      <c r="E305" s="167"/>
    </row>
    <row r="306" spans="1:6">
      <c r="A306" s="107"/>
      <c r="B306" s="143" t="s">
        <v>451</v>
      </c>
      <c r="C306" s="143"/>
      <c r="D306" s="173"/>
      <c r="E306" s="168"/>
    </row>
    <row r="308" spans="1:6">
      <c r="A308" t="s">
        <v>654</v>
      </c>
    </row>
    <row r="309" spans="1:6">
      <c r="B309" t="s">
        <v>107</v>
      </c>
    </row>
    <row r="310" spans="1:6">
      <c r="B310" s="106" t="s">
        <v>95</v>
      </c>
      <c r="C310" s="106" t="s">
        <v>96</v>
      </c>
      <c r="D310" s="172" t="s">
        <v>97</v>
      </c>
      <c r="E310" s="166" t="s">
        <v>520</v>
      </c>
      <c r="F310" s="166" t="s">
        <v>522</v>
      </c>
    </row>
    <row r="311" spans="1:6">
      <c r="B311" s="108" t="s">
        <v>420</v>
      </c>
      <c r="C311" s="139" t="s">
        <v>421</v>
      </c>
      <c r="D311" s="119"/>
      <c r="E311" s="167"/>
      <c r="F311" s="167"/>
    </row>
    <row r="312" spans="1:6">
      <c r="B312" s="108" t="s">
        <v>422</v>
      </c>
      <c r="C312" s="139" t="s">
        <v>423</v>
      </c>
      <c r="D312" s="119"/>
      <c r="E312" s="167"/>
      <c r="F312" s="167"/>
    </row>
    <row r="313" spans="1:6">
      <c r="B313" s="108" t="s">
        <v>424</v>
      </c>
      <c r="C313" s="139" t="s">
        <v>425</v>
      </c>
      <c r="D313" s="119"/>
      <c r="E313" s="167"/>
      <c r="F313" s="167"/>
    </row>
    <row r="314" spans="1:6">
      <c r="B314" s="108" t="s">
        <v>426</v>
      </c>
      <c r="C314" s="139" t="s">
        <v>427</v>
      </c>
      <c r="D314" s="119"/>
      <c r="E314" s="167"/>
      <c r="F314" s="167"/>
    </row>
    <row r="315" spans="1:6">
      <c r="B315" s="108" t="s">
        <v>428</v>
      </c>
      <c r="C315" s="139" t="s">
        <v>429</v>
      </c>
      <c r="D315" s="119"/>
      <c r="E315" s="167"/>
      <c r="F315" s="167"/>
    </row>
    <row r="316" spans="1:6">
      <c r="B316" s="108" t="s">
        <v>687</v>
      </c>
      <c r="C316" s="139" t="s">
        <v>430</v>
      </c>
      <c r="D316" s="119"/>
      <c r="E316" s="167"/>
      <c r="F316" s="167"/>
    </row>
    <row r="317" spans="1:6">
      <c r="B317" s="108" t="s">
        <v>431</v>
      </c>
      <c r="C317" s="139" t="s">
        <v>432</v>
      </c>
      <c r="D317" s="119"/>
      <c r="E317" s="167"/>
      <c r="F317" s="167"/>
    </row>
    <row r="318" spans="1:6">
      <c r="B318" s="108" t="s">
        <v>433</v>
      </c>
      <c r="C318" s="139" t="s">
        <v>434</v>
      </c>
      <c r="D318" s="119"/>
      <c r="E318" s="167"/>
      <c r="F318" s="167"/>
    </row>
    <row r="319" spans="1:6">
      <c r="B319" s="108" t="s">
        <v>435</v>
      </c>
      <c r="C319" s="139" t="s">
        <v>436</v>
      </c>
      <c r="D319" s="119"/>
      <c r="E319" s="167"/>
      <c r="F319" s="167"/>
    </row>
    <row r="320" spans="1:6">
      <c r="B320" s="108" t="s">
        <v>437</v>
      </c>
      <c r="C320" s="139" t="s">
        <v>363</v>
      </c>
      <c r="D320" s="119"/>
      <c r="E320" s="167"/>
      <c r="F320" s="167"/>
    </row>
    <row r="321" spans="1:6">
      <c r="B321" s="139" t="s">
        <v>688</v>
      </c>
      <c r="C321" s="139" t="s">
        <v>439</v>
      </c>
      <c r="D321" s="119"/>
      <c r="E321" s="167"/>
      <c r="F321" s="167"/>
    </row>
    <row r="322" spans="1:6">
      <c r="B322" s="139" t="s">
        <v>440</v>
      </c>
      <c r="C322" s="139" t="s">
        <v>441</v>
      </c>
      <c r="D322" s="119"/>
      <c r="E322" s="167"/>
      <c r="F322" s="167"/>
    </row>
    <row r="323" spans="1:6">
      <c r="B323" s="139" t="s">
        <v>442</v>
      </c>
      <c r="C323" s="139" t="s">
        <v>443</v>
      </c>
      <c r="D323" s="119"/>
      <c r="E323" s="167"/>
      <c r="F323" s="167"/>
    </row>
    <row r="324" spans="1:6">
      <c r="B324" s="139" t="s">
        <v>444</v>
      </c>
      <c r="C324" s="139" t="s">
        <v>445</v>
      </c>
      <c r="D324" s="119"/>
      <c r="E324" s="167"/>
      <c r="F324" s="167"/>
    </row>
    <row r="325" spans="1:6">
      <c r="B325" s="143" t="s">
        <v>451</v>
      </c>
    </row>
    <row r="327" spans="1:6">
      <c r="A327" t="s">
        <v>654</v>
      </c>
    </row>
    <row r="328" spans="1:6">
      <c r="B328" t="s">
        <v>107</v>
      </c>
    </row>
    <row r="329" spans="1:6">
      <c r="B329" s="106" t="s">
        <v>95</v>
      </c>
      <c r="C329" s="106" t="s">
        <v>96</v>
      </c>
      <c r="D329" s="172" t="s">
        <v>97</v>
      </c>
      <c r="E329" s="166" t="s">
        <v>520</v>
      </c>
      <c r="F329" s="166" t="s">
        <v>522</v>
      </c>
    </row>
    <row r="330" spans="1:6">
      <c r="B330" s="108" t="s">
        <v>420</v>
      </c>
      <c r="C330" s="139" t="s">
        <v>421</v>
      </c>
      <c r="D330" s="119"/>
      <c r="E330" s="167"/>
      <c r="F330" s="167"/>
    </row>
    <row r="331" spans="1:6">
      <c r="B331" s="108" t="s">
        <v>422</v>
      </c>
      <c r="C331" s="139" t="s">
        <v>423</v>
      </c>
      <c r="D331" s="119"/>
      <c r="E331" s="167"/>
      <c r="F331" s="167"/>
    </row>
    <row r="332" spans="1:6">
      <c r="B332" s="108" t="s">
        <v>424</v>
      </c>
      <c r="C332" s="139" t="s">
        <v>425</v>
      </c>
      <c r="D332" s="119"/>
      <c r="E332" s="167"/>
      <c r="F332" s="167"/>
    </row>
    <row r="333" spans="1:6">
      <c r="B333" s="108" t="s">
        <v>426</v>
      </c>
      <c r="C333" s="139" t="s">
        <v>427</v>
      </c>
      <c r="D333" s="119"/>
      <c r="E333" s="167"/>
      <c r="F333" s="167"/>
    </row>
    <row r="334" spans="1:6">
      <c r="B334" s="108" t="s">
        <v>428</v>
      </c>
      <c r="C334" s="139" t="s">
        <v>429</v>
      </c>
      <c r="D334" s="119"/>
      <c r="E334" s="167"/>
      <c r="F334" s="167"/>
    </row>
    <row r="335" spans="1:6">
      <c r="B335" s="108" t="s">
        <v>687</v>
      </c>
      <c r="C335" s="139" t="s">
        <v>430</v>
      </c>
      <c r="D335" s="119"/>
      <c r="E335" s="167"/>
      <c r="F335" s="167"/>
    </row>
    <row r="336" spans="1:6">
      <c r="B336" s="108" t="s">
        <v>431</v>
      </c>
      <c r="C336" s="139" t="s">
        <v>432</v>
      </c>
      <c r="D336" s="119"/>
      <c r="E336" s="167"/>
      <c r="F336" s="167"/>
    </row>
    <row r="337" spans="1:6">
      <c r="B337" s="108" t="s">
        <v>433</v>
      </c>
      <c r="C337" s="139" t="s">
        <v>434</v>
      </c>
      <c r="D337" s="119"/>
      <c r="E337" s="167"/>
      <c r="F337" s="167"/>
    </row>
    <row r="338" spans="1:6">
      <c r="B338" s="108" t="s">
        <v>435</v>
      </c>
      <c r="C338" s="139" t="s">
        <v>436</v>
      </c>
      <c r="D338" s="119"/>
      <c r="E338" s="167"/>
      <c r="F338" s="167"/>
    </row>
    <row r="339" spans="1:6">
      <c r="B339" s="108" t="s">
        <v>437</v>
      </c>
      <c r="C339" s="139" t="s">
        <v>363</v>
      </c>
      <c r="D339" s="119"/>
      <c r="E339" s="167"/>
      <c r="F339" s="167"/>
    </row>
    <row r="340" spans="1:6">
      <c r="B340" s="139" t="s">
        <v>688</v>
      </c>
      <c r="C340" s="139" t="s">
        <v>439</v>
      </c>
      <c r="D340" s="119"/>
      <c r="E340" s="167"/>
      <c r="F340" s="167"/>
    </row>
    <row r="341" spans="1:6">
      <c r="B341" s="139" t="s">
        <v>440</v>
      </c>
      <c r="C341" s="139" t="s">
        <v>441</v>
      </c>
      <c r="D341" s="119"/>
      <c r="E341" s="167"/>
      <c r="F341" s="167"/>
    </row>
    <row r="342" spans="1:6">
      <c r="B342" s="139" t="s">
        <v>442</v>
      </c>
      <c r="C342" s="139" t="s">
        <v>443</v>
      </c>
      <c r="D342" s="119"/>
      <c r="E342" s="167"/>
      <c r="F342" s="167"/>
    </row>
    <row r="343" spans="1:6">
      <c r="B343" s="139" t="s">
        <v>444</v>
      </c>
      <c r="C343" s="139" t="s">
        <v>445</v>
      </c>
      <c r="D343" s="119"/>
      <c r="E343" s="167"/>
      <c r="F343" s="167"/>
    </row>
    <row r="344" spans="1:6">
      <c r="B344" s="143" t="s">
        <v>451</v>
      </c>
    </row>
    <row r="346" spans="1:6">
      <c r="A346" s="138" t="s">
        <v>684</v>
      </c>
      <c r="B346" s="138"/>
      <c r="C346" s="138"/>
    </row>
    <row r="347" spans="1:6">
      <c r="B347" t="s">
        <v>107</v>
      </c>
    </row>
    <row r="348" spans="1:6">
      <c r="B348" s="106" t="s">
        <v>95</v>
      </c>
      <c r="C348" s="106" t="s">
        <v>96</v>
      </c>
      <c r="D348" s="172" t="s">
        <v>97</v>
      </c>
      <c r="E348" s="189" t="s">
        <v>689</v>
      </c>
      <c r="F348" s="189" t="s">
        <v>690</v>
      </c>
    </row>
    <row r="349" spans="1:6">
      <c r="A349" s="107"/>
      <c r="B349" s="108" t="s">
        <v>420</v>
      </c>
      <c r="C349" s="139" t="s">
        <v>421</v>
      </c>
      <c r="D349" s="119"/>
      <c r="E349" s="190"/>
      <c r="F349" s="190"/>
    </row>
    <row r="350" spans="1:6">
      <c r="A350" s="107"/>
      <c r="B350" s="108" t="s">
        <v>422</v>
      </c>
      <c r="C350" s="139" t="s">
        <v>423</v>
      </c>
      <c r="D350" s="119"/>
      <c r="E350" s="190"/>
      <c r="F350" s="190"/>
    </row>
    <row r="351" spans="1:6">
      <c r="A351" s="107"/>
      <c r="B351" s="108" t="s">
        <v>424</v>
      </c>
      <c r="C351" s="139" t="s">
        <v>425</v>
      </c>
      <c r="D351" s="119"/>
      <c r="E351" s="190"/>
      <c r="F351" s="190"/>
    </row>
    <row r="352" spans="1:6">
      <c r="A352" s="107"/>
      <c r="B352" s="108" t="s">
        <v>426</v>
      </c>
      <c r="C352" s="139" t="s">
        <v>427</v>
      </c>
      <c r="D352" s="119"/>
      <c r="E352" s="190"/>
      <c r="F352" s="190"/>
    </row>
    <row r="353" spans="1:6">
      <c r="A353" s="107"/>
      <c r="B353" s="108" t="s">
        <v>428</v>
      </c>
      <c r="C353" s="139" t="s">
        <v>429</v>
      </c>
      <c r="D353" s="119"/>
      <c r="E353" s="190"/>
      <c r="F353" s="190"/>
    </row>
    <row r="354" spans="1:6">
      <c r="A354" s="107"/>
      <c r="B354" s="108" t="s">
        <v>687</v>
      </c>
      <c r="C354" s="139" t="s">
        <v>430</v>
      </c>
      <c r="D354" s="119"/>
      <c r="E354" s="190"/>
      <c r="F354" s="190"/>
    </row>
    <row r="355" spans="1:6">
      <c r="A355" s="107"/>
      <c r="B355" s="108" t="s">
        <v>431</v>
      </c>
      <c r="C355" s="139" t="s">
        <v>432</v>
      </c>
      <c r="D355" s="119"/>
      <c r="E355" s="190"/>
      <c r="F355" s="190"/>
    </row>
    <row r="356" spans="1:6">
      <c r="A356" s="107"/>
      <c r="B356" s="108" t="s">
        <v>433</v>
      </c>
      <c r="C356" s="139" t="s">
        <v>434</v>
      </c>
      <c r="D356" s="119"/>
      <c r="E356" s="190"/>
      <c r="F356" s="190"/>
    </row>
    <row r="357" spans="1:6">
      <c r="A357" s="107"/>
      <c r="B357" s="108" t="s">
        <v>435</v>
      </c>
      <c r="C357" s="139" t="s">
        <v>436</v>
      </c>
      <c r="D357" s="119"/>
      <c r="E357" s="190"/>
      <c r="F357" s="190"/>
    </row>
    <row r="358" spans="1:6">
      <c r="A358" s="107"/>
      <c r="B358" s="139" t="s">
        <v>688</v>
      </c>
      <c r="C358" s="139" t="s">
        <v>439</v>
      </c>
      <c r="D358" s="119"/>
      <c r="E358" s="190"/>
      <c r="F358" s="190"/>
    </row>
    <row r="359" spans="1:6">
      <c r="A359" s="140"/>
      <c r="B359" s="141"/>
      <c r="C359" s="142"/>
      <c r="D359" s="175"/>
    </row>
    <row r="360" spans="1:6">
      <c r="B360" t="s">
        <v>291</v>
      </c>
    </row>
    <row r="361" spans="1:6">
      <c r="B361" s="106" t="s">
        <v>95</v>
      </c>
      <c r="C361" s="106" t="s">
        <v>96</v>
      </c>
      <c r="D361" s="172" t="s">
        <v>97</v>
      </c>
      <c r="E361" s="189" t="s">
        <v>689</v>
      </c>
      <c r="F361" s="189" t="s">
        <v>690</v>
      </c>
    </row>
    <row r="362" spans="1:6">
      <c r="A362" s="107"/>
      <c r="B362" s="108" t="s">
        <v>685</v>
      </c>
      <c r="C362" s="139" t="s">
        <v>686</v>
      </c>
      <c r="D362" s="119"/>
      <c r="E362" s="190"/>
      <c r="F362" s="190"/>
    </row>
  </sheetData>
  <mergeCells count="1">
    <mergeCell ref="A76:B76"/>
  </mergeCells>
  <phoneticPr fontId="28"/>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86" t="s">
        <v>4</v>
      </c>
      <c r="C6" s="287" t="s">
        <v>30</v>
      </c>
      <c r="D6" s="287" t="s">
        <v>56</v>
      </c>
      <c r="E6" s="57"/>
      <c r="F6" s="288" t="s">
        <v>7</v>
      </c>
      <c r="G6" s="289"/>
      <c r="H6" s="264" t="s">
        <v>12</v>
      </c>
      <c r="I6" s="264"/>
      <c r="J6" s="264"/>
      <c r="K6" s="267" t="s">
        <v>14</v>
      </c>
      <c r="L6" s="267"/>
      <c r="M6" s="267"/>
      <c r="N6" s="290"/>
      <c r="O6" s="290"/>
      <c r="P6" s="290"/>
    </row>
    <row r="7" spans="1:17">
      <c r="B7" s="269"/>
      <c r="C7" s="266"/>
      <c r="D7" s="266"/>
      <c r="E7" s="58"/>
      <c r="F7" s="272"/>
      <c r="G7" s="273"/>
      <c r="H7" s="45" t="s">
        <v>8</v>
      </c>
      <c r="I7" s="45" t="s">
        <v>9</v>
      </c>
      <c r="J7" s="45" t="s">
        <v>10</v>
      </c>
      <c r="K7" s="30"/>
      <c r="L7" s="32"/>
      <c r="M7" s="33"/>
      <c r="N7" s="44"/>
      <c r="O7" s="44"/>
      <c r="P7" s="44"/>
      <c r="Q7" s="3" t="s">
        <v>23</v>
      </c>
    </row>
    <row r="8" spans="1:17">
      <c r="B8" s="38" t="s">
        <v>15</v>
      </c>
      <c r="C8" s="29" t="s">
        <v>31</v>
      </c>
      <c r="D8" s="28" t="s">
        <v>33</v>
      </c>
      <c r="E8" s="39"/>
      <c r="F8" s="262" t="s">
        <v>28</v>
      </c>
      <c r="G8" s="263"/>
      <c r="H8" s="53"/>
      <c r="I8" s="54"/>
      <c r="J8" s="53"/>
      <c r="K8" s="39"/>
      <c r="L8" s="34"/>
      <c r="M8" s="35"/>
      <c r="N8" s="44"/>
      <c r="O8" s="44"/>
      <c r="P8" s="44"/>
      <c r="Q8" s="3" t="s">
        <v>24</v>
      </c>
    </row>
    <row r="9" spans="1:17">
      <c r="B9" s="16"/>
      <c r="C9" s="40"/>
      <c r="D9" s="29" t="s">
        <v>33</v>
      </c>
      <c r="E9" s="49"/>
      <c r="F9" s="291" t="s">
        <v>29</v>
      </c>
      <c r="G9" s="292"/>
      <c r="H9" s="47"/>
      <c r="I9" s="48"/>
      <c r="J9" s="47"/>
      <c r="K9" s="49"/>
      <c r="L9" s="55"/>
      <c r="M9" s="56"/>
      <c r="N9" s="44"/>
      <c r="O9" s="44"/>
      <c r="P9" s="44"/>
      <c r="Q9" s="3" t="s">
        <v>25</v>
      </c>
    </row>
    <row r="10" spans="1:17" s="15" customFormat="1">
      <c r="B10" s="38" t="s">
        <v>16</v>
      </c>
      <c r="C10" s="46" t="s">
        <v>32</v>
      </c>
      <c r="D10" s="18" t="s">
        <v>35</v>
      </c>
      <c r="E10" s="59"/>
      <c r="F10" s="262" t="s">
        <v>36</v>
      </c>
      <c r="G10" s="293"/>
      <c r="H10" s="53"/>
      <c r="I10" s="54"/>
      <c r="J10" s="53"/>
      <c r="K10" s="31"/>
      <c r="L10" s="36"/>
      <c r="M10" s="37"/>
      <c r="N10" s="1"/>
      <c r="O10" s="1"/>
      <c r="P10" s="1"/>
      <c r="Q10" s="3" t="s">
        <v>26</v>
      </c>
    </row>
    <row r="11" spans="1:17" s="15" customFormat="1">
      <c r="B11" s="16"/>
      <c r="C11" s="17"/>
      <c r="D11" s="18" t="s">
        <v>37</v>
      </c>
      <c r="E11" s="59"/>
      <c r="F11" s="262" t="s">
        <v>38</v>
      </c>
      <c r="G11" s="293"/>
      <c r="H11" s="19"/>
      <c r="I11" s="20"/>
      <c r="J11" s="19"/>
      <c r="K11" s="31"/>
      <c r="L11" s="36"/>
      <c r="M11" s="37"/>
      <c r="N11" s="1"/>
      <c r="O11" s="1"/>
      <c r="P11" s="1"/>
      <c r="Q11" s="3" t="s">
        <v>27</v>
      </c>
    </row>
    <row r="12" spans="1:17" s="15" customFormat="1" ht="27" customHeight="1">
      <c r="B12" s="16"/>
      <c r="C12" s="17"/>
      <c r="D12" s="18" t="s">
        <v>39</v>
      </c>
      <c r="E12" s="59"/>
      <c r="F12" s="262" t="s">
        <v>40</v>
      </c>
      <c r="G12" s="263"/>
      <c r="H12" s="19"/>
      <c r="I12" s="20"/>
      <c r="J12" s="19"/>
      <c r="K12" s="31"/>
      <c r="L12" s="36"/>
      <c r="M12" s="37"/>
      <c r="N12" s="1"/>
      <c r="O12" s="1"/>
      <c r="P12" s="1"/>
      <c r="Q12" s="15" t="s">
        <v>61</v>
      </c>
    </row>
    <row r="13" spans="1:17" s="15" customFormat="1" ht="27" customHeight="1">
      <c r="B13" s="16"/>
      <c r="C13" s="17"/>
      <c r="D13" s="18" t="s">
        <v>41</v>
      </c>
      <c r="E13" s="59"/>
      <c r="F13" s="262" t="s">
        <v>44</v>
      </c>
      <c r="G13" s="263"/>
      <c r="H13" s="19"/>
      <c r="I13" s="20"/>
      <c r="J13" s="19"/>
      <c r="K13" s="39"/>
      <c r="L13" s="36"/>
      <c r="M13" s="37"/>
      <c r="N13" s="1"/>
      <c r="O13" s="1"/>
      <c r="P13" s="1"/>
    </row>
    <row r="14" spans="1:17" s="15" customFormat="1" ht="27" customHeight="1">
      <c r="B14" s="21"/>
      <c r="C14" s="22"/>
      <c r="D14" s="18" t="s">
        <v>42</v>
      </c>
      <c r="E14" s="59"/>
      <c r="F14" s="262" t="s">
        <v>43</v>
      </c>
      <c r="G14" s="263"/>
      <c r="H14" s="19"/>
      <c r="I14" s="20"/>
      <c r="J14" s="19"/>
      <c r="K14" s="31"/>
      <c r="L14" s="36"/>
      <c r="M14" s="37"/>
      <c r="N14" s="1"/>
      <c r="O14" s="1"/>
      <c r="P14" s="1"/>
    </row>
    <row r="15" spans="1:17" s="15" customFormat="1" ht="27" customHeight="1">
      <c r="B15" s="41" t="s">
        <v>18</v>
      </c>
      <c r="C15" s="18" t="s">
        <v>45</v>
      </c>
      <c r="D15" s="18" t="s">
        <v>46</v>
      </c>
      <c r="E15" s="59"/>
      <c r="F15" s="262" t="s">
        <v>47</v>
      </c>
      <c r="G15" s="293"/>
      <c r="H15" s="53"/>
      <c r="I15" s="54"/>
      <c r="J15" s="53"/>
      <c r="K15" s="31"/>
      <c r="L15" s="36"/>
      <c r="M15" s="37"/>
      <c r="N15" s="1"/>
      <c r="O15" s="1"/>
      <c r="P15" s="1"/>
    </row>
    <row r="16" spans="1:17" s="15" customFormat="1" ht="27" customHeight="1">
      <c r="B16" s="41" t="s">
        <v>19</v>
      </c>
      <c r="C16" s="18" t="s">
        <v>48</v>
      </c>
      <c r="D16" s="18" t="s">
        <v>49</v>
      </c>
      <c r="E16" s="59"/>
      <c r="F16" s="262" t="s">
        <v>50</v>
      </c>
      <c r="G16" s="293"/>
      <c r="H16" s="54"/>
      <c r="I16" s="54"/>
      <c r="J16" s="53"/>
      <c r="K16" s="31"/>
      <c r="L16" s="36"/>
      <c r="M16" s="37"/>
      <c r="N16" s="1"/>
      <c r="O16" s="1"/>
      <c r="P16" s="1"/>
    </row>
    <row r="17" spans="2:16" s="15" customFormat="1" ht="27" customHeight="1">
      <c r="B17" s="21" t="s">
        <v>20</v>
      </c>
      <c r="C17" s="18" t="s">
        <v>51</v>
      </c>
      <c r="D17" s="18" t="s">
        <v>52</v>
      </c>
      <c r="E17" s="60"/>
      <c r="F17" s="294" t="s">
        <v>53</v>
      </c>
      <c r="G17" s="295"/>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86" t="s">
        <v>4</v>
      </c>
      <c r="C22" s="287" t="s">
        <v>30</v>
      </c>
      <c r="D22" s="287" t="s">
        <v>34</v>
      </c>
      <c r="E22" s="287" t="s">
        <v>58</v>
      </c>
      <c r="F22" s="288" t="s">
        <v>7</v>
      </c>
      <c r="G22" s="289"/>
      <c r="H22" s="264" t="s">
        <v>12</v>
      </c>
      <c r="I22" s="264"/>
      <c r="J22" s="264"/>
      <c r="K22" s="267" t="s">
        <v>14</v>
      </c>
      <c r="L22" s="267"/>
      <c r="M22" s="267"/>
    </row>
    <row r="23" spans="2:16">
      <c r="B23" s="269"/>
      <c r="C23" s="266"/>
      <c r="D23" s="266"/>
      <c r="E23" s="266"/>
      <c r="F23" s="272"/>
      <c r="G23" s="273"/>
      <c r="H23" s="45" t="s">
        <v>8</v>
      </c>
      <c r="I23" s="45" t="s">
        <v>9</v>
      </c>
      <c r="J23" s="45" t="s">
        <v>10</v>
      </c>
      <c r="K23" s="30"/>
      <c r="L23" s="32"/>
      <c r="M23" s="33"/>
    </row>
    <row r="24" spans="2:16" ht="40.5">
      <c r="B24" s="38" t="s">
        <v>15</v>
      </c>
      <c r="C24" s="29" t="s">
        <v>55</v>
      </c>
      <c r="D24" s="42" t="s">
        <v>57</v>
      </c>
      <c r="E24" s="43" t="s">
        <v>59</v>
      </c>
      <c r="F24" s="262" t="s">
        <v>60</v>
      </c>
      <c r="G24" s="263"/>
      <c r="H24" s="53"/>
      <c r="I24" s="54"/>
      <c r="J24" s="53"/>
      <c r="K24" s="39"/>
      <c r="L24" s="34"/>
      <c r="M24" s="35"/>
    </row>
    <row r="25" spans="2:16">
      <c r="B25" s="41" t="s">
        <v>16</v>
      </c>
      <c r="C25" s="18"/>
      <c r="D25" s="18"/>
      <c r="E25" s="59"/>
      <c r="F25" s="262"/>
      <c r="G25" s="293"/>
      <c r="H25" s="53"/>
      <c r="I25" s="54"/>
      <c r="J25" s="53"/>
      <c r="K25" s="31"/>
      <c r="L25" s="36"/>
      <c r="M25" s="37"/>
    </row>
    <row r="26" spans="2:16">
      <c r="B26" s="41"/>
      <c r="C26" s="18"/>
      <c r="D26" s="18"/>
      <c r="E26" s="59"/>
      <c r="F26" s="262"/>
      <c r="G26" s="293"/>
      <c r="H26" s="19"/>
      <c r="I26" s="20"/>
      <c r="J26" s="19"/>
      <c r="K26" s="31"/>
      <c r="L26" s="36"/>
      <c r="M26" s="37"/>
    </row>
    <row r="27" spans="2:16">
      <c r="B27" s="41"/>
      <c r="C27" s="18"/>
      <c r="D27" s="18"/>
      <c r="E27" s="59"/>
      <c r="F27" s="262"/>
      <c r="G27" s="263"/>
      <c r="H27" s="19"/>
      <c r="I27" s="20"/>
      <c r="J27" s="19"/>
      <c r="K27" s="31"/>
      <c r="L27" s="36"/>
      <c r="M27" s="37"/>
    </row>
    <row r="28" spans="2:16">
      <c r="B28" s="41"/>
      <c r="C28" s="18"/>
      <c r="D28" s="18"/>
      <c r="E28" s="59"/>
      <c r="F28" s="262"/>
      <c r="G28" s="263"/>
      <c r="H28" s="19"/>
      <c r="I28" s="20"/>
      <c r="J28" s="19"/>
      <c r="K28" s="39"/>
      <c r="L28" s="36"/>
      <c r="M28" s="37"/>
    </row>
    <row r="29" spans="2:16">
      <c r="B29" s="41"/>
      <c r="C29" s="18"/>
      <c r="D29" s="18"/>
      <c r="E29" s="59"/>
      <c r="F29" s="262"/>
      <c r="G29" s="263"/>
      <c r="H29" s="19"/>
      <c r="I29" s="20"/>
      <c r="J29" s="19"/>
      <c r="K29" s="31"/>
      <c r="L29" s="36"/>
      <c r="M29" s="37"/>
    </row>
    <row r="30" spans="2:16">
      <c r="B30" s="41" t="s">
        <v>18</v>
      </c>
      <c r="C30" s="18"/>
      <c r="D30" s="18"/>
      <c r="E30" s="59"/>
      <c r="F30" s="262"/>
      <c r="G30" s="293"/>
      <c r="H30" s="53"/>
      <c r="I30" s="54"/>
      <c r="J30" s="53"/>
      <c r="K30" s="31"/>
      <c r="L30" s="36"/>
      <c r="M30" s="37"/>
    </row>
    <row r="31" spans="2:16">
      <c r="B31" s="41" t="s">
        <v>19</v>
      </c>
      <c r="C31" s="18"/>
      <c r="D31" s="18"/>
      <c r="E31" s="59"/>
      <c r="F31" s="262"/>
      <c r="G31" s="293"/>
      <c r="H31" s="54"/>
      <c r="I31" s="54"/>
      <c r="J31" s="53"/>
      <c r="K31" s="31"/>
      <c r="L31" s="36"/>
      <c r="M31" s="37"/>
    </row>
    <row r="32" spans="2:16">
      <c r="B32" s="21" t="s">
        <v>20</v>
      </c>
      <c r="C32" s="18"/>
      <c r="D32" s="18"/>
      <c r="E32" s="60"/>
      <c r="F32" s="294"/>
      <c r="G32" s="295"/>
      <c r="H32" s="19"/>
      <c r="I32" s="20"/>
      <c r="J32" s="19"/>
      <c r="K32" s="50"/>
      <c r="L32" s="51"/>
      <c r="M32" s="52"/>
    </row>
  </sheetData>
  <mergeCells count="33">
    <mergeCell ref="E22:E23"/>
    <mergeCell ref="F15:G15"/>
    <mergeCell ref="F16:G16"/>
    <mergeCell ref="F17:G17"/>
    <mergeCell ref="B22:B23"/>
    <mergeCell ref="C22:C23"/>
    <mergeCell ref="D22:D23"/>
    <mergeCell ref="F22:G23"/>
    <mergeCell ref="F24:G24"/>
    <mergeCell ref="F28:G28"/>
    <mergeCell ref="F29:G29"/>
    <mergeCell ref="F30:G30"/>
    <mergeCell ref="K22:M22"/>
    <mergeCell ref="H22:J22"/>
    <mergeCell ref="F31:G31"/>
    <mergeCell ref="F32:G32"/>
    <mergeCell ref="F25:G25"/>
    <mergeCell ref="F26:G26"/>
    <mergeCell ref="F27:G27"/>
    <mergeCell ref="F13:G13"/>
    <mergeCell ref="F14:G14"/>
    <mergeCell ref="N6:P6"/>
    <mergeCell ref="F8:G8"/>
    <mergeCell ref="F9:G9"/>
    <mergeCell ref="F10:G10"/>
    <mergeCell ref="F11:G11"/>
    <mergeCell ref="F12:G12"/>
    <mergeCell ref="K6:M6"/>
    <mergeCell ref="B6:B7"/>
    <mergeCell ref="C6:C7"/>
    <mergeCell ref="D6:D7"/>
    <mergeCell ref="F6:G7"/>
    <mergeCell ref="H6:J6"/>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2</vt:i4>
      </vt:variant>
    </vt:vector>
  </HeadingPairs>
  <TitlesOfParts>
    <vt:vector size="10" baseType="lpstr">
      <vt:lpstr>表紙</vt:lpstr>
      <vt:lpstr>変更履歴</vt:lpstr>
      <vt:lpstr>テスト項目</vt:lpstr>
      <vt:lpstr>画面項目マトリックス</vt:lpstr>
      <vt:lpstr>ヘッダ項目クリック_マトリクス</vt:lpstr>
      <vt:lpstr>ヘッダ項目マトリクス</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2019-01-09T07:03:24Z</dcterms:modified>
</cp:coreProperties>
</file>