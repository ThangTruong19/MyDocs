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activeTab="2"/>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テスト項目!$B$7:$U$64</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テスト項目!$A$1:$J$54</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14" i="19" l="1"/>
  <c r="B17" i="19"/>
  <c r="B15" i="19"/>
  <c r="B13" i="19"/>
  <c r="B12" i="19"/>
  <c r="Q4" i="19" l="1"/>
  <c r="Q3" i="19"/>
  <c r="Q2" i="19"/>
  <c r="P4" i="19" l="1"/>
  <c r="O4" i="19"/>
  <c r="N4" i="19"/>
  <c r="P3" i="19"/>
  <c r="O3" i="19"/>
  <c r="N3" i="19"/>
  <c r="P2" i="19"/>
  <c r="O2" i="19"/>
  <c r="N2" i="19"/>
  <c r="B51" i="19" l="1"/>
  <c r="B36" i="19" l="1"/>
  <c r="B37" i="19"/>
  <c r="B38" i="19"/>
  <c r="B39" i="19"/>
  <c r="B40" i="19"/>
  <c r="B41" i="19"/>
  <c r="B42" i="19"/>
  <c r="B43" i="19"/>
  <c r="B44" i="19"/>
  <c r="B45" i="19"/>
  <c r="B46" i="19"/>
  <c r="B47" i="19"/>
  <c r="B48" i="19"/>
  <c r="B49" i="19"/>
  <c r="B50" i="19"/>
  <c r="B52" i="19"/>
  <c r="B53" i="19"/>
  <c r="B54" i="19"/>
  <c r="B30" i="19"/>
  <c r="B31" i="19"/>
  <c r="B32" i="19"/>
  <c r="B33" i="19"/>
  <c r="B34" i="19"/>
  <c r="B35" i="19"/>
  <c r="B10" i="19"/>
  <c r="B11" i="19"/>
  <c r="B16" i="19"/>
  <c r="B18" i="19"/>
  <c r="B19" i="19"/>
  <c r="B20" i="19"/>
  <c r="B21" i="19"/>
  <c r="B22" i="19"/>
  <c r="B23" i="19"/>
  <c r="B24" i="19"/>
  <c r="B25" i="19"/>
  <c r="B26" i="19"/>
  <c r="B27" i="19"/>
  <c r="B28" i="19"/>
  <c r="B29" i="19"/>
  <c r="B9" i="19"/>
  <c r="M4" i="19" l="1"/>
  <c r="M2" i="19"/>
  <c r="M3" i="19"/>
  <c r="J3" i="19" l="1"/>
  <c r="G3" i="19"/>
  <c r="I3" i="19"/>
  <c r="H3" i="19"/>
  <c r="M20" i="14"/>
  <c r="L20" i="14"/>
  <c r="K20" i="14"/>
  <c r="H20" i="14"/>
  <c r="N4" i="14"/>
  <c r="N3" i="14" s="1"/>
  <c r="J3" i="14" s="1"/>
  <c r="M4" i="14"/>
  <c r="M3" i="14" s="1"/>
  <c r="I3" i="14" s="1"/>
  <c r="L4" i="14"/>
  <c r="L3" i="14"/>
  <c r="H3" i="14" s="1"/>
  <c r="K4" i="14"/>
  <c r="H4" i="14" s="1"/>
  <c r="K3" i="14" l="1"/>
  <c r="G3" i="14" s="1"/>
</calcChain>
</file>

<file path=xl/sharedStrings.xml><?xml version="1.0" encoding="utf-8"?>
<sst xmlns="http://schemas.openxmlformats.org/spreadsheetml/2006/main" count="585" uniqueCount="267">
  <si>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</si>
  <si>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</si>
  <si>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</si>
  <si>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</si>
  <si>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</si>
  <si>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</si>
  <si>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</si>
  <si>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</si>
  <si>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</si>
  <si>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</si>
  <si>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</si>
  <si>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</si>
  <si>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</si>
  <si>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</si>
  <si>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</si>
  <si>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</si>
  <si>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</si>
  <si>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</si>
  <si>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</si>
  <si>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</si>
  <si>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</si>
  <si>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</si>
  <si>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</si>
  <si>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</si>
  <si>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</si>
  <si>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</si>
  <si>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</si>
  <si>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</si>
  <si>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</si>
  <si>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</si>
  <si>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</si>
  <si>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</si>
  <si>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</si>
  <si>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</si>
  <si>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</si>
  <si>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</si>
  <si>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</si>
  <si>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</si>
  <si>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</si>
  <si>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</si>
  <si>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</si>
  <si>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</si>
  <si>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</si>
  <si>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</si>
  <si>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</si>
  <si>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</si>
  <si>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</si>
  <si>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</si>
  <si>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</si>
  <si>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</si>
  <si>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</si>
  <si>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</si>
  <si>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</si>
  <si>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</si>
  <si>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</si>
  <si>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</si>
  <si>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</si>
  <si>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</si>
  <si>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</si>
  <si>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</si>
  <si>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</si>
  <si>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</si>
  <si>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</si>
  <si>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</si>
  <si>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</si>
  <si>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</si>
  <si>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</si>
  <si>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</si>
  <si>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</si>
  <si>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</si>
  <si>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</si>
  <si>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</si>
  <si>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</si>
  <si>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</si>
  <si>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</si>
  <si>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</si>
  <si>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</si>
  <si>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</si>
  <si>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</si>
  <si>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</si>
  <si>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</si>
  <si>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</si>
  <si>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</si>
  <si>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</si>
  <si>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</si>
  <si>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</si>
  <si>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</si>
  <si>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</si>
  <si>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</si>
  <si>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</si>
  <si>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</si>
  <si>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</si>
  <si>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</si>
  <si>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</si>
  <si>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</si>
  <si>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</si>
  <si>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</si>
  <si>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リクエストパラメータチェックシート</t>
    <phoneticPr fontId="28"/>
  </si>
  <si>
    <t>チェック欄</t>
    <rPh sb="4" eb="5">
      <t>ラン</t>
    </rPh>
    <phoneticPr fontId="28"/>
  </si>
  <si>
    <t>パラメータ名</t>
    <rPh sb="5" eb="6">
      <t>メイ</t>
    </rPh>
    <phoneticPr fontId="28"/>
  </si>
  <si>
    <t>論理名</t>
    <rPh sb="0" eb="2">
      <t>ロンリ</t>
    </rPh>
    <rPh sb="2" eb="3">
      <t>メイ</t>
    </rPh>
    <phoneticPr fontId="28"/>
  </si>
  <si>
    <t>備考</t>
    <rPh sb="0" eb="2">
      <t>ビコウ</t>
    </rPh>
    <phoneticPr fontId="28"/>
  </si>
  <si>
    <t>画面サイズを変更して表示した際、JSエラーなく表示されること</t>
    <rPh sb="0" eb="2">
      <t>ガメン</t>
    </rPh>
    <rPh sb="6" eb="8">
      <t>ヘンコウ</t>
    </rPh>
    <rPh sb="10" eb="12">
      <t>ヒョウジ</t>
    </rPh>
    <rPh sb="14" eb="15">
      <t>サイ</t>
    </rPh>
    <phoneticPr fontId="47"/>
  </si>
  <si>
    <t>想定外操作</t>
    <rPh sb="0" eb="2">
      <t>ソウテイ</t>
    </rPh>
    <rPh sb="2" eb="3">
      <t>ガイ</t>
    </rPh>
    <rPh sb="3" eb="5">
      <t>ソウサ</t>
    </rPh>
    <phoneticPr fontId="28"/>
  </si>
  <si>
    <t>戻るボタン操作</t>
    <rPh sb="0" eb="1">
      <t>モド</t>
    </rPh>
    <rPh sb="5" eb="7">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</si>
  <si>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</si>
  <si>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</si>
  <si>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タブブラウザのセッション復元機能によるページ呼び出し</t>
  </si>
  <si>
    <t>多言語確認</t>
  </si>
  <si>
    <t>環境設定の言語をロシア語に変更</t>
    <rPh sb="0" eb="2">
      <t>カンキョウ</t>
    </rPh>
    <rPh sb="2" eb="4">
      <t>セッテイ</t>
    </rPh>
    <rPh sb="5" eb="7">
      <t>ゲンゴ</t>
    </rPh>
    <rPh sb="11" eb="12">
      <t>ゴ</t>
    </rPh>
    <rPh sb="13" eb="15">
      <t>ヘンコウ</t>
    </rPh>
    <phoneticPr fontId="28"/>
  </si>
  <si>
    <t>画面表示</t>
    <rPh sb="0" eb="2">
      <t>ガメン</t>
    </rPh>
    <rPh sb="2" eb="4">
      <t>ヒョウジ</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</si>
  <si>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</si>
  <si>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</si>
  <si>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レイアウト</t>
    <phoneticPr fontId="47"/>
  </si>
  <si>
    <t>レイアウト</t>
    <phoneticPr fontId="47"/>
  </si>
  <si>
    <t>レイアウト（リサイズ）</t>
    <phoneticPr fontId="47"/>
  </si>
  <si>
    <t>レイアウト</t>
    <phoneticPr fontId="47"/>
  </si>
  <si>
    <t>グループID</t>
    <phoneticPr fontId="28"/>
  </si>
  <si>
    <t>X-DateFormat</t>
    <phoneticPr fontId="28"/>
  </si>
  <si>
    <t>別シート"リクエストパラメータチェックシート:リソース取得API"参照</t>
    <phoneticPr fontId="28"/>
  </si>
  <si>
    <t>フリータイミング - メッセージ</t>
    <phoneticPr fontId="28"/>
  </si>
  <si>
    <t>結合テスト仕様書 フリータイミング - メッセージ</t>
    <rPh sb="0" eb="2">
      <t>ケツゴウ</t>
    </rPh>
    <rPh sb="5" eb="7">
      <t>シヨウ</t>
    </rPh>
    <rPh sb="7" eb="8">
      <t>ショ</t>
    </rPh>
    <phoneticPr fontId="145"/>
  </si>
  <si>
    <t>画面上部の名称（フリータイミング）</t>
    <rPh sb="0" eb="2">
      <t>ガメン</t>
    </rPh>
    <rPh sb="2" eb="4">
      <t>ジョウブ</t>
    </rPh>
    <rPh sb="5" eb="7">
      <t>メイショウ</t>
    </rPh>
    <phoneticPr fontId="47"/>
  </si>
  <si>
    <t>コンテンツフィールド</t>
    <phoneticPr fontId="47"/>
  </si>
  <si>
    <t>［メッセージ言語］セレクトボックス</t>
    <rPh sb="6" eb="8">
      <t>ゲンゴ</t>
    </rPh>
    <phoneticPr fontId="47"/>
  </si>
  <si>
    <t>初期表示</t>
    <rPh sb="0" eb="2">
      <t>ショキ</t>
    </rPh>
    <rPh sb="2" eb="4">
      <t>ヒョウジ</t>
    </rPh>
    <phoneticPr fontId="28"/>
  </si>
  <si>
    <t>初期値が表示されること(初期値は取得順で最初のものを表示）</t>
    <rPh sb="0" eb="2">
      <t>ショキ</t>
    </rPh>
    <rPh sb="2" eb="3">
      <t>アタイ</t>
    </rPh>
    <rPh sb="4" eb="6">
      <t>ヒョウジ</t>
    </rPh>
    <rPh sb="12" eb="14">
      <t>ショキ</t>
    </rPh>
    <rPh sb="14" eb="15">
      <t>アタイ</t>
    </rPh>
    <rPh sb="16" eb="18">
      <t>シュトク</t>
    </rPh>
    <rPh sb="18" eb="19">
      <t>ジュン</t>
    </rPh>
    <rPh sb="20" eb="22">
      <t>サイショ</t>
    </rPh>
    <rPh sb="26" eb="28">
      <t>ヒョウジ</t>
    </rPh>
    <phoneticPr fontId="28"/>
  </si>
  <si>
    <t>プルダウンリスト</t>
    <phoneticPr fontId="28"/>
  </si>
  <si>
    <t>プルダウンリストで表示されること</t>
    <rPh sb="9" eb="11">
      <t>ヒョウジ</t>
    </rPh>
    <phoneticPr fontId="28"/>
  </si>
  <si>
    <t>［タイトル］入力フォーム</t>
    <rPh sb="6" eb="8">
      <t>ニュウリョク</t>
    </rPh>
    <phoneticPr fontId="47"/>
  </si>
  <si>
    <t>任意言語選択時</t>
    <rPh sb="0" eb="2">
      <t>ニンイ</t>
    </rPh>
    <rPh sb="2" eb="4">
      <t>ゲンゴ</t>
    </rPh>
    <rPh sb="4" eb="6">
      <t>センタク</t>
    </rPh>
    <rPh sb="6" eb="7">
      <t>ジ</t>
    </rPh>
    <phoneticPr fontId="47"/>
  </si>
  <si>
    <t>既に［タイトル］入力フォームが入力済み、且つ、選択言語に応じた文字数制限値以上の文字数だった場合エラーとなること
【（例）制限文字数】
・スペイン語、フランス語、ロシア語、英語（３８文字）
・中国語、日本語（１９文字）</t>
    <rPh sb="0" eb="1">
      <t>スデ</t>
    </rPh>
    <rPh sb="8" eb="10">
      <t>ニュウリョク</t>
    </rPh>
    <rPh sb="15" eb="17">
      <t>ニュウリョク</t>
    </rPh>
    <rPh sb="17" eb="18">
      <t>ズ</t>
    </rPh>
    <rPh sb="20" eb="21">
      <t>カ</t>
    </rPh>
    <rPh sb="23" eb="25">
      <t>センタク</t>
    </rPh>
    <rPh sb="25" eb="27">
      <t>ゲンゴ</t>
    </rPh>
    <rPh sb="28" eb="29">
      <t>オウ</t>
    </rPh>
    <rPh sb="31" eb="34">
      <t>モジスウ</t>
    </rPh>
    <rPh sb="34" eb="36">
      <t>セイゲン</t>
    </rPh>
    <rPh sb="36" eb="37">
      <t>チ</t>
    </rPh>
    <rPh sb="37" eb="39">
      <t>イジョウ</t>
    </rPh>
    <rPh sb="40" eb="43">
      <t>モジスウ</t>
    </rPh>
    <rPh sb="46" eb="48">
      <t>バアイ</t>
    </rPh>
    <rPh sb="59" eb="60">
      <t>レイ</t>
    </rPh>
    <rPh sb="61" eb="63">
      <t>セイゲン</t>
    </rPh>
    <rPh sb="63" eb="66">
      <t>モジスウ</t>
    </rPh>
    <rPh sb="73" eb="74">
      <t>ゴ</t>
    </rPh>
    <rPh sb="79" eb="80">
      <t>ゴ</t>
    </rPh>
    <rPh sb="84" eb="85">
      <t>ゴ</t>
    </rPh>
    <rPh sb="86" eb="88">
      <t>エイゴ</t>
    </rPh>
    <rPh sb="91" eb="93">
      <t>モジ</t>
    </rPh>
    <rPh sb="96" eb="99">
      <t>チュウゴクゴ</t>
    </rPh>
    <rPh sb="100" eb="103">
      <t>ニホンゴ</t>
    </rPh>
    <rPh sb="106" eb="108">
      <t>モジ</t>
    </rPh>
    <phoneticPr fontId="47"/>
  </si>
  <si>
    <t>初期表示</t>
    <rPh sb="0" eb="2">
      <t>ショキ</t>
    </rPh>
    <rPh sb="2" eb="4">
      <t>ヒョウジ</t>
    </rPh>
    <phoneticPr fontId="47"/>
  </si>
  <si>
    <t>テキストボックスが空白で表示されること</t>
    <rPh sb="9" eb="11">
      <t>クウハク</t>
    </rPh>
    <rPh sb="12" eb="14">
      <t>ヒョウジ</t>
    </rPh>
    <phoneticPr fontId="28"/>
  </si>
  <si>
    <t>文字数制御</t>
    <rPh sb="0" eb="3">
      <t>モジスウ</t>
    </rPh>
    <rPh sb="3" eb="5">
      <t>セイギョ</t>
    </rPh>
    <phoneticPr fontId="28"/>
  </si>
  <si>
    <t>最大入力文字数が「３８Byte」であること</t>
    <rPh sb="0" eb="2">
      <t>サイダイ</t>
    </rPh>
    <rPh sb="2" eb="4">
      <t>ニュウリョク</t>
    </rPh>
    <rPh sb="4" eb="7">
      <t>モジスウ</t>
    </rPh>
    <phoneticPr fontId="28"/>
  </si>
  <si>
    <t>［メッセージ］テキストエリア</t>
    <phoneticPr fontId="47"/>
  </si>
  <si>
    <t>入力制御</t>
    <rPh sb="0" eb="2">
      <t>ニュウリョク</t>
    </rPh>
    <rPh sb="2" eb="4">
      <t>セイギョ</t>
    </rPh>
    <phoneticPr fontId="47"/>
  </si>
  <si>
    <t>文中改行が可能であること</t>
    <rPh sb="0" eb="2">
      <t>ブンチュウ</t>
    </rPh>
    <rPh sb="2" eb="4">
      <t>カイギョウ</t>
    </rPh>
    <rPh sb="5" eb="7">
      <t>カノウ</t>
    </rPh>
    <phoneticPr fontId="47"/>
  </si>
  <si>
    <t>画面表示（エラー時）</t>
    <rPh sb="0" eb="2">
      <t>ガメン</t>
    </rPh>
    <rPh sb="2" eb="4">
      <t>ヒョウジ</t>
    </rPh>
    <rPh sb="8" eb="9">
      <t>ジ</t>
    </rPh>
    <phoneticPr fontId="47"/>
  </si>
  <si>
    <t>・文字数エラーが発生している旨のエラー表記がAPI取得した値で表記されていること
・制限文字数を超えたフォームが赤く縁取られること
【対象フォーム】
［タイトル］入力フォーム、［メッセージ］テキストエリア</t>
    <rPh sb="1" eb="4">
      <t>モジスウ</t>
    </rPh>
    <rPh sb="8" eb="10">
      <t>ハッセイ</t>
    </rPh>
    <rPh sb="14" eb="15">
      <t>ムネ</t>
    </rPh>
    <rPh sb="19" eb="21">
      <t>ヒョウキ</t>
    </rPh>
    <rPh sb="25" eb="27">
      <t>シュトク</t>
    </rPh>
    <rPh sb="29" eb="30">
      <t>アタイ</t>
    </rPh>
    <rPh sb="31" eb="33">
      <t>ヒョウキ</t>
    </rPh>
    <rPh sb="42" eb="44">
      <t>セイゲン</t>
    </rPh>
    <rPh sb="44" eb="47">
      <t>モジスウ</t>
    </rPh>
    <rPh sb="48" eb="49">
      <t>コ</t>
    </rPh>
    <rPh sb="56" eb="57">
      <t>アカ</t>
    </rPh>
    <rPh sb="58" eb="60">
      <t>フチド</t>
    </rPh>
    <rPh sb="67" eb="69">
      <t>タイショウ</t>
    </rPh>
    <rPh sb="81" eb="83">
      <t>ニュウリョク</t>
    </rPh>
    <phoneticPr fontId="47"/>
  </si>
  <si>
    <t>［タイトル］が文字数を超過している状態から、許容文字数内まで削除した際にエラーが解除されること</t>
    <rPh sb="7" eb="10">
      <t>モジスウ</t>
    </rPh>
    <rPh sb="11" eb="13">
      <t>チョウカ</t>
    </rPh>
    <rPh sb="17" eb="19">
      <t>ジョウタイ</t>
    </rPh>
    <rPh sb="22" eb="24">
      <t>キョヨウ</t>
    </rPh>
    <rPh sb="24" eb="27">
      <t>モジスウ</t>
    </rPh>
    <rPh sb="27" eb="28">
      <t>ナイ</t>
    </rPh>
    <rPh sb="30" eb="32">
      <t>サクジョ</t>
    </rPh>
    <rPh sb="34" eb="35">
      <t>サイ</t>
    </rPh>
    <rPh sb="40" eb="42">
      <t>カイジョ</t>
    </rPh>
    <phoneticPr fontId="47"/>
  </si>
  <si>
    <t>エラー発生後、入力文字数が許容される文字数の［メッセージ言語］項目を選択した場合、エラーが解除されること</t>
    <rPh sb="3" eb="5">
      <t>ハッセイ</t>
    </rPh>
    <rPh sb="5" eb="6">
      <t>ゴ</t>
    </rPh>
    <rPh sb="7" eb="9">
      <t>ニュウリョク</t>
    </rPh>
    <rPh sb="9" eb="12">
      <t>モジスウ</t>
    </rPh>
    <rPh sb="13" eb="15">
      <t>キョヨウ</t>
    </rPh>
    <rPh sb="18" eb="21">
      <t>モジスウ</t>
    </rPh>
    <rPh sb="28" eb="30">
      <t>ゲンゴ</t>
    </rPh>
    <rPh sb="31" eb="33">
      <t>コウモク</t>
    </rPh>
    <rPh sb="34" eb="36">
      <t>センタク</t>
    </rPh>
    <rPh sb="38" eb="40">
      <t>バアイ</t>
    </rPh>
    <rPh sb="45" eb="47">
      <t>カイジョ</t>
    </rPh>
    <phoneticPr fontId="28"/>
  </si>
  <si>
    <t>［メッセージ］が文字数を超過している状態から、許容文字数内まで削除した際にエラーが解除されること</t>
    <rPh sb="8" eb="11">
      <t>モジスウ</t>
    </rPh>
    <rPh sb="12" eb="14">
      <t>チョウカ</t>
    </rPh>
    <rPh sb="18" eb="20">
      <t>ジョウタイ</t>
    </rPh>
    <rPh sb="23" eb="25">
      <t>キョヨウ</t>
    </rPh>
    <rPh sb="25" eb="28">
      <t>モジスウ</t>
    </rPh>
    <rPh sb="28" eb="29">
      <t>ナイ</t>
    </rPh>
    <rPh sb="31" eb="33">
      <t>サクジョ</t>
    </rPh>
    <rPh sb="35" eb="36">
      <t>サイ</t>
    </rPh>
    <rPh sb="41" eb="43">
      <t>カイジョ</t>
    </rPh>
    <phoneticPr fontId="47"/>
  </si>
  <si>
    <t>ヘッダタブメニュー</t>
    <phoneticPr fontId="28"/>
  </si>
  <si>
    <t>－</t>
    <phoneticPr fontId="47"/>
  </si>
  <si>
    <t>［車両］タブへ画面遷移</t>
    <rPh sb="1" eb="3">
      <t>シャリョウ</t>
    </rPh>
    <rPh sb="7" eb="9">
      <t>ガメン</t>
    </rPh>
    <rPh sb="9" eb="11">
      <t>センイ</t>
    </rPh>
    <phoneticPr fontId="28"/>
  </si>
  <si>
    <t>－</t>
    <phoneticPr fontId="47"/>
  </si>
  <si>
    <t>－</t>
    <phoneticPr fontId="47"/>
  </si>
  <si>
    <t>左メニュー</t>
    <rPh sb="0" eb="1">
      <t>ヒダリ</t>
    </rPh>
    <phoneticPr fontId="28"/>
  </si>
  <si>
    <t>確認ダイアログが表示された後、該当画面に遷移すること</t>
    <rPh sb="0" eb="2">
      <t>カクニン</t>
    </rPh>
    <rPh sb="8" eb="10">
      <t>ヒョウジ</t>
    </rPh>
    <rPh sb="13" eb="14">
      <t>ノチ</t>
    </rPh>
    <rPh sb="15" eb="17">
      <t>ガイトウ</t>
    </rPh>
    <rPh sb="17" eb="19">
      <t>ガメン</t>
    </rPh>
    <rPh sb="20" eb="22">
      <t>センイ</t>
    </rPh>
    <phoneticPr fontId="28"/>
  </si>
  <si>
    <t>［確定］ボタン</t>
    <rPh sb="1" eb="3">
      <t>カクテイ</t>
    </rPh>
    <phoneticPr fontId="47"/>
  </si>
  <si>
    <t>非活性となっていること</t>
    <rPh sb="0" eb="3">
      <t>ヒカッセイ</t>
    </rPh>
    <phoneticPr fontId="47"/>
  </si>
  <si>
    <t>ボタンの状態</t>
    <rPh sb="4" eb="6">
      <t>ジョウタイ</t>
    </rPh>
    <phoneticPr fontId="47"/>
  </si>
  <si>
    <t>［メール受信者］又は［SMS受信者］のどちらかで1件以上設定済みの場合、［確定］ボタンが活性化すること</t>
    <rPh sb="4" eb="7">
      <t>ジュシンシャ</t>
    </rPh>
    <rPh sb="8" eb="9">
      <t>マタ</t>
    </rPh>
    <rPh sb="14" eb="17">
      <t>ジュシンシャ</t>
    </rPh>
    <rPh sb="25" eb="26">
      <t>ケン</t>
    </rPh>
    <rPh sb="26" eb="28">
      <t>イジョウ</t>
    </rPh>
    <rPh sb="28" eb="30">
      <t>セッテイ</t>
    </rPh>
    <rPh sb="30" eb="31">
      <t>ズ</t>
    </rPh>
    <rPh sb="33" eb="35">
      <t>バアイ</t>
    </rPh>
    <rPh sb="37" eb="39">
      <t>カクテイ</t>
    </rPh>
    <rPh sb="44" eb="47">
      <t>カッセイカ</t>
    </rPh>
    <phoneticPr fontId="47"/>
  </si>
  <si>
    <t>［確認］画面へ遷移すること</t>
    <rPh sb="1" eb="3">
      <t>カクニン</t>
    </rPh>
    <rPh sb="4" eb="6">
      <t>ガメン</t>
    </rPh>
    <rPh sb="7" eb="9">
      <t>センイ</t>
    </rPh>
    <phoneticPr fontId="47"/>
  </si>
  <si>
    <t>［SMS受信者］タブへ画面遷移</t>
    <rPh sb="4" eb="7">
      <t>ジュシンシャ</t>
    </rPh>
    <rPh sb="11" eb="13">
      <t>ガメン</t>
    </rPh>
    <rPh sb="13" eb="15">
      <t>センイ</t>
    </rPh>
    <phoneticPr fontId="28"/>
  </si>
  <si>
    <t>［メール受信者］タブへ画面遷移</t>
    <rPh sb="4" eb="7">
      <t>ジュシンシャ</t>
    </rPh>
    <rPh sb="11" eb="13">
      <t>ガメン</t>
    </rPh>
    <rPh sb="13" eb="15">
      <t>センイ</t>
    </rPh>
    <phoneticPr fontId="28"/>
  </si>
  <si>
    <t>画面表示（SAO:SMS権限あり）</t>
    <rPh sb="0" eb="2">
      <t>ガメン</t>
    </rPh>
    <rPh sb="2" eb="4">
      <t>ヒョウジ</t>
    </rPh>
    <rPh sb="12" eb="14">
      <t>ケンゲン</t>
    </rPh>
    <phoneticPr fontId="47"/>
  </si>
  <si>
    <t>画面表示（上記以外）</t>
    <rPh sb="0" eb="2">
      <t>ガメン</t>
    </rPh>
    <rPh sb="2" eb="4">
      <t>ヒョウジ</t>
    </rPh>
    <rPh sb="5" eb="7">
      <t>ジョウキ</t>
    </rPh>
    <rPh sb="7" eb="9">
      <t>イガイ</t>
    </rPh>
    <phoneticPr fontId="47"/>
  </si>
  <si>
    <t>画面表示（ユーザ属性が広域顧客、顧客の場合）</t>
    <rPh sb="0" eb="2">
      <t>ガメン</t>
    </rPh>
    <rPh sb="2" eb="4">
      <t>ヒョウジ</t>
    </rPh>
    <rPh sb="8" eb="10">
      <t>ゾクセイ</t>
    </rPh>
    <rPh sb="11" eb="13">
      <t>コウイキ</t>
    </rPh>
    <rPh sb="13" eb="15">
      <t>コキャク</t>
    </rPh>
    <rPh sb="16" eb="18">
      <t>コキャク</t>
    </rPh>
    <rPh sb="19" eb="21">
      <t>バアイ</t>
    </rPh>
    <phoneticPr fontId="47"/>
  </si>
  <si>
    <t>［タブ］ヘッダメニュー（左から：メッセージ、車両、メール受信者、SMS受信者）、
［メッセージ言語］セレクトボックス、［タイトル］入力フォーム、［メッセージ］テキストエリア、［確定］ボタンが表示された［メッセージ］タブ画面が開設されること</t>
    <phoneticPr fontId="47"/>
  </si>
  <si>
    <t>［タブ］ヘッダメニュー（左から：メッセージ、車両、メール受信者）、
非活性の確定ボタン以外は非表示であること</t>
    <rPh sb="34" eb="35">
      <t>ヒ</t>
    </rPh>
    <rPh sb="35" eb="37">
      <t>カッセイ</t>
    </rPh>
    <rPh sb="38" eb="40">
      <t>カクテイ</t>
    </rPh>
    <rPh sb="43" eb="45">
      <t>イガイ</t>
    </rPh>
    <rPh sb="46" eb="49">
      <t>ヒヒョウジ</t>
    </rPh>
    <phoneticPr fontId="47"/>
  </si>
  <si>
    <t>［タブ］ヘッダメニュー（左から：メッセージ、車両、メール受信者）、
［メッセージ言語］セレクトボックス、［タイトル］入力フォーム、［メッセージ］テキストエリア、［確定］ボタンが表示された［メッセージ］タブ画面が開設されること</t>
    <phoneticPr fontId="47"/>
  </si>
  <si>
    <t>環境設定の言語を英語に変更</t>
    <rPh sb="0" eb="2">
      <t>カンキョウ</t>
    </rPh>
    <rPh sb="2" eb="4">
      <t>セッテイ</t>
    </rPh>
    <rPh sb="5" eb="7">
      <t>ゲンゴ</t>
    </rPh>
    <rPh sb="8" eb="10">
      <t>エイゴ</t>
    </rPh>
    <rPh sb="11" eb="13">
      <t>ヘンコウ</t>
    </rPh>
    <phoneticPr fontId="28"/>
  </si>
  <si>
    <t>表示項目が英語になること ※表示項目全てを確認すること</t>
    <rPh sb="0" eb="2">
      <t>ヒョウジ</t>
    </rPh>
    <rPh sb="2" eb="4">
      <t>コウモク</t>
    </rPh>
    <rPh sb="5" eb="7">
      <t>エイゴ</t>
    </rPh>
    <rPh sb="14" eb="16">
      <t>ヒョウジ</t>
    </rPh>
    <rPh sb="16" eb="18">
      <t>コウモク</t>
    </rPh>
    <rPh sb="18" eb="19">
      <t>スベ</t>
    </rPh>
    <rPh sb="21" eb="23">
      <t>カクニン</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</si>
  <si>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</si>
  <si>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</si>
  <si>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</si>
  <si>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</si>
  <si>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</si>
  <si>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</si>
  <si>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</si>
  <si>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［確定］ボタンクリック</t>
    <rPh sb="1" eb="3">
      <t>カクテイ</t>
    </rPh>
    <phoneticPr fontId="47"/>
  </si>
  <si>
    <t>［車両］ボタンクリック</t>
    <rPh sb="1" eb="3">
      <t>シャリョウ</t>
    </rPh>
    <phoneticPr fontId="28"/>
  </si>
  <si>
    <t>［メール受信者］ボタンクリック</t>
    <rPh sb="4" eb="7">
      <t>ジュシンシャ</t>
    </rPh>
    <phoneticPr fontId="28"/>
  </si>
  <si>
    <t>［SMS受信者］ボタンクリック</t>
    <rPh sb="4" eb="7">
      <t>ジュシンシャ</t>
    </rPh>
    <phoneticPr fontId="28"/>
  </si>
  <si>
    <t>別セクションの任意メニューボタンクリック</t>
    <rPh sb="0" eb="1">
      <t>ベツ</t>
    </rPh>
    <rPh sb="7" eb="9">
      <t>ニンイ</t>
    </rPh>
    <phoneticPr fontId="28"/>
  </si>
  <si>
    <t>戻るボタンクリック時</t>
    <rPh sb="0" eb="1">
      <t>モド</t>
    </rPh>
    <rPh sb="9" eb="10">
      <t>ジ</t>
    </rPh>
    <phoneticPr fontId="28"/>
  </si>
  <si>
    <t>F5ボタンクリック時</t>
    <rPh sb="9" eb="10">
      <t>ジ</t>
    </rPh>
    <phoneticPr fontId="47"/>
  </si>
  <si>
    <t>リソース取得ＡＰＩ呼び出し確認</t>
    <rPh sb="4" eb="6">
      <t>シュトク</t>
    </rPh>
    <phoneticPr fontId="47"/>
  </si>
  <si>
    <t>メインメニュー［プロファイル］項目より［フリータイミング］クリック</t>
    <rPh sb="15" eb="17">
      <t>コウモク</t>
    </rPh>
    <phoneticPr fontId="28"/>
  </si>
  <si>
    <t>リソース取得API  (POST:/applications/views/resources/search)</t>
    <phoneticPr fontId="28"/>
  </si>
  <si>
    <t>Header</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</si>
  <si>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</si>
  <si>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</si>
  <si>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</si>
  <si>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</si>
  <si>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</si>
  <si>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</si>
  <si>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</si>
  <si>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</si>
  <si>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</si>
  <si>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</si>
  <si>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</si>
  <si>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日付形式</t>
    <phoneticPr fontId="28"/>
  </si>
  <si>
    <t>X-DistanceUnit</t>
    <phoneticPr fontId="28"/>
  </si>
  <si>
    <t>距離単位</t>
    <phoneticPr fontId="28"/>
  </si>
  <si>
    <t>X-TemperatureUnit</t>
    <phoneticPr fontId="28"/>
  </si>
  <si>
    <t>温度単位</t>
    <phoneticPr fontId="28"/>
  </si>
  <si>
    <t>車種</t>
    <rPh sb="0" eb="2">
      <t>シャシュ</t>
    </rPh>
    <phoneticPr fontId="28"/>
  </si>
  <si>
    <t>言語タグ</t>
    <phoneticPr fontId="28"/>
  </si>
  <si>
    <t>X-AppCode</t>
    <phoneticPr fontId="28"/>
  </si>
  <si>
    <t>アプリケーションコード</t>
    <phoneticPr fontId="28"/>
  </si>
  <si>
    <t>X-GroupId</t>
    <phoneticPr fontId="28"/>
  </si>
  <si>
    <t>X-DateFormat</t>
    <phoneticPr fontId="28"/>
  </si>
  <si>
    <t>日付形式</t>
    <phoneticPr fontId="28"/>
  </si>
  <si>
    <t>X-CarDivision</t>
    <phoneticPr fontId="28"/>
  </si>
  <si>
    <t>車種</t>
    <phoneticPr fontId="28"/>
  </si>
  <si>
    <t>Body</t>
    <phoneticPr fontId="28"/>
  </si>
  <si>
    <t>screen_code</t>
    <phoneticPr fontId="28"/>
  </si>
  <si>
    <t>画面コード</t>
    <phoneticPr fontId="28"/>
  </si>
  <si>
    <t>example: opa_car_management_car_list</t>
    <phoneticPr fontId="28"/>
  </si>
  <si>
    <t>search_parameters</t>
    <phoneticPr fontId="28"/>
  </si>
  <si>
    <t>絞り込み条件</t>
    <phoneticPr fontId="28"/>
  </si>
  <si>
    <t>　resource_path</t>
    <phoneticPr fontId="28"/>
  </si>
  <si>
    <t>リソースパス</t>
    <phoneticPr fontId="28"/>
  </si>
  <si>
    <t>pattern: 対象項目を示すオブジェクトの階層を"."で連結した文字列
example: cars.identification.id</t>
    <phoneticPr fontId="28"/>
  </si>
  <si>
    <t>　kinds</t>
    <phoneticPr fontId="28"/>
  </si>
  <si>
    <t>区分</t>
    <phoneticPr fontId="28"/>
  </si>
  <si>
    <t>　condition_sets</t>
    <phoneticPr fontId="28"/>
  </si>
  <si>
    <t>絞り込み設定</t>
    <phoneticPr fontId="28"/>
  </si>
  <si>
    <t>　　condition</t>
    <phoneticPr fontId="28"/>
  </si>
  <si>
    <t>絞り込み条件</t>
    <phoneticPr fontId="28"/>
  </si>
  <si>
    <t>　　values</t>
    <phoneticPr fontId="28"/>
  </si>
  <si>
    <t>絞り込み値</t>
    <phoneticPr fontId="28"/>
  </si>
  <si>
    <t>未実施</t>
    <rPh sb="0" eb="3">
      <t>ミジッシ</t>
    </rPh>
    <phoneticPr fontId="28"/>
  </si>
  <si>
    <t>エビデンス</t>
    <phoneticPr fontId="28"/>
  </si>
  <si>
    <t>表示名称はラベル情報取得ＡＰＩからのレスポンス値を使用していること</t>
    <rPh sb="0" eb="2">
      <t>ヒョウジ</t>
    </rPh>
    <rPh sb="2" eb="4">
      <t>メイショウ</t>
    </rPh>
    <rPh sb="8" eb="10">
      <t>ジョウホウ</t>
    </rPh>
    <rPh sb="10" eb="12">
      <t>シュトク</t>
    </rPh>
    <rPh sb="23" eb="24">
      <t>アタイ</t>
    </rPh>
    <rPh sb="25" eb="27">
      <t>シヨウ</t>
    </rPh>
    <phoneticPr fontId="28"/>
  </si>
  <si>
    <t>ラベル取得ＡＰＩ呼び出し確認</t>
    <rPh sb="3" eb="5">
      <t>シュトク</t>
    </rPh>
    <phoneticPr fontId="47"/>
  </si>
  <si>
    <t>query</t>
    <phoneticPr fontId="28"/>
  </si>
  <si>
    <t>メッセージ言語一覧取得API呼び出し確認</t>
    <rPh sb="5" eb="7">
      <t>ゲンゴ</t>
    </rPh>
    <rPh sb="7" eb="9">
      <t>イチラン</t>
    </rPh>
    <rPh sb="9" eb="11">
      <t>シュトク</t>
    </rPh>
    <phoneticPr fontId="47"/>
  </si>
  <si>
    <t>car_monitor_send_kind</t>
    <phoneticPr fontId="28"/>
  </si>
  <si>
    <t>車両モニタ送信区分</t>
    <phoneticPr fontId="28"/>
  </si>
  <si>
    <t>0:無効、1:有効</t>
    <phoneticPr fontId="28"/>
  </si>
  <si>
    <t>受信者情報一覧取得API呼び出し確認①</t>
    <rPh sb="0" eb="3">
      <t>ジュシンシャ</t>
    </rPh>
    <rPh sb="3" eb="5">
      <t>ジョウホウ</t>
    </rPh>
    <rPh sb="5" eb="7">
      <t>イチラン</t>
    </rPh>
    <rPh sb="7" eb="9">
      <t>シュトク</t>
    </rPh>
    <phoneticPr fontId="47"/>
  </si>
  <si>
    <t>受信者情報一覧取得API呼び出し確認②</t>
    <rPh sb="0" eb="3">
      <t>ジュシンシャ</t>
    </rPh>
    <rPh sb="3" eb="5">
      <t>ジョウホウ</t>
    </rPh>
    <rPh sb="5" eb="7">
      <t>イチラン</t>
    </rPh>
    <rPh sb="7" eb="9">
      <t>シュトク</t>
    </rPh>
    <phoneticPr fontId="47"/>
  </si>
  <si>
    <t>アプリケーション取得ＡＰＩ呼び出し確認</t>
    <rPh sb="8" eb="10">
      <t>シュトク</t>
    </rPh>
    <phoneticPr fontId="47"/>
  </si>
  <si>
    <t>①</t>
    <phoneticPr fontId="28"/>
  </si>
  <si>
    <t>②</t>
    <phoneticPr fontId="28"/>
  </si>
  <si>
    <t>receive_method</t>
    <phoneticPr fontId="28"/>
  </si>
  <si>
    <t>registration_status</t>
    <phoneticPr fontId="28"/>
  </si>
  <si>
    <t>0:Email, 1:SMS</t>
    <phoneticPr fontId="28"/>
  </si>
  <si>
    <t>0:仮登録,1:本登録</t>
    <phoneticPr fontId="28"/>
  </si>
  <si>
    <t>OK</t>
    <phoneticPr fontId="28"/>
  </si>
  <si>
    <t>メッセージ言語一覧取得API  (GET:/applications/message_langs)</t>
    <phoneticPr fontId="28"/>
  </si>
  <si>
    <t>X-GroupId</t>
  </si>
  <si>
    <t>X-CarDivision</t>
  </si>
  <si>
    <t>ラベル取得API  (GET:/applications/views/labels)</t>
    <phoneticPr fontId="28"/>
  </si>
  <si>
    <t>アプリケーション取得API  (POST:/applications/functions/search)</t>
    <phoneticPr fontId="28"/>
  </si>
  <si>
    <t>　condition</t>
    <phoneticPr fontId="28"/>
  </si>
  <si>
    <t>絞り込み条件</t>
    <phoneticPr fontId="28"/>
  </si>
  <si>
    <t>　value</t>
    <phoneticPr fontId="28"/>
  </si>
  <si>
    <t>絞り込み値</t>
    <phoneticPr fontId="28"/>
  </si>
  <si>
    <t>X-Sort</t>
    <phoneticPr fontId="28"/>
  </si>
  <si>
    <t>ソート</t>
    <phoneticPr fontId="28"/>
  </si>
  <si>
    <t>X-From</t>
    <phoneticPr fontId="28"/>
  </si>
  <si>
    <t>取得開始位置</t>
    <phoneticPr fontId="28"/>
  </si>
  <si>
    <t>X-Count</t>
    <phoneticPr fontId="28"/>
  </si>
  <si>
    <t>取得件数</t>
    <phoneticPr fontId="28"/>
  </si>
  <si>
    <t>受信者情報一覧取得API  (GET: /emn/receivers)</t>
    <phoneticPr fontId="28"/>
  </si>
  <si>
    <t>ブラウザ再起動
フリータイミングのURLを指定</t>
    <rPh sb="4" eb="7">
      <t>サイキドウ</t>
    </rPh>
    <phoneticPr fontId="47"/>
  </si>
  <si>
    <t>フリータイミング画面が表示されること</t>
    <rPh sb="8" eb="10">
      <t>ガメン</t>
    </rPh>
    <rPh sb="11" eb="13">
      <t>ヒョウジ</t>
    </rPh>
    <phoneticPr fontId="28"/>
  </si>
  <si>
    <t>（EXE）塚田</t>
    <rPh sb="5" eb="7">
      <t>ツカダ</t>
    </rPh>
    <phoneticPr fontId="147"/>
  </si>
  <si>
    <t>塚田</t>
    <rPh sb="0" eb="2">
      <t>ツカダ</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</si>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</sst>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9"/>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20">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20" xfId="0" applyBorder="1" applyAlignment="1">
      <alignmen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18" xfId="210" applyFont="1" applyFill="1" applyBorder="1" applyAlignment="1">
      <alignmen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Alignment="1">
      <alignment vertical="center" wrapText="1"/>
    </xf>
    <xf numFmtId="0" fontId="91" fillId="0" borderId="3" xfId="210" applyNumberFormat="1" applyFont="1" applyFill="1" applyBorder="1" applyAlignment="1">
      <alignment horizontal="center" vertical="center"/>
    </xf>
    <xf numFmtId="0" fontId="91" fillId="60" borderId="3" xfId="210" applyNumberFormat="1" applyFont="1" applyFill="1" applyBorder="1" applyAlignment="1">
      <alignment horizontal="center" vertical="center"/>
    </xf>
    <xf numFmtId="0" fontId="91" fillId="0" borderId="0" xfId="210" applyFont="1" applyFill="1" applyBorder="1" applyAlignment="1">
      <alignment horizontal="left" vertical="center" wrapText="1"/>
    </xf>
    <xf numFmtId="0" fontId="148" fillId="0" borderId="0" xfId="0" applyFont="1" applyAlignment="1">
      <alignment vertical="center"/>
    </xf>
    <xf numFmtId="0" fontId="0" fillId="0" borderId="0" xfId="0" applyAlignment="1">
      <alignment vertical="center"/>
    </xf>
    <xf numFmtId="0" fontId="0" fillId="0" borderId="0" xfId="0" applyFill="1" applyBorder="1" applyAlignment="1">
      <alignment vertical="center"/>
    </xf>
    <xf numFmtId="0" fontId="0" fillId="62" borderId="0" xfId="0" applyFill="1" applyBorder="1"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xf>
    <xf numFmtId="0" fontId="23" fillId="0" borderId="0" xfId="0" applyFont="1" applyAlignment="1">
      <alignment vertical="center" wrapText="1"/>
    </xf>
    <xf numFmtId="0" fontId="0" fillId="61" borderId="3" xfId="0" applyFill="1" applyBorder="1" applyAlignment="1">
      <alignment vertical="center"/>
    </xf>
    <xf numFmtId="0" fontId="0" fillId="0" borderId="3" xfId="0" applyFont="1" applyBorder="1" applyAlignment="1">
      <alignment vertical="center" wrapText="1"/>
    </xf>
    <xf numFmtId="0" fontId="0" fillId="60" borderId="3" xfId="0" applyFont="1" applyFill="1" applyBorder="1" applyAlignment="1">
      <alignment vertical="center" wrapText="1"/>
    </xf>
    <xf numFmtId="0" fontId="0" fillId="60" borderId="3" xfId="0" applyFill="1" applyBorder="1" applyAlignment="1">
      <alignment vertical="center"/>
    </xf>
    <xf numFmtId="0" fontId="0" fillId="0" borderId="3" xfId="0" applyBorder="1" applyAlignment="1">
      <alignment vertical="center"/>
    </xf>
    <xf numFmtId="0" fontId="0" fillId="62" borderId="3" xfId="0" applyFill="1" applyBorder="1" applyAlignment="1">
      <alignment vertical="center"/>
    </xf>
    <xf numFmtId="0" fontId="0" fillId="0" borderId="3" xfId="0" applyBorder="1" applyAlignment="1">
      <alignment vertical="center" wrapText="1"/>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0" fillId="0" borderId="0" xfId="0" applyFont="1" applyBorder="1" applyAlignment="1">
      <alignment vertical="center" wrapText="1"/>
    </xf>
    <xf numFmtId="0" fontId="0" fillId="0" borderId="0" xfId="0" applyBorder="1" applyAlignment="1">
      <alignment vertical="center" wrapText="1"/>
    </xf>
    <xf numFmtId="0" fontId="0" fillId="60" borderId="0" xfId="0" applyFill="1" applyBorder="1" applyAlignment="1">
      <alignment vertical="center"/>
    </xf>
    <xf numFmtId="0" fontId="0" fillId="62" borderId="3" xfId="0" applyFill="1" applyBorder="1" applyAlignment="1">
      <alignment horizontal="center" vertical="center"/>
    </xf>
    <xf numFmtId="0" fontId="0" fillId="63" borderId="3" xfId="0" applyFill="1" applyBorder="1" applyAlignment="1">
      <alignment vertical="center" wrapText="1"/>
    </xf>
    <xf numFmtId="0" fontId="148" fillId="0" borderId="0" xfId="0" applyFont="1"/>
    <xf numFmtId="0" fontId="0" fillId="0" borderId="3" xfId="0" applyFont="1" applyBorder="1" applyAlignment="1">
      <alignment vertical="top" wrapText="1"/>
    </xf>
    <xf numFmtId="0" fontId="0" fillId="0" borderId="3" xfId="0" applyBorder="1"/>
    <xf numFmtId="0" fontId="91" fillId="0" borderId="17" xfId="210" applyFont="1" applyFill="1" applyBorder="1" applyAlignment="1">
      <alignment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17" xfId="210" applyFont="1" applyFill="1" applyBorder="1" applyAlignment="1">
      <alignment horizontal="center" vertical="center" wrapText="1"/>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60" borderId="18" xfId="210" applyFont="1" applyFill="1" applyBorder="1" applyAlignment="1">
      <alignment vertical="center" wrapText="1"/>
    </xf>
    <xf numFmtId="0" fontId="0" fillId="0" borderId="20" xfId="0" applyBorder="1" applyAlignment="1">
      <alignment vertical="center" wrapText="1"/>
    </xf>
    <xf numFmtId="0" fontId="91" fillId="0" borderId="18" xfId="210" applyFont="1" applyFill="1" applyBorder="1" applyAlignment="1">
      <alignment vertical="center"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zoomScaleNormal="100" zoomScaleSheetLayoutView="85" workbookViewId="0"/>
  </sheetViews>
  <sheetFormatPr defaultColWidth="0.75" defaultRowHeight="12"/>
  <cols>
    <col min="1" max="16384" width="0.75" style="61"/>
  </cols>
  <sheetData>
    <row r="4" spans="1:168" ht="13.5">
      <c r="EM4" s="175"/>
      <c r="EN4" s="176"/>
      <c r="EO4" s="176"/>
      <c r="EP4" s="176"/>
      <c r="EQ4" s="176"/>
      <c r="ER4" s="176"/>
      <c r="ES4" s="176"/>
      <c r="ET4" s="176"/>
      <c r="EU4" s="176"/>
      <c r="EV4" s="176"/>
      <c r="EW4" s="176"/>
      <c r="EX4" s="176"/>
      <c r="EY4" s="176"/>
      <c r="EZ4" s="176"/>
      <c r="FA4" s="176"/>
      <c r="FB4" s="176"/>
      <c r="FC4" s="176"/>
      <c r="FD4" s="176"/>
      <c r="FE4" s="176"/>
      <c r="FF4" s="176"/>
      <c r="FG4" s="176"/>
      <c r="FH4" s="176"/>
      <c r="FI4" s="176"/>
      <c r="FJ4" s="176"/>
      <c r="FK4" s="176"/>
      <c r="FL4" s="176"/>
    </row>
    <row r="5" spans="1:168">
      <c r="A5" s="62"/>
      <c r="B5" s="62"/>
      <c r="C5" s="62"/>
      <c r="D5" s="62"/>
      <c r="E5" s="62"/>
      <c r="F5" s="62"/>
      <c r="G5" s="62"/>
      <c r="H5" s="62"/>
      <c r="I5" s="177" t="s">
        <v>63</v>
      </c>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7"/>
      <c r="BL5" s="177"/>
      <c r="BM5" s="177"/>
      <c r="BN5" s="177"/>
      <c r="BO5" s="177"/>
      <c r="BP5" s="177"/>
      <c r="BQ5" s="177"/>
      <c r="BR5" s="177"/>
      <c r="BS5" s="177"/>
      <c r="BT5" s="177"/>
      <c r="BU5" s="177"/>
      <c r="BV5" s="177"/>
      <c r="BW5" s="177"/>
      <c r="BX5" s="177"/>
      <c r="BY5" s="177"/>
      <c r="BZ5" s="177"/>
      <c r="CA5" s="177"/>
      <c r="CB5" s="177"/>
      <c r="CC5" s="177"/>
      <c r="CD5" s="177"/>
      <c r="CE5" s="177"/>
      <c r="CF5" s="177"/>
      <c r="CG5" s="177"/>
      <c r="CH5" s="177"/>
      <c r="CI5" s="177"/>
      <c r="CJ5" s="177"/>
      <c r="CK5" s="177"/>
      <c r="CL5" s="177"/>
      <c r="CM5" s="177"/>
      <c r="CN5" s="177"/>
      <c r="CO5" s="177"/>
      <c r="CP5" s="177"/>
      <c r="CQ5" s="177"/>
      <c r="CR5" s="177"/>
      <c r="CS5" s="177"/>
      <c r="CT5" s="177"/>
      <c r="CU5" s="177"/>
      <c r="CV5" s="177"/>
      <c r="CW5" s="177"/>
      <c r="CX5" s="177"/>
      <c r="CY5" s="177"/>
      <c r="CZ5" s="177"/>
      <c r="DA5" s="177"/>
      <c r="DB5" s="177"/>
      <c r="DC5" s="177"/>
      <c r="DD5" s="177"/>
      <c r="DE5" s="177"/>
      <c r="DF5" s="177"/>
      <c r="DG5" s="177"/>
      <c r="DH5" s="177"/>
      <c r="DI5" s="177"/>
      <c r="DJ5" s="177"/>
      <c r="DK5" s="177"/>
      <c r="DL5" s="177"/>
      <c r="DM5" s="177"/>
      <c r="DN5" s="177"/>
      <c r="DO5" s="177"/>
      <c r="DP5" s="177"/>
      <c r="DQ5" s="177"/>
      <c r="DR5" s="177"/>
      <c r="DS5" s="177"/>
      <c r="DT5" s="177"/>
      <c r="DU5" s="177"/>
      <c r="DV5" s="177"/>
      <c r="DW5" s="177"/>
      <c r="DX5" s="177"/>
      <c r="DY5" s="177"/>
      <c r="DZ5" s="177"/>
      <c r="EA5" s="177"/>
      <c r="EB5" s="177"/>
      <c r="EC5" s="177"/>
      <c r="ED5" s="177"/>
      <c r="EE5" s="177"/>
      <c r="EF5" s="177"/>
      <c r="EG5" s="177"/>
      <c r="EH5" s="177"/>
      <c r="EI5" s="177"/>
      <c r="EJ5" s="177"/>
      <c r="EK5" s="177"/>
      <c r="EL5" s="177"/>
      <c r="EM5" s="177"/>
      <c r="EN5" s="177"/>
      <c r="EO5" s="177"/>
      <c r="EP5" s="177"/>
      <c r="EQ5" s="177"/>
      <c r="ER5" s="177"/>
      <c r="ES5" s="177"/>
      <c r="ET5" s="177"/>
      <c r="EU5" s="177"/>
      <c r="EV5" s="177"/>
      <c r="EW5" s="177"/>
      <c r="EX5" s="177"/>
      <c r="EY5" s="177"/>
      <c r="EZ5" s="177"/>
      <c r="FA5" s="177"/>
      <c r="FB5" s="177"/>
      <c r="FC5" s="177"/>
      <c r="FD5" s="177"/>
      <c r="FE5" s="62"/>
      <c r="FF5" s="62"/>
      <c r="FG5" s="62"/>
      <c r="FH5" s="62"/>
      <c r="FI5" s="62"/>
      <c r="FJ5" s="62"/>
      <c r="FK5" s="62"/>
      <c r="FL5" s="62"/>
    </row>
    <row r="6" spans="1:168">
      <c r="A6" s="62"/>
      <c r="B6" s="62"/>
      <c r="C6" s="62"/>
      <c r="D6" s="62"/>
      <c r="E6" s="62"/>
      <c r="F6" s="62"/>
      <c r="G6" s="62"/>
      <c r="H6" s="62"/>
      <c r="I6" s="177"/>
      <c r="J6" s="177"/>
      <c r="K6" s="177"/>
      <c r="L6" s="177"/>
      <c r="M6" s="177"/>
      <c r="N6" s="177"/>
      <c r="O6" s="177"/>
      <c r="P6" s="177"/>
      <c r="Q6" s="177"/>
      <c r="R6" s="177"/>
      <c r="S6" s="177"/>
      <c r="T6" s="177"/>
      <c r="U6" s="177"/>
      <c r="V6" s="177"/>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c r="BS6" s="177"/>
      <c r="BT6" s="177"/>
      <c r="BU6" s="177"/>
      <c r="BV6" s="177"/>
      <c r="BW6" s="177"/>
      <c r="BX6" s="177"/>
      <c r="BY6" s="177"/>
      <c r="BZ6" s="177"/>
      <c r="CA6" s="177"/>
      <c r="CB6" s="177"/>
      <c r="CC6" s="177"/>
      <c r="CD6" s="177"/>
      <c r="CE6" s="177"/>
      <c r="CF6" s="177"/>
      <c r="CG6" s="177"/>
      <c r="CH6" s="177"/>
      <c r="CI6" s="177"/>
      <c r="CJ6" s="177"/>
      <c r="CK6" s="177"/>
      <c r="CL6" s="177"/>
      <c r="CM6" s="177"/>
      <c r="CN6" s="177"/>
      <c r="CO6" s="177"/>
      <c r="CP6" s="177"/>
      <c r="CQ6" s="177"/>
      <c r="CR6" s="177"/>
      <c r="CS6" s="177"/>
      <c r="CT6" s="177"/>
      <c r="CU6" s="177"/>
      <c r="CV6" s="177"/>
      <c r="CW6" s="177"/>
      <c r="CX6" s="177"/>
      <c r="CY6" s="177"/>
      <c r="CZ6" s="177"/>
      <c r="DA6" s="177"/>
      <c r="DB6" s="177"/>
      <c r="DC6" s="177"/>
      <c r="DD6" s="177"/>
      <c r="DE6" s="177"/>
      <c r="DF6" s="177"/>
      <c r="DG6" s="177"/>
      <c r="DH6" s="177"/>
      <c r="DI6" s="177"/>
      <c r="DJ6" s="177"/>
      <c r="DK6" s="177"/>
      <c r="DL6" s="177"/>
      <c r="DM6" s="177"/>
      <c r="DN6" s="177"/>
      <c r="DO6" s="177"/>
      <c r="DP6" s="177"/>
      <c r="DQ6" s="177"/>
      <c r="DR6" s="177"/>
      <c r="DS6" s="177"/>
      <c r="DT6" s="177"/>
      <c r="DU6" s="177"/>
      <c r="DV6" s="177"/>
      <c r="DW6" s="177"/>
      <c r="DX6" s="177"/>
      <c r="DY6" s="177"/>
      <c r="DZ6" s="177"/>
      <c r="EA6" s="177"/>
      <c r="EB6" s="177"/>
      <c r="EC6" s="177"/>
      <c r="ED6" s="177"/>
      <c r="EE6" s="177"/>
      <c r="EF6" s="177"/>
      <c r="EG6" s="177"/>
      <c r="EH6" s="177"/>
      <c r="EI6" s="177"/>
      <c r="EJ6" s="177"/>
      <c r="EK6" s="177"/>
      <c r="EL6" s="177"/>
      <c r="EM6" s="177"/>
      <c r="EN6" s="177"/>
      <c r="EO6" s="177"/>
      <c r="EP6" s="177"/>
      <c r="EQ6" s="177"/>
      <c r="ER6" s="177"/>
      <c r="ES6" s="177"/>
      <c r="ET6" s="177"/>
      <c r="EU6" s="177"/>
      <c r="EV6" s="177"/>
      <c r="EW6" s="177"/>
      <c r="EX6" s="177"/>
      <c r="EY6" s="177"/>
      <c r="EZ6" s="177"/>
      <c r="FA6" s="177"/>
      <c r="FB6" s="177"/>
      <c r="FC6" s="177"/>
      <c r="FD6" s="177"/>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78" t="s">
        <v>81</v>
      </c>
      <c r="J8" s="178"/>
      <c r="K8" s="178"/>
      <c r="L8" s="178"/>
      <c r="M8" s="178"/>
      <c r="N8" s="178"/>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c r="CY8" s="178"/>
      <c r="CZ8" s="178"/>
      <c r="DA8" s="178"/>
      <c r="DB8" s="178"/>
      <c r="DC8" s="178"/>
      <c r="DD8" s="178"/>
      <c r="DE8" s="178"/>
      <c r="DF8" s="178"/>
      <c r="DG8" s="178"/>
      <c r="DH8" s="178"/>
      <c r="DI8" s="178"/>
      <c r="DJ8" s="178"/>
      <c r="DK8" s="178"/>
      <c r="DL8" s="178"/>
      <c r="DM8" s="178"/>
      <c r="DN8" s="178"/>
      <c r="DO8" s="178"/>
      <c r="DP8" s="178"/>
      <c r="DQ8" s="178"/>
      <c r="DR8" s="178"/>
      <c r="DS8" s="178"/>
      <c r="DT8" s="178"/>
      <c r="DU8" s="178"/>
      <c r="DV8" s="178"/>
      <c r="DW8" s="178"/>
      <c r="DX8" s="178"/>
      <c r="DY8" s="178"/>
      <c r="DZ8" s="178"/>
      <c r="EA8" s="178"/>
      <c r="EB8" s="178"/>
      <c r="EC8" s="178"/>
      <c r="ED8" s="178"/>
      <c r="EE8" s="178"/>
      <c r="EF8" s="178"/>
      <c r="EG8" s="178"/>
      <c r="EH8" s="178"/>
      <c r="EI8" s="178"/>
      <c r="EJ8" s="178"/>
      <c r="EK8" s="178"/>
      <c r="EL8" s="178"/>
      <c r="EM8" s="178"/>
      <c r="EN8" s="178"/>
      <c r="EO8" s="178"/>
      <c r="EP8" s="178"/>
      <c r="EQ8" s="178"/>
      <c r="ER8" s="178"/>
      <c r="ES8" s="178"/>
      <c r="ET8" s="178"/>
      <c r="EU8" s="178"/>
      <c r="EV8" s="178"/>
      <c r="EW8" s="178"/>
      <c r="EX8" s="178"/>
      <c r="EY8" s="178"/>
      <c r="EZ8" s="178"/>
      <c r="FA8" s="178"/>
      <c r="FB8" s="178"/>
      <c r="FC8" s="178"/>
      <c r="FD8" s="178"/>
      <c r="FE8" s="62"/>
      <c r="FF8" s="62"/>
      <c r="FG8" s="62"/>
      <c r="FH8" s="62"/>
      <c r="FI8" s="62"/>
      <c r="FJ8" s="62"/>
      <c r="FK8" s="62"/>
      <c r="FL8" s="62"/>
    </row>
    <row r="9" spans="1:168">
      <c r="A9" s="62"/>
      <c r="B9" s="62"/>
      <c r="C9" s="62"/>
      <c r="D9" s="62"/>
      <c r="E9" s="62"/>
      <c r="F9" s="62"/>
      <c r="G9" s="62"/>
      <c r="H9" s="62"/>
      <c r="I9" s="178"/>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c r="CY9" s="178"/>
      <c r="CZ9" s="178"/>
      <c r="DA9" s="178"/>
      <c r="DB9" s="178"/>
      <c r="DC9" s="178"/>
      <c r="DD9" s="178"/>
      <c r="DE9" s="178"/>
      <c r="DF9" s="178"/>
      <c r="DG9" s="178"/>
      <c r="DH9" s="178"/>
      <c r="DI9" s="178"/>
      <c r="DJ9" s="178"/>
      <c r="DK9" s="178"/>
      <c r="DL9" s="178"/>
      <c r="DM9" s="178"/>
      <c r="DN9" s="178"/>
      <c r="DO9" s="178"/>
      <c r="DP9" s="178"/>
      <c r="DQ9" s="178"/>
      <c r="DR9" s="178"/>
      <c r="DS9" s="178"/>
      <c r="DT9" s="178"/>
      <c r="DU9" s="178"/>
      <c r="DV9" s="178"/>
      <c r="DW9" s="178"/>
      <c r="DX9" s="178"/>
      <c r="DY9" s="178"/>
      <c r="DZ9" s="178"/>
      <c r="EA9" s="178"/>
      <c r="EB9" s="178"/>
      <c r="EC9" s="178"/>
      <c r="ED9" s="178"/>
      <c r="EE9" s="178"/>
      <c r="EF9" s="178"/>
      <c r="EG9" s="178"/>
      <c r="EH9" s="178"/>
      <c r="EI9" s="178"/>
      <c r="EJ9" s="178"/>
      <c r="EK9" s="178"/>
      <c r="EL9" s="178"/>
      <c r="EM9" s="178"/>
      <c r="EN9" s="178"/>
      <c r="EO9" s="178"/>
      <c r="EP9" s="178"/>
      <c r="EQ9" s="178"/>
      <c r="ER9" s="178"/>
      <c r="ES9" s="178"/>
      <c r="ET9" s="178"/>
      <c r="EU9" s="178"/>
      <c r="EV9" s="178"/>
      <c r="EW9" s="178"/>
      <c r="EX9" s="178"/>
      <c r="EY9" s="178"/>
      <c r="EZ9" s="178"/>
      <c r="FA9" s="178"/>
      <c r="FB9" s="178"/>
      <c r="FC9" s="178"/>
      <c r="FD9" s="178"/>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79" t="s">
        <v>121</v>
      </c>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c r="CY11" s="179"/>
      <c r="CZ11" s="179"/>
      <c r="DA11" s="179"/>
      <c r="DB11" s="179"/>
      <c r="DC11" s="179"/>
      <c r="DD11" s="179"/>
      <c r="DE11" s="179"/>
      <c r="DF11" s="179"/>
      <c r="DG11" s="179"/>
      <c r="DH11" s="179"/>
      <c r="DI11" s="179"/>
      <c r="DJ11" s="179"/>
      <c r="DK11" s="179"/>
      <c r="DL11" s="179"/>
      <c r="DM11" s="179"/>
      <c r="DN11" s="179"/>
      <c r="DO11" s="179"/>
      <c r="DP11" s="179"/>
      <c r="DQ11" s="179"/>
      <c r="DR11" s="179"/>
      <c r="DS11" s="179"/>
      <c r="DT11" s="179"/>
      <c r="DU11" s="179"/>
      <c r="DV11" s="179"/>
      <c r="DW11" s="179"/>
      <c r="DX11" s="179"/>
      <c r="DY11" s="179"/>
      <c r="DZ11" s="179"/>
      <c r="EA11" s="179"/>
      <c r="EB11" s="179"/>
      <c r="EC11" s="179"/>
      <c r="ED11" s="179"/>
      <c r="EE11" s="179"/>
      <c r="EF11" s="179"/>
      <c r="EG11" s="179"/>
      <c r="EH11" s="179"/>
      <c r="EI11" s="179"/>
      <c r="EJ11" s="179"/>
      <c r="EK11" s="179"/>
      <c r="EL11" s="179"/>
      <c r="EM11" s="179"/>
      <c r="EN11" s="179"/>
      <c r="EO11" s="179"/>
      <c r="EP11" s="179"/>
      <c r="EQ11" s="179"/>
      <c r="ER11" s="179"/>
      <c r="ES11" s="179"/>
      <c r="ET11" s="179"/>
      <c r="EU11" s="179"/>
      <c r="EV11" s="179"/>
      <c r="EW11" s="179"/>
      <c r="EX11" s="179"/>
      <c r="EY11" s="179"/>
      <c r="EZ11" s="179"/>
      <c r="FA11" s="179"/>
      <c r="FB11" s="179"/>
      <c r="FC11" s="179"/>
      <c r="FD11" s="179"/>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c r="CY12" s="179"/>
      <c r="CZ12" s="179"/>
      <c r="DA12" s="179"/>
      <c r="DB12" s="179"/>
      <c r="DC12" s="179"/>
      <c r="DD12" s="179"/>
      <c r="DE12" s="179"/>
      <c r="DF12" s="179"/>
      <c r="DG12" s="179"/>
      <c r="DH12" s="179"/>
      <c r="DI12" s="179"/>
      <c r="DJ12" s="179"/>
      <c r="DK12" s="179"/>
      <c r="DL12" s="179"/>
      <c r="DM12" s="179"/>
      <c r="DN12" s="179"/>
      <c r="DO12" s="179"/>
      <c r="DP12" s="179"/>
      <c r="DQ12" s="179"/>
      <c r="DR12" s="179"/>
      <c r="DS12" s="179"/>
      <c r="DT12" s="179"/>
      <c r="DU12" s="179"/>
      <c r="DV12" s="179"/>
      <c r="DW12" s="179"/>
      <c r="DX12" s="179"/>
      <c r="DY12" s="179"/>
      <c r="DZ12" s="179"/>
      <c r="EA12" s="179"/>
      <c r="EB12" s="179"/>
      <c r="EC12" s="179"/>
      <c r="ED12" s="179"/>
      <c r="EE12" s="179"/>
      <c r="EF12" s="179"/>
      <c r="EG12" s="179"/>
      <c r="EH12" s="179"/>
      <c r="EI12" s="179"/>
      <c r="EJ12" s="179"/>
      <c r="EK12" s="179"/>
      <c r="EL12" s="179"/>
      <c r="EM12" s="179"/>
      <c r="EN12" s="179"/>
      <c r="EO12" s="179"/>
      <c r="EP12" s="179"/>
      <c r="EQ12" s="179"/>
      <c r="ER12" s="179"/>
      <c r="ES12" s="179"/>
      <c r="ET12" s="179"/>
      <c r="EU12" s="179"/>
      <c r="EV12" s="179"/>
      <c r="EW12" s="179"/>
      <c r="EX12" s="179"/>
      <c r="EY12" s="179"/>
      <c r="EZ12" s="179"/>
      <c r="FA12" s="179"/>
      <c r="FB12" s="179"/>
      <c r="FC12" s="179"/>
      <c r="FD12" s="179"/>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80" t="s">
        <v>64</v>
      </c>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2"/>
      <c r="BD28" s="186" t="s">
        <v>65</v>
      </c>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2"/>
      <c r="CA28" s="186" t="s">
        <v>66</v>
      </c>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8"/>
      <c r="CX28" s="65"/>
      <c r="CY28" s="65"/>
      <c r="CZ28" s="65"/>
      <c r="DA28" s="65"/>
      <c r="DB28" s="65"/>
      <c r="DC28" s="65"/>
      <c r="DD28" s="65"/>
      <c r="DE28" s="65"/>
      <c r="DF28" s="65"/>
      <c r="DG28" s="65"/>
      <c r="DH28" s="65"/>
    </row>
    <row r="29" spans="3:112" s="92" customFormat="1" ht="12.75" customHeight="1" thickBot="1">
      <c r="C29" s="66"/>
      <c r="AG29" s="183"/>
      <c r="AH29" s="184"/>
      <c r="AI29" s="184"/>
      <c r="AJ29" s="184"/>
      <c r="AK29" s="184"/>
      <c r="AL29" s="184"/>
      <c r="AM29" s="184"/>
      <c r="AN29" s="184"/>
      <c r="AO29" s="184"/>
      <c r="AP29" s="184"/>
      <c r="AQ29" s="184"/>
      <c r="AR29" s="184"/>
      <c r="AS29" s="184"/>
      <c r="AT29" s="184"/>
      <c r="AU29" s="184"/>
      <c r="AV29" s="184"/>
      <c r="AW29" s="184"/>
      <c r="AX29" s="184"/>
      <c r="AY29" s="184"/>
      <c r="AZ29" s="184"/>
      <c r="BA29" s="184"/>
      <c r="BB29" s="184"/>
      <c r="BC29" s="185"/>
      <c r="BD29" s="187"/>
      <c r="BE29" s="184"/>
      <c r="BF29" s="184"/>
      <c r="BG29" s="184"/>
      <c r="BH29" s="184"/>
      <c r="BI29" s="184"/>
      <c r="BJ29" s="184"/>
      <c r="BK29" s="184"/>
      <c r="BL29" s="184"/>
      <c r="BM29" s="184"/>
      <c r="BN29" s="184"/>
      <c r="BO29" s="184"/>
      <c r="BP29" s="184"/>
      <c r="BQ29" s="184"/>
      <c r="BR29" s="184"/>
      <c r="BS29" s="184"/>
      <c r="BT29" s="184"/>
      <c r="BU29" s="184"/>
      <c r="BV29" s="184"/>
      <c r="BW29" s="184"/>
      <c r="BX29" s="184"/>
      <c r="BY29" s="184"/>
      <c r="BZ29" s="185"/>
      <c r="CA29" s="187"/>
      <c r="CB29" s="184"/>
      <c r="CC29" s="184"/>
      <c r="CD29" s="184"/>
      <c r="CE29" s="184"/>
      <c r="CF29" s="184"/>
      <c r="CG29" s="184"/>
      <c r="CH29" s="184"/>
      <c r="CI29" s="184"/>
      <c r="CJ29" s="184"/>
      <c r="CK29" s="184"/>
      <c r="CL29" s="184"/>
      <c r="CM29" s="184"/>
      <c r="CN29" s="184"/>
      <c r="CO29" s="184"/>
      <c r="CP29" s="184"/>
      <c r="CQ29" s="184"/>
      <c r="CR29" s="184"/>
      <c r="CS29" s="184"/>
      <c r="CT29" s="184"/>
      <c r="CU29" s="184"/>
      <c r="CV29" s="184"/>
      <c r="CW29" s="189"/>
      <c r="CX29" s="66"/>
      <c r="CY29" s="66"/>
      <c r="CZ29" s="65"/>
      <c r="DA29" s="65"/>
      <c r="DB29" s="65"/>
      <c r="DC29" s="65"/>
      <c r="DD29" s="65"/>
      <c r="DE29" s="65"/>
      <c r="DF29" s="65"/>
      <c r="DG29" s="65"/>
      <c r="DH29" s="65"/>
    </row>
    <row r="30" spans="3:112" s="92" customFormat="1" ht="12.75" customHeight="1" thickTop="1">
      <c r="C30" s="66"/>
      <c r="AG30" s="162" t="s">
        <v>266</v>
      </c>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4"/>
      <c r="BD30" s="171" t="s">
        <v>265</v>
      </c>
      <c r="BE30" s="163"/>
      <c r="BF30" s="163"/>
      <c r="BG30" s="163"/>
      <c r="BH30" s="163"/>
      <c r="BI30" s="163"/>
      <c r="BJ30" s="163"/>
      <c r="BK30" s="163"/>
      <c r="BL30" s="163"/>
      <c r="BM30" s="163"/>
      <c r="BN30" s="163"/>
      <c r="BO30" s="163"/>
      <c r="BP30" s="163"/>
      <c r="BQ30" s="163"/>
      <c r="BR30" s="163"/>
      <c r="BS30" s="163"/>
      <c r="BT30" s="163"/>
      <c r="BU30" s="163"/>
      <c r="BV30" s="163"/>
      <c r="BW30" s="163"/>
      <c r="BX30" s="163"/>
      <c r="BY30" s="163"/>
      <c r="BZ30" s="164"/>
      <c r="CA30" s="171" t="s">
        <v>264</v>
      </c>
      <c r="CB30" s="163"/>
      <c r="CC30" s="163"/>
      <c r="CD30" s="163"/>
      <c r="CE30" s="163"/>
      <c r="CF30" s="163"/>
      <c r="CG30" s="163"/>
      <c r="CH30" s="163"/>
      <c r="CI30" s="163"/>
      <c r="CJ30" s="163"/>
      <c r="CK30" s="163"/>
      <c r="CL30" s="163"/>
      <c r="CM30" s="163"/>
      <c r="CN30" s="163"/>
      <c r="CO30" s="163"/>
      <c r="CP30" s="163"/>
      <c r="CQ30" s="163"/>
      <c r="CR30" s="163"/>
      <c r="CS30" s="163"/>
      <c r="CT30" s="163"/>
      <c r="CU30" s="163"/>
      <c r="CV30" s="163"/>
      <c r="CW30" s="173"/>
      <c r="CX30" s="66"/>
      <c r="CY30" s="66"/>
      <c r="CZ30" s="65"/>
      <c r="DA30" s="65"/>
      <c r="DB30" s="65"/>
      <c r="DC30" s="65"/>
      <c r="DD30" s="65"/>
      <c r="DE30" s="65"/>
      <c r="DF30" s="65"/>
      <c r="DG30" s="65"/>
      <c r="DH30" s="65"/>
    </row>
    <row r="31" spans="3:112" s="92" customFormat="1" ht="12" customHeight="1">
      <c r="C31" s="65"/>
      <c r="AG31" s="165"/>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7"/>
      <c r="BD31" s="172"/>
      <c r="BE31" s="166"/>
      <c r="BF31" s="166"/>
      <c r="BG31" s="166"/>
      <c r="BH31" s="166"/>
      <c r="BI31" s="166"/>
      <c r="BJ31" s="166"/>
      <c r="BK31" s="166"/>
      <c r="BL31" s="166"/>
      <c r="BM31" s="166"/>
      <c r="BN31" s="166"/>
      <c r="BO31" s="166"/>
      <c r="BP31" s="166"/>
      <c r="BQ31" s="166"/>
      <c r="BR31" s="166"/>
      <c r="BS31" s="166"/>
      <c r="BT31" s="166"/>
      <c r="BU31" s="166"/>
      <c r="BV31" s="166"/>
      <c r="BW31" s="166"/>
      <c r="BX31" s="166"/>
      <c r="BY31" s="166"/>
      <c r="BZ31" s="167"/>
      <c r="CA31" s="172"/>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74"/>
      <c r="CX31" s="65"/>
      <c r="CY31" s="65"/>
      <c r="CZ31" s="65"/>
      <c r="DA31" s="65"/>
      <c r="DB31" s="65"/>
      <c r="DC31" s="65"/>
      <c r="DD31" s="65"/>
      <c r="DE31" s="65"/>
      <c r="DF31" s="65"/>
      <c r="DG31" s="65"/>
      <c r="DH31" s="65"/>
    </row>
    <row r="32" spans="3:112" s="92" customFormat="1" ht="12" customHeight="1">
      <c r="C32" s="65"/>
      <c r="AG32" s="165"/>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7"/>
      <c r="BD32" s="172"/>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7"/>
      <c r="CA32" s="172"/>
      <c r="CB32" s="166"/>
      <c r="CC32" s="166"/>
      <c r="CD32" s="166"/>
      <c r="CE32" s="166"/>
      <c r="CF32" s="166"/>
      <c r="CG32" s="166"/>
      <c r="CH32" s="166"/>
      <c r="CI32" s="166"/>
      <c r="CJ32" s="166"/>
      <c r="CK32" s="166"/>
      <c r="CL32" s="166"/>
      <c r="CM32" s="166"/>
      <c r="CN32" s="166"/>
      <c r="CO32" s="166"/>
      <c r="CP32" s="166"/>
      <c r="CQ32" s="166"/>
      <c r="CR32" s="166"/>
      <c r="CS32" s="166"/>
      <c r="CT32" s="166"/>
      <c r="CU32" s="166"/>
      <c r="CV32" s="166"/>
      <c r="CW32" s="174"/>
      <c r="CX32" s="65"/>
      <c r="CY32" s="65"/>
      <c r="CZ32" s="65"/>
      <c r="DA32" s="65"/>
      <c r="DB32" s="65"/>
      <c r="DC32" s="65"/>
      <c r="DD32" s="65"/>
      <c r="DE32" s="65"/>
      <c r="DF32" s="65"/>
      <c r="DG32" s="65"/>
      <c r="DH32" s="65"/>
    </row>
    <row r="33" spans="3:164" s="92" customFormat="1" ht="12" customHeight="1" thickBot="1">
      <c r="C33" s="65"/>
      <c r="AG33" s="190">
        <v>42950</v>
      </c>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v>42950</v>
      </c>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v>42950</v>
      </c>
      <c r="CB33" s="160"/>
      <c r="CC33" s="160"/>
      <c r="CD33" s="160"/>
      <c r="CE33" s="160"/>
      <c r="CF33" s="160"/>
      <c r="CG33" s="160"/>
      <c r="CH33" s="160"/>
      <c r="CI33" s="160"/>
      <c r="CJ33" s="160"/>
      <c r="CK33" s="160"/>
      <c r="CL33" s="160"/>
      <c r="CM33" s="160"/>
      <c r="CN33" s="160"/>
      <c r="CO33" s="160"/>
      <c r="CP33" s="160"/>
      <c r="CQ33" s="160"/>
      <c r="CR33" s="160"/>
      <c r="CS33" s="160"/>
      <c r="CT33" s="160"/>
      <c r="CU33" s="160"/>
      <c r="CV33" s="160"/>
      <c r="CW33" s="161"/>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80" t="s">
        <v>74</v>
      </c>
      <c r="K35" s="181"/>
      <c r="L35" s="181"/>
      <c r="M35" s="181"/>
      <c r="N35" s="181"/>
      <c r="O35" s="181"/>
      <c r="P35" s="181"/>
      <c r="Q35" s="181"/>
      <c r="R35" s="181"/>
      <c r="S35" s="181"/>
      <c r="T35" s="181"/>
      <c r="U35" s="181"/>
      <c r="V35" s="181"/>
      <c r="W35" s="181"/>
      <c r="X35" s="181"/>
      <c r="Y35" s="181"/>
      <c r="Z35" s="181"/>
      <c r="AA35" s="181"/>
      <c r="AB35" s="181"/>
      <c r="AC35" s="181"/>
      <c r="AD35" s="181"/>
      <c r="AE35" s="181"/>
      <c r="AF35" s="182"/>
      <c r="AG35" s="186" t="s">
        <v>75</v>
      </c>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2"/>
      <c r="BD35" s="186" t="s">
        <v>76</v>
      </c>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2"/>
      <c r="CA35" s="186" t="s">
        <v>77</v>
      </c>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8"/>
      <c r="CX35" s="65"/>
      <c r="CY35" s="65"/>
      <c r="CZ35" s="65"/>
      <c r="DA35" s="65"/>
      <c r="DB35" s="65"/>
      <c r="DC35" s="65"/>
      <c r="DD35" s="65"/>
      <c r="DE35" s="65"/>
      <c r="DF35" s="65"/>
      <c r="DG35" s="65"/>
      <c r="DH35" s="65"/>
    </row>
    <row r="36" spans="3:164" s="92" customFormat="1" ht="12" customHeight="1" thickBot="1">
      <c r="C36" s="65"/>
      <c r="J36" s="183"/>
      <c r="K36" s="184"/>
      <c r="L36" s="184"/>
      <c r="M36" s="184"/>
      <c r="N36" s="184"/>
      <c r="O36" s="184"/>
      <c r="P36" s="184"/>
      <c r="Q36" s="184"/>
      <c r="R36" s="184"/>
      <c r="S36" s="184"/>
      <c r="T36" s="184"/>
      <c r="U36" s="184"/>
      <c r="V36" s="184"/>
      <c r="W36" s="184"/>
      <c r="X36" s="184"/>
      <c r="Y36" s="184"/>
      <c r="Z36" s="184"/>
      <c r="AA36" s="184"/>
      <c r="AB36" s="184"/>
      <c r="AC36" s="184"/>
      <c r="AD36" s="184"/>
      <c r="AE36" s="184"/>
      <c r="AF36" s="185"/>
      <c r="AG36" s="187"/>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5"/>
      <c r="BD36" s="187"/>
      <c r="BE36" s="184"/>
      <c r="BF36" s="184"/>
      <c r="BG36" s="184"/>
      <c r="BH36" s="184"/>
      <c r="BI36" s="184"/>
      <c r="BJ36" s="184"/>
      <c r="BK36" s="184"/>
      <c r="BL36" s="184"/>
      <c r="BM36" s="184"/>
      <c r="BN36" s="184"/>
      <c r="BO36" s="184"/>
      <c r="BP36" s="184"/>
      <c r="BQ36" s="184"/>
      <c r="BR36" s="184"/>
      <c r="BS36" s="184"/>
      <c r="BT36" s="184"/>
      <c r="BU36" s="184"/>
      <c r="BV36" s="184"/>
      <c r="BW36" s="184"/>
      <c r="BX36" s="184"/>
      <c r="BY36" s="184"/>
      <c r="BZ36" s="185"/>
      <c r="CA36" s="187"/>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9"/>
      <c r="CX36" s="65"/>
      <c r="CY36" s="65"/>
      <c r="CZ36" s="65"/>
      <c r="DA36" s="65"/>
      <c r="DB36" s="65"/>
      <c r="DC36" s="65"/>
      <c r="DD36" s="65"/>
      <c r="DE36" s="65"/>
      <c r="DF36" s="65"/>
      <c r="DG36" s="65"/>
      <c r="DH36" s="65"/>
    </row>
    <row r="37" spans="3:164" s="92" customFormat="1" ht="12" customHeight="1" thickTop="1">
      <c r="C37" s="65"/>
      <c r="J37" s="162"/>
      <c r="K37" s="163"/>
      <c r="L37" s="163"/>
      <c r="M37" s="163"/>
      <c r="N37" s="163"/>
      <c r="O37" s="163"/>
      <c r="P37" s="163"/>
      <c r="Q37" s="163"/>
      <c r="R37" s="163"/>
      <c r="S37" s="163"/>
      <c r="T37" s="163"/>
      <c r="U37" s="163"/>
      <c r="V37" s="163"/>
      <c r="W37" s="163"/>
      <c r="X37" s="163"/>
      <c r="Y37" s="163"/>
      <c r="Z37" s="163"/>
      <c r="AA37" s="163"/>
      <c r="AB37" s="163"/>
      <c r="AC37" s="163"/>
      <c r="AD37" s="163"/>
      <c r="AE37" s="163"/>
      <c r="AF37" s="164"/>
      <c r="AG37" s="171"/>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4"/>
      <c r="BD37" s="171"/>
      <c r="BE37" s="163"/>
      <c r="BF37" s="163"/>
      <c r="BG37" s="163"/>
      <c r="BH37" s="163"/>
      <c r="BI37" s="163"/>
      <c r="BJ37" s="163"/>
      <c r="BK37" s="163"/>
      <c r="BL37" s="163"/>
      <c r="BM37" s="163"/>
      <c r="BN37" s="163"/>
      <c r="BO37" s="163"/>
      <c r="BP37" s="163"/>
      <c r="BQ37" s="163"/>
      <c r="BR37" s="163"/>
      <c r="BS37" s="163"/>
      <c r="BT37" s="163"/>
      <c r="BU37" s="163"/>
      <c r="BV37" s="163"/>
      <c r="BW37" s="163"/>
      <c r="BX37" s="163"/>
      <c r="BY37" s="163"/>
      <c r="BZ37" s="164"/>
      <c r="CA37" s="171"/>
      <c r="CB37" s="163"/>
      <c r="CC37" s="163"/>
      <c r="CD37" s="163"/>
      <c r="CE37" s="163"/>
      <c r="CF37" s="163"/>
      <c r="CG37" s="163"/>
      <c r="CH37" s="163"/>
      <c r="CI37" s="163"/>
      <c r="CJ37" s="163"/>
      <c r="CK37" s="163"/>
      <c r="CL37" s="163"/>
      <c r="CM37" s="163"/>
      <c r="CN37" s="163"/>
      <c r="CO37" s="163"/>
      <c r="CP37" s="163"/>
      <c r="CQ37" s="163"/>
      <c r="CR37" s="163"/>
      <c r="CS37" s="163"/>
      <c r="CT37" s="163"/>
      <c r="CU37" s="163"/>
      <c r="CV37" s="163"/>
      <c r="CW37" s="173"/>
      <c r="CX37" s="65"/>
      <c r="CY37" s="65"/>
      <c r="CZ37" s="65"/>
      <c r="DA37" s="65"/>
      <c r="DB37" s="65"/>
      <c r="DC37" s="65"/>
      <c r="DD37" s="65"/>
      <c r="DE37" s="65"/>
      <c r="DF37" s="65"/>
      <c r="DG37" s="65"/>
      <c r="DH37" s="65"/>
      <c r="DK37" s="153" t="s">
        <v>67</v>
      </c>
      <c r="DL37" s="153"/>
      <c r="DM37" s="153"/>
      <c r="DN37" s="153"/>
      <c r="DO37" s="153"/>
      <c r="DP37" s="153"/>
      <c r="DQ37" s="153"/>
      <c r="DR37" s="153"/>
      <c r="DS37" s="153"/>
      <c r="DT37" s="153"/>
      <c r="DU37" s="153"/>
      <c r="DV37" s="153"/>
      <c r="DW37" s="153"/>
      <c r="DX37" s="153"/>
      <c r="DY37" s="153"/>
      <c r="DZ37" s="153"/>
      <c r="EA37" s="153"/>
      <c r="EB37" s="153"/>
      <c r="EC37" s="153"/>
      <c r="ED37" s="153"/>
      <c r="EE37" s="153"/>
      <c r="EF37" s="153"/>
      <c r="EG37" s="153"/>
      <c r="EH37" s="153"/>
      <c r="EI37" s="153"/>
      <c r="EJ37" s="153"/>
      <c r="EK37" s="153"/>
      <c r="EL37" s="153"/>
      <c r="EM37" s="153"/>
      <c r="EN37" s="153"/>
      <c r="EO37" s="153"/>
      <c r="EP37" s="153"/>
      <c r="EQ37" s="153"/>
      <c r="ER37" s="153"/>
      <c r="ES37" s="153"/>
      <c r="ET37" s="153"/>
      <c r="EU37" s="153"/>
      <c r="EV37" s="153"/>
      <c r="EW37" s="153"/>
      <c r="EX37" s="153"/>
      <c r="EY37" s="153"/>
      <c r="EZ37" s="153"/>
      <c r="FA37" s="153"/>
      <c r="FB37" s="153"/>
      <c r="FC37" s="153"/>
      <c r="FD37" s="153"/>
      <c r="FE37" s="153"/>
      <c r="FF37" s="153"/>
      <c r="FG37" s="153"/>
      <c r="FH37" s="153"/>
    </row>
    <row r="38" spans="3:164" s="92" customFormat="1">
      <c r="C38" s="65"/>
      <c r="J38" s="165"/>
      <c r="K38" s="166"/>
      <c r="L38" s="166"/>
      <c r="M38" s="166"/>
      <c r="N38" s="166"/>
      <c r="O38" s="166"/>
      <c r="P38" s="166"/>
      <c r="Q38" s="166"/>
      <c r="R38" s="166"/>
      <c r="S38" s="166"/>
      <c r="T38" s="166"/>
      <c r="U38" s="166"/>
      <c r="V38" s="166"/>
      <c r="W38" s="166"/>
      <c r="X38" s="166"/>
      <c r="Y38" s="166"/>
      <c r="Z38" s="166"/>
      <c r="AA38" s="166"/>
      <c r="AB38" s="166"/>
      <c r="AC38" s="166"/>
      <c r="AD38" s="166"/>
      <c r="AE38" s="166"/>
      <c r="AF38" s="167"/>
      <c r="AG38" s="172"/>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7"/>
      <c r="BD38" s="172"/>
      <c r="BE38" s="166"/>
      <c r="BF38" s="166"/>
      <c r="BG38" s="166"/>
      <c r="BH38" s="166"/>
      <c r="BI38" s="166"/>
      <c r="BJ38" s="166"/>
      <c r="BK38" s="166"/>
      <c r="BL38" s="166"/>
      <c r="BM38" s="166"/>
      <c r="BN38" s="166"/>
      <c r="BO38" s="166"/>
      <c r="BP38" s="166"/>
      <c r="BQ38" s="166"/>
      <c r="BR38" s="166"/>
      <c r="BS38" s="166"/>
      <c r="BT38" s="166"/>
      <c r="BU38" s="166"/>
      <c r="BV38" s="166"/>
      <c r="BW38" s="166"/>
      <c r="BX38" s="166"/>
      <c r="BY38" s="166"/>
      <c r="BZ38" s="167"/>
      <c r="CA38" s="172"/>
      <c r="CB38" s="166"/>
      <c r="CC38" s="166"/>
      <c r="CD38" s="166"/>
      <c r="CE38" s="166"/>
      <c r="CF38" s="166"/>
      <c r="CG38" s="166"/>
      <c r="CH38" s="166"/>
      <c r="CI38" s="166"/>
      <c r="CJ38" s="166"/>
      <c r="CK38" s="166"/>
      <c r="CL38" s="166"/>
      <c r="CM38" s="166"/>
      <c r="CN38" s="166"/>
      <c r="CO38" s="166"/>
      <c r="CP38" s="166"/>
      <c r="CQ38" s="166"/>
      <c r="CR38" s="166"/>
      <c r="CS38" s="166"/>
      <c r="CT38" s="166"/>
      <c r="CU38" s="166"/>
      <c r="CV38" s="166"/>
      <c r="CW38" s="174"/>
      <c r="CX38" s="65"/>
      <c r="CY38" s="65"/>
      <c r="CZ38" s="65"/>
      <c r="DA38" s="65"/>
      <c r="DB38" s="65"/>
      <c r="DC38" s="65"/>
      <c r="DD38" s="65"/>
      <c r="DE38" s="65"/>
      <c r="DF38" s="65"/>
      <c r="DG38" s="65"/>
      <c r="DH38" s="65"/>
      <c r="DK38" s="153"/>
      <c r="DL38" s="153"/>
      <c r="DM38" s="153"/>
      <c r="DN38" s="153"/>
      <c r="DO38" s="153"/>
      <c r="DP38" s="153"/>
      <c r="DQ38" s="153"/>
      <c r="DR38" s="153"/>
      <c r="DS38" s="153"/>
      <c r="DT38" s="153"/>
      <c r="DU38" s="153"/>
      <c r="DV38" s="153"/>
      <c r="DW38" s="153"/>
      <c r="DX38" s="153"/>
      <c r="DY38" s="153"/>
      <c r="DZ38" s="153"/>
      <c r="EA38" s="153"/>
      <c r="EB38" s="153"/>
      <c r="EC38" s="153"/>
      <c r="ED38" s="153"/>
      <c r="EE38" s="153"/>
      <c r="EF38" s="153"/>
      <c r="EG38" s="153"/>
      <c r="EH38" s="153"/>
      <c r="EI38" s="153"/>
      <c r="EJ38" s="153"/>
      <c r="EK38" s="153"/>
      <c r="EL38" s="153"/>
      <c r="EM38" s="153"/>
      <c r="EN38" s="153"/>
      <c r="EO38" s="153"/>
      <c r="EP38" s="153"/>
      <c r="EQ38" s="153"/>
      <c r="ER38" s="153"/>
      <c r="ES38" s="153"/>
      <c r="ET38" s="153"/>
      <c r="EU38" s="153"/>
      <c r="EV38" s="153"/>
      <c r="EW38" s="153"/>
      <c r="EX38" s="153"/>
      <c r="EY38" s="153"/>
      <c r="EZ38" s="153"/>
      <c r="FA38" s="153"/>
      <c r="FB38" s="153"/>
      <c r="FC38" s="153"/>
      <c r="FD38" s="153"/>
      <c r="FE38" s="153"/>
      <c r="FF38" s="153"/>
      <c r="FG38" s="153"/>
      <c r="FH38" s="153"/>
    </row>
    <row r="39" spans="3:164" s="92" customFormat="1">
      <c r="J39" s="168"/>
      <c r="K39" s="169"/>
      <c r="L39" s="169"/>
      <c r="M39" s="169"/>
      <c r="N39" s="169"/>
      <c r="O39" s="169"/>
      <c r="P39" s="169"/>
      <c r="Q39" s="169"/>
      <c r="R39" s="169"/>
      <c r="S39" s="169"/>
      <c r="T39" s="169"/>
      <c r="U39" s="169"/>
      <c r="V39" s="169"/>
      <c r="W39" s="169"/>
      <c r="X39" s="169"/>
      <c r="Y39" s="169"/>
      <c r="Z39" s="169"/>
      <c r="AA39" s="169"/>
      <c r="AB39" s="169"/>
      <c r="AC39" s="169"/>
      <c r="AD39" s="169"/>
      <c r="AE39" s="169"/>
      <c r="AF39" s="170"/>
      <c r="AG39" s="172"/>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7"/>
      <c r="BD39" s="172"/>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7"/>
      <c r="CA39" s="172"/>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74"/>
      <c r="DK39" s="154"/>
      <c r="DL39" s="154"/>
      <c r="DM39" s="154"/>
      <c r="DN39" s="154"/>
      <c r="DO39" s="154"/>
      <c r="DP39" s="154"/>
      <c r="DQ39" s="154"/>
      <c r="DR39" s="154"/>
      <c r="DS39" s="154"/>
      <c r="DT39" s="154"/>
      <c r="DU39" s="154"/>
      <c r="DV39" s="154"/>
      <c r="DW39" s="154"/>
      <c r="DX39" s="154"/>
      <c r="DY39" s="154"/>
      <c r="DZ39" s="154"/>
      <c r="EA39" s="154"/>
      <c r="EB39" s="154"/>
      <c r="EC39" s="154"/>
      <c r="ED39" s="154"/>
      <c r="EE39" s="154"/>
      <c r="EF39" s="154"/>
      <c r="EG39" s="154"/>
      <c r="EH39" s="154"/>
      <c r="EI39" s="154"/>
      <c r="EJ39" s="154"/>
      <c r="EK39" s="154"/>
      <c r="EL39" s="154"/>
      <c r="EM39" s="154"/>
      <c r="EN39" s="154"/>
      <c r="EO39" s="154"/>
      <c r="EP39" s="154"/>
      <c r="EQ39" s="154"/>
      <c r="ER39" s="154"/>
      <c r="ES39" s="154"/>
      <c r="ET39" s="154"/>
      <c r="EU39" s="154"/>
      <c r="EV39" s="154"/>
      <c r="EW39" s="154"/>
      <c r="EX39" s="154"/>
      <c r="EY39" s="154"/>
      <c r="EZ39" s="154"/>
      <c r="FA39" s="154"/>
      <c r="FB39" s="154"/>
      <c r="FC39" s="154"/>
      <c r="FD39" s="154"/>
      <c r="FE39" s="154"/>
      <c r="FF39" s="154"/>
      <c r="FG39" s="154"/>
      <c r="FH39" s="154"/>
    </row>
    <row r="40" spans="3:164" s="92" customFormat="1" ht="12.75" thickBot="1">
      <c r="J40" s="155"/>
      <c r="K40" s="156"/>
      <c r="L40" s="156"/>
      <c r="M40" s="156"/>
      <c r="N40" s="156"/>
      <c r="O40" s="156"/>
      <c r="P40" s="156"/>
      <c r="Q40" s="156"/>
      <c r="R40" s="156"/>
      <c r="S40" s="156"/>
      <c r="T40" s="156"/>
      <c r="U40" s="156"/>
      <c r="V40" s="156"/>
      <c r="W40" s="156"/>
      <c r="X40" s="156"/>
      <c r="Y40" s="156"/>
      <c r="Z40" s="156"/>
      <c r="AA40" s="156"/>
      <c r="AB40" s="156"/>
      <c r="AC40" s="156"/>
      <c r="AD40" s="156"/>
      <c r="AE40" s="156"/>
      <c r="AF40" s="157"/>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9"/>
      <c r="DK40" s="154"/>
      <c r="DL40" s="154"/>
      <c r="DM40" s="154"/>
      <c r="DN40" s="154"/>
      <c r="DO40" s="154"/>
      <c r="DP40" s="154"/>
      <c r="DQ40" s="154"/>
      <c r="DR40" s="154"/>
      <c r="DS40" s="154"/>
      <c r="DT40" s="154"/>
      <c r="DU40" s="154"/>
      <c r="DV40" s="154"/>
      <c r="DW40" s="154"/>
      <c r="DX40" s="154"/>
      <c r="DY40" s="154"/>
      <c r="DZ40" s="154"/>
      <c r="EA40" s="154"/>
      <c r="EB40" s="154"/>
      <c r="EC40" s="154"/>
      <c r="ED40" s="154"/>
      <c r="EE40" s="154"/>
      <c r="EF40" s="154"/>
      <c r="EG40" s="154"/>
      <c r="EH40" s="154"/>
      <c r="EI40" s="154"/>
      <c r="EJ40" s="154"/>
      <c r="EK40" s="154"/>
      <c r="EL40" s="154"/>
      <c r="EM40" s="154"/>
      <c r="EN40" s="154"/>
      <c r="EO40" s="154"/>
      <c r="EP40" s="154"/>
      <c r="EQ40" s="154"/>
      <c r="ER40" s="154"/>
      <c r="ES40" s="154"/>
      <c r="ET40" s="154"/>
      <c r="EU40" s="154"/>
      <c r="EV40" s="154"/>
      <c r="EW40" s="154"/>
      <c r="EX40" s="154"/>
      <c r="EY40" s="154"/>
      <c r="EZ40" s="154"/>
      <c r="FA40" s="154"/>
      <c r="FB40" s="154"/>
      <c r="FC40" s="154"/>
      <c r="FD40" s="154"/>
      <c r="FE40" s="154"/>
      <c r="FF40" s="154"/>
      <c r="FG40" s="154"/>
      <c r="FH40" s="154"/>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D5" sqref="D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263</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71"/>
  <sheetViews>
    <sheetView tabSelected="1" zoomScale="70" zoomScaleNormal="70" workbookViewId="0">
      <pane ySplit="8" topLeftCell="A9" activePane="bottomLeft" state="frozen"/>
      <selection pane="bottomLeft" activeCell="B1" sqref="B1"/>
    </sheetView>
  </sheetViews>
  <sheetFormatPr defaultColWidth="6.875" defaultRowHeight="13.5"/>
  <cols>
    <col min="1" max="1" width="4.5" style="99" bestFit="1" customWidth="1"/>
    <col min="2" max="2" width="9" style="2" customWidth="1"/>
    <col min="3" max="3" width="38.25" style="99" customWidth="1"/>
    <col min="4" max="4" width="38.25" style="124" customWidth="1"/>
    <col min="5" max="5" width="37.75" style="124" customWidth="1"/>
    <col min="6" max="6" width="60.25" style="5" customWidth="1"/>
    <col min="7" max="7" width="8.75" style="14" customWidth="1"/>
    <col min="8" max="8" width="8.75" style="4" customWidth="1"/>
    <col min="9" max="9" width="19.37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2">
      <c r="N1" s="99" t="s">
        <v>0</v>
      </c>
      <c r="O1" s="99" t="s">
        <v>86</v>
      </c>
      <c r="P1" s="99" t="s">
        <v>87</v>
      </c>
      <c r="Q1" s="99" t="s">
        <v>226</v>
      </c>
    </row>
    <row r="2" spans="1:22">
      <c r="A2" s="98"/>
      <c r="G2" s="6" t="s">
        <v>1</v>
      </c>
      <c r="H2" s="7" t="s">
        <v>0</v>
      </c>
      <c r="I2" s="7" t="s">
        <v>17</v>
      </c>
      <c r="J2" s="7" t="s">
        <v>21</v>
      </c>
      <c r="K2" s="96"/>
      <c r="L2" s="108" t="s">
        <v>88</v>
      </c>
      <c r="M2" s="12">
        <f>COUNTA(B8:B504)</f>
        <v>46</v>
      </c>
      <c r="N2" s="99">
        <f>COUNTIF($H$9:$H$1004,"OK")+COUNTIF($H$9:$H1004,"－")</f>
        <v>0</v>
      </c>
      <c r="O2" s="99">
        <f>COUNTIF($H$9:$H$1004,"NG")</f>
        <v>0</v>
      </c>
      <c r="P2" s="99">
        <f>COUNTIF($H$9:$H$1004,"NG（済）")</f>
        <v>0</v>
      </c>
      <c r="Q2" s="99">
        <f>COUNTIF($H$9:$H$1004,"未実施")</f>
        <v>0</v>
      </c>
    </row>
    <row r="3" spans="1:22">
      <c r="A3" s="98" t="s">
        <v>2</v>
      </c>
      <c r="B3" s="9" t="s">
        <v>80</v>
      </c>
      <c r="G3" s="10">
        <f>SUM(M2:M5)</f>
        <v>138</v>
      </c>
      <c r="H3" s="10">
        <f>SUM(N2:N5)</f>
        <v>0</v>
      </c>
      <c r="I3" s="10">
        <f>SUM(O2:O5)</f>
        <v>0</v>
      </c>
      <c r="J3" s="10">
        <f>SUM(P2:P5)</f>
        <v>0</v>
      </c>
      <c r="K3" s="96"/>
      <c r="L3" s="109" t="s">
        <v>89</v>
      </c>
      <c r="M3" s="12">
        <f>COUNTA(B8:B504)</f>
        <v>46</v>
      </c>
      <c r="N3" s="99">
        <f>COUNTIF($K$9:$K$1004,"OK")+COUNTIF($K$9:$K$1004,"－")</f>
        <v>0</v>
      </c>
      <c r="O3" s="99">
        <f>COUNTIF($K$9:$K$1004,"NG")</f>
        <v>0</v>
      </c>
      <c r="P3" s="99">
        <f>COUNTIF($K$9:$K$1004,"NG（済）")</f>
        <v>0</v>
      </c>
      <c r="Q3" s="99">
        <f>COUNTIF($K$9:$K$1004,"未実施")</f>
        <v>0</v>
      </c>
    </row>
    <row r="4" spans="1:22">
      <c r="A4" s="13"/>
      <c r="B4" s="99" t="s">
        <v>168</v>
      </c>
      <c r="L4" s="109" t="s">
        <v>90</v>
      </c>
      <c r="M4" s="12">
        <f>COUNTA(B8:B504)</f>
        <v>46</v>
      </c>
      <c r="N4" s="99">
        <f>COUNTIF($N$9:$N$1004,"OK")+COUNTIF($N$11:$N$1004,"－")</f>
        <v>0</v>
      </c>
      <c r="O4" s="99">
        <f>COUNTIF($N$9:$N$1004,"NG")</f>
        <v>0</v>
      </c>
      <c r="P4" s="99">
        <f>COUNTIF($N$9:$N$1004,"NG（済）")</f>
        <v>0</v>
      </c>
      <c r="Q4" s="99">
        <f>COUNTIF($N$9:$N$1004,"未実施")</f>
        <v>0</v>
      </c>
    </row>
    <row r="5" spans="1:22" ht="14.1" customHeight="1">
      <c r="A5" s="13" t="s">
        <v>3</v>
      </c>
      <c r="B5" s="98" t="s">
        <v>13</v>
      </c>
      <c r="C5" s="97" t="s">
        <v>120</v>
      </c>
      <c r="D5" s="127"/>
      <c r="L5" s="109"/>
      <c r="M5" s="12"/>
      <c r="Q5" s="13"/>
      <c r="R5" s="13"/>
    </row>
    <row r="6" spans="1:22">
      <c r="A6" s="13"/>
      <c r="B6" s="98"/>
      <c r="L6" s="109"/>
      <c r="Q6" s="13"/>
      <c r="R6" s="13"/>
    </row>
    <row r="7" spans="1:22">
      <c r="B7" s="199" t="s">
        <v>4</v>
      </c>
      <c r="C7" s="201" t="s">
        <v>5</v>
      </c>
      <c r="D7" s="194" t="s">
        <v>79</v>
      </c>
      <c r="E7" s="194" t="s">
        <v>6</v>
      </c>
      <c r="F7" s="203" t="s">
        <v>7</v>
      </c>
      <c r="G7" s="204"/>
      <c r="H7" s="196" t="s">
        <v>91</v>
      </c>
      <c r="I7" s="196"/>
      <c r="J7" s="196"/>
      <c r="K7" s="196" t="s">
        <v>84</v>
      </c>
      <c r="L7" s="196"/>
      <c r="M7" s="196"/>
      <c r="N7" s="196" t="s">
        <v>85</v>
      </c>
      <c r="O7" s="196"/>
      <c r="P7" s="196"/>
      <c r="Q7" s="194" t="s">
        <v>227</v>
      </c>
      <c r="R7" s="194" t="s">
        <v>78</v>
      </c>
      <c r="S7" s="193" t="s">
        <v>14</v>
      </c>
      <c r="T7" s="193"/>
      <c r="U7" s="193"/>
      <c r="V7" s="104"/>
    </row>
    <row r="8" spans="1:22">
      <c r="B8" s="200"/>
      <c r="C8" s="195"/>
      <c r="D8" s="202"/>
      <c r="E8" s="202"/>
      <c r="F8" s="205"/>
      <c r="G8" s="206"/>
      <c r="H8" s="103" t="s">
        <v>8</v>
      </c>
      <c r="I8" s="103" t="s">
        <v>9</v>
      </c>
      <c r="J8" s="103" t="s">
        <v>10</v>
      </c>
      <c r="K8" s="105" t="s">
        <v>8</v>
      </c>
      <c r="L8" s="105" t="s">
        <v>9</v>
      </c>
      <c r="M8" s="105" t="s">
        <v>10</v>
      </c>
      <c r="N8" s="105" t="s">
        <v>8</v>
      </c>
      <c r="O8" s="105" t="s">
        <v>9</v>
      </c>
      <c r="P8" s="105" t="s">
        <v>10</v>
      </c>
      <c r="Q8" s="195"/>
      <c r="R8" s="195"/>
      <c r="S8" s="93"/>
      <c r="T8" s="94"/>
      <c r="U8" s="95"/>
      <c r="V8" s="104"/>
    </row>
    <row r="9" spans="1:22" ht="46.5" customHeight="1">
      <c r="B9" s="125" t="str">
        <f t="shared" ref="B9:B54" si="0">"1-"&amp;ROW()-8</f>
        <v>1-1</v>
      </c>
      <c r="C9" s="100" t="s">
        <v>95</v>
      </c>
      <c r="D9" s="42" t="s">
        <v>181</v>
      </c>
      <c r="E9" s="42" t="s">
        <v>158</v>
      </c>
      <c r="F9" s="197" t="s">
        <v>161</v>
      </c>
      <c r="G9" s="198"/>
      <c r="H9" s="101"/>
      <c r="I9" s="20"/>
      <c r="J9" s="101"/>
      <c r="K9" s="101"/>
      <c r="L9" s="20"/>
      <c r="M9" s="101"/>
      <c r="N9" s="101"/>
      <c r="O9" s="20"/>
      <c r="P9" s="101"/>
      <c r="Q9" s="143"/>
      <c r="R9" s="101"/>
      <c r="S9" s="100"/>
      <c r="T9" s="102"/>
      <c r="U9" s="102"/>
      <c r="V9" s="110"/>
    </row>
    <row r="10" spans="1:22" ht="46.5" customHeight="1">
      <c r="B10" s="125" t="str">
        <f t="shared" si="0"/>
        <v>1-2</v>
      </c>
      <c r="C10" s="100"/>
      <c r="D10" s="42" t="s">
        <v>83</v>
      </c>
      <c r="E10" s="42" t="s">
        <v>160</v>
      </c>
      <c r="F10" s="197" t="s">
        <v>162</v>
      </c>
      <c r="G10" s="198"/>
      <c r="H10" s="101"/>
      <c r="I10" s="20"/>
      <c r="J10" s="101"/>
      <c r="K10" s="101"/>
      <c r="L10" s="20"/>
      <c r="M10" s="101"/>
      <c r="N10" s="101"/>
      <c r="O10" s="20"/>
      <c r="P10" s="101"/>
      <c r="Q10" s="101"/>
      <c r="R10" s="101"/>
      <c r="S10" s="100"/>
      <c r="T10" s="102"/>
      <c r="U10" s="102"/>
      <c r="V10" s="121"/>
    </row>
    <row r="11" spans="1:22" ht="46.5" customHeight="1">
      <c r="B11" s="125" t="str">
        <f t="shared" si="0"/>
        <v>1-3</v>
      </c>
      <c r="C11" s="100"/>
      <c r="D11" s="42" t="s">
        <v>83</v>
      </c>
      <c r="E11" s="42" t="s">
        <v>159</v>
      </c>
      <c r="F11" s="197" t="s">
        <v>163</v>
      </c>
      <c r="G11" s="198"/>
      <c r="H11" s="101"/>
      <c r="I11" s="20"/>
      <c r="J11" s="101"/>
      <c r="K11" s="101"/>
      <c r="L11" s="20"/>
      <c r="M11" s="101"/>
      <c r="N11" s="101"/>
      <c r="O11" s="20"/>
      <c r="P11" s="101"/>
      <c r="Q11" s="101"/>
      <c r="R11" s="101"/>
      <c r="S11" s="100"/>
      <c r="T11" s="102"/>
      <c r="U11" s="102"/>
      <c r="V11" s="121"/>
    </row>
    <row r="12" spans="1:22" ht="34.5" customHeight="1">
      <c r="B12" s="125" t="str">
        <f t="shared" si="0"/>
        <v>1-4</v>
      </c>
      <c r="C12" s="100"/>
      <c r="D12" s="42" t="s">
        <v>83</v>
      </c>
      <c r="E12" s="42" t="s">
        <v>231</v>
      </c>
      <c r="F12" s="197" t="s">
        <v>119</v>
      </c>
      <c r="G12" s="198"/>
      <c r="H12" s="101"/>
      <c r="I12" s="20"/>
      <c r="J12" s="101"/>
      <c r="K12" s="101"/>
      <c r="L12" s="20"/>
      <c r="M12" s="101"/>
      <c r="N12" s="101"/>
      <c r="O12" s="20"/>
      <c r="P12" s="101"/>
      <c r="Q12" s="101"/>
      <c r="R12" s="101"/>
      <c r="S12" s="100"/>
      <c r="T12" s="102"/>
      <c r="U12" s="102"/>
      <c r="V12" s="142"/>
    </row>
    <row r="13" spans="1:22" ht="34.5" customHeight="1">
      <c r="B13" s="125" t="str">
        <f t="shared" si="0"/>
        <v>1-5</v>
      </c>
      <c r="C13" s="100"/>
      <c r="D13" s="42" t="s">
        <v>83</v>
      </c>
      <c r="E13" s="42" t="s">
        <v>235</v>
      </c>
      <c r="F13" s="197" t="s">
        <v>119</v>
      </c>
      <c r="G13" s="198"/>
      <c r="H13" s="101"/>
      <c r="I13" s="20"/>
      <c r="J13" s="101"/>
      <c r="K13" s="101"/>
      <c r="L13" s="20"/>
      <c r="M13" s="101"/>
      <c r="N13" s="101"/>
      <c r="O13" s="20"/>
      <c r="P13" s="101"/>
      <c r="Q13" s="101"/>
      <c r="R13" s="101"/>
      <c r="S13" s="100"/>
      <c r="T13" s="102"/>
      <c r="U13" s="102"/>
      <c r="V13" s="142"/>
    </row>
    <row r="14" spans="1:22" ht="34.5" customHeight="1">
      <c r="B14" s="125" t="str">
        <f t="shared" si="0"/>
        <v>1-6</v>
      </c>
      <c r="C14" s="100"/>
      <c r="D14" s="42" t="s">
        <v>83</v>
      </c>
      <c r="E14" s="42" t="s">
        <v>236</v>
      </c>
      <c r="F14" s="197" t="s">
        <v>119</v>
      </c>
      <c r="G14" s="198"/>
      <c r="H14" s="101"/>
      <c r="I14" s="20"/>
      <c r="J14" s="101"/>
      <c r="K14" s="101"/>
      <c r="L14" s="20"/>
      <c r="M14" s="101"/>
      <c r="N14" s="101"/>
      <c r="O14" s="20"/>
      <c r="P14" s="101"/>
      <c r="Q14" s="101"/>
      <c r="R14" s="101"/>
      <c r="S14" s="100"/>
      <c r="T14" s="102"/>
      <c r="U14" s="102"/>
      <c r="V14" s="142"/>
    </row>
    <row r="15" spans="1:22" ht="34.5" customHeight="1">
      <c r="B15" s="125" t="str">
        <f t="shared" si="0"/>
        <v>1-7</v>
      </c>
      <c r="C15" s="100"/>
      <c r="D15" s="42" t="s">
        <v>83</v>
      </c>
      <c r="E15" s="42" t="s">
        <v>229</v>
      </c>
      <c r="F15" s="197" t="s">
        <v>119</v>
      </c>
      <c r="G15" s="198"/>
      <c r="H15" s="101"/>
      <c r="I15" s="20"/>
      <c r="J15" s="101"/>
      <c r="K15" s="101"/>
      <c r="L15" s="20"/>
      <c r="M15" s="101"/>
      <c r="N15" s="101"/>
      <c r="O15" s="20"/>
      <c r="P15" s="101"/>
      <c r="Q15" s="101"/>
      <c r="R15" s="101"/>
      <c r="S15" s="100"/>
      <c r="T15" s="102"/>
      <c r="U15" s="102"/>
      <c r="V15" s="142"/>
    </row>
    <row r="16" spans="1:22" ht="34.5" customHeight="1">
      <c r="B16" s="125" t="str">
        <f t="shared" si="0"/>
        <v>1-8</v>
      </c>
      <c r="C16" s="100"/>
      <c r="D16" s="42" t="s">
        <v>83</v>
      </c>
      <c r="E16" s="42" t="s">
        <v>180</v>
      </c>
      <c r="F16" s="197" t="s">
        <v>119</v>
      </c>
      <c r="G16" s="198"/>
      <c r="H16" s="101"/>
      <c r="I16" s="20"/>
      <c r="J16" s="101"/>
      <c r="K16" s="101"/>
      <c r="L16" s="20"/>
      <c r="M16" s="101"/>
      <c r="N16" s="101"/>
      <c r="O16" s="20"/>
      <c r="P16" s="101"/>
      <c r="Q16" s="101"/>
      <c r="R16" s="101"/>
      <c r="S16" s="100"/>
      <c r="T16" s="102"/>
      <c r="U16" s="102"/>
      <c r="V16" s="116"/>
    </row>
    <row r="17" spans="2:24" ht="34.5" customHeight="1">
      <c r="B17" s="125" t="str">
        <f t="shared" si="0"/>
        <v>1-9</v>
      </c>
      <c r="C17" s="100"/>
      <c r="D17" s="42" t="s">
        <v>83</v>
      </c>
      <c r="E17" s="42" t="s">
        <v>237</v>
      </c>
      <c r="F17" s="197" t="s">
        <v>119</v>
      </c>
      <c r="G17" s="198"/>
      <c r="H17" s="101"/>
      <c r="I17" s="20"/>
      <c r="J17" s="101"/>
      <c r="K17" s="101"/>
      <c r="L17" s="20"/>
      <c r="M17" s="101"/>
      <c r="N17" s="101"/>
      <c r="O17" s="20"/>
      <c r="P17" s="101"/>
      <c r="Q17" s="101"/>
      <c r="R17" s="101"/>
      <c r="S17" s="100"/>
      <c r="T17" s="102"/>
      <c r="U17" s="102"/>
      <c r="V17" s="142"/>
    </row>
    <row r="18" spans="2:24" ht="34.5" customHeight="1">
      <c r="B18" s="125" t="str">
        <f t="shared" si="0"/>
        <v>1-10</v>
      </c>
      <c r="C18" s="100"/>
      <c r="D18" s="42" t="s">
        <v>83</v>
      </c>
      <c r="E18" s="42" t="s">
        <v>62</v>
      </c>
      <c r="F18" s="197" t="s">
        <v>96</v>
      </c>
      <c r="G18" s="198"/>
      <c r="H18" s="101"/>
      <c r="I18" s="20"/>
      <c r="J18" s="101"/>
      <c r="K18" s="101"/>
      <c r="L18" s="20"/>
      <c r="M18" s="101"/>
      <c r="N18" s="101"/>
      <c r="O18" s="20"/>
      <c r="P18" s="101"/>
      <c r="Q18" s="101"/>
      <c r="R18" s="101"/>
      <c r="S18" s="100"/>
      <c r="T18" s="102"/>
      <c r="U18" s="102"/>
      <c r="V18" s="104"/>
    </row>
    <row r="19" spans="2:24" ht="34.5" customHeight="1">
      <c r="B19" s="125" t="str">
        <f t="shared" si="0"/>
        <v>1-11</v>
      </c>
      <c r="C19" s="100"/>
      <c r="D19" s="42" t="s">
        <v>83</v>
      </c>
      <c r="E19" s="42" t="s">
        <v>62</v>
      </c>
      <c r="F19" s="197" t="s">
        <v>82</v>
      </c>
      <c r="G19" s="198"/>
      <c r="H19" s="101"/>
      <c r="I19" s="20"/>
      <c r="J19" s="101"/>
      <c r="K19" s="101"/>
      <c r="L19" s="20"/>
      <c r="M19" s="101"/>
      <c r="N19" s="101"/>
      <c r="O19" s="20"/>
      <c r="P19" s="101"/>
      <c r="Q19" s="101"/>
      <c r="R19" s="101"/>
      <c r="S19" s="100"/>
      <c r="T19" s="102"/>
      <c r="U19" s="102"/>
      <c r="V19" s="104"/>
      <c r="W19" s="104"/>
      <c r="X19" s="104"/>
    </row>
    <row r="20" spans="2:24" ht="34.5" customHeight="1">
      <c r="B20" s="125" t="str">
        <f t="shared" si="0"/>
        <v>1-12</v>
      </c>
      <c r="C20" s="100"/>
      <c r="D20" s="42" t="s">
        <v>83</v>
      </c>
      <c r="E20" s="42" t="s">
        <v>114</v>
      </c>
      <c r="F20" s="197" t="s">
        <v>92</v>
      </c>
      <c r="G20" s="198"/>
      <c r="H20" s="101"/>
      <c r="I20" s="20"/>
      <c r="J20" s="101"/>
      <c r="K20" s="101"/>
      <c r="L20" s="20"/>
      <c r="M20" s="101"/>
      <c r="N20" s="101"/>
      <c r="O20" s="20"/>
      <c r="P20" s="101"/>
      <c r="Q20" s="101"/>
      <c r="R20" s="101"/>
      <c r="S20" s="100"/>
      <c r="T20" s="102"/>
      <c r="U20" s="102"/>
      <c r="V20" s="107"/>
      <c r="W20" s="107"/>
      <c r="X20" s="107"/>
    </row>
    <row r="21" spans="2:24" ht="34.5" customHeight="1">
      <c r="B21" s="125" t="str">
        <f t="shared" si="0"/>
        <v>1-13</v>
      </c>
      <c r="C21" s="100"/>
      <c r="D21" s="42" t="s">
        <v>83</v>
      </c>
      <c r="E21" s="42" t="s">
        <v>113</v>
      </c>
      <c r="F21" s="197" t="s">
        <v>94</v>
      </c>
      <c r="G21" s="198"/>
      <c r="H21" s="101"/>
      <c r="I21" s="20"/>
      <c r="J21" s="101"/>
      <c r="K21" s="101"/>
      <c r="L21" s="20"/>
      <c r="M21" s="101"/>
      <c r="N21" s="101"/>
      <c r="O21" s="20"/>
      <c r="P21" s="101"/>
      <c r="Q21" s="101"/>
      <c r="R21" s="101"/>
      <c r="S21" s="100"/>
      <c r="T21" s="102"/>
      <c r="U21" s="102"/>
      <c r="V21" s="107"/>
      <c r="W21" s="107"/>
      <c r="X21" s="107"/>
    </row>
    <row r="22" spans="2:24" ht="34.5" customHeight="1">
      <c r="B22" s="125" t="str">
        <f t="shared" si="0"/>
        <v>1-14</v>
      </c>
      <c r="C22" s="100"/>
      <c r="D22" s="42" t="s">
        <v>83</v>
      </c>
      <c r="E22" s="42" t="s">
        <v>122</v>
      </c>
      <c r="F22" s="191" t="s">
        <v>228</v>
      </c>
      <c r="G22" s="192"/>
      <c r="H22" s="101"/>
      <c r="I22" s="20"/>
      <c r="J22" s="101"/>
      <c r="K22" s="101"/>
      <c r="L22" s="20"/>
      <c r="M22" s="101"/>
      <c r="N22" s="101"/>
      <c r="O22" s="20"/>
      <c r="P22" s="101"/>
      <c r="Q22" s="143"/>
      <c r="R22" s="101"/>
      <c r="S22" s="100"/>
      <c r="T22" s="102"/>
      <c r="U22" s="102"/>
      <c r="V22" s="111"/>
      <c r="W22" s="111"/>
      <c r="X22" s="111"/>
    </row>
    <row r="23" spans="2:24" ht="34.5" customHeight="1">
      <c r="B23" s="125" t="str">
        <f t="shared" si="0"/>
        <v>1-15</v>
      </c>
      <c r="C23" s="100"/>
      <c r="D23" s="42" t="s">
        <v>83</v>
      </c>
      <c r="E23" s="42" t="s">
        <v>93</v>
      </c>
      <c r="F23" s="197" t="s">
        <v>102</v>
      </c>
      <c r="G23" s="198"/>
      <c r="H23" s="101"/>
      <c r="I23" s="20"/>
      <c r="J23" s="101"/>
      <c r="K23" s="101"/>
      <c r="L23" s="20"/>
      <c r="M23" s="101"/>
      <c r="N23" s="101"/>
      <c r="O23" s="20"/>
      <c r="P23" s="101"/>
      <c r="Q23" s="101"/>
      <c r="R23" s="101"/>
      <c r="S23" s="100"/>
      <c r="T23" s="102"/>
      <c r="U23" s="102"/>
      <c r="V23" s="107"/>
      <c r="W23" s="107"/>
      <c r="X23" s="107"/>
    </row>
    <row r="24" spans="2:24" ht="34.5" customHeight="1">
      <c r="B24" s="125" t="str">
        <f t="shared" si="0"/>
        <v>1-16</v>
      </c>
      <c r="C24" s="100"/>
      <c r="D24" s="42" t="s">
        <v>83</v>
      </c>
      <c r="E24" s="42" t="s">
        <v>115</v>
      </c>
      <c r="F24" s="197" t="s">
        <v>92</v>
      </c>
      <c r="G24" s="198"/>
      <c r="H24" s="101"/>
      <c r="I24" s="20"/>
      <c r="J24" s="101"/>
      <c r="K24" s="101"/>
      <c r="L24" s="20"/>
      <c r="M24" s="101"/>
      <c r="N24" s="101"/>
      <c r="O24" s="20"/>
      <c r="P24" s="101"/>
      <c r="Q24" s="101"/>
      <c r="R24" s="101"/>
      <c r="S24" s="100"/>
      <c r="T24" s="102"/>
      <c r="U24" s="102"/>
      <c r="V24" s="107"/>
      <c r="W24" s="107"/>
      <c r="X24" s="107"/>
    </row>
    <row r="25" spans="2:24" ht="34.5" customHeight="1">
      <c r="B25" s="125" t="str">
        <f t="shared" si="0"/>
        <v>1-17</v>
      </c>
      <c r="C25" s="100"/>
      <c r="D25" s="42" t="s">
        <v>83</v>
      </c>
      <c r="E25" s="42" t="s">
        <v>115</v>
      </c>
      <c r="F25" s="197" t="s">
        <v>94</v>
      </c>
      <c r="G25" s="198"/>
      <c r="H25" s="101"/>
      <c r="I25" s="20"/>
      <c r="J25" s="101"/>
      <c r="K25" s="101"/>
      <c r="L25" s="20"/>
      <c r="M25" s="101"/>
      <c r="N25" s="101"/>
      <c r="O25" s="20"/>
      <c r="P25" s="101"/>
      <c r="Q25" s="101"/>
      <c r="R25" s="101"/>
      <c r="S25" s="100"/>
      <c r="T25" s="102"/>
      <c r="U25" s="102"/>
      <c r="V25" s="107"/>
      <c r="W25" s="107"/>
      <c r="X25" s="107"/>
    </row>
    <row r="26" spans="2:24" ht="34.5" customHeight="1">
      <c r="B26" s="125" t="str">
        <f t="shared" si="0"/>
        <v>1-18</v>
      </c>
      <c r="C26" s="100" t="s">
        <v>123</v>
      </c>
      <c r="D26" s="42" t="s">
        <v>124</v>
      </c>
      <c r="E26" s="42" t="s">
        <v>125</v>
      </c>
      <c r="F26" s="197" t="s">
        <v>126</v>
      </c>
      <c r="G26" s="198"/>
      <c r="H26" s="101"/>
      <c r="I26" s="20"/>
      <c r="J26" s="101"/>
      <c r="K26" s="101"/>
      <c r="L26" s="20"/>
      <c r="M26" s="101"/>
      <c r="N26" s="101"/>
      <c r="O26" s="20"/>
      <c r="P26" s="101"/>
      <c r="Q26" s="143"/>
      <c r="R26" s="101"/>
      <c r="S26" s="100"/>
      <c r="T26" s="102"/>
      <c r="U26" s="102"/>
      <c r="V26" s="118"/>
    </row>
    <row r="27" spans="2:24" ht="34.5" customHeight="1">
      <c r="B27" s="125" t="str">
        <f t="shared" si="0"/>
        <v>1-19</v>
      </c>
      <c r="C27" s="100"/>
      <c r="D27" s="42" t="s">
        <v>83</v>
      </c>
      <c r="E27" s="42" t="s">
        <v>127</v>
      </c>
      <c r="F27" s="197" t="s">
        <v>128</v>
      </c>
      <c r="G27" s="198"/>
      <c r="H27" s="101"/>
      <c r="I27" s="20"/>
      <c r="J27" s="101"/>
      <c r="K27" s="101"/>
      <c r="L27" s="20"/>
      <c r="M27" s="101"/>
      <c r="N27" s="101"/>
      <c r="O27" s="20"/>
      <c r="P27" s="101"/>
      <c r="Q27" s="101"/>
      <c r="R27" s="101"/>
      <c r="S27" s="100"/>
      <c r="T27" s="102"/>
      <c r="U27" s="102"/>
      <c r="V27" s="118"/>
    </row>
    <row r="28" spans="2:24" ht="76.5" customHeight="1">
      <c r="B28" s="125" t="str">
        <f t="shared" si="0"/>
        <v>1-20</v>
      </c>
      <c r="C28" s="100"/>
      <c r="D28" s="42" t="s">
        <v>83</v>
      </c>
      <c r="E28" s="42" t="s">
        <v>130</v>
      </c>
      <c r="F28" s="197" t="s">
        <v>131</v>
      </c>
      <c r="G28" s="198"/>
      <c r="H28" s="101"/>
      <c r="I28" s="20"/>
      <c r="J28" s="101"/>
      <c r="K28" s="101"/>
      <c r="L28" s="20"/>
      <c r="M28" s="101"/>
      <c r="N28" s="101"/>
      <c r="O28" s="20"/>
      <c r="P28" s="101"/>
      <c r="Q28" s="101"/>
      <c r="R28" s="101"/>
      <c r="S28" s="100"/>
      <c r="T28" s="102"/>
      <c r="U28" s="102"/>
      <c r="V28" s="118"/>
    </row>
    <row r="29" spans="2:24" ht="90.95" customHeight="1">
      <c r="B29" s="125" t="str">
        <f t="shared" si="0"/>
        <v>1-21</v>
      </c>
      <c r="C29" s="100"/>
      <c r="D29" s="42" t="s">
        <v>83</v>
      </c>
      <c r="E29" s="42" t="s">
        <v>139</v>
      </c>
      <c r="F29" s="191" t="s">
        <v>140</v>
      </c>
      <c r="G29" s="192"/>
      <c r="H29" s="101"/>
      <c r="I29" s="20"/>
      <c r="J29" s="101"/>
      <c r="K29" s="101"/>
      <c r="L29" s="20"/>
      <c r="M29" s="101"/>
      <c r="N29" s="101"/>
      <c r="O29" s="20"/>
      <c r="P29" s="101"/>
      <c r="Q29" s="101"/>
      <c r="R29" s="101"/>
      <c r="S29" s="100"/>
      <c r="T29" s="102"/>
      <c r="U29" s="102"/>
      <c r="V29" s="118"/>
    </row>
    <row r="30" spans="2:24" ht="60" customHeight="1">
      <c r="B30" s="125" t="str">
        <f t="shared" si="0"/>
        <v>1-22</v>
      </c>
      <c r="C30" s="100"/>
      <c r="D30" s="42" t="s">
        <v>83</v>
      </c>
      <c r="E30" s="42" t="s">
        <v>62</v>
      </c>
      <c r="F30" s="191" t="s">
        <v>142</v>
      </c>
      <c r="G30" s="192"/>
      <c r="H30" s="101"/>
      <c r="I30" s="20"/>
      <c r="J30" s="101"/>
      <c r="K30" s="101"/>
      <c r="L30" s="20"/>
      <c r="M30" s="101"/>
      <c r="N30" s="101"/>
      <c r="O30" s="20"/>
      <c r="P30" s="101"/>
      <c r="Q30" s="101"/>
      <c r="R30" s="101"/>
      <c r="S30" s="100"/>
      <c r="T30" s="102"/>
      <c r="U30" s="102"/>
      <c r="V30" s="118"/>
    </row>
    <row r="31" spans="2:24" ht="34.5" customHeight="1">
      <c r="B31" s="125" t="str">
        <f t="shared" si="0"/>
        <v>1-23</v>
      </c>
      <c r="C31" s="100"/>
      <c r="D31" s="42" t="s">
        <v>129</v>
      </c>
      <c r="E31" s="42" t="s">
        <v>132</v>
      </c>
      <c r="F31" s="191" t="s">
        <v>133</v>
      </c>
      <c r="G31" s="192"/>
      <c r="H31" s="101"/>
      <c r="I31" s="20"/>
      <c r="J31" s="101"/>
      <c r="K31" s="101"/>
      <c r="L31" s="20"/>
      <c r="M31" s="101"/>
      <c r="N31" s="101"/>
      <c r="O31" s="20"/>
      <c r="P31" s="101"/>
      <c r="Q31" s="101"/>
      <c r="R31" s="101"/>
      <c r="S31" s="100"/>
      <c r="T31" s="102"/>
      <c r="U31" s="102"/>
      <c r="V31" s="118"/>
    </row>
    <row r="32" spans="2:24" ht="34.5" customHeight="1">
      <c r="B32" s="125" t="str">
        <f t="shared" si="0"/>
        <v>1-24</v>
      </c>
      <c r="C32" s="100"/>
      <c r="D32" s="42" t="s">
        <v>83</v>
      </c>
      <c r="E32" s="42" t="s">
        <v>134</v>
      </c>
      <c r="F32" s="191" t="s">
        <v>135</v>
      </c>
      <c r="G32" s="192"/>
      <c r="H32" s="101"/>
      <c r="I32" s="20"/>
      <c r="J32" s="101"/>
      <c r="K32" s="101"/>
      <c r="L32" s="20"/>
      <c r="M32" s="101"/>
      <c r="N32" s="101"/>
      <c r="O32" s="20"/>
      <c r="P32" s="101"/>
      <c r="Q32" s="101"/>
      <c r="R32" s="101"/>
      <c r="S32" s="100"/>
      <c r="T32" s="102"/>
      <c r="U32" s="102"/>
      <c r="V32" s="118"/>
    </row>
    <row r="33" spans="2:22" ht="34.5" customHeight="1">
      <c r="B33" s="125" t="str">
        <f t="shared" si="0"/>
        <v>1-25</v>
      </c>
      <c r="C33" s="100"/>
      <c r="D33" s="42" t="s">
        <v>83</v>
      </c>
      <c r="E33" s="42" t="s">
        <v>134</v>
      </c>
      <c r="F33" s="191" t="s">
        <v>141</v>
      </c>
      <c r="G33" s="192"/>
      <c r="H33" s="101"/>
      <c r="I33" s="20"/>
      <c r="J33" s="101"/>
      <c r="K33" s="101"/>
      <c r="L33" s="20"/>
      <c r="M33" s="101"/>
      <c r="N33" s="101"/>
      <c r="O33" s="20"/>
      <c r="P33" s="101"/>
      <c r="Q33" s="101"/>
      <c r="R33" s="101"/>
      <c r="S33" s="100"/>
      <c r="T33" s="102"/>
      <c r="U33" s="102"/>
      <c r="V33" s="118"/>
    </row>
    <row r="34" spans="2:22" ht="34.5" customHeight="1">
      <c r="B34" s="125" t="str">
        <f t="shared" si="0"/>
        <v>1-26</v>
      </c>
      <c r="C34" s="100"/>
      <c r="D34" s="42" t="s">
        <v>136</v>
      </c>
      <c r="E34" s="42" t="s">
        <v>132</v>
      </c>
      <c r="F34" s="191" t="s">
        <v>133</v>
      </c>
      <c r="G34" s="192"/>
      <c r="H34" s="101"/>
      <c r="I34" s="20"/>
      <c r="J34" s="101"/>
      <c r="K34" s="101"/>
      <c r="L34" s="20"/>
      <c r="M34" s="101"/>
      <c r="N34" s="101"/>
      <c r="O34" s="20"/>
      <c r="P34" s="101"/>
      <c r="Q34" s="101"/>
      <c r="R34" s="101"/>
      <c r="S34" s="100"/>
      <c r="T34" s="102"/>
      <c r="U34" s="102"/>
      <c r="V34" s="118"/>
    </row>
    <row r="35" spans="2:22" ht="34.5" customHeight="1">
      <c r="B35" s="125" t="str">
        <f t="shared" si="0"/>
        <v>1-27</v>
      </c>
      <c r="C35" s="100"/>
      <c r="D35" s="42" t="s">
        <v>83</v>
      </c>
      <c r="E35" s="42" t="s">
        <v>137</v>
      </c>
      <c r="F35" s="197" t="s">
        <v>138</v>
      </c>
      <c r="G35" s="198"/>
      <c r="H35" s="101"/>
      <c r="I35" s="20"/>
      <c r="J35" s="101"/>
      <c r="K35" s="101"/>
      <c r="L35" s="20"/>
      <c r="M35" s="101"/>
      <c r="N35" s="101"/>
      <c r="O35" s="20"/>
      <c r="P35" s="101"/>
      <c r="Q35" s="101"/>
      <c r="R35" s="101"/>
      <c r="S35" s="100"/>
      <c r="T35" s="102"/>
      <c r="U35" s="102"/>
      <c r="V35" s="118"/>
    </row>
    <row r="36" spans="2:22" ht="34.5" customHeight="1">
      <c r="B36" s="125" t="str">
        <f t="shared" si="0"/>
        <v>1-28</v>
      </c>
      <c r="C36" s="100"/>
      <c r="D36" s="42" t="s">
        <v>83</v>
      </c>
      <c r="E36" s="42" t="s">
        <v>134</v>
      </c>
      <c r="F36" s="191" t="s">
        <v>135</v>
      </c>
      <c r="G36" s="192"/>
      <c r="H36" s="101"/>
      <c r="I36" s="20"/>
      <c r="J36" s="101"/>
      <c r="K36" s="101"/>
      <c r="L36" s="20"/>
      <c r="M36" s="101"/>
      <c r="N36" s="101"/>
      <c r="O36" s="20"/>
      <c r="P36" s="101"/>
      <c r="Q36" s="101"/>
      <c r="R36" s="101"/>
      <c r="S36" s="100"/>
      <c r="T36" s="102"/>
      <c r="U36" s="102"/>
      <c r="V36" s="118"/>
    </row>
    <row r="37" spans="2:22" ht="34.5" customHeight="1">
      <c r="B37" s="125" t="str">
        <f t="shared" si="0"/>
        <v>1-29</v>
      </c>
      <c r="C37" s="100"/>
      <c r="D37" s="42" t="s">
        <v>83</v>
      </c>
      <c r="E37" s="42" t="s">
        <v>134</v>
      </c>
      <c r="F37" s="191" t="s">
        <v>143</v>
      </c>
      <c r="G37" s="192"/>
      <c r="H37" s="101"/>
      <c r="I37" s="20"/>
      <c r="J37" s="101"/>
      <c r="K37" s="101"/>
      <c r="L37" s="20"/>
      <c r="M37" s="101"/>
      <c r="N37" s="101"/>
      <c r="O37" s="20"/>
      <c r="P37" s="101"/>
      <c r="Q37" s="101"/>
      <c r="R37" s="101"/>
      <c r="S37" s="100"/>
      <c r="T37" s="102"/>
      <c r="U37" s="102"/>
      <c r="V37" s="118"/>
    </row>
    <row r="38" spans="2:22" ht="34.5" customHeight="1">
      <c r="B38" s="125" t="str">
        <f t="shared" si="0"/>
        <v>1-30</v>
      </c>
      <c r="C38" s="100" t="s">
        <v>151</v>
      </c>
      <c r="D38" s="42" t="s">
        <v>151</v>
      </c>
      <c r="E38" s="42" t="s">
        <v>125</v>
      </c>
      <c r="F38" s="191" t="s">
        <v>152</v>
      </c>
      <c r="G38" s="192"/>
      <c r="H38" s="101"/>
      <c r="I38" s="20"/>
      <c r="J38" s="101"/>
      <c r="K38" s="101"/>
      <c r="L38" s="20"/>
      <c r="M38" s="101"/>
      <c r="N38" s="101"/>
      <c r="O38" s="20"/>
      <c r="P38" s="101"/>
      <c r="Q38" s="101"/>
      <c r="R38" s="101"/>
      <c r="S38" s="100"/>
      <c r="T38" s="102"/>
      <c r="U38" s="102"/>
      <c r="V38" s="119"/>
    </row>
    <row r="39" spans="2:22" ht="34.5" customHeight="1">
      <c r="B39" s="125" t="str">
        <f t="shared" si="0"/>
        <v>1-31</v>
      </c>
      <c r="C39" s="100"/>
      <c r="D39" s="42" t="s">
        <v>145</v>
      </c>
      <c r="E39" s="42" t="s">
        <v>153</v>
      </c>
      <c r="F39" s="191" t="s">
        <v>154</v>
      </c>
      <c r="G39" s="192"/>
      <c r="H39" s="101"/>
      <c r="I39" s="20"/>
      <c r="J39" s="101"/>
      <c r="K39" s="101"/>
      <c r="L39" s="20"/>
      <c r="M39" s="101"/>
      <c r="N39" s="101"/>
      <c r="O39" s="20"/>
      <c r="P39" s="101"/>
      <c r="Q39" s="101"/>
      <c r="R39" s="101"/>
      <c r="S39" s="100"/>
      <c r="T39" s="102"/>
      <c r="U39" s="102"/>
      <c r="V39" s="119"/>
    </row>
    <row r="40" spans="2:22" ht="34.5" customHeight="1">
      <c r="B40" s="125" t="str">
        <f t="shared" si="0"/>
        <v>1-32</v>
      </c>
      <c r="C40" s="100"/>
      <c r="D40" s="42" t="s">
        <v>173</v>
      </c>
      <c r="E40" s="42" t="s">
        <v>62</v>
      </c>
      <c r="F40" s="191" t="s">
        <v>155</v>
      </c>
      <c r="G40" s="192"/>
      <c r="H40" s="101"/>
      <c r="I40" s="20"/>
      <c r="J40" s="101"/>
      <c r="K40" s="101"/>
      <c r="L40" s="20"/>
      <c r="M40" s="101"/>
      <c r="N40" s="101"/>
      <c r="O40" s="20"/>
      <c r="P40" s="101"/>
      <c r="Q40" s="143"/>
      <c r="R40" s="101"/>
      <c r="S40" s="100"/>
      <c r="T40" s="102"/>
      <c r="U40" s="102"/>
      <c r="V40" s="119"/>
    </row>
    <row r="41" spans="2:22" ht="34.5" customHeight="1">
      <c r="B41" s="125" t="str">
        <f t="shared" si="0"/>
        <v>1-33</v>
      </c>
      <c r="C41" s="100" t="s">
        <v>144</v>
      </c>
      <c r="D41" s="42" t="s">
        <v>174</v>
      </c>
      <c r="E41" s="42" t="s">
        <v>145</v>
      </c>
      <c r="F41" s="120" t="s">
        <v>146</v>
      </c>
      <c r="G41" s="117"/>
      <c r="H41" s="101"/>
      <c r="I41" s="20"/>
      <c r="J41" s="101"/>
      <c r="K41" s="101"/>
      <c r="L41" s="20"/>
      <c r="M41" s="101"/>
      <c r="N41" s="101"/>
      <c r="O41" s="20"/>
      <c r="P41" s="101"/>
      <c r="Q41" s="143"/>
      <c r="R41" s="101"/>
      <c r="S41" s="100"/>
      <c r="T41" s="102"/>
      <c r="U41" s="102"/>
      <c r="V41" s="118"/>
    </row>
    <row r="42" spans="2:22" ht="34.5" customHeight="1">
      <c r="B42" s="125" t="str">
        <f t="shared" si="0"/>
        <v>1-34</v>
      </c>
      <c r="C42" s="100"/>
      <c r="D42" s="42" t="s">
        <v>175</v>
      </c>
      <c r="E42" s="42" t="s">
        <v>147</v>
      </c>
      <c r="F42" s="120" t="s">
        <v>157</v>
      </c>
      <c r="G42" s="117"/>
      <c r="H42" s="101"/>
      <c r="I42" s="20"/>
      <c r="J42" s="101"/>
      <c r="K42" s="101"/>
      <c r="L42" s="20"/>
      <c r="M42" s="101"/>
      <c r="N42" s="101"/>
      <c r="O42" s="20"/>
      <c r="P42" s="101"/>
      <c r="Q42" s="143"/>
      <c r="R42" s="101"/>
      <c r="S42" s="100"/>
      <c r="T42" s="102"/>
      <c r="U42" s="102"/>
      <c r="V42" s="113"/>
    </row>
    <row r="43" spans="2:22" ht="34.5" customHeight="1">
      <c r="B43" s="125" t="str">
        <f t="shared" si="0"/>
        <v>1-35</v>
      </c>
      <c r="C43" s="100"/>
      <c r="D43" s="42" t="s">
        <v>176</v>
      </c>
      <c r="E43" s="42" t="s">
        <v>148</v>
      </c>
      <c r="F43" s="120" t="s">
        <v>156</v>
      </c>
      <c r="G43" s="117"/>
      <c r="H43" s="101"/>
      <c r="I43" s="20"/>
      <c r="J43" s="101"/>
      <c r="K43" s="101"/>
      <c r="L43" s="20"/>
      <c r="M43" s="101"/>
      <c r="N43" s="101"/>
      <c r="O43" s="20"/>
      <c r="P43" s="101"/>
      <c r="Q43" s="143"/>
      <c r="R43" s="101"/>
      <c r="S43" s="100"/>
      <c r="T43" s="102"/>
      <c r="U43" s="102"/>
      <c r="V43" s="112"/>
    </row>
    <row r="44" spans="2:22" ht="45" customHeight="1">
      <c r="B44" s="125" t="str">
        <f t="shared" si="0"/>
        <v>1-36</v>
      </c>
      <c r="C44" s="100" t="s">
        <v>149</v>
      </c>
      <c r="D44" s="42" t="s">
        <v>177</v>
      </c>
      <c r="E44" s="42" t="s">
        <v>148</v>
      </c>
      <c r="F44" s="207" t="s">
        <v>150</v>
      </c>
      <c r="G44" s="208"/>
      <c r="H44" s="101"/>
      <c r="I44" s="20"/>
      <c r="J44" s="101"/>
      <c r="K44" s="101"/>
      <c r="L44" s="20"/>
      <c r="M44" s="101"/>
      <c r="N44" s="101"/>
      <c r="O44" s="20"/>
      <c r="P44" s="101"/>
      <c r="Q44" s="143"/>
      <c r="R44" s="101"/>
      <c r="S44" s="100"/>
      <c r="T44" s="102"/>
      <c r="U44" s="102"/>
      <c r="V44" s="114"/>
    </row>
    <row r="45" spans="2:22" ht="34.5" customHeight="1">
      <c r="B45" s="125" t="str">
        <f t="shared" si="0"/>
        <v>1-37</v>
      </c>
      <c r="C45" s="18" t="s">
        <v>108</v>
      </c>
      <c r="D45" s="18" t="s">
        <v>164</v>
      </c>
      <c r="E45" s="42" t="s">
        <v>110</v>
      </c>
      <c r="F45" s="191" t="s">
        <v>165</v>
      </c>
      <c r="G45" s="192"/>
      <c r="H45" s="101"/>
      <c r="I45" s="20"/>
      <c r="J45" s="101"/>
      <c r="K45" s="101"/>
      <c r="L45" s="20"/>
      <c r="M45" s="101"/>
      <c r="N45" s="101"/>
      <c r="O45" s="20"/>
      <c r="P45" s="101"/>
      <c r="Q45" s="101"/>
      <c r="R45" s="101"/>
      <c r="S45" s="100"/>
      <c r="T45" s="102"/>
      <c r="U45" s="102"/>
      <c r="V45" s="116"/>
    </row>
    <row r="46" spans="2:22" ht="34.5" customHeight="1">
      <c r="B46" s="125" t="str">
        <f t="shared" si="0"/>
        <v>1-38</v>
      </c>
      <c r="C46" s="18"/>
      <c r="D46" s="42" t="s">
        <v>83</v>
      </c>
      <c r="E46" s="42" t="s">
        <v>116</v>
      </c>
      <c r="F46" s="191" t="s">
        <v>112</v>
      </c>
      <c r="G46" s="192"/>
      <c r="H46" s="101"/>
      <c r="I46" s="20"/>
      <c r="J46" s="101"/>
      <c r="K46" s="101"/>
      <c r="L46" s="20"/>
      <c r="M46" s="101"/>
      <c r="N46" s="101"/>
      <c r="O46" s="20"/>
      <c r="P46" s="101"/>
      <c r="Q46" s="101"/>
      <c r="R46" s="101"/>
      <c r="S46" s="100"/>
      <c r="T46" s="102"/>
      <c r="U46" s="102"/>
      <c r="V46" s="116"/>
    </row>
    <row r="47" spans="2:22" ht="34.5" customHeight="1">
      <c r="B47" s="125" t="str">
        <f t="shared" si="0"/>
        <v>1-39</v>
      </c>
      <c r="C47" s="18"/>
      <c r="D47" s="18" t="s">
        <v>109</v>
      </c>
      <c r="E47" s="42" t="s">
        <v>110</v>
      </c>
      <c r="F47" s="191" t="s">
        <v>111</v>
      </c>
      <c r="G47" s="192"/>
      <c r="H47" s="101"/>
      <c r="I47" s="20"/>
      <c r="J47" s="101"/>
      <c r="K47" s="101"/>
      <c r="L47" s="20"/>
      <c r="M47" s="101"/>
      <c r="N47" s="101"/>
      <c r="O47" s="20"/>
      <c r="P47" s="101"/>
      <c r="Q47" s="101"/>
      <c r="R47" s="101"/>
      <c r="S47" s="100"/>
      <c r="T47" s="102"/>
      <c r="U47" s="102"/>
      <c r="V47" s="122"/>
    </row>
    <row r="48" spans="2:22" ht="34.5" customHeight="1">
      <c r="B48" s="125" t="str">
        <f t="shared" si="0"/>
        <v>1-40</v>
      </c>
      <c r="C48" s="18"/>
      <c r="D48" s="42" t="s">
        <v>83</v>
      </c>
      <c r="E48" s="42" t="s">
        <v>113</v>
      </c>
      <c r="F48" s="191" t="s">
        <v>112</v>
      </c>
      <c r="G48" s="192"/>
      <c r="H48" s="101"/>
      <c r="I48" s="20"/>
      <c r="J48" s="101"/>
      <c r="K48" s="101"/>
      <c r="L48" s="20"/>
      <c r="M48" s="101"/>
      <c r="N48" s="101"/>
      <c r="O48" s="20"/>
      <c r="P48" s="101"/>
      <c r="Q48" s="101"/>
      <c r="R48" s="101"/>
      <c r="S48" s="100"/>
      <c r="T48" s="102"/>
      <c r="U48" s="102"/>
      <c r="V48" s="122"/>
    </row>
    <row r="49" spans="1:22" ht="34.5" customHeight="1">
      <c r="B49" s="125" t="str">
        <f t="shared" si="0"/>
        <v>1-41</v>
      </c>
      <c r="C49" s="18"/>
      <c r="D49" s="18" t="s">
        <v>166</v>
      </c>
      <c r="E49" s="42" t="s">
        <v>110</v>
      </c>
      <c r="F49" s="191" t="s">
        <v>167</v>
      </c>
      <c r="G49" s="192"/>
      <c r="H49" s="101"/>
      <c r="I49" s="20"/>
      <c r="J49" s="101"/>
      <c r="K49" s="101"/>
      <c r="L49" s="20"/>
      <c r="M49" s="101"/>
      <c r="N49" s="101"/>
      <c r="O49" s="20"/>
      <c r="P49" s="101"/>
      <c r="Q49" s="101"/>
      <c r="R49" s="101"/>
      <c r="S49" s="100"/>
      <c r="T49" s="102"/>
      <c r="U49" s="102"/>
      <c r="V49" s="122"/>
    </row>
    <row r="50" spans="1:22" ht="34.5" customHeight="1">
      <c r="B50" s="125" t="str">
        <f t="shared" si="0"/>
        <v>1-42</v>
      </c>
      <c r="C50" s="18"/>
      <c r="D50" s="42" t="s">
        <v>83</v>
      </c>
      <c r="E50" s="42" t="s">
        <v>113</v>
      </c>
      <c r="F50" s="191" t="s">
        <v>112</v>
      </c>
      <c r="G50" s="192"/>
      <c r="H50" s="101"/>
      <c r="I50" s="20"/>
      <c r="J50" s="101"/>
      <c r="K50" s="101"/>
      <c r="L50" s="20"/>
      <c r="M50" s="101"/>
      <c r="N50" s="101"/>
      <c r="O50" s="20"/>
      <c r="P50" s="101"/>
      <c r="Q50" s="101"/>
      <c r="R50" s="101"/>
      <c r="S50" s="100"/>
      <c r="T50" s="102"/>
      <c r="U50" s="102"/>
      <c r="V50" s="122"/>
    </row>
    <row r="51" spans="1:22" ht="34.5" customHeight="1">
      <c r="A51" s="15"/>
      <c r="B51" s="125" t="str">
        <f t="shared" si="0"/>
        <v>1-43</v>
      </c>
      <c r="C51" s="18" t="s">
        <v>169</v>
      </c>
      <c r="D51" s="18" t="s">
        <v>170</v>
      </c>
      <c r="E51" s="18" t="s">
        <v>171</v>
      </c>
      <c r="F51" s="197" t="s">
        <v>172</v>
      </c>
      <c r="G51" s="198"/>
      <c r="H51" s="101"/>
      <c r="I51" s="20"/>
      <c r="J51" s="101"/>
      <c r="K51" s="101"/>
      <c r="L51" s="20"/>
      <c r="M51" s="101"/>
      <c r="N51" s="101"/>
      <c r="O51" s="20"/>
      <c r="P51" s="101"/>
      <c r="Q51" s="152"/>
      <c r="R51" s="152"/>
      <c r="S51" s="100"/>
      <c r="T51" s="102"/>
      <c r="U51" s="102"/>
      <c r="V51" s="123"/>
    </row>
    <row r="52" spans="1:22" ht="34.5" customHeight="1">
      <c r="B52" s="126" t="str">
        <f t="shared" si="0"/>
        <v>1-44</v>
      </c>
      <c r="C52" s="100" t="s">
        <v>103</v>
      </c>
      <c r="D52" s="42" t="s">
        <v>104</v>
      </c>
      <c r="E52" s="42" t="s">
        <v>178</v>
      </c>
      <c r="F52" s="209" t="s">
        <v>105</v>
      </c>
      <c r="G52" s="208"/>
      <c r="H52" s="101"/>
      <c r="I52" s="20"/>
      <c r="J52" s="101"/>
      <c r="K52" s="101"/>
      <c r="L52" s="20"/>
      <c r="M52" s="101"/>
      <c r="N52" s="101"/>
      <c r="O52" s="20"/>
      <c r="P52" s="101"/>
      <c r="Q52" s="143"/>
      <c r="R52" s="101"/>
      <c r="S52" s="100"/>
      <c r="T52" s="102"/>
      <c r="U52" s="102"/>
      <c r="V52" s="115"/>
    </row>
    <row r="53" spans="1:22" ht="34.5" customHeight="1">
      <c r="B53" s="126" t="str">
        <f t="shared" si="0"/>
        <v>1-45</v>
      </c>
      <c r="C53" s="100"/>
      <c r="D53" s="42" t="s">
        <v>106</v>
      </c>
      <c r="E53" s="42" t="s">
        <v>179</v>
      </c>
      <c r="F53" s="209" t="s">
        <v>105</v>
      </c>
      <c r="G53" s="208"/>
      <c r="H53" s="101"/>
      <c r="I53" s="20"/>
      <c r="J53" s="101"/>
      <c r="K53" s="101"/>
      <c r="L53" s="20"/>
      <c r="M53" s="101"/>
      <c r="N53" s="101"/>
      <c r="O53" s="20"/>
      <c r="P53" s="101"/>
      <c r="Q53" s="143"/>
      <c r="R53" s="101"/>
      <c r="S53" s="100"/>
      <c r="T53" s="102"/>
      <c r="U53" s="102"/>
      <c r="V53" s="115"/>
    </row>
    <row r="54" spans="1:22" ht="34.5" customHeight="1">
      <c r="B54" s="126" t="str">
        <f t="shared" si="0"/>
        <v>1-46</v>
      </c>
      <c r="C54" s="100"/>
      <c r="D54" s="42" t="s">
        <v>107</v>
      </c>
      <c r="E54" s="42" t="s">
        <v>261</v>
      </c>
      <c r="F54" s="197" t="s">
        <v>262</v>
      </c>
      <c r="G54" s="198"/>
      <c r="H54" s="101"/>
      <c r="I54" s="20"/>
      <c r="J54" s="101"/>
      <c r="K54" s="101"/>
      <c r="L54" s="20"/>
      <c r="M54" s="101"/>
      <c r="N54" s="101"/>
      <c r="O54" s="20"/>
      <c r="P54" s="101"/>
      <c r="Q54" s="101"/>
      <c r="R54" s="101"/>
      <c r="S54" s="100"/>
      <c r="T54" s="102"/>
      <c r="U54" s="102"/>
      <c r="V54" s="115"/>
    </row>
    <row r="55" spans="1:22">
      <c r="K55" s="106"/>
      <c r="L55" s="26"/>
      <c r="M55" s="106"/>
      <c r="N55" s="106"/>
      <c r="O55" s="26"/>
      <c r="P55" s="106"/>
      <c r="Q55" s="142"/>
      <c r="R55" s="106"/>
      <c r="S55" s="8"/>
    </row>
    <row r="56" spans="1:22">
      <c r="K56" s="106"/>
      <c r="L56" s="26"/>
      <c r="M56" s="106"/>
      <c r="N56" s="106"/>
      <c r="O56" s="26"/>
      <c r="P56" s="106"/>
      <c r="Q56" s="142"/>
      <c r="R56" s="106"/>
      <c r="S56" s="8"/>
    </row>
    <row r="57" spans="1:22">
      <c r="K57" s="106"/>
      <c r="L57" s="26"/>
      <c r="M57" s="106"/>
      <c r="N57" s="106"/>
      <c r="O57" s="26"/>
      <c r="P57" s="106"/>
      <c r="Q57" s="142"/>
      <c r="R57" s="106"/>
      <c r="S57" s="8"/>
    </row>
    <row r="58" spans="1:22">
      <c r="K58" s="106"/>
      <c r="L58" s="26"/>
      <c r="M58" s="106"/>
      <c r="N58" s="106"/>
      <c r="O58" s="26"/>
      <c r="P58" s="106"/>
      <c r="Q58" s="142"/>
      <c r="R58" s="106"/>
      <c r="S58" s="8"/>
    </row>
    <row r="59" spans="1:22">
      <c r="K59" s="106"/>
      <c r="L59" s="26"/>
      <c r="M59" s="106"/>
      <c r="N59" s="106"/>
      <c r="O59" s="26"/>
      <c r="P59" s="106"/>
      <c r="Q59" s="142"/>
      <c r="R59" s="106"/>
      <c r="S59" s="8"/>
    </row>
    <row r="60" spans="1:22">
      <c r="F60" s="99"/>
      <c r="G60" s="99"/>
      <c r="K60" s="106"/>
      <c r="L60" s="26"/>
      <c r="M60" s="106"/>
      <c r="N60" s="106"/>
      <c r="O60" s="26"/>
      <c r="P60" s="106"/>
      <c r="Q60" s="142"/>
      <c r="R60" s="106"/>
      <c r="S60" s="8"/>
    </row>
    <row r="61" spans="1:22">
      <c r="F61" s="99"/>
      <c r="G61" s="99"/>
    </row>
    <row r="62" spans="1:22">
      <c r="F62" s="99"/>
      <c r="G62" s="99"/>
    </row>
    <row r="63" spans="1:22">
      <c r="F63" s="99"/>
      <c r="G63" s="99"/>
    </row>
    <row r="64" spans="1:22">
      <c r="F64" s="99"/>
      <c r="G64" s="99"/>
    </row>
    <row r="65" spans="6:7">
      <c r="F65" s="99"/>
      <c r="G65" s="99"/>
    </row>
    <row r="66" spans="6:7">
      <c r="F66" s="99"/>
      <c r="G66" s="99"/>
    </row>
    <row r="67" spans="6:7">
      <c r="F67" s="99"/>
      <c r="G67" s="99"/>
    </row>
    <row r="68" spans="6:7">
      <c r="F68" s="99"/>
      <c r="G68" s="99"/>
    </row>
    <row r="69" spans="6:7">
      <c r="F69" s="99"/>
      <c r="G69" s="99"/>
    </row>
    <row r="70" spans="6:7">
      <c r="F70" s="99"/>
      <c r="G70" s="99"/>
    </row>
    <row r="71" spans="6:7">
      <c r="F71" s="99"/>
      <c r="G71" s="99"/>
    </row>
  </sheetData>
  <autoFilter ref="B7:U64">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54">
    <mergeCell ref="F37:G37"/>
    <mergeCell ref="F13:G13"/>
    <mergeCell ref="F15:G15"/>
    <mergeCell ref="F17:G17"/>
    <mergeCell ref="F14:G14"/>
    <mergeCell ref="F30:G30"/>
    <mergeCell ref="F23:G23"/>
    <mergeCell ref="F24:G24"/>
    <mergeCell ref="F25:G25"/>
    <mergeCell ref="F27:G27"/>
    <mergeCell ref="F26:G26"/>
    <mergeCell ref="F35:G35"/>
    <mergeCell ref="F36:G36"/>
    <mergeCell ref="F28:G28"/>
    <mergeCell ref="F31:G31"/>
    <mergeCell ref="F32:G32"/>
    <mergeCell ref="F38:G38"/>
    <mergeCell ref="F50:G50"/>
    <mergeCell ref="F49:G49"/>
    <mergeCell ref="F48:G48"/>
    <mergeCell ref="F47:G47"/>
    <mergeCell ref="F40:G40"/>
    <mergeCell ref="F39:G39"/>
    <mergeCell ref="F54:G54"/>
    <mergeCell ref="F44:G44"/>
    <mergeCell ref="F45:G45"/>
    <mergeCell ref="F46:G46"/>
    <mergeCell ref="F51:G51"/>
    <mergeCell ref="F52:G52"/>
    <mergeCell ref="F53:G53"/>
    <mergeCell ref="Q7:Q8"/>
    <mergeCell ref="F12:G12"/>
    <mergeCell ref="F10:G10"/>
    <mergeCell ref="B7:B8"/>
    <mergeCell ref="C7:C8"/>
    <mergeCell ref="E7:E8"/>
    <mergeCell ref="F7:G8"/>
    <mergeCell ref="D7:D8"/>
    <mergeCell ref="F34:G34"/>
    <mergeCell ref="F29:G29"/>
    <mergeCell ref="F33:G33"/>
    <mergeCell ref="S7:U7"/>
    <mergeCell ref="R7:R8"/>
    <mergeCell ref="H7:J7"/>
    <mergeCell ref="F22:G22"/>
    <mergeCell ref="K7:M7"/>
    <mergeCell ref="N7:P7"/>
    <mergeCell ref="F9:G9"/>
    <mergeCell ref="F18:G18"/>
    <mergeCell ref="F19:G19"/>
    <mergeCell ref="F20:G20"/>
    <mergeCell ref="F21:G21"/>
    <mergeCell ref="F16:G16"/>
    <mergeCell ref="F11:G11"/>
  </mergeCells>
  <phoneticPr fontId="47"/>
  <dataValidations count="1">
    <dataValidation type="list" allowBlank="1" showInputMessage="1" showErrorMessage="1" sqref="N9:N54 H9:H54 K9:K54">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1"/>
  <sheetViews>
    <sheetView workbookViewId="0"/>
  </sheetViews>
  <sheetFormatPr defaultColWidth="9" defaultRowHeight="11.25"/>
  <cols>
    <col min="1" max="1" width="4.125" style="128" customWidth="1"/>
    <col min="2" max="2" width="19.5" style="128" customWidth="1"/>
    <col min="3" max="3" width="30.5" style="128" customWidth="1"/>
    <col min="4" max="4" width="60.25" style="128" bestFit="1" customWidth="1"/>
    <col min="5" max="5" width="9.375" style="128" bestFit="1" customWidth="1"/>
    <col min="6" max="16384" width="9" style="128"/>
  </cols>
  <sheetData>
    <row r="1" spans="1:5">
      <c r="A1" s="128" t="s">
        <v>97</v>
      </c>
    </row>
    <row r="4" spans="1:5" ht="13.5">
      <c r="A4" s="129" t="s">
        <v>245</v>
      </c>
      <c r="B4" s="129"/>
      <c r="C4" s="130"/>
      <c r="D4" s="130"/>
      <c r="E4" s="131" t="s">
        <v>98</v>
      </c>
    </row>
    <row r="5" spans="1:5" ht="13.5">
      <c r="A5" s="129"/>
      <c r="B5" s="129" t="s">
        <v>183</v>
      </c>
      <c r="C5" s="132"/>
      <c r="D5" s="132"/>
      <c r="E5" s="133"/>
    </row>
    <row r="6" spans="1:5" ht="13.5">
      <c r="A6" s="134"/>
      <c r="B6" s="135" t="s">
        <v>99</v>
      </c>
      <c r="C6" s="135" t="s">
        <v>100</v>
      </c>
      <c r="D6" s="135" t="s">
        <v>101</v>
      </c>
      <c r="E6" s="147" t="s">
        <v>238</v>
      </c>
    </row>
    <row r="7" spans="1:5" ht="13.5">
      <c r="A7" s="134"/>
      <c r="B7" s="136" t="s">
        <v>184</v>
      </c>
      <c r="C7" s="137" t="s">
        <v>185</v>
      </c>
      <c r="D7" s="138"/>
      <c r="E7" s="138"/>
    </row>
    <row r="8" spans="1:5" ht="13.5">
      <c r="A8" s="134"/>
      <c r="B8" s="136" t="s">
        <v>186</v>
      </c>
      <c r="C8" s="137" t="s">
        <v>187</v>
      </c>
      <c r="D8" s="138"/>
      <c r="E8" s="138"/>
    </row>
    <row r="9" spans="1:5" ht="13.5">
      <c r="A9" s="134"/>
      <c r="B9" s="136" t="s">
        <v>188</v>
      </c>
      <c r="C9" s="137" t="s">
        <v>189</v>
      </c>
      <c r="D9" s="138"/>
      <c r="E9" s="138"/>
    </row>
    <row r="10" spans="1:5" ht="13.5">
      <c r="A10" s="134"/>
      <c r="B10" s="136" t="s">
        <v>190</v>
      </c>
      <c r="C10" s="137" t="s">
        <v>191</v>
      </c>
      <c r="D10" s="138"/>
      <c r="E10" s="138"/>
    </row>
    <row r="11" spans="1:5" ht="13.5">
      <c r="A11" s="134"/>
      <c r="B11" s="136" t="s">
        <v>192</v>
      </c>
      <c r="C11" s="137" t="s">
        <v>193</v>
      </c>
      <c r="D11" s="138"/>
      <c r="E11" s="138"/>
    </row>
    <row r="12" spans="1:5" ht="13.5">
      <c r="A12" s="134"/>
      <c r="B12" s="136" t="s">
        <v>246</v>
      </c>
      <c r="C12" s="137" t="s">
        <v>194</v>
      </c>
      <c r="D12" s="138"/>
      <c r="E12" s="138"/>
    </row>
    <row r="13" spans="1:5" ht="13.5">
      <c r="A13" s="134"/>
      <c r="B13" s="136" t="s">
        <v>118</v>
      </c>
      <c r="C13" s="137" t="s">
        <v>195</v>
      </c>
      <c r="D13" s="138"/>
      <c r="E13" s="138"/>
    </row>
    <row r="14" spans="1:5" ht="13.5">
      <c r="A14" s="134"/>
      <c r="B14" s="136" t="s">
        <v>196</v>
      </c>
      <c r="C14" s="137" t="s">
        <v>197</v>
      </c>
      <c r="D14" s="138"/>
      <c r="E14" s="138"/>
    </row>
    <row r="15" spans="1:5" ht="13.5">
      <c r="A15" s="134"/>
      <c r="B15" s="136" t="s">
        <v>198</v>
      </c>
      <c r="C15" s="137" t="s">
        <v>199</v>
      </c>
      <c r="D15" s="138"/>
      <c r="E15" s="138"/>
    </row>
    <row r="16" spans="1:5" ht="13.5">
      <c r="A16" s="134"/>
      <c r="B16" s="137" t="s">
        <v>247</v>
      </c>
      <c r="C16" s="137" t="s">
        <v>200</v>
      </c>
      <c r="D16" s="138"/>
      <c r="E16" s="138"/>
    </row>
    <row r="17" spans="1:6" ht="13.5">
      <c r="A17" s="129"/>
      <c r="B17" s="136" t="s">
        <v>190</v>
      </c>
      <c r="C17" s="136" t="s">
        <v>201</v>
      </c>
      <c r="D17" s="139"/>
      <c r="E17" s="138"/>
    </row>
    <row r="18" spans="1:6" ht="13.5">
      <c r="A18" s="129"/>
      <c r="B18" s="136" t="s">
        <v>202</v>
      </c>
      <c r="C18" s="136" t="s">
        <v>203</v>
      </c>
      <c r="D18" s="139"/>
      <c r="E18" s="138"/>
    </row>
    <row r="19" spans="1:6" ht="13.5">
      <c r="A19" s="129"/>
      <c r="B19" s="136" t="s">
        <v>204</v>
      </c>
      <c r="C19" s="136" t="s">
        <v>117</v>
      </c>
      <c r="D19" s="139"/>
      <c r="E19" s="138"/>
    </row>
    <row r="20" spans="1:6" ht="13.5">
      <c r="A20" s="129"/>
      <c r="B20" s="136" t="s">
        <v>205</v>
      </c>
      <c r="C20" s="136" t="s">
        <v>206</v>
      </c>
      <c r="D20" s="139"/>
      <c r="E20" s="138"/>
    </row>
    <row r="21" spans="1:6" ht="13.5">
      <c r="A21" s="129"/>
      <c r="B21" s="136" t="s">
        <v>207</v>
      </c>
      <c r="C21" s="136" t="s">
        <v>208</v>
      </c>
      <c r="D21" s="139"/>
      <c r="E21" s="138"/>
    </row>
    <row r="22" spans="1:6" ht="13.5">
      <c r="A22" s="129"/>
      <c r="B22" s="129"/>
      <c r="C22" s="129"/>
      <c r="D22" s="129"/>
      <c r="E22" s="133"/>
    </row>
    <row r="23" spans="1:6" ht="13.5">
      <c r="A23" s="129"/>
      <c r="B23" s="130" t="s">
        <v>230</v>
      </c>
      <c r="C23" s="129"/>
      <c r="D23" s="129"/>
      <c r="E23" s="133"/>
    </row>
    <row r="24" spans="1:6" ht="13.5">
      <c r="A24" s="129"/>
      <c r="B24" s="135" t="s">
        <v>99</v>
      </c>
      <c r="C24" s="135" t="s">
        <v>100</v>
      </c>
      <c r="D24" s="135" t="s">
        <v>101</v>
      </c>
      <c r="E24" s="147" t="s">
        <v>238</v>
      </c>
    </row>
    <row r="25" spans="1:6" ht="13.5">
      <c r="A25" s="129"/>
      <c r="B25" s="136" t="s">
        <v>232</v>
      </c>
      <c r="C25" s="136" t="s">
        <v>233</v>
      </c>
      <c r="D25" s="141" t="s">
        <v>234</v>
      </c>
      <c r="E25" s="138"/>
    </row>
    <row r="26" spans="1:6" ht="13.5">
      <c r="A26" s="129"/>
      <c r="B26" s="144"/>
      <c r="C26" s="144"/>
      <c r="D26" s="145"/>
      <c r="E26" s="146"/>
    </row>
    <row r="27" spans="1:6" ht="13.5">
      <c r="A27" s="129" t="s">
        <v>260</v>
      </c>
      <c r="B27" s="129"/>
      <c r="C27" s="130"/>
      <c r="D27" s="130"/>
      <c r="E27" s="131" t="s">
        <v>98</v>
      </c>
    </row>
    <row r="28" spans="1:6" ht="13.5">
      <c r="A28" s="129"/>
      <c r="B28" s="129" t="s">
        <v>183</v>
      </c>
      <c r="C28" s="132"/>
      <c r="D28" s="132"/>
      <c r="E28" s="133"/>
    </row>
    <row r="29" spans="1:6" ht="13.5">
      <c r="A29" s="134"/>
      <c r="B29" s="135" t="s">
        <v>99</v>
      </c>
      <c r="C29" s="135" t="s">
        <v>100</v>
      </c>
      <c r="D29" s="135" t="s">
        <v>101</v>
      </c>
      <c r="E29" s="147" t="s">
        <v>238</v>
      </c>
      <c r="F29" s="147" t="s">
        <v>239</v>
      </c>
    </row>
    <row r="30" spans="1:6" ht="13.5">
      <c r="A30" s="134"/>
      <c r="B30" s="136" t="s">
        <v>184</v>
      </c>
      <c r="C30" s="137" t="s">
        <v>185</v>
      </c>
      <c r="D30" s="138"/>
      <c r="E30" s="138"/>
      <c r="F30" s="138"/>
    </row>
    <row r="31" spans="1:6" ht="13.5">
      <c r="A31" s="134"/>
      <c r="B31" s="136" t="s">
        <v>186</v>
      </c>
      <c r="C31" s="137" t="s">
        <v>187</v>
      </c>
      <c r="D31" s="138"/>
      <c r="E31" s="138"/>
      <c r="F31" s="138"/>
    </row>
    <row r="32" spans="1:6" ht="13.5">
      <c r="A32" s="134"/>
      <c r="B32" s="136" t="s">
        <v>188</v>
      </c>
      <c r="C32" s="137" t="s">
        <v>189</v>
      </c>
      <c r="D32" s="138"/>
      <c r="E32" s="138"/>
      <c r="F32" s="138"/>
    </row>
    <row r="33" spans="1:6" ht="13.5">
      <c r="A33" s="134"/>
      <c r="B33" s="136" t="s">
        <v>190</v>
      </c>
      <c r="C33" s="137" t="s">
        <v>191</v>
      </c>
      <c r="D33" s="138"/>
      <c r="E33" s="138"/>
      <c r="F33" s="138"/>
    </row>
    <row r="34" spans="1:6" ht="13.5">
      <c r="A34" s="134"/>
      <c r="B34" s="136" t="s">
        <v>192</v>
      </c>
      <c r="C34" s="137" t="s">
        <v>193</v>
      </c>
      <c r="D34" s="138"/>
      <c r="E34" s="138"/>
      <c r="F34" s="138"/>
    </row>
    <row r="35" spans="1:6" ht="13.5">
      <c r="A35" s="134"/>
      <c r="B35" s="136" t="s">
        <v>246</v>
      </c>
      <c r="C35" s="137" t="s">
        <v>194</v>
      </c>
      <c r="D35" s="138"/>
      <c r="E35" s="138"/>
      <c r="F35" s="138"/>
    </row>
    <row r="36" spans="1:6" ht="13.5">
      <c r="A36" s="134"/>
      <c r="B36" s="136" t="s">
        <v>118</v>
      </c>
      <c r="C36" s="137" t="s">
        <v>195</v>
      </c>
      <c r="D36" s="138"/>
      <c r="E36" s="138"/>
      <c r="F36" s="138"/>
    </row>
    <row r="37" spans="1:6" ht="13.5">
      <c r="A37" s="134"/>
      <c r="B37" s="136" t="s">
        <v>196</v>
      </c>
      <c r="C37" s="137" t="s">
        <v>197</v>
      </c>
      <c r="D37" s="138"/>
      <c r="E37" s="138"/>
      <c r="F37" s="138"/>
    </row>
    <row r="38" spans="1:6" ht="13.5">
      <c r="A38" s="134"/>
      <c r="B38" s="136" t="s">
        <v>198</v>
      </c>
      <c r="C38" s="137" t="s">
        <v>199</v>
      </c>
      <c r="D38" s="138"/>
      <c r="E38" s="138"/>
      <c r="F38" s="138"/>
    </row>
    <row r="39" spans="1:6" ht="13.5">
      <c r="A39" s="134"/>
      <c r="B39" s="137" t="s">
        <v>247</v>
      </c>
      <c r="C39" s="137" t="s">
        <v>200</v>
      </c>
      <c r="D39" s="138"/>
      <c r="E39" s="138"/>
      <c r="F39" s="138"/>
    </row>
    <row r="40" spans="1:6" ht="13.5">
      <c r="A40" s="129"/>
      <c r="B40" s="136" t="s">
        <v>190</v>
      </c>
      <c r="C40" s="136" t="s">
        <v>201</v>
      </c>
      <c r="D40" s="139"/>
      <c r="E40" s="138"/>
      <c r="F40" s="138"/>
    </row>
    <row r="41" spans="1:6" ht="13.5">
      <c r="A41" s="129"/>
      <c r="B41" s="136" t="s">
        <v>202</v>
      </c>
      <c r="C41" s="136" t="s">
        <v>203</v>
      </c>
      <c r="D41" s="139"/>
      <c r="E41" s="138"/>
      <c r="F41" s="138"/>
    </row>
    <row r="42" spans="1:6" ht="13.5">
      <c r="A42" s="129"/>
      <c r="B42" s="136" t="s">
        <v>204</v>
      </c>
      <c r="C42" s="136" t="s">
        <v>117</v>
      </c>
      <c r="D42" s="139"/>
      <c r="E42" s="138"/>
      <c r="F42" s="138"/>
    </row>
    <row r="43" spans="1:6" ht="13.5">
      <c r="A43" s="129"/>
      <c r="B43" s="136" t="s">
        <v>205</v>
      </c>
      <c r="C43" s="136" t="s">
        <v>206</v>
      </c>
      <c r="D43" s="139"/>
      <c r="E43" s="138"/>
      <c r="F43" s="138"/>
    </row>
    <row r="44" spans="1:6" ht="13.5">
      <c r="A44" s="129"/>
      <c r="B44" s="136" t="s">
        <v>207</v>
      </c>
      <c r="C44" s="136" t="s">
        <v>208</v>
      </c>
      <c r="D44" s="139"/>
      <c r="E44" s="138"/>
      <c r="F44" s="138"/>
    </row>
    <row r="45" spans="1:6" s="149" customFormat="1" ht="13.5">
      <c r="B45" s="150" t="s">
        <v>256</v>
      </c>
      <c r="C45" s="150" t="s">
        <v>257</v>
      </c>
      <c r="D45" s="151"/>
      <c r="E45" s="138"/>
      <c r="F45" s="138"/>
    </row>
    <row r="46" spans="1:6" s="149" customFormat="1" ht="13.5">
      <c r="B46" s="150" t="s">
        <v>258</v>
      </c>
      <c r="C46" s="150" t="s">
        <v>259</v>
      </c>
      <c r="D46" s="151"/>
      <c r="E46" s="151"/>
      <c r="F46" s="151"/>
    </row>
    <row r="47" spans="1:6" s="149" customFormat="1" ht="13.5">
      <c r="B47" s="150" t="s">
        <v>254</v>
      </c>
      <c r="C47" s="150" t="s">
        <v>255</v>
      </c>
      <c r="D47" s="151"/>
      <c r="E47" s="151"/>
      <c r="F47" s="151"/>
    </row>
    <row r="48" spans="1:6" ht="13.5">
      <c r="A48" s="129"/>
      <c r="B48" s="129"/>
      <c r="C48" s="129"/>
      <c r="D48" s="129"/>
      <c r="E48" s="133"/>
      <c r="F48" s="133"/>
    </row>
    <row r="49" spans="1:6" ht="13.5">
      <c r="A49" s="129"/>
      <c r="B49" s="130" t="s">
        <v>230</v>
      </c>
      <c r="C49" s="129"/>
      <c r="D49" s="129"/>
      <c r="E49" s="133"/>
      <c r="F49" s="133"/>
    </row>
    <row r="50" spans="1:6" ht="13.5">
      <c r="A50" s="129"/>
      <c r="B50" s="135" t="s">
        <v>99</v>
      </c>
      <c r="C50" s="135" t="s">
        <v>100</v>
      </c>
      <c r="D50" s="135" t="s">
        <v>101</v>
      </c>
      <c r="E50" s="147" t="s">
        <v>238</v>
      </c>
      <c r="F50" s="147" t="s">
        <v>239</v>
      </c>
    </row>
    <row r="51" spans="1:6" ht="13.5">
      <c r="A51" s="129"/>
      <c r="B51" s="136" t="s">
        <v>240</v>
      </c>
      <c r="C51" s="136" t="s">
        <v>211</v>
      </c>
      <c r="D51" s="141" t="s">
        <v>242</v>
      </c>
      <c r="E51" s="138" t="s">
        <v>244</v>
      </c>
      <c r="F51" s="138" t="s">
        <v>244</v>
      </c>
    </row>
    <row r="52" spans="1:6" ht="13.5">
      <c r="A52" s="129"/>
      <c r="B52" s="136" t="s">
        <v>241</v>
      </c>
      <c r="C52" s="136" t="s">
        <v>211</v>
      </c>
      <c r="D52" s="141" t="s">
        <v>243</v>
      </c>
      <c r="E52" s="138" t="s">
        <v>244</v>
      </c>
      <c r="F52" s="138" t="s">
        <v>244</v>
      </c>
    </row>
    <row r="55" spans="1:6" ht="13.5">
      <c r="A55" s="129" t="s">
        <v>248</v>
      </c>
      <c r="B55" s="129"/>
      <c r="C55" s="130"/>
      <c r="D55" s="130"/>
      <c r="E55" s="131" t="s">
        <v>98</v>
      </c>
    </row>
    <row r="56" spans="1:6" ht="13.5">
      <c r="A56" s="129"/>
      <c r="B56" s="129" t="s">
        <v>183</v>
      </c>
      <c r="C56" s="132"/>
      <c r="D56" s="132"/>
      <c r="E56" s="133"/>
    </row>
    <row r="57" spans="1:6" ht="13.5">
      <c r="A57" s="134"/>
      <c r="B57" s="135" t="s">
        <v>99</v>
      </c>
      <c r="C57" s="135" t="s">
        <v>100</v>
      </c>
      <c r="D57" s="135" t="s">
        <v>101</v>
      </c>
      <c r="E57" s="147" t="s">
        <v>238</v>
      </c>
    </row>
    <row r="58" spans="1:6" ht="13.5">
      <c r="A58" s="134"/>
      <c r="B58" s="136" t="s">
        <v>184</v>
      </c>
      <c r="C58" s="137" t="s">
        <v>185</v>
      </c>
      <c r="D58" s="138"/>
      <c r="E58" s="138" t="s">
        <v>244</v>
      </c>
    </row>
    <row r="59" spans="1:6" ht="13.5">
      <c r="A59" s="134"/>
      <c r="B59" s="136" t="s">
        <v>186</v>
      </c>
      <c r="C59" s="137" t="s">
        <v>187</v>
      </c>
      <c r="D59" s="138"/>
      <c r="E59" s="138" t="s">
        <v>244</v>
      </c>
    </row>
    <row r="60" spans="1:6" ht="13.5">
      <c r="A60" s="134"/>
      <c r="B60" s="136" t="s">
        <v>188</v>
      </c>
      <c r="C60" s="137" t="s">
        <v>189</v>
      </c>
      <c r="D60" s="138"/>
      <c r="E60" s="138" t="s">
        <v>244</v>
      </c>
    </row>
    <row r="61" spans="1:6" ht="13.5">
      <c r="A61" s="134"/>
      <c r="B61" s="136" t="s">
        <v>190</v>
      </c>
      <c r="C61" s="137" t="s">
        <v>191</v>
      </c>
      <c r="D61" s="138"/>
      <c r="E61" s="138" t="s">
        <v>244</v>
      </c>
    </row>
    <row r="62" spans="1:6" ht="13.5">
      <c r="A62" s="134"/>
      <c r="B62" s="136" t="s">
        <v>192</v>
      </c>
      <c r="C62" s="137" t="s">
        <v>193</v>
      </c>
      <c r="D62" s="138"/>
      <c r="E62" s="138" t="s">
        <v>244</v>
      </c>
    </row>
    <row r="63" spans="1:6" ht="13.5">
      <c r="A63" s="134"/>
      <c r="B63" s="136" t="s">
        <v>246</v>
      </c>
      <c r="C63" s="137" t="s">
        <v>194</v>
      </c>
      <c r="D63" s="138"/>
      <c r="E63" s="138" t="s">
        <v>244</v>
      </c>
    </row>
    <row r="64" spans="1:6" ht="13.5">
      <c r="A64" s="134"/>
      <c r="B64" s="136" t="s">
        <v>118</v>
      </c>
      <c r="C64" s="137" t="s">
        <v>195</v>
      </c>
      <c r="D64" s="138"/>
      <c r="E64" s="138" t="s">
        <v>244</v>
      </c>
    </row>
    <row r="65" spans="1:5" ht="13.5">
      <c r="A65" s="134"/>
      <c r="B65" s="136" t="s">
        <v>196</v>
      </c>
      <c r="C65" s="137" t="s">
        <v>197</v>
      </c>
      <c r="D65" s="138"/>
      <c r="E65" s="138" t="s">
        <v>244</v>
      </c>
    </row>
    <row r="66" spans="1:5" ht="13.5">
      <c r="A66" s="134"/>
      <c r="B66" s="136" t="s">
        <v>198</v>
      </c>
      <c r="C66" s="137" t="s">
        <v>199</v>
      </c>
      <c r="D66" s="138"/>
      <c r="E66" s="138" t="s">
        <v>244</v>
      </c>
    </row>
    <row r="67" spans="1:5" ht="13.5">
      <c r="A67" s="134"/>
      <c r="B67" s="137" t="s">
        <v>247</v>
      </c>
      <c r="C67" s="137" t="s">
        <v>200</v>
      </c>
      <c r="D67" s="138"/>
      <c r="E67" s="138" t="s">
        <v>244</v>
      </c>
    </row>
    <row r="68" spans="1:5" ht="13.5">
      <c r="A68" s="129"/>
      <c r="B68" s="136" t="s">
        <v>190</v>
      </c>
      <c r="C68" s="136" t="s">
        <v>201</v>
      </c>
      <c r="D68" s="139"/>
      <c r="E68" s="138" t="s">
        <v>244</v>
      </c>
    </row>
    <row r="69" spans="1:5" ht="13.5">
      <c r="A69" s="129"/>
      <c r="B69" s="136" t="s">
        <v>202</v>
      </c>
      <c r="C69" s="136" t="s">
        <v>203</v>
      </c>
      <c r="D69" s="139"/>
      <c r="E69" s="138" t="s">
        <v>244</v>
      </c>
    </row>
    <row r="70" spans="1:5" ht="13.5">
      <c r="A70" s="129"/>
      <c r="B70" s="136" t="s">
        <v>204</v>
      </c>
      <c r="C70" s="136" t="s">
        <v>117</v>
      </c>
      <c r="D70" s="139"/>
      <c r="E70" s="138" t="s">
        <v>244</v>
      </c>
    </row>
    <row r="71" spans="1:5" ht="13.5">
      <c r="A71" s="129"/>
      <c r="B71" s="136" t="s">
        <v>205</v>
      </c>
      <c r="C71" s="136" t="s">
        <v>206</v>
      </c>
      <c r="D71" s="139"/>
      <c r="E71" s="138" t="s">
        <v>244</v>
      </c>
    </row>
    <row r="72" spans="1:5" ht="13.5">
      <c r="A72" s="129"/>
      <c r="B72" s="136" t="s">
        <v>207</v>
      </c>
      <c r="C72" s="136" t="s">
        <v>208</v>
      </c>
      <c r="D72" s="139"/>
      <c r="E72" s="138" t="s">
        <v>244</v>
      </c>
    </row>
    <row r="73" spans="1:5" ht="13.5">
      <c r="A73" s="129"/>
      <c r="B73" s="129"/>
      <c r="C73" s="129"/>
      <c r="D73" s="129"/>
      <c r="E73" s="133"/>
    </row>
    <row r="74" spans="1:5" ht="13.5">
      <c r="A74" s="129"/>
      <c r="B74" s="130" t="s">
        <v>230</v>
      </c>
      <c r="C74" s="129"/>
      <c r="D74" s="129"/>
      <c r="E74" s="133"/>
    </row>
    <row r="75" spans="1:5" ht="13.5">
      <c r="A75" s="129"/>
      <c r="B75" s="135" t="s">
        <v>99</v>
      </c>
      <c r="C75" s="135" t="s">
        <v>100</v>
      </c>
      <c r="D75" s="135" t="s">
        <v>101</v>
      </c>
      <c r="E75" s="147" t="s">
        <v>238</v>
      </c>
    </row>
    <row r="76" spans="1:5" ht="13.5">
      <c r="A76" s="129"/>
      <c r="B76" s="136" t="s">
        <v>210</v>
      </c>
      <c r="C76" s="136" t="s">
        <v>211</v>
      </c>
      <c r="D76" s="141" t="s">
        <v>212</v>
      </c>
      <c r="E76" s="138" t="s">
        <v>244</v>
      </c>
    </row>
    <row r="78" spans="1:5" s="129" customFormat="1" ht="13.5">
      <c r="A78" s="129" t="s">
        <v>182</v>
      </c>
      <c r="C78" s="130"/>
      <c r="D78" s="130"/>
      <c r="E78" s="131" t="s">
        <v>98</v>
      </c>
    </row>
    <row r="79" spans="1:5" s="129" customFormat="1" ht="13.5">
      <c r="B79" s="129" t="s">
        <v>183</v>
      </c>
      <c r="C79" s="132"/>
      <c r="D79" s="132"/>
      <c r="E79" s="133"/>
    </row>
    <row r="80" spans="1:5" s="129" customFormat="1" ht="13.5">
      <c r="A80" s="134"/>
      <c r="B80" s="135" t="s">
        <v>99</v>
      </c>
      <c r="C80" s="135" t="s">
        <v>100</v>
      </c>
      <c r="D80" s="135" t="s">
        <v>101</v>
      </c>
      <c r="E80" s="147"/>
    </row>
    <row r="81" spans="1:5" s="129" customFormat="1" ht="13.5">
      <c r="A81" s="134"/>
      <c r="B81" s="136" t="s">
        <v>184</v>
      </c>
      <c r="C81" s="137" t="s">
        <v>185</v>
      </c>
      <c r="D81" s="138"/>
      <c r="E81" s="138" t="s">
        <v>244</v>
      </c>
    </row>
    <row r="82" spans="1:5" s="129" customFormat="1" ht="13.5">
      <c r="A82" s="134"/>
      <c r="B82" s="136" t="s">
        <v>186</v>
      </c>
      <c r="C82" s="137" t="s">
        <v>187</v>
      </c>
      <c r="D82" s="138"/>
      <c r="E82" s="138" t="s">
        <v>244</v>
      </c>
    </row>
    <row r="83" spans="1:5" s="129" customFormat="1" ht="13.5">
      <c r="A83" s="134"/>
      <c r="B83" s="136" t="s">
        <v>188</v>
      </c>
      <c r="C83" s="137" t="s">
        <v>189</v>
      </c>
      <c r="D83" s="138"/>
      <c r="E83" s="138" t="s">
        <v>244</v>
      </c>
    </row>
    <row r="84" spans="1:5" s="129" customFormat="1" ht="13.5">
      <c r="A84" s="134"/>
      <c r="B84" s="136" t="s">
        <v>190</v>
      </c>
      <c r="C84" s="137" t="s">
        <v>191</v>
      </c>
      <c r="D84" s="138"/>
      <c r="E84" s="138" t="s">
        <v>244</v>
      </c>
    </row>
    <row r="85" spans="1:5" s="129" customFormat="1" ht="13.5">
      <c r="A85" s="134"/>
      <c r="B85" s="136" t="s">
        <v>192</v>
      </c>
      <c r="C85" s="137" t="s">
        <v>193</v>
      </c>
      <c r="D85" s="138"/>
      <c r="E85" s="138" t="s">
        <v>244</v>
      </c>
    </row>
    <row r="86" spans="1:5" s="129" customFormat="1" ht="13.5">
      <c r="A86" s="134"/>
      <c r="B86" s="136" t="s">
        <v>246</v>
      </c>
      <c r="C86" s="137" t="s">
        <v>194</v>
      </c>
      <c r="D86" s="138"/>
      <c r="E86" s="138" t="s">
        <v>244</v>
      </c>
    </row>
    <row r="87" spans="1:5" s="129" customFormat="1" ht="13.5">
      <c r="A87" s="134"/>
      <c r="B87" s="136" t="s">
        <v>118</v>
      </c>
      <c r="C87" s="137" t="s">
        <v>195</v>
      </c>
      <c r="D87" s="138"/>
      <c r="E87" s="138" t="s">
        <v>244</v>
      </c>
    </row>
    <row r="88" spans="1:5" s="129" customFormat="1" ht="13.5">
      <c r="A88" s="134"/>
      <c r="B88" s="136" t="s">
        <v>196</v>
      </c>
      <c r="C88" s="137" t="s">
        <v>197</v>
      </c>
      <c r="D88" s="138"/>
      <c r="E88" s="138" t="s">
        <v>244</v>
      </c>
    </row>
    <row r="89" spans="1:5" s="129" customFormat="1" ht="13.5">
      <c r="A89" s="134"/>
      <c r="B89" s="136" t="s">
        <v>198</v>
      </c>
      <c r="C89" s="137" t="s">
        <v>199</v>
      </c>
      <c r="D89" s="138"/>
      <c r="E89" s="138" t="s">
        <v>244</v>
      </c>
    </row>
    <row r="90" spans="1:5" s="129" customFormat="1" ht="13.5">
      <c r="A90" s="134"/>
      <c r="B90" s="137" t="s">
        <v>247</v>
      </c>
      <c r="C90" s="137" t="s">
        <v>200</v>
      </c>
      <c r="D90" s="138"/>
      <c r="E90" s="138" t="s">
        <v>244</v>
      </c>
    </row>
    <row r="91" spans="1:5" s="129" customFormat="1" ht="13.5">
      <c r="B91" s="136" t="s">
        <v>190</v>
      </c>
      <c r="C91" s="136" t="s">
        <v>201</v>
      </c>
      <c r="D91" s="139"/>
      <c r="E91" s="138" t="s">
        <v>244</v>
      </c>
    </row>
    <row r="92" spans="1:5" s="129" customFormat="1" ht="13.5">
      <c r="B92" s="136" t="s">
        <v>202</v>
      </c>
      <c r="C92" s="136" t="s">
        <v>203</v>
      </c>
      <c r="D92" s="139"/>
      <c r="E92" s="138" t="s">
        <v>244</v>
      </c>
    </row>
    <row r="93" spans="1:5" s="129" customFormat="1" ht="13.5">
      <c r="B93" s="136" t="s">
        <v>204</v>
      </c>
      <c r="C93" s="136" t="s">
        <v>117</v>
      </c>
      <c r="D93" s="139"/>
      <c r="E93" s="138" t="s">
        <v>244</v>
      </c>
    </row>
    <row r="94" spans="1:5" s="129" customFormat="1" ht="13.5">
      <c r="B94" s="136" t="s">
        <v>205</v>
      </c>
      <c r="C94" s="136" t="s">
        <v>206</v>
      </c>
      <c r="D94" s="139"/>
      <c r="E94" s="138" t="s">
        <v>244</v>
      </c>
    </row>
    <row r="95" spans="1:5" s="129" customFormat="1" ht="13.5">
      <c r="B95" s="136" t="s">
        <v>207</v>
      </c>
      <c r="C95" s="136" t="s">
        <v>208</v>
      </c>
      <c r="D95" s="139"/>
      <c r="E95" s="138" t="s">
        <v>244</v>
      </c>
    </row>
    <row r="96" spans="1:5" s="129" customFormat="1" ht="13.5">
      <c r="E96" s="133"/>
    </row>
    <row r="97" spans="1:5" s="129" customFormat="1" ht="13.5">
      <c r="B97" s="130" t="s">
        <v>209</v>
      </c>
      <c r="E97" s="133"/>
    </row>
    <row r="98" spans="1:5" s="129" customFormat="1" ht="13.5">
      <c r="B98" s="135" t="s">
        <v>99</v>
      </c>
      <c r="C98" s="135" t="s">
        <v>100</v>
      </c>
      <c r="D98" s="135" t="s">
        <v>101</v>
      </c>
      <c r="E98" s="140"/>
    </row>
    <row r="99" spans="1:5" s="129" customFormat="1" ht="13.5">
      <c r="B99" s="136" t="s">
        <v>210</v>
      </c>
      <c r="C99" s="136" t="s">
        <v>211</v>
      </c>
      <c r="D99" s="141" t="s">
        <v>212</v>
      </c>
      <c r="E99" s="138" t="s">
        <v>244</v>
      </c>
    </row>
    <row r="100" spans="1:5" s="129" customFormat="1" ht="13.5">
      <c r="B100" s="136" t="s">
        <v>213</v>
      </c>
      <c r="C100" s="136" t="s">
        <v>214</v>
      </c>
      <c r="D100" s="138"/>
      <c r="E100" s="138" t="s">
        <v>244</v>
      </c>
    </row>
    <row r="101" spans="1:5" s="129" customFormat="1" ht="27">
      <c r="B101" s="136" t="s">
        <v>215</v>
      </c>
      <c r="C101" s="136" t="s">
        <v>216</v>
      </c>
      <c r="D101" s="141" t="s">
        <v>217</v>
      </c>
      <c r="E101" s="148"/>
    </row>
    <row r="102" spans="1:5" s="129" customFormat="1" ht="13.5">
      <c r="B102" s="136" t="s">
        <v>218</v>
      </c>
      <c r="C102" s="136" t="s">
        <v>219</v>
      </c>
      <c r="D102" s="138"/>
      <c r="E102" s="148"/>
    </row>
    <row r="103" spans="1:5" s="129" customFormat="1" ht="13.5">
      <c r="B103" s="136" t="s">
        <v>220</v>
      </c>
      <c r="C103" s="136" t="s">
        <v>221</v>
      </c>
      <c r="D103" s="138"/>
      <c r="E103" s="148"/>
    </row>
    <row r="104" spans="1:5" s="129" customFormat="1" ht="13.5">
      <c r="B104" s="136" t="s">
        <v>222</v>
      </c>
      <c r="C104" s="136" t="s">
        <v>223</v>
      </c>
      <c r="D104" s="138"/>
      <c r="E104" s="148"/>
    </row>
    <row r="105" spans="1:5" s="129" customFormat="1" ht="13.5">
      <c r="B105" s="136" t="s">
        <v>224</v>
      </c>
      <c r="C105" s="136" t="s">
        <v>225</v>
      </c>
      <c r="D105" s="138"/>
      <c r="E105" s="148"/>
    </row>
    <row r="107" spans="1:5" s="129" customFormat="1" ht="13.5">
      <c r="A107" s="129" t="s">
        <v>249</v>
      </c>
      <c r="C107" s="130"/>
      <c r="D107" s="130"/>
      <c r="E107" s="131" t="s">
        <v>98</v>
      </c>
    </row>
    <row r="108" spans="1:5" s="129" customFormat="1" ht="13.5">
      <c r="B108" s="129" t="s">
        <v>183</v>
      </c>
      <c r="C108" s="132"/>
      <c r="D108" s="132"/>
      <c r="E108" s="133"/>
    </row>
    <row r="109" spans="1:5" s="129" customFormat="1" ht="13.5">
      <c r="A109" s="134"/>
      <c r="B109" s="135" t="s">
        <v>99</v>
      </c>
      <c r="C109" s="135" t="s">
        <v>100</v>
      </c>
      <c r="D109" s="135" t="s">
        <v>101</v>
      </c>
      <c r="E109" s="147"/>
    </row>
    <row r="110" spans="1:5" s="129" customFormat="1" ht="13.5">
      <c r="A110" s="134"/>
      <c r="B110" s="136" t="s">
        <v>184</v>
      </c>
      <c r="C110" s="137" t="s">
        <v>185</v>
      </c>
      <c r="D110" s="138"/>
      <c r="E110" s="138" t="s">
        <v>244</v>
      </c>
    </row>
    <row r="111" spans="1:5" s="129" customFormat="1" ht="13.5">
      <c r="A111" s="134"/>
      <c r="B111" s="136" t="s">
        <v>186</v>
      </c>
      <c r="C111" s="137" t="s">
        <v>187</v>
      </c>
      <c r="D111" s="138"/>
      <c r="E111" s="138" t="s">
        <v>244</v>
      </c>
    </row>
    <row r="112" spans="1:5" s="129" customFormat="1" ht="13.5">
      <c r="A112" s="134"/>
      <c r="B112" s="136" t="s">
        <v>188</v>
      </c>
      <c r="C112" s="137" t="s">
        <v>189</v>
      </c>
      <c r="D112" s="138"/>
      <c r="E112" s="138" t="s">
        <v>244</v>
      </c>
    </row>
    <row r="113" spans="1:5" s="129" customFormat="1" ht="13.5">
      <c r="A113" s="134"/>
      <c r="B113" s="136" t="s">
        <v>190</v>
      </c>
      <c r="C113" s="137" t="s">
        <v>191</v>
      </c>
      <c r="D113" s="138"/>
      <c r="E113" s="138" t="s">
        <v>244</v>
      </c>
    </row>
    <row r="114" spans="1:5" s="129" customFormat="1" ht="13.5">
      <c r="A114" s="134"/>
      <c r="B114" s="136" t="s">
        <v>192</v>
      </c>
      <c r="C114" s="137" t="s">
        <v>193</v>
      </c>
      <c r="D114" s="138"/>
      <c r="E114" s="138" t="s">
        <v>244</v>
      </c>
    </row>
    <row r="115" spans="1:5" s="129" customFormat="1" ht="13.5">
      <c r="A115" s="134"/>
      <c r="B115" s="136" t="s">
        <v>246</v>
      </c>
      <c r="C115" s="137" t="s">
        <v>194</v>
      </c>
      <c r="D115" s="138"/>
      <c r="E115" s="138" t="s">
        <v>244</v>
      </c>
    </row>
    <row r="116" spans="1:5" s="129" customFormat="1" ht="13.5">
      <c r="A116" s="134"/>
      <c r="B116" s="136" t="s">
        <v>118</v>
      </c>
      <c r="C116" s="137" t="s">
        <v>195</v>
      </c>
      <c r="D116" s="138"/>
      <c r="E116" s="138" t="s">
        <v>244</v>
      </c>
    </row>
    <row r="117" spans="1:5" s="129" customFormat="1" ht="13.5">
      <c r="A117" s="134"/>
      <c r="B117" s="136" t="s">
        <v>196</v>
      </c>
      <c r="C117" s="137" t="s">
        <v>197</v>
      </c>
      <c r="D117" s="138"/>
      <c r="E117" s="138" t="s">
        <v>244</v>
      </c>
    </row>
    <row r="118" spans="1:5" s="129" customFormat="1" ht="13.5">
      <c r="A118" s="134"/>
      <c r="B118" s="136" t="s">
        <v>198</v>
      </c>
      <c r="C118" s="137" t="s">
        <v>199</v>
      </c>
      <c r="D118" s="138"/>
      <c r="E118" s="138" t="s">
        <v>244</v>
      </c>
    </row>
    <row r="119" spans="1:5" s="129" customFormat="1" ht="13.5">
      <c r="A119" s="134"/>
      <c r="B119" s="137" t="s">
        <v>247</v>
      </c>
      <c r="C119" s="137" t="s">
        <v>200</v>
      </c>
      <c r="D119" s="138"/>
      <c r="E119" s="138" t="s">
        <v>244</v>
      </c>
    </row>
    <row r="120" spans="1:5" s="129" customFormat="1" ht="13.5">
      <c r="B120" s="136" t="s">
        <v>190</v>
      </c>
      <c r="C120" s="136" t="s">
        <v>201</v>
      </c>
      <c r="D120" s="139"/>
      <c r="E120" s="138" t="s">
        <v>244</v>
      </c>
    </row>
    <row r="121" spans="1:5" s="129" customFormat="1" ht="13.5">
      <c r="B121" s="136" t="s">
        <v>202</v>
      </c>
      <c r="C121" s="136" t="s">
        <v>203</v>
      </c>
      <c r="D121" s="139"/>
      <c r="E121" s="138" t="s">
        <v>244</v>
      </c>
    </row>
    <row r="122" spans="1:5" s="129" customFormat="1" ht="13.5">
      <c r="B122" s="136" t="s">
        <v>204</v>
      </c>
      <c r="C122" s="136" t="s">
        <v>117</v>
      </c>
      <c r="D122" s="139"/>
      <c r="E122" s="138" t="s">
        <v>244</v>
      </c>
    </row>
    <row r="123" spans="1:5" s="129" customFormat="1" ht="13.5">
      <c r="B123" s="136" t="s">
        <v>205</v>
      </c>
      <c r="C123" s="136" t="s">
        <v>206</v>
      </c>
      <c r="D123" s="139"/>
      <c r="E123" s="138" t="s">
        <v>244</v>
      </c>
    </row>
    <row r="124" spans="1:5" s="129" customFormat="1" ht="13.5">
      <c r="B124" s="136" t="s">
        <v>207</v>
      </c>
      <c r="C124" s="136" t="s">
        <v>208</v>
      </c>
      <c r="D124" s="139"/>
      <c r="E124" s="138" t="s">
        <v>244</v>
      </c>
    </row>
    <row r="125" spans="1:5" s="129" customFormat="1" ht="13.5">
      <c r="E125" s="133"/>
    </row>
    <row r="126" spans="1:5" s="129" customFormat="1" ht="13.5">
      <c r="B126" s="130" t="s">
        <v>209</v>
      </c>
      <c r="E126" s="133"/>
    </row>
    <row r="127" spans="1:5" s="129" customFormat="1" ht="13.5">
      <c r="B127" s="135" t="s">
        <v>99</v>
      </c>
      <c r="C127" s="135" t="s">
        <v>100</v>
      </c>
      <c r="D127" s="135" t="s">
        <v>101</v>
      </c>
      <c r="E127" s="140"/>
    </row>
    <row r="128" spans="1:5" s="129" customFormat="1" ht="13.5">
      <c r="B128" s="136" t="s">
        <v>210</v>
      </c>
      <c r="C128" s="136" t="s">
        <v>211</v>
      </c>
      <c r="D128" s="141" t="s">
        <v>212</v>
      </c>
      <c r="E128" s="138" t="s">
        <v>244</v>
      </c>
    </row>
    <row r="129" spans="2:5" s="129" customFormat="1" ht="13.5">
      <c r="B129" s="136" t="s">
        <v>213</v>
      </c>
      <c r="C129" s="136" t="s">
        <v>214</v>
      </c>
      <c r="D129" s="138"/>
      <c r="E129" s="138" t="s">
        <v>244</v>
      </c>
    </row>
    <row r="130" spans="2:5" s="129" customFormat="1" ht="13.5">
      <c r="B130" s="136" t="s">
        <v>250</v>
      </c>
      <c r="C130" s="136" t="s">
        <v>251</v>
      </c>
      <c r="D130" s="141"/>
      <c r="E130" s="148"/>
    </row>
    <row r="131" spans="2:5" s="129" customFormat="1" ht="13.5">
      <c r="B131" s="136" t="s">
        <v>252</v>
      </c>
      <c r="C131" s="136" t="s">
        <v>253</v>
      </c>
      <c r="D131" s="138"/>
      <c r="E131" s="148"/>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10" t="s">
        <v>4</v>
      </c>
      <c r="C6" s="211" t="s">
        <v>30</v>
      </c>
      <c r="D6" s="211" t="s">
        <v>56</v>
      </c>
      <c r="E6" s="57"/>
      <c r="F6" s="212" t="s">
        <v>7</v>
      </c>
      <c r="G6" s="213"/>
      <c r="H6" s="196" t="s">
        <v>12</v>
      </c>
      <c r="I6" s="196"/>
      <c r="J6" s="196"/>
      <c r="K6" s="193" t="s">
        <v>14</v>
      </c>
      <c r="L6" s="193"/>
      <c r="M6" s="193"/>
      <c r="N6" s="214"/>
      <c r="O6" s="214"/>
      <c r="P6" s="214"/>
    </row>
    <row r="7" spans="1:17">
      <c r="B7" s="200"/>
      <c r="C7" s="195"/>
      <c r="D7" s="195"/>
      <c r="E7" s="58"/>
      <c r="F7" s="205"/>
      <c r="G7" s="206"/>
      <c r="H7" s="45" t="s">
        <v>8</v>
      </c>
      <c r="I7" s="45" t="s">
        <v>9</v>
      </c>
      <c r="J7" s="45" t="s">
        <v>10</v>
      </c>
      <c r="K7" s="30"/>
      <c r="L7" s="32"/>
      <c r="M7" s="33"/>
      <c r="N7" s="44"/>
      <c r="O7" s="44"/>
      <c r="P7" s="44"/>
      <c r="Q7" s="3" t="s">
        <v>23</v>
      </c>
    </row>
    <row r="8" spans="1:17">
      <c r="B8" s="38" t="s">
        <v>15</v>
      </c>
      <c r="C8" s="29" t="s">
        <v>31</v>
      </c>
      <c r="D8" s="28" t="s">
        <v>33</v>
      </c>
      <c r="E8" s="39"/>
      <c r="F8" s="197" t="s">
        <v>28</v>
      </c>
      <c r="G8" s="198"/>
      <c r="H8" s="53"/>
      <c r="I8" s="54"/>
      <c r="J8" s="53"/>
      <c r="K8" s="39"/>
      <c r="L8" s="34"/>
      <c r="M8" s="35"/>
      <c r="N8" s="44"/>
      <c r="O8" s="44"/>
      <c r="P8" s="44"/>
      <c r="Q8" s="3" t="s">
        <v>24</v>
      </c>
    </row>
    <row r="9" spans="1:17">
      <c r="B9" s="16"/>
      <c r="C9" s="40"/>
      <c r="D9" s="29" t="s">
        <v>33</v>
      </c>
      <c r="E9" s="49"/>
      <c r="F9" s="215" t="s">
        <v>29</v>
      </c>
      <c r="G9" s="216"/>
      <c r="H9" s="47"/>
      <c r="I9" s="48"/>
      <c r="J9" s="47"/>
      <c r="K9" s="49"/>
      <c r="L9" s="55"/>
      <c r="M9" s="56"/>
      <c r="N9" s="44"/>
      <c r="O9" s="44"/>
      <c r="P9" s="44"/>
      <c r="Q9" s="3" t="s">
        <v>25</v>
      </c>
    </row>
    <row r="10" spans="1:17" s="15" customFormat="1">
      <c r="B10" s="38" t="s">
        <v>16</v>
      </c>
      <c r="C10" s="46" t="s">
        <v>32</v>
      </c>
      <c r="D10" s="18" t="s">
        <v>35</v>
      </c>
      <c r="E10" s="59"/>
      <c r="F10" s="197" t="s">
        <v>36</v>
      </c>
      <c r="G10" s="217"/>
      <c r="H10" s="53"/>
      <c r="I10" s="54"/>
      <c r="J10" s="53"/>
      <c r="K10" s="31"/>
      <c r="L10" s="36"/>
      <c r="M10" s="37"/>
      <c r="N10" s="1"/>
      <c r="O10" s="1"/>
      <c r="P10" s="1"/>
      <c r="Q10" s="3" t="s">
        <v>26</v>
      </c>
    </row>
    <row r="11" spans="1:17" s="15" customFormat="1">
      <c r="B11" s="16"/>
      <c r="C11" s="17"/>
      <c r="D11" s="18" t="s">
        <v>37</v>
      </c>
      <c r="E11" s="59"/>
      <c r="F11" s="197" t="s">
        <v>38</v>
      </c>
      <c r="G11" s="217"/>
      <c r="H11" s="19"/>
      <c r="I11" s="20"/>
      <c r="J11" s="19"/>
      <c r="K11" s="31"/>
      <c r="L11" s="36"/>
      <c r="M11" s="37"/>
      <c r="N11" s="1"/>
      <c r="O11" s="1"/>
      <c r="P11" s="1"/>
      <c r="Q11" s="3" t="s">
        <v>27</v>
      </c>
    </row>
    <row r="12" spans="1:17" s="15" customFormat="1" ht="27" customHeight="1">
      <c r="B12" s="16"/>
      <c r="C12" s="17"/>
      <c r="D12" s="18" t="s">
        <v>39</v>
      </c>
      <c r="E12" s="59"/>
      <c r="F12" s="197" t="s">
        <v>40</v>
      </c>
      <c r="G12" s="198"/>
      <c r="H12" s="19"/>
      <c r="I12" s="20"/>
      <c r="J12" s="19"/>
      <c r="K12" s="31"/>
      <c r="L12" s="36"/>
      <c r="M12" s="37"/>
      <c r="N12" s="1"/>
      <c r="O12" s="1"/>
      <c r="P12" s="1"/>
      <c r="Q12" s="15" t="s">
        <v>61</v>
      </c>
    </row>
    <row r="13" spans="1:17" s="15" customFormat="1" ht="27" customHeight="1">
      <c r="B13" s="16"/>
      <c r="C13" s="17"/>
      <c r="D13" s="18" t="s">
        <v>41</v>
      </c>
      <c r="E13" s="59"/>
      <c r="F13" s="197" t="s">
        <v>44</v>
      </c>
      <c r="G13" s="198"/>
      <c r="H13" s="19"/>
      <c r="I13" s="20"/>
      <c r="J13" s="19"/>
      <c r="K13" s="39"/>
      <c r="L13" s="36"/>
      <c r="M13" s="37"/>
      <c r="N13" s="1"/>
      <c r="O13" s="1"/>
      <c r="P13" s="1"/>
    </row>
    <row r="14" spans="1:17" s="15" customFormat="1" ht="27" customHeight="1">
      <c r="B14" s="21"/>
      <c r="C14" s="22"/>
      <c r="D14" s="18" t="s">
        <v>42</v>
      </c>
      <c r="E14" s="59"/>
      <c r="F14" s="197" t="s">
        <v>43</v>
      </c>
      <c r="G14" s="198"/>
      <c r="H14" s="19"/>
      <c r="I14" s="20"/>
      <c r="J14" s="19"/>
      <c r="K14" s="31"/>
      <c r="L14" s="36"/>
      <c r="M14" s="37"/>
      <c r="N14" s="1"/>
      <c r="O14" s="1"/>
      <c r="P14" s="1"/>
    </row>
    <row r="15" spans="1:17" s="15" customFormat="1" ht="27" customHeight="1">
      <c r="B15" s="41" t="s">
        <v>18</v>
      </c>
      <c r="C15" s="18" t="s">
        <v>45</v>
      </c>
      <c r="D15" s="18" t="s">
        <v>46</v>
      </c>
      <c r="E15" s="59"/>
      <c r="F15" s="197" t="s">
        <v>47</v>
      </c>
      <c r="G15" s="217"/>
      <c r="H15" s="53"/>
      <c r="I15" s="54"/>
      <c r="J15" s="53"/>
      <c r="K15" s="31"/>
      <c r="L15" s="36"/>
      <c r="M15" s="37"/>
      <c r="N15" s="1"/>
      <c r="O15" s="1"/>
      <c r="P15" s="1"/>
    </row>
    <row r="16" spans="1:17" s="15" customFormat="1" ht="27" customHeight="1">
      <c r="B16" s="41" t="s">
        <v>19</v>
      </c>
      <c r="C16" s="18" t="s">
        <v>48</v>
      </c>
      <c r="D16" s="18" t="s">
        <v>49</v>
      </c>
      <c r="E16" s="59"/>
      <c r="F16" s="197" t="s">
        <v>50</v>
      </c>
      <c r="G16" s="217"/>
      <c r="H16" s="54"/>
      <c r="I16" s="54"/>
      <c r="J16" s="53"/>
      <c r="K16" s="31"/>
      <c r="L16" s="36"/>
      <c r="M16" s="37"/>
      <c r="N16" s="1"/>
      <c r="O16" s="1"/>
      <c r="P16" s="1"/>
    </row>
    <row r="17" spans="2:16" s="15" customFormat="1" ht="27" customHeight="1">
      <c r="B17" s="21" t="s">
        <v>20</v>
      </c>
      <c r="C17" s="18" t="s">
        <v>51</v>
      </c>
      <c r="D17" s="18" t="s">
        <v>52</v>
      </c>
      <c r="E17" s="60"/>
      <c r="F17" s="218" t="s">
        <v>53</v>
      </c>
      <c r="G17" s="219"/>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10" t="s">
        <v>4</v>
      </c>
      <c r="C22" s="211" t="s">
        <v>30</v>
      </c>
      <c r="D22" s="211" t="s">
        <v>34</v>
      </c>
      <c r="E22" s="211" t="s">
        <v>58</v>
      </c>
      <c r="F22" s="212" t="s">
        <v>7</v>
      </c>
      <c r="G22" s="213"/>
      <c r="H22" s="196" t="s">
        <v>12</v>
      </c>
      <c r="I22" s="196"/>
      <c r="J22" s="196"/>
      <c r="K22" s="193" t="s">
        <v>14</v>
      </c>
      <c r="L22" s="193"/>
      <c r="M22" s="193"/>
    </row>
    <row r="23" spans="2:16">
      <c r="B23" s="200"/>
      <c r="C23" s="195"/>
      <c r="D23" s="195"/>
      <c r="E23" s="195"/>
      <c r="F23" s="205"/>
      <c r="G23" s="206"/>
      <c r="H23" s="45" t="s">
        <v>8</v>
      </c>
      <c r="I23" s="45" t="s">
        <v>9</v>
      </c>
      <c r="J23" s="45" t="s">
        <v>10</v>
      </c>
      <c r="K23" s="30"/>
      <c r="L23" s="32"/>
      <c r="M23" s="33"/>
    </row>
    <row r="24" spans="2:16" ht="40.5">
      <c r="B24" s="38" t="s">
        <v>15</v>
      </c>
      <c r="C24" s="29" t="s">
        <v>55</v>
      </c>
      <c r="D24" s="42" t="s">
        <v>57</v>
      </c>
      <c r="E24" s="43" t="s">
        <v>59</v>
      </c>
      <c r="F24" s="197" t="s">
        <v>60</v>
      </c>
      <c r="G24" s="198"/>
      <c r="H24" s="53"/>
      <c r="I24" s="54"/>
      <c r="J24" s="53"/>
      <c r="K24" s="39"/>
      <c r="L24" s="34"/>
      <c r="M24" s="35"/>
    </row>
    <row r="25" spans="2:16">
      <c r="B25" s="41" t="s">
        <v>16</v>
      </c>
      <c r="C25" s="18"/>
      <c r="D25" s="18"/>
      <c r="E25" s="59"/>
      <c r="F25" s="197"/>
      <c r="G25" s="217"/>
      <c r="H25" s="53"/>
      <c r="I25" s="54"/>
      <c r="J25" s="53"/>
      <c r="K25" s="31"/>
      <c r="L25" s="36"/>
      <c r="M25" s="37"/>
    </row>
    <row r="26" spans="2:16">
      <c r="B26" s="41"/>
      <c r="C26" s="18"/>
      <c r="D26" s="18"/>
      <c r="E26" s="59"/>
      <c r="F26" s="197"/>
      <c r="G26" s="217"/>
      <c r="H26" s="19"/>
      <c r="I26" s="20"/>
      <c r="J26" s="19"/>
      <c r="K26" s="31"/>
      <c r="L26" s="36"/>
      <c r="M26" s="37"/>
    </row>
    <row r="27" spans="2:16">
      <c r="B27" s="41"/>
      <c r="C27" s="18"/>
      <c r="D27" s="18"/>
      <c r="E27" s="59"/>
      <c r="F27" s="197"/>
      <c r="G27" s="198"/>
      <c r="H27" s="19"/>
      <c r="I27" s="20"/>
      <c r="J27" s="19"/>
      <c r="K27" s="31"/>
      <c r="L27" s="36"/>
      <c r="M27" s="37"/>
    </row>
    <row r="28" spans="2:16">
      <c r="B28" s="41"/>
      <c r="C28" s="18"/>
      <c r="D28" s="18"/>
      <c r="E28" s="59"/>
      <c r="F28" s="197"/>
      <c r="G28" s="198"/>
      <c r="H28" s="19"/>
      <c r="I28" s="20"/>
      <c r="J28" s="19"/>
      <c r="K28" s="39"/>
      <c r="L28" s="36"/>
      <c r="M28" s="37"/>
    </row>
    <row r="29" spans="2:16">
      <c r="B29" s="41"/>
      <c r="C29" s="18"/>
      <c r="D29" s="18"/>
      <c r="E29" s="59"/>
      <c r="F29" s="197"/>
      <c r="G29" s="198"/>
      <c r="H29" s="19"/>
      <c r="I29" s="20"/>
      <c r="J29" s="19"/>
      <c r="K29" s="31"/>
      <c r="L29" s="36"/>
      <c r="M29" s="37"/>
    </row>
    <row r="30" spans="2:16">
      <c r="B30" s="41" t="s">
        <v>18</v>
      </c>
      <c r="C30" s="18"/>
      <c r="D30" s="18"/>
      <c r="E30" s="59"/>
      <c r="F30" s="197"/>
      <c r="G30" s="217"/>
      <c r="H30" s="53"/>
      <c r="I30" s="54"/>
      <c r="J30" s="53"/>
      <c r="K30" s="31"/>
      <c r="L30" s="36"/>
      <c r="M30" s="37"/>
    </row>
    <row r="31" spans="2:16">
      <c r="B31" s="41" t="s">
        <v>19</v>
      </c>
      <c r="C31" s="18"/>
      <c r="D31" s="18"/>
      <c r="E31" s="59"/>
      <c r="F31" s="197"/>
      <c r="G31" s="217"/>
      <c r="H31" s="54"/>
      <c r="I31" s="54"/>
      <c r="J31" s="53"/>
      <c r="K31" s="31"/>
      <c r="L31" s="36"/>
      <c r="M31" s="37"/>
    </row>
    <row r="32" spans="2:16">
      <c r="B32" s="21" t="s">
        <v>20</v>
      </c>
      <c r="C32" s="18"/>
      <c r="D32" s="18"/>
      <c r="E32" s="60"/>
      <c r="F32" s="218"/>
      <c r="G32" s="219"/>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2019-01-09T07:12:20Z</dcterms:modified>
</cp:coreProperties>
</file>