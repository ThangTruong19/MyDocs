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テスト項目!$B$7:$U$118</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テスト項目!$A$1:$J$105</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4" i="19" l="1"/>
  <c r="B18" i="19" l="1"/>
  <c r="B17" i="19"/>
  <c r="B16" i="19"/>
  <c r="B15" i="19"/>
  <c r="B14" i="19"/>
  <c r="B12" i="19"/>
  <c r="B11" i="19"/>
  <c r="B13" i="19" l="1"/>
  <c r="Q4" i="19" l="1"/>
  <c r="Q3" i="19"/>
  <c r="Q2" i="19"/>
  <c r="P4" i="19" l="1"/>
  <c r="O4" i="19"/>
  <c r="P3" i="19"/>
  <c r="O3" i="19"/>
  <c r="N3" i="19"/>
  <c r="P2" i="19"/>
  <c r="O2" i="19"/>
  <c r="N2" i="19"/>
  <c r="B100" i="19" l="1"/>
  <c r="B99" i="19"/>
  <c r="B98" i="19"/>
  <c r="B97" i="19"/>
  <c r="B96" i="19"/>
  <c r="B10"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101" i="19"/>
  <c r="B102" i="19"/>
  <c r="B103" i="19"/>
  <c r="B104" i="19"/>
  <c r="B105" i="19"/>
  <c r="B9" i="19"/>
  <c r="M20" i="14"/>
  <c r="L20" i="14"/>
  <c r="K20" i="14"/>
  <c r="H20" i="14" s="1"/>
  <c r="N4" i="14"/>
  <c r="M4" i="14"/>
  <c r="L4" i="14"/>
  <c r="L3" i="14" s="1"/>
  <c r="H3" i="14" s="1"/>
  <c r="K4" i="14"/>
  <c r="H4" i="14" s="1"/>
  <c r="N3" i="14"/>
  <c r="M3" i="14"/>
  <c r="J3" i="14"/>
  <c r="I3" i="14"/>
  <c r="J3" i="19"/>
  <c r="I3" i="19"/>
  <c r="H3" i="19"/>
  <c r="K3" i="14" l="1"/>
  <c r="G3" i="14" s="1"/>
  <c r="M4" i="19"/>
  <c r="M3" i="19"/>
  <c r="M2" i="19"/>
  <c r="G3" i="19" l="1"/>
</calcChain>
</file>

<file path=xl/sharedStrings.xml><?xml version="1.0" encoding="utf-8"?>
<sst xmlns="http://schemas.openxmlformats.org/spreadsheetml/2006/main" count="848" uniqueCount="401">
  <si>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</si>
  <si>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</si>
  <si>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</si>
  <si>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</si>
  <si>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</si>
  <si>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</si>
  <si>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</si>
  <si>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</si>
  <si>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</si>
  <si>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</si>
  <si>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</si>
  <si>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</si>
  <si>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</si>
  <si>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</si>
  <si>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</si>
  <si>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</si>
  <si>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</si>
  <si>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</si>
  <si>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</si>
  <si>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</si>
  <si>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</si>
  <si>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</si>
  <si>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</si>
  <si>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</si>
  <si>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</si>
  <si>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</si>
  <si>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</si>
  <si>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</si>
  <si>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</si>
  <si>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</si>
  <si>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</si>
  <si>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</si>
  <si>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</si>
  <si>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</si>
  <si>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</si>
  <si>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</si>
  <si>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</si>
  <si>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</si>
  <si>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</si>
  <si>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</si>
  <si>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</si>
  <si>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</si>
  <si>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</si>
  <si>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</si>
  <si>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</si>
  <si>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</si>
  <si>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</si>
  <si>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</si>
  <si>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</si>
  <si>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</si>
  <si>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</si>
  <si>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</si>
  <si>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</si>
  <si>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</si>
  <si>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</si>
  <si>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</si>
  <si>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</si>
  <si>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</si>
  <si>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</si>
  <si>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</si>
  <si>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</si>
  <si>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</si>
  <si>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</si>
  <si>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</si>
  <si>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</si>
  <si>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</si>
  <si>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</si>
  <si>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</si>
  <si>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</si>
  <si>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</si>
  <si>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</si>
  <si>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</si>
  <si>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</si>
  <si>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</si>
  <si>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</si>
  <si>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</si>
  <si>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</si>
  <si>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</si>
  <si>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</si>
  <si>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</si>
  <si>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</si>
  <si>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</si>
  <si>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</si>
  <si>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</si>
  <si>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</si>
  <si>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</si>
  <si>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</si>
  <si>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</si>
  <si>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</si>
  <si>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</si>
  <si>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</si>
  <si>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</si>
  <si>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</si>
  <si>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</si>
  <si>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</si>
  <si>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</si>
  <si>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</si>
  <si>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リクエストパラメータチェックシート</t>
    <phoneticPr fontId="28"/>
  </si>
  <si>
    <t>チェック欄</t>
    <rPh sb="4" eb="5">
      <t>ラン</t>
    </rPh>
    <phoneticPr fontId="28"/>
  </si>
  <si>
    <t>パラメータ名</t>
    <rPh sb="5" eb="6">
      <t>メイ</t>
    </rPh>
    <phoneticPr fontId="28"/>
  </si>
  <si>
    <t>論理名</t>
    <rPh sb="0" eb="2">
      <t>ロンリ</t>
    </rPh>
    <rPh sb="2" eb="3">
      <t>メイ</t>
    </rPh>
    <phoneticPr fontId="28"/>
  </si>
  <si>
    <t>備考</t>
    <rPh sb="0" eb="2">
      <t>ビコウ</t>
    </rPh>
    <phoneticPr fontId="28"/>
  </si>
  <si>
    <t>画面サイズを変更して表示した際、JSエラーなく表示されること</t>
    <rPh sb="0" eb="2">
      <t>ガメン</t>
    </rPh>
    <rPh sb="6" eb="8">
      <t>ヘンコウ</t>
    </rPh>
    <rPh sb="10" eb="12">
      <t>ヒョウジ</t>
    </rPh>
    <rPh sb="14" eb="15">
      <t>サイ</t>
    </rPh>
    <phoneticPr fontId="47"/>
  </si>
  <si>
    <t>想定外操作</t>
    <rPh sb="0" eb="2">
      <t>ソウテイ</t>
    </rPh>
    <rPh sb="2" eb="3">
      <t>ガイ</t>
    </rPh>
    <rPh sb="3" eb="5">
      <t>ソウサ</t>
    </rPh>
    <phoneticPr fontId="28"/>
  </si>
  <si>
    <t>URL直叩き</t>
    <rPh sb="3" eb="4">
      <t>チョク</t>
    </rPh>
    <rPh sb="4" eb="5">
      <t>タタ</t>
    </rPh>
    <phoneticPr fontId="28"/>
  </si>
  <si>
    <t>User Authentication Failedが表示されるエラー画面へ遷移すること</t>
    <rPh sb="27" eb="29">
      <t>ヒョウジ</t>
    </rPh>
    <rPh sb="35" eb="37">
      <t>ガメン</t>
    </rPh>
    <rPh sb="38" eb="40">
      <t>センイ</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</si>
  <si>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</si>
  <si>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</si>
  <si>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</si>
  <si>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ブラウザ再起動</t>
    <rPh sb="4" eb="7">
      <t>サイキドウ</t>
    </rPh>
    <phoneticPr fontId="47"/>
  </si>
  <si>
    <t>権限のないＵＲＬのメニューを実行</t>
  </si>
  <si>
    <t>タブブラウザのセッション復元機能によるページ呼び出し</t>
  </si>
  <si>
    <t>各メニュー項目連打</t>
    <rPh sb="0" eb="1">
      <t>カク</t>
    </rPh>
    <rPh sb="5" eb="7">
      <t>コウモク</t>
    </rPh>
    <rPh sb="7" eb="9">
      <t>レンダ</t>
    </rPh>
    <phoneticPr fontId="28"/>
  </si>
  <si>
    <t>１度押したら、LOADING画像が表示されること</t>
    <phoneticPr fontId="28"/>
  </si>
  <si>
    <t>画面表示</t>
    <rPh sb="0" eb="2">
      <t>ガメン</t>
    </rPh>
    <rPh sb="2" eb="4">
      <t>ヒョウジ</t>
    </rPh>
    <phoneticPr fontId="28"/>
  </si>
  <si>
    <t>有効・無効化</t>
    <rPh sb="0" eb="2">
      <t>ユウコウ</t>
    </rPh>
    <rPh sb="3" eb="6">
      <t>ムコウカ</t>
    </rPh>
    <phoneticPr fontId="28"/>
  </si>
  <si>
    <t>リクエストパラメータ確認</t>
    <rPh sb="10" eb="12">
      <t>カクニン</t>
    </rPh>
    <phoneticPr fontId="28"/>
  </si>
  <si>
    <t>ヘッダタブメニュー</t>
    <phoneticPr fontId="28"/>
  </si>
  <si>
    <t>［プロファイル］タブへ画面遷移</t>
    <rPh sb="11" eb="13">
      <t>ガメン</t>
    </rPh>
    <rPh sb="13" eb="15">
      <t>センイ</t>
    </rPh>
    <phoneticPr fontId="28"/>
  </si>
  <si>
    <t>［車両］タブへ画面遷移</t>
    <rPh sb="1" eb="3">
      <t>シャリョウ</t>
    </rPh>
    <rPh sb="7" eb="9">
      <t>ガメン</t>
    </rPh>
    <rPh sb="9" eb="11">
      <t>センイ</t>
    </rPh>
    <phoneticPr fontId="28"/>
  </si>
  <si>
    <t>［お知らせ］タブへ画面遷移</t>
    <rPh sb="2" eb="3">
      <t>シ</t>
    </rPh>
    <rPh sb="9" eb="11">
      <t>ガメン</t>
    </rPh>
    <rPh sb="11" eb="13">
      <t>センイ</t>
    </rPh>
    <phoneticPr fontId="28"/>
  </si>
  <si>
    <t>［受信者］タブへ画面遷移</t>
    <rPh sb="1" eb="4">
      <t>ジュシンシャ</t>
    </rPh>
    <rPh sb="8" eb="10">
      <t>ガメン</t>
    </rPh>
    <rPh sb="10" eb="12">
      <t>センイ</t>
    </rPh>
    <phoneticPr fontId="28"/>
  </si>
  <si>
    <t>左メニュー</t>
    <rPh sb="0" eb="1">
      <t>ヒダリ</t>
    </rPh>
    <phoneticPr fontId="28"/>
  </si>
  <si>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</si>
  <si>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プロファイル作成 - 確認</t>
    <rPh sb="6" eb="8">
      <t>サクセイ</t>
    </rPh>
    <rPh sb="11" eb="13">
      <t>カクニン</t>
    </rPh>
    <phoneticPr fontId="28"/>
  </si>
  <si>
    <t>［登録］ボタン</t>
    <rPh sb="1" eb="3">
      <t>トウロク</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</si>
  <si>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</si>
  <si>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</si>
  <si>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</si>
  <si>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</si>
  <si>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条件選択］タイトル、［＾］ボタン、［プロファイル名］入力フォーム、［有効・無効化］セレクトボックス、［受信者］入力フォーム、［プロファイル］データテーブルが表示された確認画面に遷移すること</t>
    <rPh sb="1" eb="3">
      <t>ジョウケン</t>
    </rPh>
    <rPh sb="3" eb="5">
      <t>センタク</t>
    </rPh>
    <rPh sb="25" eb="26">
      <t>メイ</t>
    </rPh>
    <rPh sb="27" eb="29">
      <t>ニュウリョク</t>
    </rPh>
    <rPh sb="35" eb="37">
      <t>ユウコウ</t>
    </rPh>
    <rPh sb="38" eb="40">
      <t>ムコウ</t>
    </rPh>
    <rPh sb="40" eb="41">
      <t>カ</t>
    </rPh>
    <rPh sb="52" eb="55">
      <t>ジュシンシャ</t>
    </rPh>
    <rPh sb="56" eb="58">
      <t>ニュウリョク</t>
    </rPh>
    <rPh sb="79" eb="81">
      <t>ヒョウジ</t>
    </rPh>
    <rPh sb="84" eb="86">
      <t>カクニン</t>
    </rPh>
    <rPh sb="86" eb="88">
      <t>ガメン</t>
    </rPh>
    <phoneticPr fontId="28"/>
  </si>
  <si>
    <t>画面上部の名称（プロファイル編集/削除）</t>
    <rPh sb="0" eb="2">
      <t>ガメン</t>
    </rPh>
    <rPh sb="2" eb="4">
      <t>ジョウブ</t>
    </rPh>
    <rPh sb="5" eb="7">
      <t>メイショウ</t>
    </rPh>
    <rPh sb="14" eb="16">
      <t>ヘンシュウ</t>
    </rPh>
    <rPh sb="17" eb="19">
      <t>サクジョ</t>
    </rPh>
    <phoneticPr fontId="47"/>
  </si>
  <si>
    <t>レイアウト</t>
    <phoneticPr fontId="47"/>
  </si>
  <si>
    <t>レイアウト（リサイズ）</t>
    <phoneticPr fontId="47"/>
  </si>
  <si>
    <t>［プロファイル名］入力フォーム</t>
    <rPh sb="7" eb="8">
      <t>メイ</t>
    </rPh>
    <rPh sb="9" eb="11">
      <t>ニュウリョク</t>
    </rPh>
    <phoneticPr fontId="28"/>
  </si>
  <si>
    <t>条件の選択</t>
    <rPh sb="0" eb="2">
      <t>ジョウケン</t>
    </rPh>
    <rPh sb="3" eb="5">
      <t>センタク</t>
    </rPh>
    <phoneticPr fontId="28"/>
  </si>
  <si>
    <t>初期表示</t>
    <rPh sb="0" eb="2">
      <t>ショキ</t>
    </rPh>
    <rPh sb="2" eb="4">
      <t>ヒョウジ</t>
    </rPh>
    <phoneticPr fontId="28"/>
  </si>
  <si>
    <t>文字数制御</t>
    <rPh sb="0" eb="3">
      <t>モジスウ</t>
    </rPh>
    <rPh sb="3" eb="5">
      <t>セイギョ</t>
    </rPh>
    <phoneticPr fontId="28"/>
  </si>
  <si>
    <t>テキストボックスが空白で表示されること</t>
    <rPh sb="9" eb="11">
      <t>クウハク</t>
    </rPh>
    <rPh sb="12" eb="14">
      <t>ヒョウジ</t>
    </rPh>
    <phoneticPr fontId="28"/>
  </si>
  <si>
    <t>最大入力文字数が「２０Byte」であること</t>
    <rPh sb="0" eb="2">
      <t>サイダイ</t>
    </rPh>
    <rPh sb="2" eb="4">
      <t>ニュウリョク</t>
    </rPh>
    <rPh sb="4" eb="7">
      <t>モジスウ</t>
    </rPh>
    <phoneticPr fontId="28"/>
  </si>
  <si>
    <t>［有効・無効化］セレクトボックス</t>
    <rPh sb="1" eb="3">
      <t>ユウコウ</t>
    </rPh>
    <rPh sb="4" eb="7">
      <t>ムコウカ</t>
    </rPh>
    <phoneticPr fontId="28"/>
  </si>
  <si>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</si>
  <si>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プルダウンリスト</t>
    <phoneticPr fontId="28"/>
  </si>
  <si>
    <t>プルダウンリストで表示されること</t>
    <rPh sb="9" eb="11">
      <t>ヒョウジ</t>
    </rPh>
    <phoneticPr fontId="28"/>
  </si>
  <si>
    <t>［受信者］入力フォーム</t>
    <rPh sb="1" eb="4">
      <t>ジュシンシャ</t>
    </rPh>
    <rPh sb="5" eb="7">
      <t>ニュウリョク</t>
    </rPh>
    <phoneticPr fontId="28"/>
  </si>
  <si>
    <t>最大入力文字数が「２５５Byte」であること</t>
    <rPh sb="0" eb="2">
      <t>サイダイ</t>
    </rPh>
    <rPh sb="2" eb="4">
      <t>ニュウリョク</t>
    </rPh>
    <rPh sb="4" eb="7">
      <t>モジスウ</t>
    </rPh>
    <phoneticPr fontId="28"/>
  </si>
  <si>
    <t>一覧（プロファイルデータリスト）</t>
    <rPh sb="0" eb="2">
      <t>イチラン</t>
    </rPh>
    <phoneticPr fontId="28"/>
  </si>
  <si>
    <t>検索結果がデータテーブルに反映されること</t>
    <rPh sb="0" eb="2">
      <t>ケンサク</t>
    </rPh>
    <rPh sb="2" eb="4">
      <t>ケッカ</t>
    </rPh>
    <rPh sb="13" eb="15">
      <t>ハンエイ</t>
    </rPh>
    <phoneticPr fontId="28"/>
  </si>
  <si>
    <t>画面表示（プロファイル選択時）</t>
    <rPh sb="0" eb="2">
      <t>ガメン</t>
    </rPh>
    <rPh sb="2" eb="4">
      <t>ヒョウジ</t>
    </rPh>
    <rPh sb="11" eb="13">
      <t>センタク</t>
    </rPh>
    <rPh sb="13" eb="14">
      <t>ジ</t>
    </rPh>
    <phoneticPr fontId="28"/>
  </si>
  <si>
    <t>［プロファイル削除］のモーダル画面が開設されること</t>
    <rPh sb="7" eb="9">
      <t>サクジョ</t>
    </rPh>
    <rPh sb="15" eb="17">
      <t>ガメン</t>
    </rPh>
    <rPh sb="18" eb="20">
      <t>カイセツ</t>
    </rPh>
    <phoneticPr fontId="28"/>
  </si>
  <si>
    <t>子画面（プロファイル削除）</t>
    <rPh sb="0" eb="1">
      <t>コ</t>
    </rPh>
    <rPh sb="1" eb="3">
      <t>ガメン</t>
    </rPh>
    <rPh sb="10" eb="12">
      <t>サクジョ</t>
    </rPh>
    <phoneticPr fontId="28"/>
  </si>
  <si>
    <t>［＜］ボタン</t>
    <phoneticPr fontId="28"/>
  </si>
  <si>
    <t>［削除］ボタン</t>
    <rPh sb="1" eb="3">
      <t>サクジョ</t>
    </rPh>
    <phoneticPr fontId="47"/>
  </si>
  <si>
    <t>［検索］ボタン</t>
    <rPh sb="1" eb="3">
      <t>ケンサク</t>
    </rPh>
    <phoneticPr fontId="28"/>
  </si>
  <si>
    <t>画面表示（データテーブル２ページ目以降時）</t>
    <rPh sb="0" eb="2">
      <t>ガメン</t>
    </rPh>
    <rPh sb="2" eb="4">
      <t>ヒョウジ</t>
    </rPh>
    <rPh sb="16" eb="17">
      <t>メ</t>
    </rPh>
    <rPh sb="17" eb="19">
      <t>イコウ</t>
    </rPh>
    <rPh sb="19" eb="20">
      <t>ジ</t>
    </rPh>
    <phoneticPr fontId="28"/>
  </si>
  <si>
    <t>データテーブル表示が「前ページ」データに切り替わること</t>
    <rPh sb="7" eb="9">
      <t>ヒョウジ</t>
    </rPh>
    <rPh sb="11" eb="12">
      <t>マエ</t>
    </rPh>
    <rPh sb="20" eb="21">
      <t>キ</t>
    </rPh>
    <rPh sb="22" eb="23">
      <t>カ</t>
    </rPh>
    <phoneticPr fontId="28"/>
  </si>
  <si>
    <t>画面表示（データテーブル１ページ目）</t>
    <rPh sb="0" eb="2">
      <t>ガメン</t>
    </rPh>
    <rPh sb="2" eb="4">
      <t>ヒョウジ</t>
    </rPh>
    <rPh sb="16" eb="17">
      <t>メ</t>
    </rPh>
    <phoneticPr fontId="28"/>
  </si>
  <si>
    <t>［＞］ボタン</t>
    <phoneticPr fontId="28"/>
  </si>
  <si>
    <t>画面表示（リストデータが１６件未満）</t>
    <rPh sb="0" eb="2">
      <t>ガメン</t>
    </rPh>
    <rPh sb="2" eb="4">
      <t>ヒョウジ</t>
    </rPh>
    <rPh sb="14" eb="15">
      <t>ケン</t>
    </rPh>
    <rPh sb="15" eb="17">
      <t>ミマン</t>
    </rPh>
    <phoneticPr fontId="28"/>
  </si>
  <si>
    <t>画面表示（リストデータが１６件以上）</t>
    <rPh sb="0" eb="2">
      <t>ガメン</t>
    </rPh>
    <rPh sb="2" eb="4">
      <t>ヒョウジ</t>
    </rPh>
    <rPh sb="14" eb="15">
      <t>ケン</t>
    </rPh>
    <rPh sb="15" eb="17">
      <t>イジョウ</t>
    </rPh>
    <phoneticPr fontId="28"/>
  </si>
  <si>
    <t>データテーブル表示が「次ページ」データに切り替わること</t>
    <rPh sb="11" eb="12">
      <t>ツギ</t>
    </rPh>
    <phoneticPr fontId="28"/>
  </si>
  <si>
    <t>画面表示（データテーブル最終ページ）</t>
    <rPh sb="0" eb="2">
      <t>ガメン</t>
    </rPh>
    <rPh sb="2" eb="4">
      <t>ヒョウジ</t>
    </rPh>
    <rPh sb="12" eb="14">
      <t>サイシュウ</t>
    </rPh>
    <phoneticPr fontId="28"/>
  </si>
  <si>
    <t>［ページ］セレクトボックス</t>
    <phoneticPr fontId="28"/>
  </si>
  <si>
    <t>任意「ページ」選択</t>
    <rPh sb="0" eb="2">
      <t>ニンイ</t>
    </rPh>
    <rPh sb="7" eb="9">
      <t>センタク</t>
    </rPh>
    <phoneticPr fontId="28"/>
  </si>
  <si>
    <t>データテーブル表示が該当のデータリストを表示すること。
［ページ］セレクトボックスの右にあるページ番号が正しく表示されていること。
【ページ番号例】
 106/200  -  120/200　← 200件中106件～120件を表示</t>
    <rPh sb="7" eb="9">
      <t>ヒョウジ</t>
    </rPh>
    <rPh sb="10" eb="12">
      <t>ガイトウ</t>
    </rPh>
    <rPh sb="20" eb="22">
      <t>ヒョウジ</t>
    </rPh>
    <rPh sb="42" eb="43">
      <t>ミギ</t>
    </rPh>
    <rPh sb="49" eb="51">
      <t>バンゴウ</t>
    </rPh>
    <rPh sb="52" eb="53">
      <t>タダ</t>
    </rPh>
    <rPh sb="55" eb="57">
      <t>ヒョウジ</t>
    </rPh>
    <rPh sb="70" eb="72">
      <t>バンゴウ</t>
    </rPh>
    <rPh sb="72" eb="73">
      <t>レイ</t>
    </rPh>
    <rPh sb="101" eb="102">
      <t>ケン</t>
    </rPh>
    <rPh sb="102" eb="103">
      <t>チュウ</t>
    </rPh>
    <rPh sb="106" eb="107">
      <t>ケン</t>
    </rPh>
    <rPh sb="111" eb="112">
      <t>ケン</t>
    </rPh>
    <rPh sb="113" eb="115">
      <t>ヒョウジ</t>
    </rPh>
    <phoneticPr fontId="28"/>
  </si>
  <si>
    <t>初期表示（ソート）</t>
    <rPh sb="0" eb="2">
      <t>ショキ</t>
    </rPh>
    <rPh sb="2" eb="4">
      <t>ヒョウジ</t>
    </rPh>
    <phoneticPr fontId="28"/>
  </si>
  <si>
    <t>プロファイル名が昇順で表示されていること</t>
    <rPh sb="6" eb="7">
      <t>メイ</t>
    </rPh>
    <rPh sb="8" eb="10">
      <t>ショウジュン</t>
    </rPh>
    <rPh sb="11" eb="13">
      <t>ヒョウジ</t>
    </rPh>
    <phoneticPr fontId="28"/>
  </si>
  <si>
    <t>ヘッダ［チェックボックス］</t>
    <phoneticPr fontId="28"/>
  </si>
  <si>
    <t>初期表示（リストデータ０件）</t>
    <rPh sb="0" eb="2">
      <t>ショキ</t>
    </rPh>
    <rPh sb="2" eb="4">
      <t>ヒョウジ</t>
    </rPh>
    <rPh sb="12" eb="13">
      <t>ケン</t>
    </rPh>
    <phoneticPr fontId="28"/>
  </si>
  <si>
    <t>初期表示（リストデータ１件以上）</t>
    <rPh sb="0" eb="2">
      <t>ショキ</t>
    </rPh>
    <rPh sb="2" eb="4">
      <t>ヒョウジ</t>
    </rPh>
    <rPh sb="12" eb="13">
      <t>ケン</t>
    </rPh>
    <rPh sb="13" eb="15">
      <t>イジョウ</t>
    </rPh>
    <phoneticPr fontId="28"/>
  </si>
  <si>
    <t>・リストデータ全件の［チェックボックス］がオンとなること
・リストデータ全件の背景色が　　　へ切り替わること
・［削除］ボタンが活性化されること</t>
    <rPh sb="7" eb="9">
      <t>ゼンケン</t>
    </rPh>
    <rPh sb="36" eb="38">
      <t>ゼンケン</t>
    </rPh>
    <rPh sb="39" eb="42">
      <t>ハイケイショク</t>
    </rPh>
    <rPh sb="47" eb="48">
      <t>キ</t>
    </rPh>
    <rPh sb="49" eb="50">
      <t>カ</t>
    </rPh>
    <rPh sb="57" eb="59">
      <t>サクジョ</t>
    </rPh>
    <rPh sb="64" eb="67">
      <t>カッセイカ</t>
    </rPh>
    <phoneticPr fontId="28"/>
  </si>
  <si>
    <t>・リストデータ全件の［チェックボックス］がオフとなること
・リストデータ全件の背景色が白へ切り替わること
・［削除］ボタンが非活性となること</t>
    <rPh sb="7" eb="9">
      <t>ゼンケン</t>
    </rPh>
    <rPh sb="36" eb="38">
      <t>ゼンケン</t>
    </rPh>
    <rPh sb="39" eb="42">
      <t>ハイケイショク</t>
    </rPh>
    <rPh sb="43" eb="44">
      <t>シロ</t>
    </rPh>
    <rPh sb="45" eb="46">
      <t>キ</t>
    </rPh>
    <rPh sb="47" eb="48">
      <t>カ</t>
    </rPh>
    <rPh sb="55" eb="57">
      <t>サクジョ</t>
    </rPh>
    <rPh sb="62" eb="63">
      <t>ヒ</t>
    </rPh>
    <rPh sb="63" eb="65">
      <t>カッセイ</t>
    </rPh>
    <phoneticPr fontId="28"/>
  </si>
  <si>
    <t>［チェックボックス］、［編集］以外</t>
    <phoneticPr fontId="28"/>
  </si>
  <si>
    <t>プロファイルデータテーブル（タイトル）</t>
    <phoneticPr fontId="28"/>
  </si>
  <si>
    <t>プロファイルデータテーブル（リスト）</t>
    <phoneticPr fontId="28"/>
  </si>
  <si>
    <t>［チェックボックス］</t>
    <phoneticPr fontId="28"/>
  </si>
  <si>
    <t>リストデータ</t>
    <phoneticPr fontId="28"/>
  </si>
  <si>
    <t>APIから取得した値が文言が表示されていること
例）「データがありません。」</t>
    <rPh sb="5" eb="7">
      <t>シュトク</t>
    </rPh>
    <rPh sb="9" eb="10">
      <t>アタイ</t>
    </rPh>
    <rPh sb="11" eb="13">
      <t>モンゴン</t>
    </rPh>
    <rPh sb="14" eb="16">
      <t>ヒョウジ</t>
    </rPh>
    <rPh sb="24" eb="25">
      <t>レイ</t>
    </rPh>
    <phoneticPr fontId="28"/>
  </si>
  <si>
    <t>プロファイルのリストデータが表示されていること</t>
    <rPh sb="14" eb="16">
      <t>ヒョウジ</t>
    </rPh>
    <phoneticPr fontId="28"/>
  </si>
  <si>
    <t>リストデータ全件オン時</t>
    <rPh sb="6" eb="8">
      <t>ゼンケン</t>
    </rPh>
    <rPh sb="10" eb="11">
      <t>ジ</t>
    </rPh>
    <phoneticPr fontId="28"/>
  </si>
  <si>
    <t>・［削除］ボタンが活性化されること
・該当リストデータの背景色が　　へ切り替わること</t>
    <rPh sb="2" eb="4">
      <t>サクジョ</t>
    </rPh>
    <rPh sb="9" eb="12">
      <t>カッセイカ</t>
    </rPh>
    <rPh sb="19" eb="21">
      <t>ガイトウ</t>
    </rPh>
    <rPh sb="28" eb="31">
      <t>ハイケイショク</t>
    </rPh>
    <rPh sb="35" eb="36">
      <t>キ</t>
    </rPh>
    <rPh sb="37" eb="38">
      <t>カ</t>
    </rPh>
    <phoneticPr fontId="28"/>
  </si>
  <si>
    <t>・［削除］ボタンが非活性となること
・該当リストデータの背景色が白へ切り替わること</t>
    <rPh sb="2" eb="4">
      <t>サクジョ</t>
    </rPh>
    <rPh sb="9" eb="10">
      <t>ヒ</t>
    </rPh>
    <rPh sb="10" eb="12">
      <t>カッセイ</t>
    </rPh>
    <rPh sb="19" eb="21">
      <t>ガイトウ</t>
    </rPh>
    <rPh sb="28" eb="31">
      <t>ハイケイショク</t>
    </rPh>
    <rPh sb="32" eb="33">
      <t>シロ</t>
    </rPh>
    <rPh sb="34" eb="35">
      <t>キ</t>
    </rPh>
    <rPh sb="36" eb="37">
      <t>カ</t>
    </rPh>
    <phoneticPr fontId="28"/>
  </si>
  <si>
    <t>データテーブルヘッダの［チェックボックス］も連動してオンとなること</t>
    <rPh sb="22" eb="24">
      <t>レンドウ</t>
    </rPh>
    <phoneticPr fontId="28"/>
  </si>
  <si>
    <t>編集アイコン</t>
    <rPh sb="0" eb="2">
      <t>ヘンシュウ</t>
    </rPh>
    <phoneticPr fontId="28"/>
  </si>
  <si>
    <t>該当プロファイルのプロファイル編集（確認）画面へ遷移すること
URL：/profileId/［該当プロファイルID］</t>
    <rPh sb="0" eb="2">
      <t>ガイトウ</t>
    </rPh>
    <rPh sb="15" eb="17">
      <t>ヘンシュウ</t>
    </rPh>
    <rPh sb="18" eb="20">
      <t>カクニン</t>
    </rPh>
    <rPh sb="21" eb="23">
      <t>ガメン</t>
    </rPh>
    <rPh sb="24" eb="26">
      <t>センイ</t>
    </rPh>
    <rPh sb="47" eb="49">
      <t>ガイトウ</t>
    </rPh>
    <phoneticPr fontId="28"/>
  </si>
  <si>
    <t>エラーとなり、有効・無効化リンクが切り替わらないこと</t>
    <rPh sb="7" eb="9">
      <t>ユウコウ</t>
    </rPh>
    <rPh sb="10" eb="13">
      <t>ムコウカ</t>
    </rPh>
    <rPh sb="17" eb="18">
      <t>キ</t>
    </rPh>
    <rPh sb="19" eb="20">
      <t>カ</t>
    </rPh>
    <phoneticPr fontId="28"/>
  </si>
  <si>
    <t>有効・無効化リンクが「有効」に切り替わること</t>
    <rPh sb="0" eb="2">
      <t>ユウコウ</t>
    </rPh>
    <rPh sb="3" eb="6">
      <t>ムコウカ</t>
    </rPh>
    <rPh sb="11" eb="13">
      <t>ユウコウ</t>
    </rPh>
    <rPh sb="15" eb="16">
      <t>キ</t>
    </rPh>
    <rPh sb="17" eb="18">
      <t>カ</t>
    </rPh>
    <phoneticPr fontId="28"/>
  </si>
  <si>
    <t>プロファイル削除モーダル画面</t>
    <rPh sb="6" eb="8">
      <t>サクジョ</t>
    </rPh>
    <rPh sb="12" eb="14">
      <t>ガメン</t>
    </rPh>
    <phoneticPr fontId="28"/>
  </si>
  <si>
    <t>データテーブル</t>
    <phoneticPr fontId="47"/>
  </si>
  <si>
    <t>［受信者］タブにて選択したメールグループのデータと同じ内容が反映されていること</t>
    <rPh sb="1" eb="4">
      <t>ジュシンシャ</t>
    </rPh>
    <rPh sb="9" eb="11">
      <t>センタク</t>
    </rPh>
    <rPh sb="25" eb="26">
      <t>オナ</t>
    </rPh>
    <rPh sb="27" eb="29">
      <t>ナイヨウ</t>
    </rPh>
    <rPh sb="30" eb="32">
      <t>ハンエイ</t>
    </rPh>
    <phoneticPr fontId="28"/>
  </si>
  <si>
    <t>プロファイル削除モーダル画面をクローズ。</t>
    <rPh sb="6" eb="8">
      <t>サクジョ</t>
    </rPh>
    <rPh sb="12" eb="14">
      <t>ガメン</t>
    </rPh>
    <phoneticPr fontId="28"/>
  </si>
  <si>
    <t>子画面（プロファイル削除：成功）</t>
    <rPh sb="0" eb="1">
      <t>コ</t>
    </rPh>
    <rPh sb="1" eb="3">
      <t>ガメン</t>
    </rPh>
    <rPh sb="10" eb="12">
      <t>サクジョ</t>
    </rPh>
    <rPh sb="13" eb="15">
      <t>セイコウ</t>
    </rPh>
    <phoneticPr fontId="28"/>
  </si>
  <si>
    <t>プロファイル削除成功モーダル画面をクローズ。</t>
    <rPh sb="6" eb="8">
      <t>サクジョ</t>
    </rPh>
    <rPh sb="8" eb="10">
      <t>セイコウ</t>
    </rPh>
    <rPh sb="14" eb="16">
      <t>ガメン</t>
    </rPh>
    <phoneticPr fontId="28"/>
  </si>
  <si>
    <t>子画面（プロファイル削除：失敗）</t>
    <rPh sb="0" eb="1">
      <t>コ</t>
    </rPh>
    <rPh sb="1" eb="3">
      <t>ガメン</t>
    </rPh>
    <rPh sb="10" eb="12">
      <t>サクジョ</t>
    </rPh>
    <rPh sb="13" eb="15">
      <t>シッパイ</t>
    </rPh>
    <phoneticPr fontId="28"/>
  </si>
  <si>
    <t>親画面（プロファイル編集・削除）</t>
    <rPh sb="0" eb="1">
      <t>オヤ</t>
    </rPh>
    <rPh sb="1" eb="3">
      <t>ガメン</t>
    </rPh>
    <rPh sb="10" eb="12">
      <t>ヘンシュウ</t>
    </rPh>
    <rPh sb="13" eb="15">
      <t>サクジョ</t>
    </rPh>
    <phoneticPr fontId="28"/>
  </si>
  <si>
    <t>プロファイルデータテーブル</t>
    <phoneticPr fontId="47"/>
  </si>
  <si>
    <t>リストデータ</t>
    <phoneticPr fontId="28"/>
  </si>
  <si>
    <t>リストデータからデータ削除が反映されていること</t>
    <rPh sb="11" eb="13">
      <t>サクジョ</t>
    </rPh>
    <rPh sb="14" eb="16">
      <t>ハンエイ</t>
    </rPh>
    <phoneticPr fontId="28"/>
  </si>
  <si>
    <t>プロファイル削除失敗モーダル画面</t>
    <rPh sb="6" eb="8">
      <t>サクジョ</t>
    </rPh>
    <rPh sb="8" eb="10">
      <t>シッパイ</t>
    </rPh>
    <rPh sb="14" eb="16">
      <t>ガメン</t>
    </rPh>
    <phoneticPr fontId="28"/>
  </si>
  <si>
    <t>APIから取得した値の文言が表示されていること</t>
    <rPh sb="5" eb="7">
      <t>シュトク</t>
    </rPh>
    <rPh sb="9" eb="10">
      <t>アタイ</t>
    </rPh>
    <rPh sb="11" eb="13">
      <t>モンゴン</t>
    </rPh>
    <rPh sb="14" eb="16">
      <t>ヒョウジ</t>
    </rPh>
    <phoneticPr fontId="28"/>
  </si>
  <si>
    <t>Header</t>
    <phoneticPr fontId="28"/>
  </si>
  <si>
    <t>X-Lang</t>
    <phoneticPr fontId="28"/>
  </si>
  <si>
    <t>言語タグ</t>
    <phoneticPr fontId="28"/>
  </si>
  <si>
    <t>X-AppCode</t>
    <phoneticPr fontId="28"/>
  </si>
  <si>
    <t>アプリケーションコード</t>
    <phoneticPr fontId="28"/>
  </si>
  <si>
    <t>X-GroupId</t>
    <phoneticPr fontId="28"/>
  </si>
  <si>
    <t>グループID</t>
    <phoneticPr fontId="28"/>
  </si>
  <si>
    <t>X-DateFormat</t>
    <phoneticPr fontId="28"/>
  </si>
  <si>
    <t>日付形式</t>
    <phoneticPr fontId="28"/>
  </si>
  <si>
    <t>車種</t>
    <phoneticPr fontId="28"/>
  </si>
  <si>
    <t>画面コード</t>
    <phoneticPr fontId="28"/>
  </si>
  <si>
    <t>絞り込み条件</t>
    <phoneticPr fontId="28"/>
  </si>
  <si>
    <t>リソースパス</t>
    <phoneticPr fontId="28"/>
  </si>
  <si>
    <t>区分</t>
    <phoneticPr fontId="28"/>
  </si>
  <si>
    <t>X-DistanceUnit</t>
    <phoneticPr fontId="28"/>
  </si>
  <si>
    <t>X-From</t>
    <phoneticPr fontId="28"/>
  </si>
  <si>
    <t>X-Count</t>
    <phoneticPr fontId="28"/>
  </si>
  <si>
    <t>X-Sort</t>
    <phoneticPr fontId="28"/>
  </si>
  <si>
    <t>query</t>
    <phoneticPr fontId="28"/>
  </si>
  <si>
    <t>car_id</t>
    <phoneticPr fontId="28"/>
  </si>
  <si>
    <t>profile_label</t>
    <phoneticPr fontId="28"/>
  </si>
  <si>
    <t>active_status</t>
    <phoneticPr fontId="28"/>
  </si>
  <si>
    <t>receiver</t>
    <phoneticPr fontId="28"/>
  </si>
  <si>
    <t>notification_search_method</t>
    <phoneticPr fontId="28"/>
  </si>
  <si>
    <t>area_target_setting</t>
    <phoneticPr fontId="28"/>
  </si>
  <si>
    <t>security_target_setting</t>
    <phoneticPr fontId="28"/>
  </si>
  <si>
    <t>abnormality_target_setting</t>
    <phoneticPr fontId="28"/>
  </si>
  <si>
    <t>caution_target_setting</t>
  </si>
  <si>
    <t>replacement_time_target_setting</t>
    <phoneticPr fontId="28"/>
  </si>
  <si>
    <t>other_notification_target_setting</t>
    <phoneticPr fontId="28"/>
  </si>
  <si>
    <t>smr_target_setting</t>
    <phoneticPr fontId="28"/>
  </si>
  <si>
    <t>車両ID</t>
    <phoneticPr fontId="28"/>
  </si>
  <si>
    <t>プロファイル名称</t>
    <phoneticPr fontId="28"/>
  </si>
  <si>
    <t>有効状態</t>
    <phoneticPr fontId="28"/>
  </si>
  <si>
    <t>受信者</t>
    <phoneticPr fontId="28"/>
  </si>
  <si>
    <t>お知らせ検索方法</t>
    <phoneticPr fontId="28"/>
  </si>
  <si>
    <t>エリア対象設定</t>
    <phoneticPr fontId="28"/>
  </si>
  <si>
    <t>セキュリティ対象設定</t>
    <phoneticPr fontId="28"/>
  </si>
  <si>
    <t>エラー対象設定</t>
    <phoneticPr fontId="28"/>
  </si>
  <si>
    <t>コーション対象設定</t>
    <phoneticPr fontId="28"/>
  </si>
  <si>
    <t>交換時期対象設定</t>
    <phoneticPr fontId="28"/>
  </si>
  <si>
    <t>その他お知らせ対象設定</t>
    <phoneticPr fontId="28"/>
  </si>
  <si>
    <t>SMR対象設定</t>
    <phoneticPr fontId="28"/>
  </si>
  <si>
    <t>完全一致</t>
    <phoneticPr fontId="28"/>
  </si>
  <si>
    <t>ワイルドカード使用可能</t>
    <phoneticPr fontId="28"/>
  </si>
  <si>
    <t>0:無効、1:有効</t>
    <phoneticPr fontId="28"/>
  </si>
  <si>
    <t>お知らせ種別毎の検索対象設定による検索方法を指定する。0:AND検索、1:OR検索</t>
    <phoneticPr fontId="28"/>
  </si>
  <si>
    <t>エリアを通知対象とするプロファイルを検索対象とするか指定する。0:無効、1:有効</t>
    <phoneticPr fontId="28"/>
  </si>
  <si>
    <t>セキュリティを通知対象とするプロファイルを検索対象とするか指定する。0:無効、1:有効</t>
    <phoneticPr fontId="28"/>
  </si>
  <si>
    <t>エラーを通知対象とするプロファイルを検索対象とするか指定する。0:無効、1:有効</t>
    <phoneticPr fontId="28"/>
  </si>
  <si>
    <t>コーションを通知対象とするプロファイルを検索対象とするか指定する。0:無効、1:有効</t>
    <phoneticPr fontId="28"/>
  </si>
  <si>
    <t>交換時期を通知対象とするプロファイルを検索対象とするか指定する。0:無効、1:有効</t>
    <phoneticPr fontId="28"/>
  </si>
  <si>
    <t>その他お知らせを通知対象とするプロファイルを検索対象とするか指定する。0:無効、1:有効</t>
    <phoneticPr fontId="28"/>
  </si>
  <si>
    <t>SMRを通知対象とするプロファイルを検索対象とするか指定する。0:無効、1:有効</t>
    <phoneticPr fontId="28"/>
  </si>
  <si>
    <t>プロファイルの受信者に設定されている受信者名、受信者名(英語)、受信者ニックネーム、Eメールアドレス、電話番号から部分一致にて検索する。ワイルドカード使用可能</t>
    <phoneticPr fontId="28"/>
  </si>
  <si>
    <t>該当列の「昇順」「降順」でリストデータの表示が切り替わること</t>
    <rPh sb="0" eb="2">
      <t>ガイトウ</t>
    </rPh>
    <rPh sb="2" eb="3">
      <t>レツ</t>
    </rPh>
    <rPh sb="5" eb="7">
      <t>ショウジュン</t>
    </rPh>
    <rPh sb="9" eb="11">
      <t>コウジュン</t>
    </rPh>
    <rPh sb="20" eb="22">
      <t>ヒョウジ</t>
    </rPh>
    <rPh sb="23" eb="24">
      <t>キ</t>
    </rPh>
    <rPh sb="25" eb="26">
      <t>カ</t>
    </rPh>
    <phoneticPr fontId="28"/>
  </si>
  <si>
    <t>有効・無効化リンクが「無効」に切り替わること</t>
    <rPh sb="0" eb="2">
      <t>ユウコウ</t>
    </rPh>
    <rPh sb="3" eb="6">
      <t>ムコウカ</t>
    </rPh>
    <rPh sb="11" eb="13">
      <t>ムコウ</t>
    </rPh>
    <rPh sb="15" eb="16">
      <t>キ</t>
    </rPh>
    <rPh sb="17" eb="18">
      <t>カ</t>
    </rPh>
    <phoneticPr fontId="28"/>
  </si>
  <si>
    <t>body</t>
    <phoneticPr fontId="28"/>
  </si>
  <si>
    <t>profiles</t>
    <phoneticPr fontId="28"/>
  </si>
  <si>
    <t xml:space="preserve">    id</t>
    <phoneticPr fontId="28"/>
  </si>
  <si>
    <t xml:space="preserve">    active_status</t>
    <phoneticPr fontId="28"/>
  </si>
  <si>
    <t xml:space="preserve">    update_datetime</t>
    <phoneticPr fontId="28"/>
  </si>
  <si>
    <t>プロファイルID</t>
    <phoneticPr fontId="28"/>
  </si>
  <si>
    <t>プロファイル</t>
    <phoneticPr fontId="28"/>
  </si>
  <si>
    <t>0:無効, 1:有効</t>
    <phoneticPr fontId="28"/>
  </si>
  <si>
    <t>更新日時</t>
    <phoneticPr fontId="28"/>
  </si>
  <si>
    <t>プロファイル削除成功モーダル画面（開設時）</t>
    <rPh sb="6" eb="8">
      <t>サクジョ</t>
    </rPh>
    <rPh sb="8" eb="10">
      <t>セイコウ</t>
    </rPh>
    <rPh sb="14" eb="16">
      <t>ガメン</t>
    </rPh>
    <rPh sb="17" eb="19">
      <t>カイセツ</t>
    </rPh>
    <rPh sb="19" eb="20">
      <t>ジ</t>
    </rPh>
    <phoneticPr fontId="28"/>
  </si>
  <si>
    <t>プロファイル情報一覧取得API（GET：/emn/profiles）</t>
    <phoneticPr fontId="28"/>
  </si>
  <si>
    <t>リソース取得API  (POST:/applications/views/resources/search)</t>
    <phoneticPr fontId="28"/>
  </si>
  <si>
    <t>別シート"リクエストパラメータチェックシート:プロファイル情報有効化API"参照</t>
    <rPh sb="38" eb="40">
      <t>サンショウ</t>
    </rPh>
    <phoneticPr fontId="28"/>
  </si>
  <si>
    <t>別シート"リクエストパラメータチェックシート:プロファイル情報一覧取得API"参照</t>
    <rPh sb="39" eb="41">
      <t>サンショウ</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</si>
  <si>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</si>
  <si>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リクエストパラメータ　確認①</t>
    <rPh sb="11" eb="13">
      <t>カクニン</t>
    </rPh>
    <phoneticPr fontId="28"/>
  </si>
  <si>
    <t>リクエストパラメータ　確認②</t>
    <rPh sb="11" eb="13">
      <t>カクニン</t>
    </rPh>
    <phoneticPr fontId="28"/>
  </si>
  <si>
    <t>①</t>
    <phoneticPr fontId="28"/>
  </si>
  <si>
    <t>②</t>
    <phoneticPr fontId="28"/>
  </si>
  <si>
    <t>③</t>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</si>
  <si>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</si>
  <si>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</si>
  <si>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</si>
  <si>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</si>
  <si>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</si>
  <si>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</si>
  <si>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</si>
  <si>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</si>
  <si>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</si>
  <si>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</si>
  <si>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</si>
  <si>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</si>
  <si>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</si>
  <si>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</si>
  <si>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</si>
  <si>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</si>
  <si>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</si>
  <si>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車種</t>
    <rPh sb="0" eb="2">
      <t>シャシュ</t>
    </rPh>
    <phoneticPr fontId="28"/>
  </si>
  <si>
    <t>Body</t>
    <phoneticPr fontId="28"/>
  </si>
  <si>
    <t>screen_code</t>
    <phoneticPr fontId="28"/>
  </si>
  <si>
    <t>example: opa_car_management_car_list</t>
    <phoneticPr fontId="28"/>
  </si>
  <si>
    <t>search_parameters</t>
    <phoneticPr fontId="28"/>
  </si>
  <si>
    <t>絞り込み条件</t>
    <phoneticPr fontId="28"/>
  </si>
  <si>
    <t>　resource_path</t>
    <phoneticPr fontId="28"/>
  </si>
  <si>
    <t>pattern: 対象項目を示すオブジェクトの階層を"."で連結した文字列
example: cars.identification.id</t>
    <phoneticPr fontId="28"/>
  </si>
  <si>
    <t>　kinds</t>
    <phoneticPr fontId="28"/>
  </si>
  <si>
    <t>　condition_sets</t>
    <phoneticPr fontId="28"/>
  </si>
  <si>
    <t>絞り込み設定</t>
    <phoneticPr fontId="28"/>
  </si>
  <si>
    <t>　　condition</t>
    <phoneticPr fontId="28"/>
  </si>
  <si>
    <t>　　values</t>
    <phoneticPr fontId="28"/>
  </si>
  <si>
    <t>絞り込み値</t>
    <phoneticPr fontId="28"/>
  </si>
  <si>
    <t>④</t>
    <phoneticPr fontId="28"/>
  </si>
  <si>
    <t>リソース取得ＡＰＩ呼び出し　確認①</t>
    <phoneticPr fontId="47"/>
  </si>
  <si>
    <t>別シート"リクエストパラメータチェックシート:リソース取得API"参照</t>
    <phoneticPr fontId="28"/>
  </si>
  <si>
    <t>環境設定の言語を英語に変更</t>
    <rPh sb="0" eb="2">
      <t>カンキョウ</t>
    </rPh>
    <rPh sb="2" eb="4">
      <t>セッテイ</t>
    </rPh>
    <rPh sb="5" eb="7">
      <t>ゲンゴ</t>
    </rPh>
    <rPh sb="8" eb="10">
      <t>エイゴ</t>
    </rPh>
    <rPh sb="9" eb="10">
      <t>ゴ</t>
    </rPh>
    <rPh sb="11" eb="13">
      <t>ヘンコウ</t>
    </rPh>
    <phoneticPr fontId="28"/>
  </si>
  <si>
    <t>表示項目が英語になること ※表示項目全てを確認すること</t>
    <rPh sb="0" eb="2">
      <t>ヒョウジ</t>
    </rPh>
    <rPh sb="2" eb="4">
      <t>コウモク</t>
    </rPh>
    <rPh sb="5" eb="7">
      <t>エイゴ</t>
    </rPh>
    <rPh sb="6" eb="7">
      <t>ゴ</t>
    </rPh>
    <rPh sb="14" eb="16">
      <t>ヒョウジ</t>
    </rPh>
    <rPh sb="16" eb="18">
      <t>コウモク</t>
    </rPh>
    <rPh sb="18" eb="19">
      <t>スベ</t>
    </rPh>
    <rPh sb="21" eb="23">
      <t>カクニン</t>
    </rPh>
    <phoneticPr fontId="28"/>
  </si>
  <si>
    <t>－</t>
    <phoneticPr fontId="47"/>
  </si>
  <si>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</si>
  <si>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</si>
  <si>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</si>
  <si>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非活性となっており、クリック不可であること</t>
    <rPh sb="0" eb="1">
      <t>ヒ</t>
    </rPh>
    <rPh sb="1" eb="3">
      <t>カッセイ</t>
    </rPh>
    <rPh sb="14" eb="16">
      <t>フカ</t>
    </rPh>
    <phoneticPr fontId="28"/>
  </si>
  <si>
    <t>活性化され、クリック可能となること</t>
    <rPh sb="0" eb="3">
      <t>カッセイカ</t>
    </rPh>
    <rPh sb="10" eb="12">
      <t>カノウ</t>
    </rPh>
    <phoneticPr fontId="28"/>
  </si>
  <si>
    <t>ボタンクリック時</t>
    <rPh sb="7" eb="8">
      <t>ジ</t>
    </rPh>
    <phoneticPr fontId="28"/>
  </si>
  <si>
    <t>活性化され、クリック可能であること</t>
    <rPh sb="0" eb="3">
      <t>カッセイカ</t>
    </rPh>
    <rPh sb="10" eb="12">
      <t>カノウ</t>
    </rPh>
    <phoneticPr fontId="28"/>
  </si>
  <si>
    <t>リクエストパラメータ確認④（ボタンクリック時）</t>
    <rPh sb="10" eb="12">
      <t>カクニン</t>
    </rPh>
    <phoneticPr fontId="28"/>
  </si>
  <si>
    <t>ソート機能が有効になっており、クリック可能であること</t>
    <rPh sb="3" eb="5">
      <t>キノウ</t>
    </rPh>
    <rPh sb="6" eb="8">
      <t>ユウコウ</t>
    </rPh>
    <rPh sb="19" eb="21">
      <t>カノウ</t>
    </rPh>
    <phoneticPr fontId="28"/>
  </si>
  <si>
    <t>画面表示（タイトルクリック）</t>
    <rPh sb="0" eb="2">
      <t>ガメン</t>
    </rPh>
    <rPh sb="2" eb="4">
      <t>ヒョウジ</t>
    </rPh>
    <phoneticPr fontId="28"/>
  </si>
  <si>
    <t>ヘッダ［チェックボックス］クリック（オフ ⇒ オン）</t>
    <phoneticPr fontId="28"/>
  </si>
  <si>
    <t>ヘッダ［チェックボックス］クリック（オン ⇒ オフ）</t>
    <phoneticPr fontId="28"/>
  </si>
  <si>
    <t>［チェックボックス］クリック（オフ ⇒ オン）</t>
    <phoneticPr fontId="28"/>
  </si>
  <si>
    <t>［チェックボックス］クリック（オン ⇒ オフ）</t>
    <phoneticPr fontId="28"/>
  </si>
  <si>
    <t>編集アイコンクリック時</t>
    <rPh sb="0" eb="2">
      <t>ヘンシュウ</t>
    </rPh>
    <rPh sb="10" eb="11">
      <t>ジ</t>
    </rPh>
    <phoneticPr fontId="28"/>
  </si>
  <si>
    <t>有効・無効化リンククリック時（受信者０の場合）</t>
    <rPh sb="0" eb="2">
      <t>ユウコウ</t>
    </rPh>
    <rPh sb="3" eb="6">
      <t>ムコウカ</t>
    </rPh>
    <rPh sb="13" eb="14">
      <t>ジ</t>
    </rPh>
    <rPh sb="15" eb="18">
      <t>ジュシンシャ</t>
    </rPh>
    <rPh sb="20" eb="22">
      <t>バアイ</t>
    </rPh>
    <phoneticPr fontId="28"/>
  </si>
  <si>
    <t>有効・無効化リンククリック時（無効 ⇒ 有効 / 
　　　　　　　　　　　　　　　　 受信者１の場合）</t>
    <rPh sb="0" eb="2">
      <t>ユウコウ</t>
    </rPh>
    <rPh sb="3" eb="6">
      <t>ムコウカ</t>
    </rPh>
    <rPh sb="13" eb="14">
      <t>ジ</t>
    </rPh>
    <rPh sb="15" eb="17">
      <t>ムコウ</t>
    </rPh>
    <rPh sb="20" eb="22">
      <t>ユウコウ</t>
    </rPh>
    <rPh sb="43" eb="46">
      <t>ジュシンシャ</t>
    </rPh>
    <rPh sb="48" eb="50">
      <t>バアイ</t>
    </rPh>
    <phoneticPr fontId="28"/>
  </si>
  <si>
    <t>有効・無効化リンククリック時（有効 ⇒ 無効 / 
　　　　　　　　　　　　　　　　 受信者１の場合）</t>
    <rPh sb="0" eb="2">
      <t>ユウコウ</t>
    </rPh>
    <rPh sb="3" eb="6">
      <t>ムコウカ</t>
    </rPh>
    <rPh sb="13" eb="14">
      <t>ジ</t>
    </rPh>
    <rPh sb="15" eb="17">
      <t>ユウコウ</t>
    </rPh>
    <rPh sb="20" eb="22">
      <t>ムコウ</t>
    </rPh>
    <rPh sb="43" eb="46">
      <t>ジュシンシャ</t>
    </rPh>
    <rPh sb="48" eb="50">
      <t>バアイ</t>
    </rPh>
    <phoneticPr fontId="28"/>
  </si>
  <si>
    <t>［OK］ボタンクリック</t>
    <phoneticPr fontId="28"/>
  </si>
  <si>
    <t>［キャンセル］ボタンクリック</t>
    <phoneticPr fontId="47"/>
  </si>
  <si>
    <t>［OK］ボタンクリック</t>
    <phoneticPr fontId="28"/>
  </si>
  <si>
    <t>［プロファイル］ボタンクリック</t>
    <phoneticPr fontId="28"/>
  </si>
  <si>
    <t>［車両］ボタンクリック</t>
    <rPh sb="1" eb="3">
      <t>シャリョウ</t>
    </rPh>
    <phoneticPr fontId="28"/>
  </si>
  <si>
    <t>［お知らせ］ボタンクリック</t>
    <rPh sb="2" eb="3">
      <t>シ</t>
    </rPh>
    <phoneticPr fontId="28"/>
  </si>
  <si>
    <t>［受信者］ボタンクリック</t>
    <rPh sb="1" eb="4">
      <t>ジュシンシャ</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</si>
  <si>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</si>
  <si>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</si>
  <si>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</si>
  <si>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１.メインメニュー［プロファイル］項目より［プロファイル編集/削除］をクリック</t>
    <rPh sb="17" eb="19">
      <t>コウモク</t>
    </rPh>
    <rPh sb="28" eb="30">
      <t>ヘンシュウ</t>
    </rPh>
    <rPh sb="31" eb="33">
      <t>サクジョ</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</si>
  <si>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</si>
  <si>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</si>
  <si>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</si>
  <si>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</si>
  <si>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</si>
  <si>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</si>
  <si>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ラベル取得ＡＰＩ呼び出し　確認</t>
    <phoneticPr fontId="47"/>
  </si>
  <si>
    <t>別シート"リクエストパラメータチェックシート:ラベル取得API"参照</t>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</si>
  <si>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</si>
  <si>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</si>
  <si>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</si>
  <si>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</si>
  <si>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</si>
  <si>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</si>
  <si>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グループID</t>
    <phoneticPr fontId="28"/>
  </si>
  <si>
    <t>日付形式</t>
    <phoneticPr fontId="28"/>
  </si>
  <si>
    <t>X-TemperatureUnit</t>
    <phoneticPr fontId="28"/>
  </si>
  <si>
    <t>screen_code</t>
    <phoneticPr fontId="28"/>
  </si>
  <si>
    <t>画面コード</t>
    <phoneticPr fontId="28"/>
  </si>
  <si>
    <t>画面コード一覧参照</t>
    <rPh sb="0" eb="2">
      <t>ガメン</t>
    </rPh>
    <rPh sb="5" eb="7">
      <t>イチラン</t>
    </rPh>
    <rPh sb="7" eb="9">
      <t>サンショウ</t>
    </rPh>
    <phoneticPr fontId="28"/>
  </si>
  <si>
    <t>　　呼び出し失敗</t>
    <rPh sb="2" eb="3">
      <t>ヨ</t>
    </rPh>
    <rPh sb="4" eb="5">
      <t>ダ</t>
    </rPh>
    <rPh sb="6" eb="8">
      <t>シッパイ</t>
    </rPh>
    <phoneticPr fontId="47"/>
  </si>
  <si>
    <t>処理結果</t>
    <rPh sb="0" eb="2">
      <t>ショリ</t>
    </rPh>
    <rPh sb="2" eb="4">
      <t>ケッカ</t>
    </rPh>
    <phoneticPr fontId="47"/>
  </si>
  <si>
    <t>モーダル画面とエラーメッセージが表示されること</t>
    <rPh sb="4" eb="6">
      <t>ガメン</t>
    </rPh>
    <rPh sb="16" eb="18">
      <t>ヒョウジ</t>
    </rPh>
    <phoneticPr fontId="28"/>
  </si>
  <si>
    <t>　　エラー</t>
  </si>
  <si>
    <t>処理結果の確認</t>
    <rPh sb="0" eb="2">
      <t>ショリ</t>
    </rPh>
    <rPh sb="2" eb="4">
      <t>ケッカ</t>
    </rPh>
    <rPh sb="5" eb="7">
      <t>カクニン</t>
    </rPh>
    <phoneticPr fontId="28"/>
  </si>
  <si>
    <t>　　エラー確認</t>
    <rPh sb="5" eb="7">
      <t>カクニン</t>
    </rPh>
    <phoneticPr fontId="47"/>
  </si>
  <si>
    <t>X-GroupId</t>
  </si>
  <si>
    <t>X-CarDivision</t>
  </si>
  <si>
    <t>表示名称はラベル取得ＡＰＩからのレスポンス値を使用していること</t>
    <rPh sb="0" eb="2">
      <t>ヒョウジ</t>
    </rPh>
    <rPh sb="2" eb="4">
      <t>メイショウ</t>
    </rPh>
    <rPh sb="21" eb="22">
      <t>アタイ</t>
    </rPh>
    <rPh sb="23" eb="25">
      <t>シヨウ</t>
    </rPh>
    <phoneticPr fontId="28"/>
  </si>
  <si>
    <t>NG</t>
    <phoneticPr fontId="28"/>
  </si>
  <si>
    <t>1が表示されること</t>
    <rPh sb="2" eb="4">
      <t>ヒョウジ</t>
    </rPh>
    <phoneticPr fontId="28"/>
  </si>
  <si>
    <t xml:space="preserve">  identification</t>
    <phoneticPr fontId="28"/>
  </si>
  <si>
    <t>OK</t>
    <phoneticPr fontId="28"/>
  </si>
  <si>
    <t>①</t>
    <phoneticPr fontId="28"/>
  </si>
  <si>
    <t>プロファイル有効化API （PUT：/emn/profiles/activate）</t>
    <phoneticPr fontId="28"/>
  </si>
  <si>
    <t>プロファイル削除API (delete: /emn/profiles)</t>
    <phoneticPr fontId="28"/>
  </si>
  <si>
    <t>profile</t>
    <phoneticPr fontId="28"/>
  </si>
  <si>
    <t>プロファイル</t>
    <phoneticPr fontId="28"/>
  </si>
  <si>
    <t xml:space="preserve">プロファイルID、更新日時をカンマ区切りで設定する
</t>
    <rPh sb="9" eb="11">
      <t>コウシン</t>
    </rPh>
    <rPh sb="11" eb="13">
      <t>ニチジ</t>
    </rPh>
    <rPh sb="17" eb="19">
      <t>クギ</t>
    </rPh>
    <rPh sb="21" eb="23">
      <t>セッテイ</t>
    </rPh>
    <phoneticPr fontId="28"/>
  </si>
  <si>
    <t>プロファイル情報一覧取得APIＩ呼び出し　確認⑤
（プロファイル削除モーダル、プロファイル削除：成功/失敗モーダル クローズ時）</t>
    <rPh sb="32" eb="34">
      <t>サクジョ</t>
    </rPh>
    <rPh sb="45" eb="47">
      <t>サクジョ</t>
    </rPh>
    <rPh sb="48" eb="50">
      <t>セイコウ</t>
    </rPh>
    <rPh sb="51" eb="53">
      <t>シッパイ</t>
    </rPh>
    <rPh sb="62" eb="63">
      <t>ジ</t>
    </rPh>
    <phoneticPr fontId="47"/>
  </si>
  <si>
    <t>⑤</t>
    <phoneticPr fontId="28"/>
  </si>
  <si>
    <t>⑥</t>
    <phoneticPr fontId="28"/>
  </si>
  <si>
    <t>別シート"リクエストパラメータチェックシート:プロファイル情報一覧取得API"参照</t>
    <phoneticPr fontId="28"/>
  </si>
  <si>
    <t>別シート"リクエストパラメータチェックシート:プロファイル削除API "参照</t>
    <phoneticPr fontId="28"/>
  </si>
  <si>
    <t>リソース取得ＡＰＩ呼び出し　確認①</t>
    <phoneticPr fontId="47"/>
  </si>
  <si>
    <t>リソース取得ＡＰＩ呼び出し　確認②</t>
    <phoneticPr fontId="47"/>
  </si>
  <si>
    <t>「　▲　」ボタン</t>
    <phoneticPr fontId="28"/>
  </si>
  <si>
    <t>コンテンツフィールド右上「　▲　」ボタン</t>
    <rPh sb="10" eb="12">
      <t>ミギウエ</t>
    </rPh>
    <phoneticPr fontId="28"/>
  </si>
  <si>
    <t>「　▲　」ボタンクリック時</t>
    <rPh sb="12" eb="13">
      <t>ジ</t>
    </rPh>
    <phoneticPr fontId="28"/>
  </si>
  <si>
    <t>・条件選択［プロファイル名］入力フォーム、［有効・無効化］セレクトボックス、［受信者］入力フォームのコンテンツエリアがアコーディオン形式で非表示となること
・「　▲　」ボタンが「　▼　」ボタンに切り替わること</t>
    <rPh sb="1" eb="3">
      <t>ジョウケン</t>
    </rPh>
    <rPh sb="3" eb="5">
      <t>センタク</t>
    </rPh>
    <rPh sb="12" eb="13">
      <t>メイ</t>
    </rPh>
    <rPh sb="14" eb="16">
      <t>ニュウリョク</t>
    </rPh>
    <rPh sb="22" eb="24">
      <t>ユウコウ</t>
    </rPh>
    <rPh sb="25" eb="28">
      <t>ムコウカ</t>
    </rPh>
    <rPh sb="39" eb="42">
      <t>ジュシンシャ</t>
    </rPh>
    <rPh sb="43" eb="45">
      <t>ニュウリョク</t>
    </rPh>
    <rPh sb="66" eb="68">
      <t>ケイシキ</t>
    </rPh>
    <rPh sb="69" eb="72">
      <t>ヒヒョウジ</t>
    </rPh>
    <rPh sb="97" eb="98">
      <t>キ</t>
    </rPh>
    <rPh sb="99" eb="100">
      <t>カ</t>
    </rPh>
    <phoneticPr fontId="28"/>
  </si>
  <si>
    <t>・条件選択［プロファイル名］入力フォーム、［有効・無効化］セレクトボックス、［受信者］入力フォームのコンテンツエリアがアコーディオン形式で非示されること
・「　▼　」ボタンが「　▲　」ボタンに切り替わること</t>
    <rPh sb="1" eb="3">
      <t>ジョウケン</t>
    </rPh>
    <rPh sb="3" eb="5">
      <t>センタク</t>
    </rPh>
    <rPh sb="12" eb="13">
      <t>メイ</t>
    </rPh>
    <rPh sb="14" eb="16">
      <t>ニュウリョク</t>
    </rPh>
    <rPh sb="22" eb="24">
      <t>ユウコウ</t>
    </rPh>
    <rPh sb="25" eb="28">
      <t>ムコウカ</t>
    </rPh>
    <rPh sb="39" eb="42">
      <t>ジュシンシャ</t>
    </rPh>
    <rPh sb="43" eb="45">
      <t>ニュウリョク</t>
    </rPh>
    <rPh sb="66" eb="68">
      <t>ケイシキ</t>
    </rPh>
    <rPh sb="96" eb="97">
      <t>キ</t>
    </rPh>
    <rPh sb="98" eb="99">
      <t>カ</t>
    </rPh>
    <phoneticPr fontId="28"/>
  </si>
  <si>
    <t>コンテンツフィールド右上「　▼　」ボタン</t>
    <rPh sb="10" eb="12">
      <t>ミギウエ</t>
    </rPh>
    <phoneticPr fontId="28"/>
  </si>
  <si>
    <t>「　▼　」ボタンクリック時</t>
    <rPh sb="12" eb="13">
      <t>ジ</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</si>
  <si>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</si>
  <si>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</si>
  <si>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</si>
  <si>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</si>
  <si>
    <t>結合テスト仕様書 プロファイル編集・削除</t>
    <rPh sb="0" eb="2">
      <t>ケツゴウ</t>
    </rPh>
    <rPh sb="5" eb="7">
      <t>シヨウ</t>
    </rPh>
    <rPh sb="7" eb="8">
      <t>ショ</t>
    </rPh>
    <rPh sb="15" eb="17">
      <t>ヘンシュウ</t>
    </rPh>
    <rPh sb="18" eb="20">
      <t>サクジョ</t>
    </rPh>
    <phoneticPr fontId="14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</si>
</sst>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1"/>
      <color rgb="FFFF0000"/>
      <name val="ＭＳ Ｐゴシック"/>
      <family val="3"/>
      <charset val="128"/>
    </font>
    <font>
      <sz val="10"/>
      <color rgb="FFFF0000"/>
      <name val="ＭＳ Ｐゴシック"/>
      <family val="3"/>
      <charset val="128"/>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
      <patternFill patternType="solid">
        <fgColor theme="0" tint="-0.34998626667073579"/>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6">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2" borderId="0" xfId="0" applyFill="1" applyBorder="1" applyAlignment="1">
      <alignment horizont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0" fillId="0" borderId="0" xfId="0" applyBorder="1"/>
    <xf numFmtId="0" fontId="0" fillId="0" borderId="0" xfId="0" applyBorder="1" applyAlignment="1">
      <alignment horizontal="center"/>
    </xf>
    <xf numFmtId="0" fontId="0" fillId="0" borderId="0" xfId="0" applyFill="1" applyBorder="1" applyAlignment="1"/>
    <xf numFmtId="0" fontId="0" fillId="0" borderId="0" xfId="0" applyFill="1"/>
    <xf numFmtId="0" fontId="148" fillId="0" borderId="0" xfId="0" applyFont="1" applyFill="1" applyBorder="1" applyAlignment="1">
      <alignment horizontal="center"/>
    </xf>
    <xf numFmtId="0" fontId="0" fillId="0" borderId="0" xfId="0" applyFill="1" applyBorder="1"/>
    <xf numFmtId="0" fontId="0" fillId="0" borderId="3" xfId="0" applyBorder="1" applyAlignment="1">
      <alignment wrapText="1"/>
    </xf>
    <xf numFmtId="0" fontId="91" fillId="0" borderId="3" xfId="210" applyNumberFormat="1" applyFont="1" applyFill="1" applyBorder="1" applyAlignment="1">
      <alignment horizontal="center" vertical="center"/>
    </xf>
    <xf numFmtId="0" fontId="0" fillId="62" borderId="3" xfId="0" applyFill="1" applyBorder="1" applyAlignment="1">
      <alignment horizontal="center"/>
    </xf>
    <xf numFmtId="0" fontId="0" fillId="62" borderId="3" xfId="0" applyFill="1" applyBorder="1"/>
    <xf numFmtId="0" fontId="0" fillId="60" borderId="3" xfId="0" applyFont="1" applyFill="1" applyBorder="1" applyAlignment="1">
      <alignment vertical="top" wrapText="1"/>
    </xf>
    <xf numFmtId="0" fontId="0" fillId="60" borderId="3" xfId="0" applyFill="1" applyBorder="1"/>
    <xf numFmtId="0" fontId="91" fillId="0" borderId="0" xfId="210" applyFont="1" applyAlignment="1">
      <alignment vertical="center" wrapText="1"/>
    </xf>
    <xf numFmtId="0" fontId="91" fillId="0" borderId="0" xfId="210" applyFont="1" applyFill="1" applyBorder="1" applyAlignment="1">
      <alignment horizontal="left" vertical="center" wrapText="1"/>
    </xf>
    <xf numFmtId="0" fontId="0" fillId="61" borderId="18" xfId="0" applyFill="1" applyBorder="1"/>
    <xf numFmtId="0" fontId="0" fillId="0" borderId="18" xfId="0" applyBorder="1"/>
    <xf numFmtId="0" fontId="91" fillId="0" borderId="0" xfId="210" applyFont="1" applyFill="1" applyBorder="1" applyAlignment="1">
      <alignment horizontal="center" vertical="center"/>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8" xfId="0" applyBorder="1"/>
    <xf numFmtId="0" fontId="0" fillId="60" borderId="38" xfId="0" applyFill="1"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0" xfId="0" applyFont="1" applyBorder="1" applyAlignment="1">
      <alignment horizontal="left" vertical="top" wrapText="1"/>
    </xf>
    <xf numFmtId="0" fontId="0" fillId="0" borderId="0" xfId="0" applyBorder="1" applyAlignment="1">
      <alignment horizontal="left" vertical="top"/>
    </xf>
    <xf numFmtId="0" fontId="0" fillId="63" borderId="3" xfId="0" applyFill="1" applyBorder="1" applyAlignment="1">
      <alignment wrapText="1"/>
    </xf>
    <xf numFmtId="0" fontId="0" fillId="0" borderId="0" xfId="0" applyFont="1"/>
    <xf numFmtId="0" fontId="0" fillId="63" borderId="3" xfId="0" applyFill="1" applyBorder="1"/>
    <xf numFmtId="0" fontId="91" fillId="0" borderId="17" xfId="210" applyFont="1" applyFill="1" applyBorder="1" applyAlignment="1">
      <alignment horizontal="center" vertical="center" wrapText="1"/>
    </xf>
    <xf numFmtId="0" fontId="0" fillId="0" borderId="3" xfId="0" applyBorder="1" applyAlignment="1">
      <alignment horizontal="left" vertical="top" wrapText="1"/>
    </xf>
    <xf numFmtId="0" fontId="0" fillId="0" borderId="3" xfId="0" applyBorder="1" applyAlignment="1">
      <alignment horizontal="center"/>
    </xf>
    <xf numFmtId="0" fontId="0" fillId="0" borderId="63" xfId="0" applyFill="1" applyBorder="1" applyAlignment="1">
      <alignment horizontal="left" vertical="top" wrapText="1"/>
    </xf>
    <xf numFmtId="0" fontId="91" fillId="64" borderId="3" xfId="210" applyNumberFormat="1" applyFont="1" applyFill="1" applyBorder="1" applyAlignment="1">
      <alignment horizontal="center" vertical="center"/>
    </xf>
    <xf numFmtId="0" fontId="91" fillId="64" borderId="3" xfId="210" applyFont="1" applyFill="1" applyBorder="1" applyAlignment="1">
      <alignment horizontal="left" vertical="center"/>
    </xf>
    <xf numFmtId="0" fontId="91" fillId="64" borderId="3"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0" fontId="91" fillId="0" borderId="0" xfId="210" applyFont="1" applyFill="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vertical="center" wrapText="1"/>
    </xf>
    <xf numFmtId="0" fontId="0" fillId="0" borderId="20" xfId="0" applyBorder="1" applyAlignment="1">
      <alignment vertical="center" wrapText="1"/>
    </xf>
    <xf numFmtId="0" fontId="0" fillId="0" borderId="20" xfId="0" applyBorder="1" applyAlignment="1">
      <alignment horizontal="left" vertical="center" wrapText="1"/>
    </xf>
    <xf numFmtId="0" fontId="91" fillId="0" borderId="18" xfId="210" applyFont="1" applyFill="1" applyBorder="1" applyAlignment="1">
      <alignment vertical="center" wrapText="1"/>
    </xf>
    <xf numFmtId="0" fontId="91" fillId="64" borderId="18" xfId="210" applyFont="1" applyFill="1" applyBorder="1" applyAlignment="1">
      <alignment vertical="center" wrapText="1"/>
    </xf>
    <xf numFmtId="0" fontId="0" fillId="64" borderId="20" xfId="0" applyFill="1" applyBorder="1" applyAlignment="1">
      <alignment vertical="center" wrapText="1"/>
    </xf>
    <xf numFmtId="0" fontId="91" fillId="64" borderId="18" xfId="210" applyFont="1" applyFill="1" applyBorder="1" applyAlignment="1">
      <alignment horizontal="left" vertical="center" wrapText="1"/>
    </xf>
    <xf numFmtId="0" fontId="91" fillId="64" borderId="20" xfId="210" applyFont="1" applyFill="1" applyBorder="1" applyAlignment="1">
      <alignment horizontal="left" vertical="center" wrapText="1"/>
    </xf>
    <xf numFmtId="0" fontId="91" fillId="0" borderId="20" xfId="210" applyFont="1" applyFill="1" applyBorder="1" applyAlignment="1">
      <alignment vertical="center" wrapText="1"/>
    </xf>
    <xf numFmtId="0" fontId="0" fillId="0" borderId="20" xfId="0" applyFill="1" applyBorder="1" applyAlignment="1">
      <alignmen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2" borderId="17" xfId="210" applyFont="1" applyFill="1" applyBorder="1" applyAlignment="1">
      <alignment horizontal="center" vertical="center" wrapText="1"/>
    </xf>
    <xf numFmtId="0" fontId="91" fillId="2" borderId="19" xfId="210" applyFont="1" applyFill="1" applyBorder="1" applyAlignment="1">
      <alignment horizontal="center" vertical="center"/>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1848970</xdr:colOff>
      <xdr:row>57</xdr:row>
      <xdr:rowOff>210110</xdr:rowOff>
    </xdr:from>
    <xdr:to>
      <xdr:col>5</xdr:col>
      <xdr:colOff>2027463</xdr:colOff>
      <xdr:row>57</xdr:row>
      <xdr:rowOff>388603</xdr:rowOff>
    </xdr:to>
    <xdr:sp macro="" textlink="">
      <xdr:nvSpPr>
        <xdr:cNvPr id="2" name="正方形/長方形 1"/>
        <xdr:cNvSpPr/>
      </xdr:nvSpPr>
      <xdr:spPr bwMode="auto">
        <a:xfrm>
          <a:off x="11570073" y="21179117"/>
          <a:ext cx="178493" cy="178493"/>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1792940</xdr:colOff>
      <xdr:row>61</xdr:row>
      <xdr:rowOff>224117</xdr:rowOff>
    </xdr:from>
    <xdr:to>
      <xdr:col>5</xdr:col>
      <xdr:colOff>1971433</xdr:colOff>
      <xdr:row>61</xdr:row>
      <xdr:rowOff>402610</xdr:rowOff>
    </xdr:to>
    <xdr:sp macro="" textlink="">
      <xdr:nvSpPr>
        <xdr:cNvPr id="3" name="正方形/長方形 2"/>
        <xdr:cNvSpPr/>
      </xdr:nvSpPr>
      <xdr:spPr bwMode="auto">
        <a:xfrm>
          <a:off x="11514043" y="23224191"/>
          <a:ext cx="178493" cy="178493"/>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J3" sqref="J3"/>
    </sheetView>
  </sheetViews>
  <sheetFormatPr defaultColWidth="0.75" defaultRowHeight="12"/>
  <cols>
    <col min="1" max="16384" width="0.75" style="61"/>
  </cols>
  <sheetData>
    <row r="4" spans="1:168" ht="13.5">
      <c r="EM4" s="163"/>
      <c r="EN4" s="164"/>
      <c r="EO4" s="164"/>
      <c r="EP4" s="164"/>
      <c r="EQ4" s="164"/>
      <c r="ER4" s="164"/>
      <c r="ES4" s="164"/>
      <c r="ET4" s="164"/>
      <c r="EU4" s="164"/>
      <c r="EV4" s="164"/>
      <c r="EW4" s="164"/>
      <c r="EX4" s="164"/>
      <c r="EY4" s="164"/>
      <c r="EZ4" s="164"/>
      <c r="FA4" s="164"/>
      <c r="FB4" s="164"/>
      <c r="FC4" s="164"/>
      <c r="FD4" s="164"/>
      <c r="FE4" s="164"/>
      <c r="FF4" s="164"/>
      <c r="FG4" s="164"/>
      <c r="FH4" s="164"/>
      <c r="FI4" s="164"/>
      <c r="FJ4" s="164"/>
      <c r="FK4" s="164"/>
      <c r="FL4" s="164"/>
    </row>
    <row r="5" spans="1:168">
      <c r="A5" s="62"/>
      <c r="B5" s="62"/>
      <c r="C5" s="62"/>
      <c r="D5" s="62"/>
      <c r="E5" s="62"/>
      <c r="F5" s="62"/>
      <c r="G5" s="62"/>
      <c r="H5" s="62"/>
      <c r="I5" s="165" t="s">
        <v>63</v>
      </c>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5"/>
      <c r="BO5" s="165"/>
      <c r="BP5" s="165"/>
      <c r="BQ5" s="165"/>
      <c r="BR5" s="165"/>
      <c r="BS5" s="165"/>
      <c r="BT5" s="165"/>
      <c r="BU5" s="165"/>
      <c r="BV5" s="165"/>
      <c r="BW5" s="165"/>
      <c r="BX5" s="165"/>
      <c r="BY5" s="165"/>
      <c r="BZ5" s="165"/>
      <c r="CA5" s="165"/>
      <c r="CB5" s="165"/>
      <c r="CC5" s="165"/>
      <c r="CD5" s="165"/>
      <c r="CE5" s="165"/>
      <c r="CF5" s="165"/>
      <c r="CG5" s="165"/>
      <c r="CH5" s="165"/>
      <c r="CI5" s="165"/>
      <c r="CJ5" s="165"/>
      <c r="CK5" s="165"/>
      <c r="CL5" s="165"/>
      <c r="CM5" s="165"/>
      <c r="CN5" s="165"/>
      <c r="CO5" s="165"/>
      <c r="CP5" s="165"/>
      <c r="CQ5" s="165"/>
      <c r="CR5" s="165"/>
      <c r="CS5" s="165"/>
      <c r="CT5" s="165"/>
      <c r="CU5" s="165"/>
      <c r="CV5" s="165"/>
      <c r="CW5" s="165"/>
      <c r="CX5" s="165"/>
      <c r="CY5" s="165"/>
      <c r="CZ5" s="165"/>
      <c r="DA5" s="165"/>
      <c r="DB5" s="165"/>
      <c r="DC5" s="165"/>
      <c r="DD5" s="165"/>
      <c r="DE5" s="165"/>
      <c r="DF5" s="165"/>
      <c r="DG5" s="165"/>
      <c r="DH5" s="165"/>
      <c r="DI5" s="165"/>
      <c r="DJ5" s="165"/>
      <c r="DK5" s="165"/>
      <c r="DL5" s="165"/>
      <c r="DM5" s="165"/>
      <c r="DN5" s="165"/>
      <c r="DO5" s="165"/>
      <c r="DP5" s="165"/>
      <c r="DQ5" s="165"/>
      <c r="DR5" s="165"/>
      <c r="DS5" s="165"/>
      <c r="DT5" s="165"/>
      <c r="DU5" s="165"/>
      <c r="DV5" s="165"/>
      <c r="DW5" s="165"/>
      <c r="DX5" s="165"/>
      <c r="DY5" s="165"/>
      <c r="DZ5" s="165"/>
      <c r="EA5" s="165"/>
      <c r="EB5" s="165"/>
      <c r="EC5" s="165"/>
      <c r="ED5" s="165"/>
      <c r="EE5" s="165"/>
      <c r="EF5" s="165"/>
      <c r="EG5" s="165"/>
      <c r="EH5" s="165"/>
      <c r="EI5" s="165"/>
      <c r="EJ5" s="165"/>
      <c r="EK5" s="165"/>
      <c r="EL5" s="165"/>
      <c r="EM5" s="165"/>
      <c r="EN5" s="165"/>
      <c r="EO5" s="165"/>
      <c r="EP5" s="165"/>
      <c r="EQ5" s="165"/>
      <c r="ER5" s="165"/>
      <c r="ES5" s="165"/>
      <c r="ET5" s="165"/>
      <c r="EU5" s="165"/>
      <c r="EV5" s="165"/>
      <c r="EW5" s="165"/>
      <c r="EX5" s="165"/>
      <c r="EY5" s="165"/>
      <c r="EZ5" s="165"/>
      <c r="FA5" s="165"/>
      <c r="FB5" s="165"/>
      <c r="FC5" s="165"/>
      <c r="FD5" s="165"/>
      <c r="FE5" s="62"/>
      <c r="FF5" s="62"/>
      <c r="FG5" s="62"/>
      <c r="FH5" s="62"/>
      <c r="FI5" s="62"/>
      <c r="FJ5" s="62"/>
      <c r="FK5" s="62"/>
      <c r="FL5" s="62"/>
    </row>
    <row r="6" spans="1:168">
      <c r="A6" s="62"/>
      <c r="B6" s="62"/>
      <c r="C6" s="62"/>
      <c r="D6" s="62"/>
      <c r="E6" s="62"/>
      <c r="F6" s="62"/>
      <c r="G6" s="62"/>
      <c r="H6" s="62"/>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65"/>
      <c r="BS6" s="165"/>
      <c r="BT6" s="165"/>
      <c r="BU6" s="165"/>
      <c r="BV6" s="165"/>
      <c r="BW6" s="165"/>
      <c r="BX6" s="165"/>
      <c r="BY6" s="165"/>
      <c r="BZ6" s="165"/>
      <c r="CA6" s="165"/>
      <c r="CB6" s="165"/>
      <c r="CC6" s="165"/>
      <c r="CD6" s="165"/>
      <c r="CE6" s="165"/>
      <c r="CF6" s="165"/>
      <c r="CG6" s="165"/>
      <c r="CH6" s="165"/>
      <c r="CI6" s="165"/>
      <c r="CJ6" s="165"/>
      <c r="CK6" s="165"/>
      <c r="CL6" s="165"/>
      <c r="CM6" s="165"/>
      <c r="CN6" s="165"/>
      <c r="CO6" s="165"/>
      <c r="CP6" s="165"/>
      <c r="CQ6" s="165"/>
      <c r="CR6" s="165"/>
      <c r="CS6" s="165"/>
      <c r="CT6" s="165"/>
      <c r="CU6" s="165"/>
      <c r="CV6" s="165"/>
      <c r="CW6" s="165"/>
      <c r="CX6" s="165"/>
      <c r="CY6" s="165"/>
      <c r="CZ6" s="165"/>
      <c r="DA6" s="165"/>
      <c r="DB6" s="165"/>
      <c r="DC6" s="165"/>
      <c r="DD6" s="165"/>
      <c r="DE6" s="165"/>
      <c r="DF6" s="165"/>
      <c r="DG6" s="165"/>
      <c r="DH6" s="165"/>
      <c r="DI6" s="165"/>
      <c r="DJ6" s="165"/>
      <c r="DK6" s="165"/>
      <c r="DL6" s="165"/>
      <c r="DM6" s="165"/>
      <c r="DN6" s="165"/>
      <c r="DO6" s="165"/>
      <c r="DP6" s="165"/>
      <c r="DQ6" s="165"/>
      <c r="DR6" s="165"/>
      <c r="DS6" s="165"/>
      <c r="DT6" s="165"/>
      <c r="DU6" s="165"/>
      <c r="DV6" s="165"/>
      <c r="DW6" s="165"/>
      <c r="DX6" s="165"/>
      <c r="DY6" s="165"/>
      <c r="DZ6" s="165"/>
      <c r="EA6" s="165"/>
      <c r="EB6" s="165"/>
      <c r="EC6" s="165"/>
      <c r="ED6" s="165"/>
      <c r="EE6" s="165"/>
      <c r="EF6" s="165"/>
      <c r="EG6" s="165"/>
      <c r="EH6" s="165"/>
      <c r="EI6" s="165"/>
      <c r="EJ6" s="165"/>
      <c r="EK6" s="165"/>
      <c r="EL6" s="165"/>
      <c r="EM6" s="165"/>
      <c r="EN6" s="165"/>
      <c r="EO6" s="165"/>
      <c r="EP6" s="165"/>
      <c r="EQ6" s="165"/>
      <c r="ER6" s="165"/>
      <c r="ES6" s="165"/>
      <c r="ET6" s="165"/>
      <c r="EU6" s="165"/>
      <c r="EV6" s="165"/>
      <c r="EW6" s="165"/>
      <c r="EX6" s="165"/>
      <c r="EY6" s="165"/>
      <c r="EZ6" s="165"/>
      <c r="FA6" s="165"/>
      <c r="FB6" s="165"/>
      <c r="FC6" s="165"/>
      <c r="FD6" s="165"/>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66" t="s">
        <v>81</v>
      </c>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c r="CM8" s="166"/>
      <c r="CN8" s="166"/>
      <c r="CO8" s="166"/>
      <c r="CP8" s="166"/>
      <c r="CQ8" s="166"/>
      <c r="CR8" s="166"/>
      <c r="CS8" s="166"/>
      <c r="CT8" s="166"/>
      <c r="CU8" s="166"/>
      <c r="CV8" s="166"/>
      <c r="CW8" s="166"/>
      <c r="CX8" s="166"/>
      <c r="CY8" s="166"/>
      <c r="CZ8" s="166"/>
      <c r="DA8" s="166"/>
      <c r="DB8" s="166"/>
      <c r="DC8" s="166"/>
      <c r="DD8" s="166"/>
      <c r="DE8" s="166"/>
      <c r="DF8" s="166"/>
      <c r="DG8" s="166"/>
      <c r="DH8" s="166"/>
      <c r="DI8" s="166"/>
      <c r="DJ8" s="166"/>
      <c r="DK8" s="166"/>
      <c r="DL8" s="166"/>
      <c r="DM8" s="166"/>
      <c r="DN8" s="166"/>
      <c r="DO8" s="166"/>
      <c r="DP8" s="166"/>
      <c r="DQ8" s="166"/>
      <c r="DR8" s="166"/>
      <c r="DS8" s="166"/>
      <c r="DT8" s="166"/>
      <c r="DU8" s="166"/>
      <c r="DV8" s="166"/>
      <c r="DW8" s="166"/>
      <c r="DX8" s="166"/>
      <c r="DY8" s="166"/>
      <c r="DZ8" s="166"/>
      <c r="EA8" s="166"/>
      <c r="EB8" s="166"/>
      <c r="EC8" s="166"/>
      <c r="ED8" s="166"/>
      <c r="EE8" s="166"/>
      <c r="EF8" s="166"/>
      <c r="EG8" s="166"/>
      <c r="EH8" s="166"/>
      <c r="EI8" s="166"/>
      <c r="EJ8" s="166"/>
      <c r="EK8" s="166"/>
      <c r="EL8" s="166"/>
      <c r="EM8" s="166"/>
      <c r="EN8" s="166"/>
      <c r="EO8" s="166"/>
      <c r="EP8" s="166"/>
      <c r="EQ8" s="166"/>
      <c r="ER8" s="166"/>
      <c r="ES8" s="166"/>
      <c r="ET8" s="166"/>
      <c r="EU8" s="166"/>
      <c r="EV8" s="166"/>
      <c r="EW8" s="166"/>
      <c r="EX8" s="166"/>
      <c r="EY8" s="166"/>
      <c r="EZ8" s="166"/>
      <c r="FA8" s="166"/>
      <c r="FB8" s="166"/>
      <c r="FC8" s="166"/>
      <c r="FD8" s="166"/>
      <c r="FE8" s="62"/>
      <c r="FF8" s="62"/>
      <c r="FG8" s="62"/>
      <c r="FH8" s="62"/>
      <c r="FI8" s="62"/>
      <c r="FJ8" s="62"/>
      <c r="FK8" s="62"/>
      <c r="FL8" s="62"/>
    </row>
    <row r="9" spans="1:168">
      <c r="A9" s="62"/>
      <c r="B9" s="62"/>
      <c r="C9" s="62"/>
      <c r="D9" s="62"/>
      <c r="E9" s="62"/>
      <c r="F9" s="62"/>
      <c r="G9" s="62"/>
      <c r="H9" s="62"/>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c r="CH9" s="166"/>
      <c r="CI9" s="166"/>
      <c r="CJ9" s="166"/>
      <c r="CK9" s="166"/>
      <c r="CL9" s="166"/>
      <c r="CM9" s="166"/>
      <c r="CN9" s="166"/>
      <c r="CO9" s="166"/>
      <c r="CP9" s="166"/>
      <c r="CQ9" s="166"/>
      <c r="CR9" s="166"/>
      <c r="CS9" s="166"/>
      <c r="CT9" s="166"/>
      <c r="CU9" s="166"/>
      <c r="CV9" s="166"/>
      <c r="CW9" s="166"/>
      <c r="CX9" s="166"/>
      <c r="CY9" s="166"/>
      <c r="CZ9" s="166"/>
      <c r="DA9" s="166"/>
      <c r="DB9" s="166"/>
      <c r="DC9" s="166"/>
      <c r="DD9" s="166"/>
      <c r="DE9" s="166"/>
      <c r="DF9" s="166"/>
      <c r="DG9" s="166"/>
      <c r="DH9" s="166"/>
      <c r="DI9" s="166"/>
      <c r="DJ9" s="166"/>
      <c r="DK9" s="166"/>
      <c r="DL9" s="166"/>
      <c r="DM9" s="166"/>
      <c r="DN9" s="166"/>
      <c r="DO9" s="166"/>
      <c r="DP9" s="166"/>
      <c r="DQ9" s="166"/>
      <c r="DR9" s="166"/>
      <c r="DS9" s="166"/>
      <c r="DT9" s="166"/>
      <c r="DU9" s="166"/>
      <c r="DV9" s="166"/>
      <c r="DW9" s="166"/>
      <c r="DX9" s="166"/>
      <c r="DY9" s="166"/>
      <c r="DZ9" s="166"/>
      <c r="EA9" s="166"/>
      <c r="EB9" s="166"/>
      <c r="EC9" s="166"/>
      <c r="ED9" s="166"/>
      <c r="EE9" s="166"/>
      <c r="EF9" s="166"/>
      <c r="EG9" s="166"/>
      <c r="EH9" s="166"/>
      <c r="EI9" s="166"/>
      <c r="EJ9" s="166"/>
      <c r="EK9" s="166"/>
      <c r="EL9" s="166"/>
      <c r="EM9" s="166"/>
      <c r="EN9" s="166"/>
      <c r="EO9" s="166"/>
      <c r="EP9" s="166"/>
      <c r="EQ9" s="166"/>
      <c r="ER9" s="166"/>
      <c r="ES9" s="166"/>
      <c r="ET9" s="166"/>
      <c r="EU9" s="166"/>
      <c r="EV9" s="166"/>
      <c r="EW9" s="166"/>
      <c r="EX9" s="166"/>
      <c r="EY9" s="166"/>
      <c r="EZ9" s="166"/>
      <c r="FA9" s="166"/>
      <c r="FB9" s="166"/>
      <c r="FC9" s="166"/>
      <c r="FD9" s="166"/>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67" t="s">
        <v>400</v>
      </c>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c r="CZ11" s="167"/>
      <c r="DA11" s="167"/>
      <c r="DB11" s="167"/>
      <c r="DC11" s="167"/>
      <c r="DD11" s="167"/>
      <c r="DE11" s="167"/>
      <c r="DF11" s="167"/>
      <c r="DG11" s="167"/>
      <c r="DH11" s="167"/>
      <c r="DI11" s="167"/>
      <c r="DJ11" s="167"/>
      <c r="DK11" s="167"/>
      <c r="DL11" s="167"/>
      <c r="DM11" s="167"/>
      <c r="DN11" s="167"/>
      <c r="DO11" s="167"/>
      <c r="DP11" s="167"/>
      <c r="DQ11" s="167"/>
      <c r="DR11" s="167"/>
      <c r="DS11" s="167"/>
      <c r="DT11" s="167"/>
      <c r="DU11" s="167"/>
      <c r="DV11" s="167"/>
      <c r="DW11" s="167"/>
      <c r="DX11" s="167"/>
      <c r="DY11" s="167"/>
      <c r="DZ11" s="167"/>
      <c r="EA11" s="167"/>
      <c r="EB11" s="167"/>
      <c r="EC11" s="167"/>
      <c r="ED11" s="167"/>
      <c r="EE11" s="167"/>
      <c r="EF11" s="167"/>
      <c r="EG11" s="167"/>
      <c r="EH11" s="167"/>
      <c r="EI11" s="167"/>
      <c r="EJ11" s="167"/>
      <c r="EK11" s="167"/>
      <c r="EL11" s="167"/>
      <c r="EM11" s="167"/>
      <c r="EN11" s="167"/>
      <c r="EO11" s="167"/>
      <c r="EP11" s="167"/>
      <c r="EQ11" s="167"/>
      <c r="ER11" s="167"/>
      <c r="ES11" s="167"/>
      <c r="ET11" s="167"/>
      <c r="EU11" s="167"/>
      <c r="EV11" s="167"/>
      <c r="EW11" s="167"/>
      <c r="EX11" s="167"/>
      <c r="EY11" s="167"/>
      <c r="EZ11" s="167"/>
      <c r="FA11" s="167"/>
      <c r="FB11" s="167"/>
      <c r="FC11" s="167"/>
      <c r="FD11" s="167"/>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167"/>
      <c r="DR12" s="167"/>
      <c r="DS12" s="167"/>
      <c r="DT12" s="167"/>
      <c r="DU12" s="167"/>
      <c r="DV12" s="167"/>
      <c r="DW12" s="167"/>
      <c r="DX12" s="167"/>
      <c r="DY12" s="167"/>
      <c r="DZ12" s="167"/>
      <c r="EA12" s="167"/>
      <c r="EB12" s="167"/>
      <c r="EC12" s="167"/>
      <c r="ED12" s="167"/>
      <c r="EE12" s="167"/>
      <c r="EF12" s="167"/>
      <c r="EG12" s="167"/>
      <c r="EH12" s="167"/>
      <c r="EI12" s="167"/>
      <c r="EJ12" s="167"/>
      <c r="EK12" s="167"/>
      <c r="EL12" s="167"/>
      <c r="EM12" s="167"/>
      <c r="EN12" s="167"/>
      <c r="EO12" s="167"/>
      <c r="EP12" s="167"/>
      <c r="EQ12" s="167"/>
      <c r="ER12" s="167"/>
      <c r="ES12" s="167"/>
      <c r="ET12" s="167"/>
      <c r="EU12" s="167"/>
      <c r="EV12" s="167"/>
      <c r="EW12" s="167"/>
      <c r="EX12" s="167"/>
      <c r="EY12" s="167"/>
      <c r="EZ12" s="167"/>
      <c r="FA12" s="167"/>
      <c r="FB12" s="167"/>
      <c r="FC12" s="167"/>
      <c r="FD12" s="167"/>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68" t="s">
        <v>64</v>
      </c>
      <c r="AH28" s="169"/>
      <c r="AI28" s="169"/>
      <c r="AJ28" s="169"/>
      <c r="AK28" s="169"/>
      <c r="AL28" s="169"/>
      <c r="AM28" s="169"/>
      <c r="AN28" s="169"/>
      <c r="AO28" s="169"/>
      <c r="AP28" s="169"/>
      <c r="AQ28" s="169"/>
      <c r="AR28" s="169"/>
      <c r="AS28" s="169"/>
      <c r="AT28" s="169"/>
      <c r="AU28" s="169"/>
      <c r="AV28" s="169"/>
      <c r="AW28" s="169"/>
      <c r="AX28" s="169"/>
      <c r="AY28" s="169"/>
      <c r="AZ28" s="169"/>
      <c r="BA28" s="169"/>
      <c r="BB28" s="169"/>
      <c r="BC28" s="170"/>
      <c r="BD28" s="174" t="s">
        <v>65</v>
      </c>
      <c r="BE28" s="169"/>
      <c r="BF28" s="169"/>
      <c r="BG28" s="169"/>
      <c r="BH28" s="169"/>
      <c r="BI28" s="169"/>
      <c r="BJ28" s="169"/>
      <c r="BK28" s="169"/>
      <c r="BL28" s="169"/>
      <c r="BM28" s="169"/>
      <c r="BN28" s="169"/>
      <c r="BO28" s="169"/>
      <c r="BP28" s="169"/>
      <c r="BQ28" s="169"/>
      <c r="BR28" s="169"/>
      <c r="BS28" s="169"/>
      <c r="BT28" s="169"/>
      <c r="BU28" s="169"/>
      <c r="BV28" s="169"/>
      <c r="BW28" s="169"/>
      <c r="BX28" s="169"/>
      <c r="BY28" s="169"/>
      <c r="BZ28" s="170"/>
      <c r="CA28" s="174" t="s">
        <v>66</v>
      </c>
      <c r="CB28" s="169"/>
      <c r="CC28" s="169"/>
      <c r="CD28" s="169"/>
      <c r="CE28" s="169"/>
      <c r="CF28" s="169"/>
      <c r="CG28" s="169"/>
      <c r="CH28" s="169"/>
      <c r="CI28" s="169"/>
      <c r="CJ28" s="169"/>
      <c r="CK28" s="169"/>
      <c r="CL28" s="169"/>
      <c r="CM28" s="169"/>
      <c r="CN28" s="169"/>
      <c r="CO28" s="169"/>
      <c r="CP28" s="169"/>
      <c r="CQ28" s="169"/>
      <c r="CR28" s="169"/>
      <c r="CS28" s="169"/>
      <c r="CT28" s="169"/>
      <c r="CU28" s="169"/>
      <c r="CV28" s="169"/>
      <c r="CW28" s="176"/>
      <c r="CX28" s="65"/>
      <c r="CY28" s="65"/>
      <c r="CZ28" s="65"/>
      <c r="DA28" s="65"/>
      <c r="DB28" s="65"/>
      <c r="DC28" s="65"/>
      <c r="DD28" s="65"/>
      <c r="DE28" s="65"/>
      <c r="DF28" s="65"/>
      <c r="DG28" s="65"/>
      <c r="DH28" s="65"/>
    </row>
    <row r="29" spans="3:112" s="92" customFormat="1" ht="12.75" customHeight="1" thickBot="1">
      <c r="C29" s="66"/>
      <c r="AG29" s="171"/>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3"/>
      <c r="BD29" s="175"/>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3"/>
      <c r="CA29" s="175"/>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7"/>
      <c r="CX29" s="66"/>
      <c r="CY29" s="66"/>
      <c r="CZ29" s="65"/>
      <c r="DA29" s="65"/>
      <c r="DB29" s="65"/>
      <c r="DC29" s="65"/>
      <c r="DD29" s="65"/>
      <c r="DE29" s="65"/>
      <c r="DF29" s="65"/>
      <c r="DG29" s="65"/>
      <c r="DH29" s="65"/>
    </row>
    <row r="30" spans="3:112" s="92" customFormat="1" ht="12.75" customHeight="1" thickTop="1">
      <c r="C30" s="66"/>
      <c r="AG30" s="178" t="s">
        <v>399</v>
      </c>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80"/>
      <c r="BD30" s="184" t="s">
        <v>398</v>
      </c>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80"/>
      <c r="CA30" s="184" t="s">
        <v>397</v>
      </c>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86"/>
      <c r="CX30" s="66"/>
      <c r="CY30" s="66"/>
      <c r="CZ30" s="65"/>
      <c r="DA30" s="65"/>
      <c r="DB30" s="65"/>
      <c r="DC30" s="65"/>
      <c r="DD30" s="65"/>
      <c r="DE30" s="65"/>
      <c r="DF30" s="65"/>
      <c r="DG30" s="65"/>
      <c r="DH30" s="65"/>
    </row>
    <row r="31" spans="3:112" s="92" customFormat="1" ht="12" customHeight="1">
      <c r="C31" s="65"/>
      <c r="AG31" s="181"/>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3"/>
      <c r="BD31" s="185"/>
      <c r="BE31" s="182"/>
      <c r="BF31" s="182"/>
      <c r="BG31" s="182"/>
      <c r="BH31" s="182"/>
      <c r="BI31" s="182"/>
      <c r="BJ31" s="182"/>
      <c r="BK31" s="182"/>
      <c r="BL31" s="182"/>
      <c r="BM31" s="182"/>
      <c r="BN31" s="182"/>
      <c r="BO31" s="182"/>
      <c r="BP31" s="182"/>
      <c r="BQ31" s="182"/>
      <c r="BR31" s="182"/>
      <c r="BS31" s="182"/>
      <c r="BT31" s="182"/>
      <c r="BU31" s="182"/>
      <c r="BV31" s="182"/>
      <c r="BW31" s="182"/>
      <c r="BX31" s="182"/>
      <c r="BY31" s="182"/>
      <c r="BZ31" s="183"/>
      <c r="CA31" s="185"/>
      <c r="CB31" s="182"/>
      <c r="CC31" s="182"/>
      <c r="CD31" s="182"/>
      <c r="CE31" s="182"/>
      <c r="CF31" s="182"/>
      <c r="CG31" s="182"/>
      <c r="CH31" s="182"/>
      <c r="CI31" s="182"/>
      <c r="CJ31" s="182"/>
      <c r="CK31" s="182"/>
      <c r="CL31" s="182"/>
      <c r="CM31" s="182"/>
      <c r="CN31" s="182"/>
      <c r="CO31" s="182"/>
      <c r="CP31" s="182"/>
      <c r="CQ31" s="182"/>
      <c r="CR31" s="182"/>
      <c r="CS31" s="182"/>
      <c r="CT31" s="182"/>
      <c r="CU31" s="182"/>
      <c r="CV31" s="182"/>
      <c r="CW31" s="187"/>
      <c r="CX31" s="65"/>
      <c r="CY31" s="65"/>
      <c r="CZ31" s="65"/>
      <c r="DA31" s="65"/>
      <c r="DB31" s="65"/>
      <c r="DC31" s="65"/>
      <c r="DD31" s="65"/>
      <c r="DE31" s="65"/>
      <c r="DF31" s="65"/>
      <c r="DG31" s="65"/>
      <c r="DH31" s="65"/>
    </row>
    <row r="32" spans="3:112" s="92" customFormat="1" ht="12" customHeight="1">
      <c r="C32" s="65"/>
      <c r="AG32" s="181"/>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3"/>
      <c r="BD32" s="185"/>
      <c r="BE32" s="182"/>
      <c r="BF32" s="182"/>
      <c r="BG32" s="182"/>
      <c r="BH32" s="182"/>
      <c r="BI32" s="182"/>
      <c r="BJ32" s="182"/>
      <c r="BK32" s="182"/>
      <c r="BL32" s="182"/>
      <c r="BM32" s="182"/>
      <c r="BN32" s="182"/>
      <c r="BO32" s="182"/>
      <c r="BP32" s="182"/>
      <c r="BQ32" s="182"/>
      <c r="BR32" s="182"/>
      <c r="BS32" s="182"/>
      <c r="BT32" s="182"/>
      <c r="BU32" s="182"/>
      <c r="BV32" s="182"/>
      <c r="BW32" s="182"/>
      <c r="BX32" s="182"/>
      <c r="BY32" s="182"/>
      <c r="BZ32" s="183"/>
      <c r="CA32" s="185"/>
      <c r="CB32" s="182"/>
      <c r="CC32" s="182"/>
      <c r="CD32" s="182"/>
      <c r="CE32" s="182"/>
      <c r="CF32" s="182"/>
      <c r="CG32" s="182"/>
      <c r="CH32" s="182"/>
      <c r="CI32" s="182"/>
      <c r="CJ32" s="182"/>
      <c r="CK32" s="182"/>
      <c r="CL32" s="182"/>
      <c r="CM32" s="182"/>
      <c r="CN32" s="182"/>
      <c r="CO32" s="182"/>
      <c r="CP32" s="182"/>
      <c r="CQ32" s="182"/>
      <c r="CR32" s="182"/>
      <c r="CS32" s="182"/>
      <c r="CT32" s="182"/>
      <c r="CU32" s="182"/>
      <c r="CV32" s="182"/>
      <c r="CW32" s="187"/>
      <c r="CX32" s="65"/>
      <c r="CY32" s="65"/>
      <c r="CZ32" s="65"/>
      <c r="DA32" s="65"/>
      <c r="DB32" s="65"/>
      <c r="DC32" s="65"/>
      <c r="DD32" s="65"/>
      <c r="DE32" s="65"/>
      <c r="DF32" s="65"/>
      <c r="DG32" s="65"/>
      <c r="DH32" s="65"/>
    </row>
    <row r="33" spans="3:164" s="92" customFormat="1" ht="12" customHeight="1" thickBot="1">
      <c r="C33" s="65"/>
      <c r="AG33" s="188">
        <v>42950</v>
      </c>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v>42950</v>
      </c>
      <c r="BE33" s="189"/>
      <c r="BF33" s="189"/>
      <c r="BG33" s="189"/>
      <c r="BH33" s="189"/>
      <c r="BI33" s="189"/>
      <c r="BJ33" s="189"/>
      <c r="BK33" s="189"/>
      <c r="BL33" s="189"/>
      <c r="BM33" s="189"/>
      <c r="BN33" s="189"/>
      <c r="BO33" s="189"/>
      <c r="BP33" s="189"/>
      <c r="BQ33" s="189"/>
      <c r="BR33" s="189"/>
      <c r="BS33" s="189"/>
      <c r="BT33" s="189"/>
      <c r="BU33" s="189"/>
      <c r="BV33" s="189"/>
      <c r="BW33" s="189"/>
      <c r="BX33" s="189"/>
      <c r="BY33" s="189"/>
      <c r="BZ33" s="189"/>
      <c r="CA33" s="189">
        <v>42950</v>
      </c>
      <c r="CB33" s="190"/>
      <c r="CC33" s="190"/>
      <c r="CD33" s="190"/>
      <c r="CE33" s="190"/>
      <c r="CF33" s="190"/>
      <c r="CG33" s="190"/>
      <c r="CH33" s="190"/>
      <c r="CI33" s="190"/>
      <c r="CJ33" s="190"/>
      <c r="CK33" s="190"/>
      <c r="CL33" s="190"/>
      <c r="CM33" s="190"/>
      <c r="CN33" s="190"/>
      <c r="CO33" s="190"/>
      <c r="CP33" s="190"/>
      <c r="CQ33" s="190"/>
      <c r="CR33" s="190"/>
      <c r="CS33" s="190"/>
      <c r="CT33" s="190"/>
      <c r="CU33" s="190"/>
      <c r="CV33" s="190"/>
      <c r="CW33" s="191"/>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68" t="s">
        <v>74</v>
      </c>
      <c r="K35" s="169"/>
      <c r="L35" s="169"/>
      <c r="M35" s="169"/>
      <c r="N35" s="169"/>
      <c r="O35" s="169"/>
      <c r="P35" s="169"/>
      <c r="Q35" s="169"/>
      <c r="R35" s="169"/>
      <c r="S35" s="169"/>
      <c r="T35" s="169"/>
      <c r="U35" s="169"/>
      <c r="V35" s="169"/>
      <c r="W35" s="169"/>
      <c r="X35" s="169"/>
      <c r="Y35" s="169"/>
      <c r="Z35" s="169"/>
      <c r="AA35" s="169"/>
      <c r="AB35" s="169"/>
      <c r="AC35" s="169"/>
      <c r="AD35" s="169"/>
      <c r="AE35" s="169"/>
      <c r="AF35" s="170"/>
      <c r="AG35" s="174" t="s">
        <v>75</v>
      </c>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70"/>
      <c r="BD35" s="174" t="s">
        <v>76</v>
      </c>
      <c r="BE35" s="169"/>
      <c r="BF35" s="169"/>
      <c r="BG35" s="169"/>
      <c r="BH35" s="169"/>
      <c r="BI35" s="169"/>
      <c r="BJ35" s="169"/>
      <c r="BK35" s="169"/>
      <c r="BL35" s="169"/>
      <c r="BM35" s="169"/>
      <c r="BN35" s="169"/>
      <c r="BO35" s="169"/>
      <c r="BP35" s="169"/>
      <c r="BQ35" s="169"/>
      <c r="BR35" s="169"/>
      <c r="BS35" s="169"/>
      <c r="BT35" s="169"/>
      <c r="BU35" s="169"/>
      <c r="BV35" s="169"/>
      <c r="BW35" s="169"/>
      <c r="BX35" s="169"/>
      <c r="BY35" s="169"/>
      <c r="BZ35" s="170"/>
      <c r="CA35" s="174" t="s">
        <v>77</v>
      </c>
      <c r="CB35" s="169"/>
      <c r="CC35" s="169"/>
      <c r="CD35" s="169"/>
      <c r="CE35" s="169"/>
      <c r="CF35" s="169"/>
      <c r="CG35" s="169"/>
      <c r="CH35" s="169"/>
      <c r="CI35" s="169"/>
      <c r="CJ35" s="169"/>
      <c r="CK35" s="169"/>
      <c r="CL35" s="169"/>
      <c r="CM35" s="169"/>
      <c r="CN35" s="169"/>
      <c r="CO35" s="169"/>
      <c r="CP35" s="169"/>
      <c r="CQ35" s="169"/>
      <c r="CR35" s="169"/>
      <c r="CS35" s="169"/>
      <c r="CT35" s="169"/>
      <c r="CU35" s="169"/>
      <c r="CV35" s="169"/>
      <c r="CW35" s="176"/>
      <c r="CX35" s="65"/>
      <c r="CY35" s="65"/>
      <c r="CZ35" s="65"/>
      <c r="DA35" s="65"/>
      <c r="DB35" s="65"/>
      <c r="DC35" s="65"/>
      <c r="DD35" s="65"/>
      <c r="DE35" s="65"/>
      <c r="DF35" s="65"/>
      <c r="DG35" s="65"/>
      <c r="DH35" s="65"/>
    </row>
    <row r="36" spans="3:164" s="92" customFormat="1" ht="12" customHeight="1" thickBot="1">
      <c r="C36" s="65"/>
      <c r="J36" s="171"/>
      <c r="K36" s="172"/>
      <c r="L36" s="172"/>
      <c r="M36" s="172"/>
      <c r="N36" s="172"/>
      <c r="O36" s="172"/>
      <c r="P36" s="172"/>
      <c r="Q36" s="172"/>
      <c r="R36" s="172"/>
      <c r="S36" s="172"/>
      <c r="T36" s="172"/>
      <c r="U36" s="172"/>
      <c r="V36" s="172"/>
      <c r="W36" s="172"/>
      <c r="X36" s="172"/>
      <c r="Y36" s="172"/>
      <c r="Z36" s="172"/>
      <c r="AA36" s="172"/>
      <c r="AB36" s="172"/>
      <c r="AC36" s="172"/>
      <c r="AD36" s="172"/>
      <c r="AE36" s="172"/>
      <c r="AF36" s="173"/>
      <c r="AG36" s="175"/>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3"/>
      <c r="BD36" s="175"/>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3"/>
      <c r="CA36" s="175"/>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7"/>
      <c r="CX36" s="65"/>
      <c r="CY36" s="65"/>
      <c r="CZ36" s="65"/>
      <c r="DA36" s="65"/>
      <c r="DB36" s="65"/>
      <c r="DC36" s="65"/>
      <c r="DD36" s="65"/>
      <c r="DE36" s="65"/>
      <c r="DF36" s="65"/>
      <c r="DG36" s="65"/>
      <c r="DH36" s="65"/>
    </row>
    <row r="37" spans="3:164" s="92" customFormat="1" ht="12" customHeight="1" thickTop="1">
      <c r="C37" s="65"/>
      <c r="J37" s="178"/>
      <c r="K37" s="179"/>
      <c r="L37" s="179"/>
      <c r="M37" s="179"/>
      <c r="N37" s="179"/>
      <c r="O37" s="179"/>
      <c r="P37" s="179"/>
      <c r="Q37" s="179"/>
      <c r="R37" s="179"/>
      <c r="S37" s="179"/>
      <c r="T37" s="179"/>
      <c r="U37" s="179"/>
      <c r="V37" s="179"/>
      <c r="W37" s="179"/>
      <c r="X37" s="179"/>
      <c r="Y37" s="179"/>
      <c r="Z37" s="179"/>
      <c r="AA37" s="179"/>
      <c r="AB37" s="179"/>
      <c r="AC37" s="179"/>
      <c r="AD37" s="179"/>
      <c r="AE37" s="179"/>
      <c r="AF37" s="180"/>
      <c r="AG37" s="184"/>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80"/>
      <c r="BD37" s="184"/>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80"/>
      <c r="CA37" s="184"/>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86"/>
      <c r="CX37" s="65"/>
      <c r="CY37" s="65"/>
      <c r="CZ37" s="65"/>
      <c r="DA37" s="65"/>
      <c r="DB37" s="65"/>
      <c r="DC37" s="65"/>
      <c r="DD37" s="65"/>
      <c r="DE37" s="65"/>
      <c r="DF37" s="65"/>
      <c r="DG37" s="65"/>
      <c r="DH37" s="65"/>
      <c r="DK37" s="195" t="s">
        <v>67</v>
      </c>
      <c r="DL37" s="195"/>
      <c r="DM37" s="195"/>
      <c r="DN37" s="195"/>
      <c r="DO37" s="195"/>
      <c r="DP37" s="195"/>
      <c r="DQ37" s="195"/>
      <c r="DR37" s="195"/>
      <c r="DS37" s="195"/>
      <c r="DT37" s="195"/>
      <c r="DU37" s="195"/>
      <c r="DV37" s="195"/>
      <c r="DW37" s="195"/>
      <c r="DX37" s="195"/>
      <c r="DY37" s="195"/>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c r="FH37" s="195"/>
    </row>
    <row r="38" spans="3:164" s="92" customFormat="1">
      <c r="C38" s="65"/>
      <c r="J38" s="181"/>
      <c r="K38" s="182"/>
      <c r="L38" s="182"/>
      <c r="M38" s="182"/>
      <c r="N38" s="182"/>
      <c r="O38" s="182"/>
      <c r="P38" s="182"/>
      <c r="Q38" s="182"/>
      <c r="R38" s="182"/>
      <c r="S38" s="182"/>
      <c r="T38" s="182"/>
      <c r="U38" s="182"/>
      <c r="V38" s="182"/>
      <c r="W38" s="182"/>
      <c r="X38" s="182"/>
      <c r="Y38" s="182"/>
      <c r="Z38" s="182"/>
      <c r="AA38" s="182"/>
      <c r="AB38" s="182"/>
      <c r="AC38" s="182"/>
      <c r="AD38" s="182"/>
      <c r="AE38" s="182"/>
      <c r="AF38" s="183"/>
      <c r="AG38" s="185"/>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3"/>
      <c r="BD38" s="185"/>
      <c r="BE38" s="182"/>
      <c r="BF38" s="182"/>
      <c r="BG38" s="182"/>
      <c r="BH38" s="182"/>
      <c r="BI38" s="182"/>
      <c r="BJ38" s="182"/>
      <c r="BK38" s="182"/>
      <c r="BL38" s="182"/>
      <c r="BM38" s="182"/>
      <c r="BN38" s="182"/>
      <c r="BO38" s="182"/>
      <c r="BP38" s="182"/>
      <c r="BQ38" s="182"/>
      <c r="BR38" s="182"/>
      <c r="BS38" s="182"/>
      <c r="BT38" s="182"/>
      <c r="BU38" s="182"/>
      <c r="BV38" s="182"/>
      <c r="BW38" s="182"/>
      <c r="BX38" s="182"/>
      <c r="BY38" s="182"/>
      <c r="BZ38" s="183"/>
      <c r="CA38" s="185"/>
      <c r="CB38" s="182"/>
      <c r="CC38" s="182"/>
      <c r="CD38" s="182"/>
      <c r="CE38" s="182"/>
      <c r="CF38" s="182"/>
      <c r="CG38" s="182"/>
      <c r="CH38" s="182"/>
      <c r="CI38" s="182"/>
      <c r="CJ38" s="182"/>
      <c r="CK38" s="182"/>
      <c r="CL38" s="182"/>
      <c r="CM38" s="182"/>
      <c r="CN38" s="182"/>
      <c r="CO38" s="182"/>
      <c r="CP38" s="182"/>
      <c r="CQ38" s="182"/>
      <c r="CR38" s="182"/>
      <c r="CS38" s="182"/>
      <c r="CT38" s="182"/>
      <c r="CU38" s="182"/>
      <c r="CV38" s="182"/>
      <c r="CW38" s="187"/>
      <c r="CX38" s="65"/>
      <c r="CY38" s="65"/>
      <c r="CZ38" s="65"/>
      <c r="DA38" s="65"/>
      <c r="DB38" s="65"/>
      <c r="DC38" s="65"/>
      <c r="DD38" s="65"/>
      <c r="DE38" s="65"/>
      <c r="DF38" s="65"/>
      <c r="DG38" s="65"/>
      <c r="DH38" s="65"/>
      <c r="DK38" s="195"/>
      <c r="DL38" s="195"/>
      <c r="DM38" s="195"/>
      <c r="DN38" s="195"/>
      <c r="DO38" s="195"/>
      <c r="DP38" s="195"/>
      <c r="DQ38" s="195"/>
      <c r="DR38" s="195"/>
      <c r="DS38" s="195"/>
      <c r="DT38" s="195"/>
      <c r="DU38" s="195"/>
      <c r="DV38" s="195"/>
      <c r="DW38" s="195"/>
      <c r="DX38" s="195"/>
      <c r="DY38" s="195"/>
      <c r="DZ38" s="195"/>
      <c r="EA38" s="195"/>
      <c r="EB38" s="195"/>
      <c r="EC38" s="195"/>
      <c r="ED38" s="195"/>
      <c r="EE38" s="195"/>
      <c r="EF38" s="195"/>
      <c r="EG38" s="195"/>
      <c r="EH38" s="195"/>
      <c r="EI38" s="195"/>
      <c r="EJ38" s="195"/>
      <c r="EK38" s="195"/>
      <c r="EL38" s="195"/>
      <c r="EM38" s="195"/>
      <c r="EN38" s="195"/>
      <c r="EO38" s="195"/>
      <c r="EP38" s="195"/>
      <c r="EQ38" s="195"/>
      <c r="ER38" s="195"/>
      <c r="ES38" s="195"/>
      <c r="ET38" s="195"/>
      <c r="EU38" s="195"/>
      <c r="EV38" s="195"/>
      <c r="EW38" s="195"/>
      <c r="EX38" s="195"/>
      <c r="EY38" s="195"/>
      <c r="EZ38" s="195"/>
      <c r="FA38" s="195"/>
      <c r="FB38" s="195"/>
      <c r="FC38" s="195"/>
      <c r="FD38" s="195"/>
      <c r="FE38" s="195"/>
      <c r="FF38" s="195"/>
      <c r="FG38" s="195"/>
      <c r="FH38" s="195"/>
    </row>
    <row r="39" spans="3:164" s="92" customFormat="1">
      <c r="J39" s="192"/>
      <c r="K39" s="193"/>
      <c r="L39" s="193"/>
      <c r="M39" s="193"/>
      <c r="N39" s="193"/>
      <c r="O39" s="193"/>
      <c r="P39" s="193"/>
      <c r="Q39" s="193"/>
      <c r="R39" s="193"/>
      <c r="S39" s="193"/>
      <c r="T39" s="193"/>
      <c r="U39" s="193"/>
      <c r="V39" s="193"/>
      <c r="W39" s="193"/>
      <c r="X39" s="193"/>
      <c r="Y39" s="193"/>
      <c r="Z39" s="193"/>
      <c r="AA39" s="193"/>
      <c r="AB39" s="193"/>
      <c r="AC39" s="193"/>
      <c r="AD39" s="193"/>
      <c r="AE39" s="193"/>
      <c r="AF39" s="194"/>
      <c r="AG39" s="185"/>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3"/>
      <c r="BD39" s="185"/>
      <c r="BE39" s="182"/>
      <c r="BF39" s="182"/>
      <c r="BG39" s="182"/>
      <c r="BH39" s="182"/>
      <c r="BI39" s="182"/>
      <c r="BJ39" s="182"/>
      <c r="BK39" s="182"/>
      <c r="BL39" s="182"/>
      <c r="BM39" s="182"/>
      <c r="BN39" s="182"/>
      <c r="BO39" s="182"/>
      <c r="BP39" s="182"/>
      <c r="BQ39" s="182"/>
      <c r="BR39" s="182"/>
      <c r="BS39" s="182"/>
      <c r="BT39" s="182"/>
      <c r="BU39" s="182"/>
      <c r="BV39" s="182"/>
      <c r="BW39" s="182"/>
      <c r="BX39" s="182"/>
      <c r="BY39" s="182"/>
      <c r="BZ39" s="183"/>
      <c r="CA39" s="185"/>
      <c r="CB39" s="182"/>
      <c r="CC39" s="182"/>
      <c r="CD39" s="182"/>
      <c r="CE39" s="182"/>
      <c r="CF39" s="182"/>
      <c r="CG39" s="182"/>
      <c r="CH39" s="182"/>
      <c r="CI39" s="182"/>
      <c r="CJ39" s="182"/>
      <c r="CK39" s="182"/>
      <c r="CL39" s="182"/>
      <c r="CM39" s="182"/>
      <c r="CN39" s="182"/>
      <c r="CO39" s="182"/>
      <c r="CP39" s="182"/>
      <c r="CQ39" s="182"/>
      <c r="CR39" s="182"/>
      <c r="CS39" s="182"/>
      <c r="CT39" s="182"/>
      <c r="CU39" s="182"/>
      <c r="CV39" s="182"/>
      <c r="CW39" s="187"/>
      <c r="DK39" s="196"/>
      <c r="DL39" s="196"/>
      <c r="DM39" s="196"/>
      <c r="DN39" s="196"/>
      <c r="DO39" s="196"/>
      <c r="DP39" s="196"/>
      <c r="DQ39" s="196"/>
      <c r="DR39" s="196"/>
      <c r="DS39" s="196"/>
      <c r="DT39" s="196"/>
      <c r="DU39" s="196"/>
      <c r="DV39" s="196"/>
      <c r="DW39" s="196"/>
      <c r="DX39" s="196"/>
      <c r="DY39" s="196"/>
      <c r="DZ39" s="196"/>
      <c r="EA39" s="196"/>
      <c r="EB39" s="196"/>
      <c r="EC39" s="196"/>
      <c r="ED39" s="196"/>
      <c r="EE39" s="196"/>
      <c r="EF39" s="196"/>
      <c r="EG39" s="196"/>
      <c r="EH39" s="196"/>
      <c r="EI39" s="196"/>
      <c r="EJ39" s="196"/>
      <c r="EK39" s="196"/>
      <c r="EL39" s="196"/>
      <c r="EM39" s="196"/>
      <c r="EN39" s="196"/>
      <c r="EO39" s="196"/>
      <c r="EP39" s="196"/>
      <c r="EQ39" s="196"/>
      <c r="ER39" s="196"/>
      <c r="ES39" s="196"/>
      <c r="ET39" s="196"/>
      <c r="EU39" s="196"/>
      <c r="EV39" s="196"/>
      <c r="EW39" s="196"/>
      <c r="EX39" s="196"/>
      <c r="EY39" s="196"/>
      <c r="EZ39" s="196"/>
      <c r="FA39" s="196"/>
      <c r="FB39" s="196"/>
      <c r="FC39" s="196"/>
      <c r="FD39" s="196"/>
      <c r="FE39" s="196"/>
      <c r="FF39" s="196"/>
      <c r="FG39" s="196"/>
      <c r="FH39" s="196"/>
    </row>
    <row r="40" spans="3:164" s="92" customFormat="1" ht="12.75" thickBot="1">
      <c r="J40" s="197"/>
      <c r="K40" s="198"/>
      <c r="L40" s="198"/>
      <c r="M40" s="198"/>
      <c r="N40" s="198"/>
      <c r="O40" s="198"/>
      <c r="P40" s="198"/>
      <c r="Q40" s="198"/>
      <c r="R40" s="198"/>
      <c r="S40" s="198"/>
      <c r="T40" s="198"/>
      <c r="U40" s="198"/>
      <c r="V40" s="198"/>
      <c r="W40" s="198"/>
      <c r="X40" s="198"/>
      <c r="Y40" s="198"/>
      <c r="Z40" s="198"/>
      <c r="AA40" s="198"/>
      <c r="AB40" s="198"/>
      <c r="AC40" s="198"/>
      <c r="AD40" s="198"/>
      <c r="AE40" s="198"/>
      <c r="AF40" s="19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189"/>
      <c r="BF40" s="189"/>
      <c r="BG40" s="189"/>
      <c r="BH40" s="189"/>
      <c r="BI40" s="189"/>
      <c r="BJ40" s="189"/>
      <c r="BK40" s="189"/>
      <c r="BL40" s="189"/>
      <c r="BM40" s="189"/>
      <c r="BN40" s="189"/>
      <c r="BO40" s="189"/>
      <c r="BP40" s="189"/>
      <c r="BQ40" s="189"/>
      <c r="BR40" s="189"/>
      <c r="BS40" s="189"/>
      <c r="BT40" s="189"/>
      <c r="BU40" s="189"/>
      <c r="BV40" s="189"/>
      <c r="BW40" s="189"/>
      <c r="BX40" s="189"/>
      <c r="BY40" s="189"/>
      <c r="BZ40" s="189"/>
      <c r="CA40" s="189"/>
      <c r="CB40" s="189"/>
      <c r="CC40" s="189"/>
      <c r="CD40" s="189"/>
      <c r="CE40" s="189"/>
      <c r="CF40" s="189"/>
      <c r="CG40" s="189"/>
      <c r="CH40" s="189"/>
      <c r="CI40" s="189"/>
      <c r="CJ40" s="189"/>
      <c r="CK40" s="189"/>
      <c r="CL40" s="189"/>
      <c r="CM40" s="189"/>
      <c r="CN40" s="189"/>
      <c r="CO40" s="189"/>
      <c r="CP40" s="189"/>
      <c r="CQ40" s="189"/>
      <c r="CR40" s="189"/>
      <c r="CS40" s="189"/>
      <c r="CT40" s="189"/>
      <c r="CU40" s="189"/>
      <c r="CV40" s="189"/>
      <c r="CW40" s="200"/>
      <c r="DK40" s="196"/>
      <c r="DL40" s="196"/>
      <c r="DM40" s="196"/>
      <c r="DN40" s="196"/>
      <c r="DO40" s="196"/>
      <c r="DP40" s="196"/>
      <c r="DQ40" s="196"/>
      <c r="DR40" s="196"/>
      <c r="DS40" s="196"/>
      <c r="DT40" s="196"/>
      <c r="DU40" s="196"/>
      <c r="DV40" s="196"/>
      <c r="DW40" s="196"/>
      <c r="DX40" s="196"/>
      <c r="DY40" s="196"/>
      <c r="DZ40" s="196"/>
      <c r="EA40" s="196"/>
      <c r="EB40" s="196"/>
      <c r="EC40" s="196"/>
      <c r="ED40" s="196"/>
      <c r="EE40" s="196"/>
      <c r="EF40" s="196"/>
      <c r="EG40" s="196"/>
      <c r="EH40" s="196"/>
      <c r="EI40" s="196"/>
      <c r="EJ40" s="196"/>
      <c r="EK40" s="196"/>
      <c r="EL40" s="196"/>
      <c r="EM40" s="196"/>
      <c r="EN40" s="196"/>
      <c r="EO40" s="196"/>
      <c r="EP40" s="196"/>
      <c r="EQ40" s="196"/>
      <c r="ER40" s="196"/>
      <c r="ES40" s="196"/>
      <c r="ET40" s="196"/>
      <c r="EU40" s="196"/>
      <c r="EV40" s="196"/>
      <c r="EW40" s="196"/>
      <c r="EX40" s="196"/>
      <c r="EY40" s="196"/>
      <c r="EZ40" s="196"/>
      <c r="FA40" s="196"/>
      <c r="FB40" s="196"/>
      <c r="FC40" s="196"/>
      <c r="FD40" s="196"/>
      <c r="FE40" s="196"/>
      <c r="FF40" s="196"/>
      <c r="FG40" s="196"/>
      <c r="FH40" s="196"/>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C5" sqref="C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396</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22"/>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3" width="11.25" style="99" customWidth="1"/>
    <col min="4" max="4" width="38.25" style="135" customWidth="1"/>
    <col min="5" max="5" width="37.75" style="99" customWidth="1"/>
    <col min="6" max="6" width="16.625" style="5" customWidth="1"/>
    <col min="7" max="7" width="28.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2">
      <c r="N1" s="99" t="s">
        <v>0</v>
      </c>
      <c r="O1" s="99" t="s">
        <v>86</v>
      </c>
      <c r="P1" s="99" t="s">
        <v>87</v>
      </c>
      <c r="Q1" s="99" t="s">
        <v>347</v>
      </c>
    </row>
    <row r="2" spans="1:22">
      <c r="A2" s="98"/>
      <c r="G2" s="6" t="s">
        <v>1</v>
      </c>
      <c r="H2" s="7" t="s">
        <v>0</v>
      </c>
      <c r="I2" s="7" t="s">
        <v>17</v>
      </c>
      <c r="J2" s="7" t="s">
        <v>21</v>
      </c>
      <c r="K2" s="96"/>
      <c r="L2" s="108" t="s">
        <v>88</v>
      </c>
      <c r="M2" s="12">
        <f>COUNTA(B8:B506)</f>
        <v>97</v>
      </c>
      <c r="N2" s="99">
        <f>COUNTIF($H$9:$H$1006,"OK")+COUNTIF($H$9:$H1006,"－")</f>
        <v>0</v>
      </c>
      <c r="O2" s="99">
        <f>COUNTIF($H$9:$H$1006,"NG")</f>
        <v>0</v>
      </c>
      <c r="P2" s="99">
        <f>COUNTIF($H$9:$H$1006,"NG（済）")</f>
        <v>0</v>
      </c>
      <c r="Q2" s="99">
        <f>COUNTIF($H$9:$H$1006,"未実施")</f>
        <v>0</v>
      </c>
    </row>
    <row r="3" spans="1:22">
      <c r="A3" s="98" t="s">
        <v>2</v>
      </c>
      <c r="B3" s="9" t="s">
        <v>80</v>
      </c>
      <c r="G3" s="10">
        <f>SUM(M2:M4)</f>
        <v>291</v>
      </c>
      <c r="H3" s="10">
        <f>SUM(N2:N4)</f>
        <v>0</v>
      </c>
      <c r="I3" s="10">
        <f>SUM(O2:O4)</f>
        <v>0</v>
      </c>
      <c r="J3" s="10">
        <f>SUM(P2:P4)</f>
        <v>0</v>
      </c>
      <c r="K3" s="96"/>
      <c r="L3" s="109" t="s">
        <v>89</v>
      </c>
      <c r="M3" s="12">
        <f>COUNTA(B8:B506)</f>
        <v>97</v>
      </c>
      <c r="N3" s="99">
        <f>COUNTIF($K$9:$K$1006,"OK")+COUNTIF($K$9:$K$1006,"－")</f>
        <v>0</v>
      </c>
      <c r="O3" s="99">
        <f>COUNTIF($K$9:$K$1006,"NG")</f>
        <v>0</v>
      </c>
      <c r="P3" s="99">
        <f>COUNTIF($K$9:$K$1006,"NG（済）")</f>
        <v>0</v>
      </c>
      <c r="Q3" s="99">
        <f>COUNTIF($K$9:$K$1006,"未実施")</f>
        <v>0</v>
      </c>
    </row>
    <row r="4" spans="1:22">
      <c r="A4" s="13" t="s">
        <v>3</v>
      </c>
      <c r="B4" s="98" t="s">
        <v>13</v>
      </c>
      <c r="C4" s="97" t="s">
        <v>124</v>
      </c>
      <c r="D4" s="136"/>
      <c r="L4" s="109" t="s">
        <v>90</v>
      </c>
      <c r="M4" s="12">
        <f>COUNTA(B8:B506)</f>
        <v>97</v>
      </c>
      <c r="N4" s="99">
        <f>COUNTIF($N$9:$N$1006,"OK")+COUNTIF($N$9:$N$1006,"－")</f>
        <v>0</v>
      </c>
      <c r="O4" s="99">
        <f>COUNTIF($N$9:$N$1006,"NG")</f>
        <v>0</v>
      </c>
      <c r="P4" s="99">
        <f>COUNTIF($N$9:$N$1006,"NG（済）")</f>
        <v>0</v>
      </c>
      <c r="Q4" s="99">
        <f>COUNTIF($N$9:$N$1006,"未実施")</f>
        <v>0</v>
      </c>
    </row>
    <row r="5" spans="1:22">
      <c r="A5" s="13"/>
      <c r="B5" s="99" t="s">
        <v>271</v>
      </c>
      <c r="L5" s="109"/>
      <c r="M5" s="12"/>
      <c r="Q5" s="13"/>
      <c r="R5" s="13"/>
    </row>
    <row r="6" spans="1:22">
      <c r="A6" s="13"/>
      <c r="B6" s="98"/>
      <c r="L6" s="109"/>
      <c r="Q6" s="13"/>
      <c r="R6" s="13"/>
    </row>
    <row r="7" spans="1:22">
      <c r="B7" s="219" t="s">
        <v>4</v>
      </c>
      <c r="C7" s="221" t="s">
        <v>5</v>
      </c>
      <c r="D7" s="216" t="s">
        <v>79</v>
      </c>
      <c r="E7" s="221" t="s">
        <v>6</v>
      </c>
      <c r="F7" s="222" t="s">
        <v>7</v>
      </c>
      <c r="G7" s="223"/>
      <c r="H7" s="218" t="s">
        <v>91</v>
      </c>
      <c r="I7" s="218"/>
      <c r="J7" s="218"/>
      <c r="K7" s="218" t="s">
        <v>84</v>
      </c>
      <c r="L7" s="218"/>
      <c r="M7" s="218"/>
      <c r="N7" s="218" t="s">
        <v>85</v>
      </c>
      <c r="O7" s="218"/>
      <c r="P7" s="218"/>
      <c r="Q7" s="216" t="s">
        <v>348</v>
      </c>
      <c r="R7" s="216" t="s">
        <v>78</v>
      </c>
      <c r="S7" s="215" t="s">
        <v>14</v>
      </c>
      <c r="T7" s="215"/>
      <c r="U7" s="215"/>
      <c r="V7" s="104"/>
    </row>
    <row r="8" spans="1:22">
      <c r="B8" s="220"/>
      <c r="C8" s="217"/>
      <c r="D8" s="226"/>
      <c r="E8" s="217"/>
      <c r="F8" s="224"/>
      <c r="G8" s="225"/>
      <c r="H8" s="103" t="s">
        <v>8</v>
      </c>
      <c r="I8" s="103" t="s">
        <v>9</v>
      </c>
      <c r="J8" s="103" t="s">
        <v>10</v>
      </c>
      <c r="K8" s="105" t="s">
        <v>8</v>
      </c>
      <c r="L8" s="105" t="s">
        <v>9</v>
      </c>
      <c r="M8" s="105" t="s">
        <v>10</v>
      </c>
      <c r="N8" s="105" t="s">
        <v>8</v>
      </c>
      <c r="O8" s="105" t="s">
        <v>9</v>
      </c>
      <c r="P8" s="105" t="s">
        <v>10</v>
      </c>
      <c r="Q8" s="217"/>
      <c r="R8" s="217"/>
      <c r="S8" s="93"/>
      <c r="T8" s="94"/>
      <c r="U8" s="95"/>
      <c r="V8" s="104"/>
    </row>
    <row r="9" spans="1:22" ht="69.95" customHeight="1">
      <c r="B9" s="130" t="str">
        <f t="shared" ref="B9:B78" si="0">"1-"&amp;ROW()-8</f>
        <v>1-1</v>
      </c>
      <c r="C9" s="100" t="s">
        <v>95</v>
      </c>
      <c r="D9" s="42" t="s">
        <v>342</v>
      </c>
      <c r="E9" s="100" t="s">
        <v>62</v>
      </c>
      <c r="F9" s="203" t="s">
        <v>130</v>
      </c>
      <c r="G9" s="204"/>
      <c r="H9" s="101"/>
      <c r="I9" s="20"/>
      <c r="J9" s="101"/>
      <c r="K9" s="101"/>
      <c r="L9" s="20"/>
      <c r="M9" s="101"/>
      <c r="N9" s="101"/>
      <c r="O9" s="20"/>
      <c r="P9" s="101"/>
      <c r="Q9" s="101"/>
      <c r="R9" s="101"/>
      <c r="S9" s="100"/>
      <c r="T9" s="102"/>
      <c r="U9" s="102"/>
      <c r="V9" s="160"/>
    </row>
    <row r="10" spans="1:22" ht="34.5" customHeight="1">
      <c r="B10" s="130" t="str">
        <f t="shared" si="0"/>
        <v>1-2</v>
      </c>
      <c r="C10" s="100"/>
      <c r="D10" s="42"/>
      <c r="E10" s="42" t="s">
        <v>309</v>
      </c>
      <c r="F10" s="203" t="s">
        <v>310</v>
      </c>
      <c r="G10" s="204"/>
      <c r="H10" s="101"/>
      <c r="I10" s="20"/>
      <c r="J10" s="101"/>
      <c r="K10" s="101"/>
      <c r="L10" s="20"/>
      <c r="M10" s="101"/>
      <c r="N10" s="101"/>
      <c r="O10" s="20"/>
      <c r="P10" s="101"/>
      <c r="Q10" s="101"/>
      <c r="R10" s="101"/>
      <c r="S10" s="100"/>
      <c r="T10" s="102"/>
      <c r="U10" s="102"/>
      <c r="V10" s="160"/>
    </row>
    <row r="11" spans="1:22" ht="41.25" customHeight="1">
      <c r="B11" s="130" t="str">
        <f t="shared" si="0"/>
        <v>1-3</v>
      </c>
      <c r="C11" s="100"/>
      <c r="D11" s="100" t="s">
        <v>363</v>
      </c>
      <c r="E11" s="42" t="s">
        <v>364</v>
      </c>
      <c r="F11" s="203" t="s">
        <v>365</v>
      </c>
      <c r="G11" s="204"/>
      <c r="H11" s="101"/>
      <c r="I11" s="20"/>
      <c r="J11" s="101"/>
      <c r="K11" s="101"/>
      <c r="L11" s="20"/>
      <c r="M11" s="101"/>
      <c r="N11" s="101"/>
      <c r="O11" s="20"/>
      <c r="P11" s="101"/>
      <c r="Q11" s="101"/>
      <c r="R11" s="101"/>
      <c r="S11" s="100"/>
      <c r="T11" s="102"/>
      <c r="U11" s="102"/>
      <c r="V11" s="160"/>
    </row>
    <row r="12" spans="1:22" ht="41.25" customHeight="1">
      <c r="B12" s="130" t="str">
        <f t="shared" si="0"/>
        <v>1-4</v>
      </c>
      <c r="C12" s="100"/>
      <c r="D12" s="100" t="s">
        <v>366</v>
      </c>
      <c r="E12" s="42" t="s">
        <v>364</v>
      </c>
      <c r="F12" s="203" t="s">
        <v>365</v>
      </c>
      <c r="G12" s="204"/>
      <c r="H12" s="101"/>
      <c r="I12" s="20"/>
      <c r="J12" s="101"/>
      <c r="K12" s="101"/>
      <c r="L12" s="20"/>
      <c r="M12" s="101"/>
      <c r="N12" s="101"/>
      <c r="O12" s="20"/>
      <c r="P12" s="101"/>
      <c r="Q12" s="101"/>
      <c r="R12" s="101"/>
      <c r="S12" s="100"/>
      <c r="T12" s="102"/>
      <c r="U12" s="102"/>
      <c r="V12" s="160"/>
    </row>
    <row r="13" spans="1:22" ht="34.5" customHeight="1">
      <c r="B13" s="130" t="str">
        <f t="shared" si="0"/>
        <v>1-5</v>
      </c>
      <c r="C13" s="100"/>
      <c r="D13" s="42"/>
      <c r="E13" s="42" t="s">
        <v>349</v>
      </c>
      <c r="F13" s="203" t="s">
        <v>350</v>
      </c>
      <c r="G13" s="204"/>
      <c r="H13" s="101"/>
      <c r="I13" s="20"/>
      <c r="J13" s="101"/>
      <c r="K13" s="101"/>
      <c r="L13" s="20"/>
      <c r="M13" s="101"/>
      <c r="N13" s="101"/>
      <c r="O13" s="20"/>
      <c r="P13" s="101"/>
      <c r="Q13" s="101"/>
      <c r="R13" s="101"/>
      <c r="S13" s="100"/>
      <c r="T13" s="102"/>
      <c r="U13" s="102"/>
      <c r="V13" s="160"/>
    </row>
    <row r="14" spans="1:22" ht="41.25" customHeight="1">
      <c r="B14" s="130" t="str">
        <f t="shared" si="0"/>
        <v>1-6</v>
      </c>
      <c r="C14" s="100"/>
      <c r="D14" s="100" t="s">
        <v>363</v>
      </c>
      <c r="E14" s="100" t="s">
        <v>367</v>
      </c>
      <c r="F14" s="203" t="s">
        <v>365</v>
      </c>
      <c r="G14" s="204"/>
      <c r="H14" s="101"/>
      <c r="I14" s="20"/>
      <c r="J14" s="101"/>
      <c r="K14" s="101"/>
      <c r="L14" s="20"/>
      <c r="M14" s="101"/>
      <c r="N14" s="101"/>
      <c r="O14" s="20"/>
      <c r="P14" s="101"/>
      <c r="Q14" s="101"/>
      <c r="R14" s="101"/>
      <c r="S14" s="100"/>
      <c r="T14" s="102"/>
      <c r="U14" s="102"/>
      <c r="V14" s="160"/>
    </row>
    <row r="15" spans="1:22" ht="41.25" customHeight="1">
      <c r="B15" s="130" t="str">
        <f t="shared" si="0"/>
        <v>1-7</v>
      </c>
      <c r="C15" s="100"/>
      <c r="D15" s="100" t="s">
        <v>368</v>
      </c>
      <c r="E15" s="100" t="s">
        <v>367</v>
      </c>
      <c r="F15" s="203" t="s">
        <v>365</v>
      </c>
      <c r="G15" s="204"/>
      <c r="H15" s="101"/>
      <c r="I15" s="20"/>
      <c r="J15" s="101"/>
      <c r="K15" s="101"/>
      <c r="L15" s="20"/>
      <c r="M15" s="101"/>
      <c r="N15" s="101"/>
      <c r="O15" s="20"/>
      <c r="P15" s="101"/>
      <c r="Q15" s="101"/>
      <c r="R15" s="101"/>
      <c r="S15" s="100"/>
      <c r="T15" s="102"/>
      <c r="U15" s="102"/>
      <c r="V15" s="160"/>
    </row>
    <row r="16" spans="1:22" ht="34.5" customHeight="1">
      <c r="B16" s="130" t="str">
        <f t="shared" si="0"/>
        <v>1-8</v>
      </c>
      <c r="C16" s="100"/>
      <c r="D16" s="42"/>
      <c r="E16" s="100" t="s">
        <v>272</v>
      </c>
      <c r="F16" s="201" t="s">
        <v>270</v>
      </c>
      <c r="G16" s="207"/>
      <c r="H16" s="101"/>
      <c r="I16" s="20"/>
      <c r="J16" s="101"/>
      <c r="K16" s="101"/>
      <c r="L16" s="20"/>
      <c r="M16" s="101"/>
      <c r="N16" s="101"/>
      <c r="O16" s="20"/>
      <c r="P16" s="101"/>
      <c r="Q16" s="101"/>
      <c r="R16" s="101"/>
      <c r="S16" s="100"/>
      <c r="T16" s="102"/>
      <c r="U16" s="102"/>
      <c r="V16" s="160"/>
    </row>
    <row r="17" spans="2:24" ht="41.25" customHeight="1">
      <c r="B17" s="130" t="str">
        <f t="shared" si="0"/>
        <v>1-9</v>
      </c>
      <c r="C17" s="100"/>
      <c r="D17" s="100" t="s">
        <v>363</v>
      </c>
      <c r="E17" s="100" t="s">
        <v>367</v>
      </c>
      <c r="F17" s="203" t="s">
        <v>365</v>
      </c>
      <c r="G17" s="204"/>
      <c r="H17" s="101"/>
      <c r="I17" s="20"/>
      <c r="J17" s="101"/>
      <c r="K17" s="101"/>
      <c r="L17" s="20"/>
      <c r="M17" s="101"/>
      <c r="N17" s="101"/>
      <c r="O17" s="20"/>
      <c r="P17" s="101"/>
      <c r="Q17" s="101"/>
      <c r="R17" s="101"/>
      <c r="S17" s="100"/>
      <c r="T17" s="102"/>
      <c r="U17" s="102"/>
      <c r="V17" s="160"/>
    </row>
    <row r="18" spans="2:24" ht="41.25" customHeight="1">
      <c r="B18" s="130" t="str">
        <f t="shared" si="0"/>
        <v>1-10</v>
      </c>
      <c r="C18" s="100"/>
      <c r="D18" s="100" t="s">
        <v>368</v>
      </c>
      <c r="E18" s="100" t="s">
        <v>367</v>
      </c>
      <c r="F18" s="203" t="s">
        <v>365</v>
      </c>
      <c r="G18" s="204"/>
      <c r="H18" s="101"/>
      <c r="I18" s="20"/>
      <c r="J18" s="101"/>
      <c r="K18" s="101"/>
      <c r="L18" s="20"/>
      <c r="M18" s="101"/>
      <c r="N18" s="101"/>
      <c r="O18" s="20"/>
      <c r="P18" s="101"/>
      <c r="Q18" s="101"/>
      <c r="R18" s="101"/>
      <c r="S18" s="100"/>
      <c r="T18" s="102"/>
      <c r="U18" s="102"/>
      <c r="V18" s="160"/>
    </row>
    <row r="19" spans="2:24" ht="34.5" customHeight="1">
      <c r="B19" s="130" t="str">
        <f t="shared" si="0"/>
        <v>1-11</v>
      </c>
      <c r="C19" s="100"/>
      <c r="D19" s="42" t="s">
        <v>83</v>
      </c>
      <c r="E19" s="100" t="s">
        <v>62</v>
      </c>
      <c r="F19" s="203" t="s">
        <v>96</v>
      </c>
      <c r="G19" s="204"/>
      <c r="H19" s="101"/>
      <c r="I19" s="20"/>
      <c r="J19" s="101"/>
      <c r="K19" s="101"/>
      <c r="L19" s="20"/>
      <c r="M19" s="101"/>
      <c r="N19" s="101"/>
      <c r="O19" s="20"/>
      <c r="P19" s="101"/>
      <c r="Q19" s="101"/>
      <c r="R19" s="101"/>
      <c r="S19" s="100"/>
      <c r="T19" s="102"/>
      <c r="U19" s="102"/>
      <c r="V19" s="160"/>
    </row>
    <row r="20" spans="2:24" ht="34.5" customHeight="1">
      <c r="B20" s="130" t="str">
        <f t="shared" si="0"/>
        <v>1-12</v>
      </c>
      <c r="C20" s="100"/>
      <c r="D20" s="42" t="s">
        <v>83</v>
      </c>
      <c r="E20" s="100" t="s">
        <v>62</v>
      </c>
      <c r="F20" s="203" t="s">
        <v>82</v>
      </c>
      <c r="G20" s="204"/>
      <c r="H20" s="101"/>
      <c r="I20" s="20"/>
      <c r="J20" s="101"/>
      <c r="K20" s="101"/>
      <c r="L20" s="20"/>
      <c r="M20" s="101"/>
      <c r="N20" s="101"/>
      <c r="O20" s="20"/>
      <c r="P20" s="101"/>
      <c r="Q20" s="101"/>
      <c r="R20" s="101"/>
      <c r="S20" s="100"/>
      <c r="T20" s="102"/>
      <c r="U20" s="102"/>
      <c r="V20" s="160"/>
      <c r="W20" s="104"/>
      <c r="X20" s="104"/>
    </row>
    <row r="21" spans="2:24" ht="34.5" customHeight="1">
      <c r="B21" s="130" t="str">
        <f t="shared" si="0"/>
        <v>1-13</v>
      </c>
      <c r="C21" s="100"/>
      <c r="D21" s="42" t="s">
        <v>83</v>
      </c>
      <c r="E21" s="100" t="s">
        <v>132</v>
      </c>
      <c r="F21" s="203" t="s">
        <v>92</v>
      </c>
      <c r="G21" s="204"/>
      <c r="H21" s="101"/>
      <c r="I21" s="20"/>
      <c r="J21" s="101"/>
      <c r="K21" s="101"/>
      <c r="L21" s="20"/>
      <c r="M21" s="101"/>
      <c r="N21" s="101"/>
      <c r="O21" s="20"/>
      <c r="P21" s="101"/>
      <c r="Q21" s="153"/>
      <c r="R21" s="101"/>
      <c r="S21" s="100"/>
      <c r="T21" s="102"/>
      <c r="U21" s="102"/>
      <c r="V21" s="160"/>
      <c r="W21" s="107"/>
      <c r="X21" s="107"/>
    </row>
    <row r="22" spans="2:24" ht="34.5" customHeight="1">
      <c r="B22" s="130" t="str">
        <f t="shared" si="0"/>
        <v>1-14</v>
      </c>
      <c r="C22" s="100"/>
      <c r="D22" s="42" t="s">
        <v>83</v>
      </c>
      <c r="E22" s="100" t="s">
        <v>132</v>
      </c>
      <c r="F22" s="203" t="s">
        <v>94</v>
      </c>
      <c r="G22" s="204"/>
      <c r="H22" s="101"/>
      <c r="I22" s="20"/>
      <c r="J22" s="101"/>
      <c r="K22" s="101"/>
      <c r="L22" s="20"/>
      <c r="M22" s="101"/>
      <c r="N22" s="101"/>
      <c r="O22" s="20"/>
      <c r="P22" s="101"/>
      <c r="Q22" s="153"/>
      <c r="R22" s="101"/>
      <c r="S22" s="100"/>
      <c r="T22" s="102"/>
      <c r="U22" s="102"/>
      <c r="V22" s="160"/>
      <c r="W22" s="107"/>
      <c r="X22" s="107"/>
    </row>
    <row r="23" spans="2:24" ht="34.5" customHeight="1">
      <c r="B23" s="130" t="str">
        <f t="shared" si="0"/>
        <v>1-15</v>
      </c>
      <c r="C23" s="100"/>
      <c r="D23" s="42" t="s">
        <v>83</v>
      </c>
      <c r="E23" s="100" t="s">
        <v>131</v>
      </c>
      <c r="F23" s="201" t="s">
        <v>371</v>
      </c>
      <c r="G23" s="202"/>
      <c r="H23" s="101"/>
      <c r="I23" s="20"/>
      <c r="J23" s="101"/>
      <c r="K23" s="101"/>
      <c r="L23" s="20"/>
      <c r="M23" s="101"/>
      <c r="N23" s="101"/>
      <c r="O23" s="20"/>
      <c r="P23" s="101"/>
      <c r="Q23" s="153"/>
      <c r="R23" s="101"/>
      <c r="S23" s="100"/>
      <c r="T23" s="102"/>
      <c r="U23" s="102"/>
      <c r="V23" s="160"/>
      <c r="W23" s="110"/>
      <c r="X23" s="110"/>
    </row>
    <row r="24" spans="2:24" ht="34.5" customHeight="1">
      <c r="B24" s="130" t="str">
        <f t="shared" si="0"/>
        <v>1-16</v>
      </c>
      <c r="C24" s="100"/>
      <c r="D24" s="42" t="s">
        <v>83</v>
      </c>
      <c r="E24" s="100" t="s">
        <v>93</v>
      </c>
      <c r="F24" s="203" t="s">
        <v>102</v>
      </c>
      <c r="G24" s="204"/>
      <c r="H24" s="101"/>
      <c r="I24" s="20"/>
      <c r="J24" s="101"/>
      <c r="K24" s="101"/>
      <c r="L24" s="20"/>
      <c r="M24" s="101"/>
      <c r="N24" s="101"/>
      <c r="O24" s="20"/>
      <c r="P24" s="101"/>
      <c r="Q24" s="153"/>
      <c r="R24" s="101"/>
      <c r="S24" s="100"/>
      <c r="T24" s="102"/>
      <c r="U24" s="102"/>
      <c r="V24" s="160"/>
      <c r="W24" s="107"/>
      <c r="X24" s="107"/>
    </row>
    <row r="25" spans="2:24" ht="34.5" customHeight="1">
      <c r="B25" s="130" t="str">
        <f t="shared" si="0"/>
        <v>1-17</v>
      </c>
      <c r="C25" s="100"/>
      <c r="D25" s="42" t="s">
        <v>83</v>
      </c>
      <c r="E25" s="100" t="s">
        <v>133</v>
      </c>
      <c r="F25" s="203" t="s">
        <v>92</v>
      </c>
      <c r="G25" s="204"/>
      <c r="H25" s="101"/>
      <c r="I25" s="20"/>
      <c r="J25" s="101"/>
      <c r="K25" s="101"/>
      <c r="L25" s="20"/>
      <c r="M25" s="101"/>
      <c r="N25" s="101"/>
      <c r="O25" s="20"/>
      <c r="P25" s="101"/>
      <c r="Q25" s="101"/>
      <c r="R25" s="101"/>
      <c r="S25" s="100"/>
      <c r="T25" s="102"/>
      <c r="U25" s="102"/>
      <c r="V25" s="160"/>
      <c r="W25" s="107"/>
      <c r="X25" s="107"/>
    </row>
    <row r="26" spans="2:24" ht="34.5" customHeight="1">
      <c r="B26" s="130" t="str">
        <f t="shared" si="0"/>
        <v>1-18</v>
      </c>
      <c r="C26" s="100"/>
      <c r="D26" s="42" t="s">
        <v>83</v>
      </c>
      <c r="E26" s="100" t="s">
        <v>133</v>
      </c>
      <c r="F26" s="203" t="s">
        <v>94</v>
      </c>
      <c r="G26" s="204"/>
      <c r="H26" s="101"/>
      <c r="I26" s="20"/>
      <c r="J26" s="101"/>
      <c r="K26" s="101"/>
      <c r="L26" s="20"/>
      <c r="M26" s="101"/>
      <c r="N26" s="101"/>
      <c r="O26" s="20"/>
      <c r="P26" s="101"/>
      <c r="Q26" s="101"/>
      <c r="R26" s="101"/>
      <c r="S26" s="100"/>
      <c r="T26" s="102"/>
      <c r="U26" s="102"/>
      <c r="V26" s="160"/>
      <c r="W26" s="107"/>
      <c r="X26" s="107"/>
    </row>
    <row r="27" spans="2:24" ht="48" customHeight="1">
      <c r="B27" s="130" t="str">
        <f t="shared" si="0"/>
        <v>1-19</v>
      </c>
      <c r="C27" s="100" t="s">
        <v>389</v>
      </c>
      <c r="D27" s="42" t="s">
        <v>390</v>
      </c>
      <c r="E27" s="100" t="s">
        <v>391</v>
      </c>
      <c r="F27" s="201" t="s">
        <v>392</v>
      </c>
      <c r="G27" s="202"/>
      <c r="H27" s="101"/>
      <c r="I27" s="20"/>
      <c r="J27" s="101"/>
      <c r="K27" s="101"/>
      <c r="L27" s="20"/>
      <c r="M27" s="101"/>
      <c r="N27" s="101"/>
      <c r="O27" s="20"/>
      <c r="P27" s="101"/>
      <c r="Q27" s="153"/>
      <c r="R27" s="101"/>
      <c r="S27" s="100"/>
      <c r="T27" s="102"/>
      <c r="U27" s="102"/>
      <c r="V27" s="160"/>
      <c r="W27" s="119"/>
      <c r="X27" s="119"/>
    </row>
    <row r="28" spans="2:24" ht="56.25" customHeight="1">
      <c r="B28" s="130" t="str">
        <f t="shared" si="0"/>
        <v>1-20</v>
      </c>
      <c r="C28" s="100"/>
      <c r="D28" s="42" t="s">
        <v>394</v>
      </c>
      <c r="E28" s="100" t="s">
        <v>395</v>
      </c>
      <c r="F28" s="201" t="s">
        <v>393</v>
      </c>
      <c r="G28" s="202"/>
      <c r="H28" s="101"/>
      <c r="I28" s="20"/>
      <c r="J28" s="101"/>
      <c r="K28" s="101"/>
      <c r="L28" s="20"/>
      <c r="M28" s="101"/>
      <c r="N28" s="101"/>
      <c r="O28" s="20"/>
      <c r="P28" s="101"/>
      <c r="Q28" s="153"/>
      <c r="R28" s="101"/>
      <c r="S28" s="100"/>
      <c r="T28" s="102"/>
      <c r="U28" s="102"/>
      <c r="V28" s="160"/>
      <c r="W28" s="119"/>
      <c r="X28" s="119"/>
    </row>
    <row r="29" spans="2:24" ht="34.5" customHeight="1">
      <c r="B29" s="130" t="str">
        <f t="shared" si="0"/>
        <v>1-21</v>
      </c>
      <c r="C29" s="100" t="s">
        <v>135</v>
      </c>
      <c r="D29" s="42" t="s">
        <v>134</v>
      </c>
      <c r="E29" s="100" t="s">
        <v>136</v>
      </c>
      <c r="F29" s="201" t="s">
        <v>138</v>
      </c>
      <c r="G29" s="202"/>
      <c r="H29" s="101"/>
      <c r="I29" s="20"/>
      <c r="J29" s="101"/>
      <c r="K29" s="101"/>
      <c r="L29" s="20"/>
      <c r="M29" s="101"/>
      <c r="N29" s="101"/>
      <c r="O29" s="20"/>
      <c r="P29" s="101"/>
      <c r="Q29" s="101"/>
      <c r="R29" s="101"/>
      <c r="S29" s="100"/>
      <c r="T29" s="102"/>
      <c r="U29" s="102"/>
      <c r="V29" s="160"/>
      <c r="W29" s="117"/>
      <c r="X29" s="117"/>
    </row>
    <row r="30" spans="2:24" ht="34.5" customHeight="1">
      <c r="B30" s="130" t="str">
        <f t="shared" si="0"/>
        <v>1-22</v>
      </c>
      <c r="C30" s="100"/>
      <c r="D30" s="42" t="s">
        <v>83</v>
      </c>
      <c r="E30" s="100" t="s">
        <v>137</v>
      </c>
      <c r="F30" s="201" t="s">
        <v>139</v>
      </c>
      <c r="G30" s="202"/>
      <c r="H30" s="101"/>
      <c r="I30" s="20"/>
      <c r="J30" s="101"/>
      <c r="K30" s="101"/>
      <c r="L30" s="20"/>
      <c r="M30" s="101"/>
      <c r="N30" s="101"/>
      <c r="O30" s="20"/>
      <c r="P30" s="101"/>
      <c r="Q30" s="101"/>
      <c r="R30" s="101"/>
      <c r="S30" s="100"/>
      <c r="T30" s="102"/>
      <c r="U30" s="102"/>
      <c r="V30" s="160"/>
      <c r="W30" s="119"/>
      <c r="X30" s="119"/>
    </row>
    <row r="31" spans="2:24" ht="34.5" customHeight="1">
      <c r="B31" s="130" t="str">
        <f t="shared" si="0"/>
        <v>1-23</v>
      </c>
      <c r="C31" s="100"/>
      <c r="D31" s="42" t="s">
        <v>140</v>
      </c>
      <c r="E31" s="100" t="s">
        <v>136</v>
      </c>
      <c r="F31" s="203" t="s">
        <v>141</v>
      </c>
      <c r="G31" s="204"/>
      <c r="H31" s="101"/>
      <c r="I31" s="20"/>
      <c r="J31" s="101"/>
      <c r="K31" s="101"/>
      <c r="L31" s="20"/>
      <c r="M31" s="101"/>
      <c r="N31" s="101"/>
      <c r="O31" s="20"/>
      <c r="P31" s="101"/>
      <c r="Q31" s="153"/>
      <c r="R31" s="101"/>
      <c r="S31" s="100"/>
      <c r="T31" s="102"/>
      <c r="U31" s="102"/>
      <c r="V31" s="160"/>
      <c r="W31" s="117"/>
      <c r="X31" s="117"/>
    </row>
    <row r="32" spans="2:24" ht="34.5" customHeight="1">
      <c r="B32" s="130" t="str">
        <f t="shared" si="0"/>
        <v>1-24</v>
      </c>
      <c r="C32" s="100"/>
      <c r="D32" s="42" t="s">
        <v>83</v>
      </c>
      <c r="E32" s="100" t="s">
        <v>142</v>
      </c>
      <c r="F32" s="203" t="s">
        <v>143</v>
      </c>
      <c r="G32" s="204"/>
      <c r="H32" s="101"/>
      <c r="I32" s="20"/>
      <c r="J32" s="101"/>
      <c r="K32" s="101"/>
      <c r="L32" s="20"/>
      <c r="M32" s="101"/>
      <c r="N32" s="101"/>
      <c r="O32" s="20"/>
      <c r="P32" s="101"/>
      <c r="Q32" s="153"/>
      <c r="R32" s="101"/>
      <c r="S32" s="100"/>
      <c r="T32" s="102"/>
      <c r="U32" s="102"/>
      <c r="V32" s="160"/>
      <c r="W32" s="118"/>
      <c r="X32" s="118"/>
    </row>
    <row r="33" spans="2:24" ht="34.5" customHeight="1">
      <c r="B33" s="130" t="str">
        <f t="shared" si="0"/>
        <v>1-25</v>
      </c>
      <c r="C33" s="100"/>
      <c r="D33" s="42" t="s">
        <v>144</v>
      </c>
      <c r="E33" s="100" t="s">
        <v>136</v>
      </c>
      <c r="F33" s="201" t="s">
        <v>138</v>
      </c>
      <c r="G33" s="202"/>
      <c r="H33" s="101"/>
      <c r="I33" s="20"/>
      <c r="J33" s="101"/>
      <c r="K33" s="101"/>
      <c r="L33" s="20"/>
      <c r="M33" s="101"/>
      <c r="N33" s="101"/>
      <c r="O33" s="20"/>
      <c r="P33" s="101"/>
      <c r="Q33" s="153"/>
      <c r="R33" s="101"/>
      <c r="S33" s="100"/>
      <c r="T33" s="102"/>
      <c r="U33" s="102"/>
      <c r="V33" s="160"/>
      <c r="W33" s="117"/>
      <c r="X33" s="117"/>
    </row>
    <row r="34" spans="2:24" ht="34.5" customHeight="1">
      <c r="B34" s="130" t="str">
        <f t="shared" si="0"/>
        <v>1-26</v>
      </c>
      <c r="C34" s="100"/>
      <c r="D34" s="42" t="s">
        <v>83</v>
      </c>
      <c r="E34" s="100" t="s">
        <v>137</v>
      </c>
      <c r="F34" s="201" t="s">
        <v>145</v>
      </c>
      <c r="G34" s="202"/>
      <c r="H34" s="101"/>
      <c r="I34" s="20"/>
      <c r="J34" s="101"/>
      <c r="K34" s="101"/>
      <c r="L34" s="20"/>
      <c r="M34" s="101"/>
      <c r="N34" s="101"/>
      <c r="O34" s="20"/>
      <c r="P34" s="101"/>
      <c r="Q34" s="101"/>
      <c r="R34" s="101"/>
      <c r="S34" s="100"/>
      <c r="T34" s="102"/>
      <c r="U34" s="102"/>
      <c r="V34" s="160"/>
      <c r="W34" s="118"/>
      <c r="X34" s="118"/>
    </row>
    <row r="35" spans="2:24" ht="34.5" customHeight="1">
      <c r="B35" s="130" t="str">
        <f t="shared" si="0"/>
        <v>1-27</v>
      </c>
      <c r="C35" s="100" t="s">
        <v>146</v>
      </c>
      <c r="D35" s="42" t="s">
        <v>153</v>
      </c>
      <c r="E35" s="100" t="s">
        <v>273</v>
      </c>
      <c r="F35" s="201" t="s">
        <v>270</v>
      </c>
      <c r="G35" s="207"/>
      <c r="H35" s="101"/>
      <c r="I35" s="20"/>
      <c r="J35" s="101"/>
      <c r="K35" s="101"/>
      <c r="L35" s="20"/>
      <c r="M35" s="101"/>
      <c r="N35" s="101"/>
      <c r="O35" s="20"/>
      <c r="P35" s="101"/>
      <c r="Q35" s="101"/>
      <c r="R35" s="101"/>
      <c r="S35" s="100"/>
      <c r="T35" s="102"/>
      <c r="U35" s="102"/>
      <c r="V35" s="160"/>
      <c r="W35" s="117"/>
      <c r="X35" s="117"/>
    </row>
    <row r="36" spans="2:24" ht="34.5" customHeight="1">
      <c r="B36" s="130" t="str">
        <f t="shared" si="0"/>
        <v>1-28</v>
      </c>
      <c r="C36" s="100"/>
      <c r="D36" s="42" t="s">
        <v>83</v>
      </c>
      <c r="E36" s="100" t="s">
        <v>114</v>
      </c>
      <c r="F36" s="201" t="s">
        <v>147</v>
      </c>
      <c r="G36" s="207"/>
      <c r="H36" s="101"/>
      <c r="I36" s="20"/>
      <c r="J36" s="101"/>
      <c r="K36" s="101"/>
      <c r="L36" s="20"/>
      <c r="M36" s="101"/>
      <c r="N36" s="101"/>
      <c r="O36" s="20"/>
      <c r="P36" s="101"/>
      <c r="Q36" s="153"/>
      <c r="R36" s="101"/>
      <c r="S36" s="100"/>
      <c r="T36" s="102"/>
      <c r="U36" s="102"/>
      <c r="V36" s="160"/>
      <c r="W36" s="119"/>
      <c r="X36" s="119"/>
    </row>
    <row r="37" spans="2:24" ht="34.5" customHeight="1">
      <c r="B37" s="130" t="str">
        <f t="shared" si="0"/>
        <v>1-29</v>
      </c>
      <c r="C37" s="100"/>
      <c r="D37" s="42" t="s">
        <v>152</v>
      </c>
      <c r="E37" s="100" t="s">
        <v>136</v>
      </c>
      <c r="F37" s="203" t="s">
        <v>317</v>
      </c>
      <c r="G37" s="204"/>
      <c r="H37" s="101"/>
      <c r="I37" s="20"/>
      <c r="J37" s="101"/>
      <c r="K37" s="101"/>
      <c r="L37" s="20"/>
      <c r="M37" s="101"/>
      <c r="N37" s="101"/>
      <c r="O37" s="20"/>
      <c r="P37" s="101"/>
      <c r="Q37" s="101"/>
      <c r="R37" s="101"/>
      <c r="S37" s="100"/>
      <c r="T37" s="102"/>
      <c r="U37" s="102"/>
      <c r="V37" s="160"/>
    </row>
    <row r="38" spans="2:24" ht="34.5" customHeight="1">
      <c r="B38" s="130" t="str">
        <f t="shared" si="0"/>
        <v>1-30</v>
      </c>
      <c r="C38" s="100"/>
      <c r="D38" s="42" t="s">
        <v>83</v>
      </c>
      <c r="E38" s="100" t="s">
        <v>148</v>
      </c>
      <c r="F38" s="208" t="s">
        <v>318</v>
      </c>
      <c r="G38" s="213"/>
      <c r="H38" s="101"/>
      <c r="I38" s="20"/>
      <c r="J38" s="101"/>
      <c r="K38" s="101"/>
      <c r="L38" s="20"/>
      <c r="M38" s="101"/>
      <c r="N38" s="101"/>
      <c r="O38" s="20"/>
      <c r="P38" s="101"/>
      <c r="Q38" s="153"/>
      <c r="R38" s="101"/>
      <c r="S38" s="100"/>
      <c r="T38" s="102"/>
      <c r="U38" s="102"/>
      <c r="V38" s="160"/>
    </row>
    <row r="39" spans="2:24" ht="34.5" customHeight="1">
      <c r="B39" s="130" t="str">
        <f t="shared" si="0"/>
        <v>1-31</v>
      </c>
      <c r="C39" s="100"/>
      <c r="D39" s="42" t="s">
        <v>83</v>
      </c>
      <c r="E39" s="100" t="s">
        <v>114</v>
      </c>
      <c r="F39" s="201" t="s">
        <v>149</v>
      </c>
      <c r="G39" s="202"/>
      <c r="H39" s="101"/>
      <c r="I39" s="20"/>
      <c r="J39" s="101"/>
      <c r="K39" s="101"/>
      <c r="L39" s="20"/>
      <c r="M39" s="101"/>
      <c r="N39" s="101"/>
      <c r="O39" s="20"/>
      <c r="P39" s="101"/>
      <c r="Q39" s="153"/>
      <c r="R39" s="101"/>
      <c r="S39" s="100"/>
      <c r="T39" s="102"/>
      <c r="U39" s="102"/>
      <c r="V39" s="160"/>
    </row>
    <row r="40" spans="2:24" ht="34.5" customHeight="1">
      <c r="B40" s="130" t="str">
        <f t="shared" si="0"/>
        <v>1-32</v>
      </c>
      <c r="C40" s="100"/>
      <c r="D40" s="42" t="s">
        <v>151</v>
      </c>
      <c r="E40" s="100" t="s">
        <v>136</v>
      </c>
      <c r="F40" s="203" t="s">
        <v>317</v>
      </c>
      <c r="G40" s="204"/>
      <c r="H40" s="101"/>
      <c r="I40" s="20"/>
      <c r="J40" s="101"/>
      <c r="K40" s="101"/>
      <c r="L40" s="20"/>
      <c r="M40" s="101"/>
      <c r="N40" s="101"/>
      <c r="O40" s="20"/>
      <c r="P40" s="101"/>
      <c r="Q40" s="101"/>
      <c r="R40" s="101"/>
      <c r="S40" s="100"/>
      <c r="T40" s="102"/>
      <c r="U40" s="102"/>
      <c r="V40" s="160"/>
    </row>
    <row r="41" spans="2:24" ht="34.5" customHeight="1">
      <c r="B41" s="130" t="str">
        <f t="shared" si="0"/>
        <v>1-33</v>
      </c>
      <c r="C41" s="100"/>
      <c r="D41" s="42" t="s">
        <v>83</v>
      </c>
      <c r="E41" s="100" t="s">
        <v>154</v>
      </c>
      <c r="F41" s="208" t="s">
        <v>318</v>
      </c>
      <c r="G41" s="213"/>
      <c r="H41" s="101"/>
      <c r="I41" s="20"/>
      <c r="J41" s="101"/>
      <c r="K41" s="101"/>
      <c r="L41" s="20"/>
      <c r="M41" s="101"/>
      <c r="N41" s="101"/>
      <c r="O41" s="20"/>
      <c r="P41" s="101"/>
      <c r="Q41" s="101"/>
      <c r="R41" s="101"/>
      <c r="S41" s="100"/>
      <c r="T41" s="102"/>
      <c r="U41" s="102"/>
      <c r="V41" s="160"/>
    </row>
    <row r="42" spans="2:24" ht="34.5" customHeight="1">
      <c r="B42" s="130" t="str">
        <f t="shared" si="0"/>
        <v>1-34</v>
      </c>
      <c r="C42" s="100"/>
      <c r="D42" s="42" t="s">
        <v>83</v>
      </c>
      <c r="E42" s="100" t="s">
        <v>319</v>
      </c>
      <c r="F42" s="201" t="s">
        <v>155</v>
      </c>
      <c r="G42" s="202"/>
      <c r="H42" s="101"/>
      <c r="I42" s="20"/>
      <c r="J42" s="101"/>
      <c r="K42" s="101"/>
      <c r="L42" s="20"/>
      <c r="M42" s="101"/>
      <c r="N42" s="101"/>
      <c r="O42" s="20"/>
      <c r="P42" s="101"/>
      <c r="Q42" s="153"/>
      <c r="R42" s="101"/>
      <c r="S42" s="100"/>
      <c r="T42" s="102"/>
      <c r="U42" s="102"/>
      <c r="V42" s="160"/>
    </row>
    <row r="43" spans="2:24" ht="61.5" customHeight="1">
      <c r="B43" s="130" t="str">
        <f t="shared" si="0"/>
        <v>1-35</v>
      </c>
      <c r="C43" s="100"/>
      <c r="D43" s="42" t="s">
        <v>83</v>
      </c>
      <c r="E43" s="100" t="s">
        <v>156</v>
      </c>
      <c r="F43" s="203" t="s">
        <v>317</v>
      </c>
      <c r="G43" s="204"/>
      <c r="H43" s="101"/>
      <c r="I43" s="20"/>
      <c r="J43" s="101"/>
      <c r="K43" s="101"/>
      <c r="L43" s="20"/>
      <c r="M43" s="101"/>
      <c r="N43" s="101"/>
      <c r="O43" s="20"/>
      <c r="P43" s="101"/>
      <c r="Q43" s="101"/>
      <c r="R43" s="101"/>
      <c r="S43" s="100"/>
      <c r="T43" s="102"/>
      <c r="U43" s="102"/>
      <c r="V43" s="160"/>
    </row>
    <row r="44" spans="2:24" ht="34.5" customHeight="1">
      <c r="B44" s="130" t="str">
        <f t="shared" si="0"/>
        <v>1-36</v>
      </c>
      <c r="C44" s="100"/>
      <c r="D44" s="42" t="s">
        <v>83</v>
      </c>
      <c r="E44" s="100" t="s">
        <v>321</v>
      </c>
      <c r="F44" s="201" t="s">
        <v>270</v>
      </c>
      <c r="G44" s="207"/>
      <c r="H44" s="101"/>
      <c r="I44" s="20"/>
      <c r="J44" s="101"/>
      <c r="K44" s="101"/>
      <c r="L44" s="20"/>
      <c r="M44" s="101"/>
      <c r="N44" s="101"/>
      <c r="O44" s="20"/>
      <c r="P44" s="101"/>
      <c r="Q44" s="101"/>
      <c r="R44" s="101"/>
      <c r="S44" s="100"/>
      <c r="T44" s="102"/>
      <c r="U44" s="102"/>
      <c r="V44" s="160"/>
    </row>
    <row r="45" spans="2:24" ht="34.5" customHeight="1">
      <c r="B45" s="130" t="str">
        <f t="shared" si="0"/>
        <v>1-37</v>
      </c>
      <c r="C45" s="100"/>
      <c r="D45" s="42" t="s">
        <v>157</v>
      </c>
      <c r="E45" s="100" t="s">
        <v>158</v>
      </c>
      <c r="F45" s="203" t="s">
        <v>317</v>
      </c>
      <c r="G45" s="204"/>
      <c r="H45" s="101"/>
      <c r="I45" s="20"/>
      <c r="J45" s="101"/>
      <c r="K45" s="101"/>
      <c r="L45" s="20"/>
      <c r="M45" s="101"/>
      <c r="N45" s="101"/>
      <c r="O45" s="20"/>
      <c r="P45" s="101"/>
      <c r="Q45" s="101"/>
      <c r="R45" s="101"/>
      <c r="S45" s="100"/>
      <c r="T45" s="102"/>
      <c r="U45" s="102"/>
      <c r="V45" s="160"/>
    </row>
    <row r="46" spans="2:24" ht="34.5" customHeight="1">
      <c r="B46" s="130" t="str">
        <f t="shared" si="0"/>
        <v>1-38</v>
      </c>
      <c r="C46" s="100"/>
      <c r="D46" s="42" t="s">
        <v>83</v>
      </c>
      <c r="E46" s="100" t="s">
        <v>159</v>
      </c>
      <c r="F46" s="208" t="s">
        <v>320</v>
      </c>
      <c r="G46" s="213"/>
      <c r="H46" s="101"/>
      <c r="I46" s="20"/>
      <c r="J46" s="101"/>
      <c r="K46" s="101"/>
      <c r="L46" s="20"/>
      <c r="M46" s="101"/>
      <c r="N46" s="101"/>
      <c r="O46" s="20"/>
      <c r="P46" s="101"/>
      <c r="Q46" s="101"/>
      <c r="R46" s="101"/>
      <c r="S46" s="100"/>
      <c r="T46" s="102"/>
      <c r="U46" s="102"/>
      <c r="V46" s="160"/>
    </row>
    <row r="47" spans="2:24" ht="57.75" customHeight="1">
      <c r="B47" s="130" t="str">
        <f t="shared" si="0"/>
        <v>1-39</v>
      </c>
      <c r="C47" s="100"/>
      <c r="D47" s="42" t="s">
        <v>83</v>
      </c>
      <c r="E47" s="100" t="s">
        <v>319</v>
      </c>
      <c r="F47" s="201" t="s">
        <v>160</v>
      </c>
      <c r="G47" s="202"/>
      <c r="H47" s="101"/>
      <c r="I47" s="20"/>
      <c r="J47" s="101"/>
      <c r="K47" s="101"/>
      <c r="L47" s="20"/>
      <c r="M47" s="101"/>
      <c r="N47" s="101"/>
      <c r="O47" s="20"/>
      <c r="P47" s="101"/>
      <c r="Q47" s="153"/>
      <c r="R47" s="101"/>
      <c r="S47" s="100"/>
      <c r="T47" s="102"/>
      <c r="U47" s="102"/>
      <c r="V47" s="160"/>
    </row>
    <row r="48" spans="2:24" ht="34.5" customHeight="1">
      <c r="B48" s="130" t="str">
        <f t="shared" si="0"/>
        <v>1-40</v>
      </c>
      <c r="C48" s="100"/>
      <c r="D48" s="42" t="s">
        <v>83</v>
      </c>
      <c r="E48" s="100" t="s">
        <v>161</v>
      </c>
      <c r="F48" s="203" t="s">
        <v>317</v>
      </c>
      <c r="G48" s="204"/>
      <c r="H48" s="101"/>
      <c r="I48" s="20"/>
      <c r="J48" s="101"/>
      <c r="K48" s="101"/>
      <c r="L48" s="20"/>
      <c r="M48" s="101"/>
      <c r="N48" s="101"/>
      <c r="O48" s="20"/>
      <c r="P48" s="101"/>
      <c r="Q48" s="101"/>
      <c r="R48" s="101"/>
      <c r="S48" s="100"/>
      <c r="T48" s="102"/>
      <c r="U48" s="102"/>
      <c r="V48" s="160"/>
    </row>
    <row r="49" spans="2:22" ht="34.5" customHeight="1">
      <c r="B49" s="130" t="str">
        <f t="shared" si="0"/>
        <v>1-41</v>
      </c>
      <c r="C49" s="100"/>
      <c r="D49" s="42" t="s">
        <v>83</v>
      </c>
      <c r="E49" s="100" t="s">
        <v>321</v>
      </c>
      <c r="F49" s="201" t="s">
        <v>270</v>
      </c>
      <c r="G49" s="207"/>
      <c r="H49" s="101"/>
      <c r="I49" s="20"/>
      <c r="J49" s="101"/>
      <c r="K49" s="101"/>
      <c r="L49" s="20"/>
      <c r="M49" s="101"/>
      <c r="N49" s="101"/>
      <c r="O49" s="20"/>
      <c r="P49" s="101"/>
      <c r="Q49" s="101"/>
      <c r="R49" s="101"/>
      <c r="S49" s="100"/>
      <c r="T49" s="102"/>
      <c r="U49" s="102"/>
      <c r="V49" s="160"/>
    </row>
    <row r="50" spans="2:22" ht="34.5" customHeight="1">
      <c r="B50" s="130" t="str">
        <f t="shared" si="0"/>
        <v>1-42</v>
      </c>
      <c r="C50" s="100"/>
      <c r="D50" s="42" t="s">
        <v>162</v>
      </c>
      <c r="E50" s="100" t="s">
        <v>136</v>
      </c>
      <c r="F50" s="203" t="s">
        <v>373</v>
      </c>
      <c r="G50" s="204"/>
      <c r="H50" s="101"/>
      <c r="I50" s="20"/>
      <c r="J50" s="101"/>
      <c r="K50" s="101"/>
      <c r="L50" s="20"/>
      <c r="M50" s="101"/>
      <c r="N50" s="101"/>
      <c r="O50" s="20"/>
      <c r="P50" s="101"/>
      <c r="Q50" s="101"/>
      <c r="R50" s="101"/>
      <c r="S50" s="100"/>
      <c r="T50" s="102"/>
      <c r="U50" s="102"/>
      <c r="V50" s="160"/>
    </row>
    <row r="51" spans="2:22" ht="34.5" customHeight="1">
      <c r="B51" s="130" t="str">
        <f t="shared" si="0"/>
        <v>1-43</v>
      </c>
      <c r="C51" s="100"/>
      <c r="D51" s="42" t="s">
        <v>83</v>
      </c>
      <c r="E51" s="100" t="s">
        <v>142</v>
      </c>
      <c r="F51" s="203" t="s">
        <v>143</v>
      </c>
      <c r="G51" s="204"/>
      <c r="H51" s="101"/>
      <c r="I51" s="20"/>
      <c r="J51" s="101"/>
      <c r="K51" s="101"/>
      <c r="L51" s="20"/>
      <c r="M51" s="101"/>
      <c r="N51" s="101"/>
      <c r="O51" s="20"/>
      <c r="P51" s="101"/>
      <c r="Q51" s="101"/>
      <c r="R51" s="101"/>
      <c r="S51" s="100"/>
      <c r="T51" s="102"/>
      <c r="U51" s="102"/>
      <c r="V51" s="160"/>
    </row>
    <row r="52" spans="2:22" ht="62.25" customHeight="1">
      <c r="B52" s="130" t="str">
        <f t="shared" si="0"/>
        <v>1-44</v>
      </c>
      <c r="C52" s="100"/>
      <c r="D52" s="42" t="s">
        <v>83</v>
      </c>
      <c r="E52" s="100" t="s">
        <v>163</v>
      </c>
      <c r="F52" s="201" t="s">
        <v>164</v>
      </c>
      <c r="G52" s="202"/>
      <c r="H52" s="101"/>
      <c r="I52" s="20"/>
      <c r="J52" s="101"/>
      <c r="K52" s="101"/>
      <c r="L52" s="20"/>
      <c r="M52" s="101"/>
      <c r="N52" s="101"/>
      <c r="O52" s="20"/>
      <c r="P52" s="101"/>
      <c r="Q52" s="101"/>
      <c r="R52" s="101"/>
      <c r="S52" s="100"/>
      <c r="T52" s="102"/>
      <c r="U52" s="102"/>
      <c r="V52" s="160"/>
    </row>
    <row r="53" spans="2:22" ht="34.5" customHeight="1">
      <c r="B53" s="130" t="str">
        <f t="shared" si="0"/>
        <v>1-45</v>
      </c>
      <c r="C53" s="100" t="s">
        <v>173</v>
      </c>
      <c r="D53" s="42" t="s">
        <v>172</v>
      </c>
      <c r="E53" s="100" t="s">
        <v>165</v>
      </c>
      <c r="F53" s="201" t="s">
        <v>166</v>
      </c>
      <c r="G53" s="202"/>
      <c r="H53" s="101"/>
      <c r="I53" s="20"/>
      <c r="J53" s="101"/>
      <c r="K53" s="101"/>
      <c r="L53" s="20"/>
      <c r="M53" s="101"/>
      <c r="N53" s="101"/>
      <c r="O53" s="20"/>
      <c r="P53" s="101"/>
      <c r="Q53" s="101"/>
      <c r="R53" s="101"/>
      <c r="S53" s="100"/>
      <c r="T53" s="102"/>
      <c r="U53" s="102"/>
      <c r="V53" s="160"/>
    </row>
    <row r="54" spans="2:22" ht="34.5" customHeight="1">
      <c r="B54" s="130" t="str">
        <f t="shared" si="0"/>
        <v>1-46</v>
      </c>
      <c r="C54" s="100"/>
      <c r="D54" s="42" t="s">
        <v>83</v>
      </c>
      <c r="E54" s="100" t="s">
        <v>114</v>
      </c>
      <c r="F54" s="201" t="s">
        <v>322</v>
      </c>
      <c r="G54" s="202"/>
      <c r="H54" s="101"/>
      <c r="I54" s="20"/>
      <c r="J54" s="101"/>
      <c r="K54" s="101"/>
      <c r="L54" s="20"/>
      <c r="M54" s="101"/>
      <c r="N54" s="101"/>
      <c r="O54" s="20"/>
      <c r="P54" s="101"/>
      <c r="Q54" s="153"/>
      <c r="R54" s="153"/>
      <c r="S54" s="100"/>
      <c r="T54" s="102"/>
      <c r="U54" s="102"/>
      <c r="V54" s="160"/>
    </row>
    <row r="55" spans="2:22" ht="59.25" customHeight="1">
      <c r="B55" s="130" t="str">
        <f t="shared" si="0"/>
        <v>1-47</v>
      </c>
      <c r="C55" s="100"/>
      <c r="D55" s="42" t="s">
        <v>83</v>
      </c>
      <c r="E55" s="100" t="s">
        <v>323</v>
      </c>
      <c r="F55" s="201" t="s">
        <v>255</v>
      </c>
      <c r="G55" s="202"/>
      <c r="H55" s="101"/>
      <c r="I55" s="20"/>
      <c r="J55" s="101"/>
      <c r="K55" s="101"/>
      <c r="L55" s="20"/>
      <c r="M55" s="101"/>
      <c r="N55" s="101"/>
      <c r="O55" s="20"/>
      <c r="P55" s="101"/>
      <c r="Q55" s="153"/>
      <c r="R55" s="101"/>
      <c r="S55" s="100"/>
      <c r="T55" s="102"/>
      <c r="U55" s="102"/>
      <c r="V55" s="160"/>
    </row>
    <row r="56" spans="2:22" ht="39" customHeight="1">
      <c r="B56" s="130" t="str">
        <f t="shared" si="0"/>
        <v>1-48</v>
      </c>
      <c r="C56" s="100"/>
      <c r="D56" s="42" t="s">
        <v>167</v>
      </c>
      <c r="E56" s="100" t="s">
        <v>168</v>
      </c>
      <c r="F56" s="203" t="s">
        <v>317</v>
      </c>
      <c r="G56" s="204"/>
      <c r="H56" s="101"/>
      <c r="I56" s="20"/>
      <c r="J56" s="101"/>
      <c r="K56" s="101"/>
      <c r="L56" s="20"/>
      <c r="M56" s="101"/>
      <c r="N56" s="101"/>
      <c r="O56" s="20"/>
      <c r="P56" s="101"/>
      <c r="Q56" s="101"/>
      <c r="R56" s="101"/>
      <c r="S56" s="100"/>
      <c r="T56" s="102"/>
      <c r="U56" s="102"/>
      <c r="V56" s="160"/>
    </row>
    <row r="57" spans="2:22" ht="34.5" customHeight="1">
      <c r="B57" s="130" t="str">
        <f t="shared" si="0"/>
        <v>1-49</v>
      </c>
      <c r="C57" s="100"/>
      <c r="D57" s="42" t="s">
        <v>83</v>
      </c>
      <c r="E57" s="100" t="s">
        <v>169</v>
      </c>
      <c r="F57" s="208" t="s">
        <v>320</v>
      </c>
      <c r="G57" s="213"/>
      <c r="H57" s="101"/>
      <c r="I57" s="20"/>
      <c r="J57" s="101"/>
      <c r="K57" s="101"/>
      <c r="L57" s="20"/>
      <c r="M57" s="101"/>
      <c r="N57" s="101"/>
      <c r="O57" s="20"/>
      <c r="P57" s="101"/>
      <c r="Q57" s="153"/>
      <c r="R57" s="101"/>
      <c r="S57" s="100"/>
      <c r="T57" s="102"/>
      <c r="U57" s="102"/>
      <c r="V57" s="160"/>
    </row>
    <row r="58" spans="2:22" ht="45" customHeight="1">
      <c r="B58" s="130" t="str">
        <f t="shared" si="0"/>
        <v>1-50</v>
      </c>
      <c r="C58" s="100"/>
      <c r="D58" s="42" t="s">
        <v>83</v>
      </c>
      <c r="E58" s="100" t="s">
        <v>324</v>
      </c>
      <c r="F58" s="201" t="s">
        <v>170</v>
      </c>
      <c r="G58" s="202"/>
      <c r="H58" s="101"/>
      <c r="I58" s="20"/>
      <c r="J58" s="101"/>
      <c r="K58" s="101"/>
      <c r="L58" s="20"/>
      <c r="M58" s="101"/>
      <c r="N58" s="101"/>
      <c r="O58" s="20"/>
      <c r="P58" s="101"/>
      <c r="Q58" s="153"/>
      <c r="R58" s="101"/>
      <c r="S58" s="100"/>
      <c r="T58" s="102"/>
      <c r="U58" s="102"/>
      <c r="V58" s="160"/>
    </row>
    <row r="59" spans="2:22" ht="46.5" customHeight="1">
      <c r="B59" s="130" t="str">
        <f t="shared" si="0"/>
        <v>1-51</v>
      </c>
      <c r="C59" s="100"/>
      <c r="D59" s="42" t="s">
        <v>83</v>
      </c>
      <c r="E59" s="100" t="s">
        <v>325</v>
      </c>
      <c r="F59" s="201" t="s">
        <v>171</v>
      </c>
      <c r="G59" s="202"/>
      <c r="H59" s="101"/>
      <c r="I59" s="20"/>
      <c r="J59" s="101"/>
      <c r="K59" s="101"/>
      <c r="L59" s="20"/>
      <c r="M59" s="101"/>
      <c r="N59" s="101"/>
      <c r="O59" s="20"/>
      <c r="P59" s="101"/>
      <c r="Q59" s="153"/>
      <c r="R59" s="101"/>
      <c r="S59" s="100"/>
      <c r="T59" s="102"/>
      <c r="U59" s="102"/>
      <c r="V59" s="160"/>
    </row>
    <row r="60" spans="2:22" ht="34.5" customHeight="1">
      <c r="B60" s="130" t="str">
        <f t="shared" si="0"/>
        <v>1-52</v>
      </c>
      <c r="C60" s="100" t="s">
        <v>174</v>
      </c>
      <c r="D60" s="42" t="s">
        <v>176</v>
      </c>
      <c r="E60" s="100" t="s">
        <v>168</v>
      </c>
      <c r="F60" s="201" t="s">
        <v>177</v>
      </c>
      <c r="G60" s="202"/>
      <c r="H60" s="101"/>
      <c r="I60" s="20"/>
      <c r="J60" s="101"/>
      <c r="K60" s="101"/>
      <c r="L60" s="20"/>
      <c r="M60" s="101"/>
      <c r="N60" s="101"/>
      <c r="O60" s="20"/>
      <c r="P60" s="101"/>
      <c r="Q60" s="153"/>
      <c r="R60" s="101"/>
      <c r="S60" s="100"/>
      <c r="T60" s="102"/>
      <c r="U60" s="102"/>
      <c r="V60" s="160"/>
    </row>
    <row r="61" spans="2:22" ht="34.5" customHeight="1">
      <c r="B61" s="130" t="str">
        <f t="shared" si="0"/>
        <v>1-53</v>
      </c>
      <c r="C61" s="100"/>
      <c r="D61" s="42" t="s">
        <v>83</v>
      </c>
      <c r="E61" s="100" t="s">
        <v>169</v>
      </c>
      <c r="F61" s="201" t="s">
        <v>178</v>
      </c>
      <c r="G61" s="202"/>
      <c r="H61" s="101"/>
      <c r="I61" s="20"/>
      <c r="J61" s="101"/>
      <c r="K61" s="101"/>
      <c r="L61" s="20"/>
      <c r="M61" s="101"/>
      <c r="N61" s="101"/>
      <c r="O61" s="20"/>
      <c r="P61" s="101"/>
      <c r="Q61" s="101"/>
      <c r="R61" s="101"/>
      <c r="S61" s="100"/>
      <c r="T61" s="102"/>
      <c r="U61" s="102"/>
      <c r="V61" s="160"/>
    </row>
    <row r="62" spans="2:22" ht="34.5" customHeight="1">
      <c r="B62" s="130" t="str">
        <f t="shared" si="0"/>
        <v>1-54</v>
      </c>
      <c r="C62" s="100"/>
      <c r="D62" s="42" t="s">
        <v>175</v>
      </c>
      <c r="E62" s="100" t="s">
        <v>326</v>
      </c>
      <c r="F62" s="201" t="s">
        <v>180</v>
      </c>
      <c r="G62" s="202"/>
      <c r="H62" s="101"/>
      <c r="I62" s="20"/>
      <c r="J62" s="101"/>
      <c r="K62" s="101"/>
      <c r="L62" s="20"/>
      <c r="M62" s="101"/>
      <c r="N62" s="101"/>
      <c r="O62" s="20"/>
      <c r="P62" s="101"/>
      <c r="Q62" s="153"/>
      <c r="R62" s="101"/>
      <c r="S62" s="100"/>
      <c r="T62" s="102"/>
      <c r="U62" s="102"/>
      <c r="V62" s="160"/>
    </row>
    <row r="63" spans="2:22" ht="34.5" customHeight="1">
      <c r="B63" s="130" t="str">
        <f t="shared" si="0"/>
        <v>1-55</v>
      </c>
      <c r="C63" s="100"/>
      <c r="D63" s="42" t="s">
        <v>83</v>
      </c>
      <c r="E63" s="100" t="s">
        <v>327</v>
      </c>
      <c r="F63" s="201" t="s">
        <v>181</v>
      </c>
      <c r="G63" s="202"/>
      <c r="H63" s="101"/>
      <c r="I63" s="20"/>
      <c r="J63" s="101"/>
      <c r="K63" s="101"/>
      <c r="L63" s="20"/>
      <c r="M63" s="101"/>
      <c r="N63" s="101"/>
      <c r="O63" s="20"/>
      <c r="P63" s="101"/>
      <c r="Q63" s="153"/>
      <c r="R63" s="101"/>
      <c r="S63" s="100"/>
      <c r="T63" s="102"/>
      <c r="U63" s="102"/>
      <c r="V63" s="160"/>
    </row>
    <row r="64" spans="2:22" ht="34.5" customHeight="1">
      <c r="B64" s="130" t="str">
        <f t="shared" si="0"/>
        <v>1-56</v>
      </c>
      <c r="C64" s="100"/>
      <c r="D64" s="42" t="s">
        <v>83</v>
      </c>
      <c r="E64" s="100" t="s">
        <v>179</v>
      </c>
      <c r="F64" s="201" t="s">
        <v>182</v>
      </c>
      <c r="G64" s="202"/>
      <c r="H64" s="101"/>
      <c r="I64" s="20"/>
      <c r="J64" s="101"/>
      <c r="K64" s="101"/>
      <c r="L64" s="20"/>
      <c r="M64" s="101"/>
      <c r="N64" s="101"/>
      <c r="O64" s="20"/>
      <c r="P64" s="101"/>
      <c r="Q64" s="153"/>
      <c r="R64" s="101"/>
      <c r="S64" s="100"/>
      <c r="T64" s="102"/>
      <c r="U64" s="102"/>
      <c r="V64" s="160"/>
    </row>
    <row r="65" spans="2:22" ht="34.5" customHeight="1">
      <c r="B65" s="130" t="str">
        <f t="shared" si="0"/>
        <v>1-57</v>
      </c>
      <c r="C65" s="100"/>
      <c r="D65" s="42" t="s">
        <v>183</v>
      </c>
      <c r="E65" s="100" t="s">
        <v>328</v>
      </c>
      <c r="F65" s="201" t="s">
        <v>184</v>
      </c>
      <c r="G65" s="202"/>
      <c r="H65" s="101"/>
      <c r="I65" s="20"/>
      <c r="J65" s="101"/>
      <c r="K65" s="101"/>
      <c r="L65" s="20"/>
      <c r="M65" s="101"/>
      <c r="N65" s="101"/>
      <c r="O65" s="20"/>
      <c r="P65" s="101"/>
      <c r="Q65" s="153"/>
      <c r="R65" s="101"/>
      <c r="S65" s="100"/>
      <c r="T65" s="102"/>
      <c r="U65" s="102"/>
      <c r="V65" s="160"/>
    </row>
    <row r="66" spans="2:22" ht="74.25" customHeight="1">
      <c r="B66" s="130" t="str">
        <f t="shared" si="0"/>
        <v>1-58</v>
      </c>
      <c r="C66" s="100"/>
      <c r="D66" s="42" t="s">
        <v>115</v>
      </c>
      <c r="E66" s="42" t="s">
        <v>329</v>
      </c>
      <c r="F66" s="201" t="s">
        <v>185</v>
      </c>
      <c r="G66" s="202"/>
      <c r="H66" s="101"/>
      <c r="I66" s="20"/>
      <c r="J66" s="101"/>
      <c r="K66" s="101"/>
      <c r="L66" s="20"/>
      <c r="M66" s="101"/>
      <c r="N66" s="101"/>
      <c r="O66" s="20"/>
      <c r="P66" s="101"/>
      <c r="Q66" s="153"/>
      <c r="R66" s="101"/>
      <c r="S66" s="100"/>
      <c r="T66" s="102"/>
      <c r="U66" s="102"/>
      <c r="V66" s="160"/>
    </row>
    <row r="67" spans="2:22" ht="34.5" customHeight="1">
      <c r="B67" s="130" t="str">
        <f t="shared" si="0"/>
        <v>1-59</v>
      </c>
      <c r="C67" s="100"/>
      <c r="D67" s="42" t="s">
        <v>83</v>
      </c>
      <c r="E67" s="42" t="s">
        <v>330</v>
      </c>
      <c r="F67" s="201" t="s">
        <v>186</v>
      </c>
      <c r="G67" s="202"/>
      <c r="H67" s="101"/>
      <c r="I67" s="20"/>
      <c r="J67" s="101"/>
      <c r="K67" s="101"/>
      <c r="L67" s="20"/>
      <c r="M67" s="101"/>
      <c r="N67" s="101"/>
      <c r="O67" s="20"/>
      <c r="P67" s="101"/>
      <c r="Q67" s="101"/>
      <c r="R67" s="101"/>
      <c r="S67" s="100"/>
      <c r="T67" s="102"/>
      <c r="U67" s="102"/>
      <c r="V67" s="160"/>
    </row>
    <row r="68" spans="2:22" ht="34.5" customHeight="1">
      <c r="B68" s="130" t="str">
        <f t="shared" si="0"/>
        <v>1-60</v>
      </c>
      <c r="C68" s="100"/>
      <c r="D68" s="42" t="s">
        <v>83</v>
      </c>
      <c r="E68" s="42" t="s">
        <v>331</v>
      </c>
      <c r="F68" s="201" t="s">
        <v>256</v>
      </c>
      <c r="G68" s="202"/>
      <c r="H68" s="101"/>
      <c r="I68" s="20"/>
      <c r="J68" s="101"/>
      <c r="K68" s="101"/>
      <c r="L68" s="20"/>
      <c r="M68" s="101"/>
      <c r="N68" s="101"/>
      <c r="O68" s="20"/>
      <c r="P68" s="101"/>
      <c r="Q68" s="101"/>
      <c r="R68" s="101"/>
      <c r="S68" s="100"/>
      <c r="T68" s="102"/>
      <c r="U68" s="102"/>
      <c r="V68" s="160"/>
    </row>
    <row r="69" spans="2:22" ht="34.5" customHeight="1">
      <c r="B69" s="130" t="str">
        <f t="shared" si="0"/>
        <v>1-61</v>
      </c>
      <c r="C69" s="100"/>
      <c r="D69" s="42" t="s">
        <v>83</v>
      </c>
      <c r="E69" s="100" t="s">
        <v>116</v>
      </c>
      <c r="F69" s="201" t="s">
        <v>269</v>
      </c>
      <c r="G69" s="207"/>
      <c r="H69" s="101"/>
      <c r="I69" s="20"/>
      <c r="J69" s="101"/>
      <c r="K69" s="101"/>
      <c r="L69" s="20"/>
      <c r="M69" s="101"/>
      <c r="N69" s="101"/>
      <c r="O69" s="20"/>
      <c r="P69" s="101"/>
      <c r="Q69" s="101"/>
      <c r="R69" s="101"/>
      <c r="S69" s="100"/>
      <c r="T69" s="102"/>
      <c r="U69" s="102"/>
      <c r="V69" s="160"/>
    </row>
    <row r="70" spans="2:22" ht="34.5" customHeight="1">
      <c r="B70" s="130" t="str">
        <f t="shared" si="0"/>
        <v>1-62</v>
      </c>
      <c r="C70" s="121" t="s">
        <v>150</v>
      </c>
      <c r="D70" s="122" t="s">
        <v>187</v>
      </c>
      <c r="E70" s="100" t="s">
        <v>62</v>
      </c>
      <c r="F70" s="203" t="s">
        <v>96</v>
      </c>
      <c r="G70" s="204"/>
      <c r="H70" s="101"/>
      <c r="I70" s="20"/>
      <c r="J70" s="101"/>
      <c r="K70" s="101"/>
      <c r="L70" s="20"/>
      <c r="M70" s="101"/>
      <c r="N70" s="101"/>
      <c r="O70" s="20"/>
      <c r="P70" s="101"/>
      <c r="Q70" s="153"/>
      <c r="R70" s="101"/>
      <c r="S70" s="100"/>
      <c r="T70" s="102"/>
      <c r="U70" s="102"/>
      <c r="V70" s="160"/>
    </row>
    <row r="71" spans="2:22" ht="34.5" customHeight="1">
      <c r="B71" s="130" t="str">
        <f t="shared" si="0"/>
        <v>1-63</v>
      </c>
      <c r="C71" s="121"/>
      <c r="D71" s="42" t="s">
        <v>83</v>
      </c>
      <c r="E71" s="100" t="s">
        <v>62</v>
      </c>
      <c r="F71" s="203" t="s">
        <v>82</v>
      </c>
      <c r="G71" s="204"/>
      <c r="H71" s="101"/>
      <c r="I71" s="20"/>
      <c r="J71" s="101"/>
      <c r="K71" s="101"/>
      <c r="L71" s="20"/>
      <c r="M71" s="101"/>
      <c r="N71" s="101"/>
      <c r="O71" s="20"/>
      <c r="P71" s="101"/>
      <c r="Q71" s="153"/>
      <c r="R71" s="101"/>
      <c r="S71" s="100"/>
      <c r="T71" s="102"/>
      <c r="U71" s="102"/>
      <c r="V71" s="160"/>
    </row>
    <row r="72" spans="2:22" ht="34.5" customHeight="1">
      <c r="B72" s="130" t="str">
        <f t="shared" si="0"/>
        <v>1-64</v>
      </c>
      <c r="C72" s="121"/>
      <c r="D72" s="42" t="s">
        <v>83</v>
      </c>
      <c r="E72" s="100" t="s">
        <v>132</v>
      </c>
      <c r="F72" s="203" t="s">
        <v>92</v>
      </c>
      <c r="G72" s="204"/>
      <c r="H72" s="101"/>
      <c r="I72" s="20"/>
      <c r="J72" s="101"/>
      <c r="K72" s="101"/>
      <c r="L72" s="20"/>
      <c r="M72" s="101"/>
      <c r="N72" s="101"/>
      <c r="O72" s="20"/>
      <c r="P72" s="101"/>
      <c r="Q72" s="153"/>
      <c r="R72" s="101"/>
      <c r="S72" s="100"/>
      <c r="T72" s="102"/>
      <c r="U72" s="102"/>
      <c r="V72" s="160"/>
    </row>
    <row r="73" spans="2:22" ht="34.5" customHeight="1">
      <c r="B73" s="130" t="str">
        <f t="shared" si="0"/>
        <v>1-65</v>
      </c>
      <c r="C73" s="121"/>
      <c r="D73" s="42" t="s">
        <v>83</v>
      </c>
      <c r="E73" s="100" t="s">
        <v>132</v>
      </c>
      <c r="F73" s="203" t="s">
        <v>94</v>
      </c>
      <c r="G73" s="204"/>
      <c r="H73" s="101"/>
      <c r="I73" s="20"/>
      <c r="J73" s="101"/>
      <c r="K73" s="101"/>
      <c r="L73" s="20"/>
      <c r="M73" s="101"/>
      <c r="N73" s="101"/>
      <c r="O73" s="20"/>
      <c r="P73" s="101"/>
      <c r="Q73" s="153"/>
      <c r="R73" s="101"/>
      <c r="S73" s="100"/>
      <c r="T73" s="102"/>
      <c r="U73" s="102"/>
      <c r="V73" s="160"/>
    </row>
    <row r="74" spans="2:22" ht="34.5" customHeight="1">
      <c r="B74" s="130" t="str">
        <f t="shared" si="0"/>
        <v>1-66</v>
      </c>
      <c r="C74" s="121"/>
      <c r="D74" s="42" t="s">
        <v>83</v>
      </c>
      <c r="E74" s="100" t="s">
        <v>131</v>
      </c>
      <c r="F74" s="201" t="s">
        <v>371</v>
      </c>
      <c r="G74" s="202"/>
      <c r="H74" s="101"/>
      <c r="I74" s="20"/>
      <c r="J74" s="101"/>
      <c r="K74" s="101"/>
      <c r="L74" s="20"/>
      <c r="M74" s="101"/>
      <c r="N74" s="101"/>
      <c r="O74" s="20"/>
      <c r="P74" s="101"/>
      <c r="Q74" s="153"/>
      <c r="R74" s="101"/>
      <c r="S74" s="100"/>
      <c r="T74" s="102"/>
      <c r="U74" s="102"/>
      <c r="V74" s="160"/>
    </row>
    <row r="75" spans="2:22" ht="34.5" customHeight="1">
      <c r="B75" s="130" t="str">
        <f t="shared" si="0"/>
        <v>1-67</v>
      </c>
      <c r="C75" s="121"/>
      <c r="D75" s="42" t="s">
        <v>83</v>
      </c>
      <c r="E75" s="100" t="s">
        <v>93</v>
      </c>
      <c r="F75" s="203" t="s">
        <v>102</v>
      </c>
      <c r="G75" s="204"/>
      <c r="H75" s="101"/>
      <c r="I75" s="20"/>
      <c r="J75" s="101"/>
      <c r="K75" s="101"/>
      <c r="L75" s="20"/>
      <c r="M75" s="101"/>
      <c r="N75" s="101"/>
      <c r="O75" s="20"/>
      <c r="P75" s="101"/>
      <c r="Q75" s="153"/>
      <c r="R75" s="101"/>
      <c r="S75" s="100"/>
      <c r="T75" s="102"/>
      <c r="U75" s="102"/>
      <c r="V75" s="160"/>
    </row>
    <row r="76" spans="2:22" ht="34.5" customHeight="1">
      <c r="B76" s="130" t="str">
        <f t="shared" si="0"/>
        <v>1-68</v>
      </c>
      <c r="C76" s="121"/>
      <c r="D76" s="42" t="s">
        <v>83</v>
      </c>
      <c r="E76" s="100" t="s">
        <v>133</v>
      </c>
      <c r="F76" s="203" t="s">
        <v>92</v>
      </c>
      <c r="G76" s="204"/>
      <c r="H76" s="101"/>
      <c r="I76" s="20"/>
      <c r="J76" s="101"/>
      <c r="K76" s="101"/>
      <c r="L76" s="20"/>
      <c r="M76" s="101"/>
      <c r="N76" s="101"/>
      <c r="O76" s="20"/>
      <c r="P76" s="101"/>
      <c r="Q76" s="153"/>
      <c r="R76" s="101"/>
      <c r="S76" s="100"/>
      <c r="T76" s="102"/>
      <c r="U76" s="102"/>
      <c r="V76" s="160"/>
    </row>
    <row r="77" spans="2:22" ht="34.5" customHeight="1">
      <c r="B77" s="130" t="str">
        <f t="shared" si="0"/>
        <v>1-69</v>
      </c>
      <c r="C77" s="121"/>
      <c r="D77" s="42" t="s">
        <v>83</v>
      </c>
      <c r="E77" s="100" t="s">
        <v>133</v>
      </c>
      <c r="F77" s="203" t="s">
        <v>94</v>
      </c>
      <c r="G77" s="204"/>
      <c r="H77" s="101"/>
      <c r="I77" s="20"/>
      <c r="J77" s="101"/>
      <c r="K77" s="101"/>
      <c r="L77" s="20"/>
      <c r="M77" s="101"/>
      <c r="N77" s="101"/>
      <c r="O77" s="20"/>
      <c r="P77" s="101"/>
      <c r="Q77" s="153"/>
      <c r="R77" s="101"/>
      <c r="S77" s="100"/>
      <c r="T77" s="102"/>
      <c r="U77" s="102"/>
      <c r="V77" s="160"/>
    </row>
    <row r="78" spans="2:22" ht="34.5" customHeight="1">
      <c r="B78" s="130" t="str">
        <f t="shared" si="0"/>
        <v>1-70</v>
      </c>
      <c r="C78" s="100"/>
      <c r="D78" s="42" t="s">
        <v>188</v>
      </c>
      <c r="E78" s="100" t="s">
        <v>62</v>
      </c>
      <c r="F78" s="203" t="s">
        <v>189</v>
      </c>
      <c r="G78" s="204"/>
      <c r="H78" s="101"/>
      <c r="I78" s="20"/>
      <c r="J78" s="101"/>
      <c r="K78" s="101"/>
      <c r="L78" s="20"/>
      <c r="M78" s="101"/>
      <c r="N78" s="101"/>
      <c r="O78" s="20"/>
      <c r="P78" s="101"/>
      <c r="Q78" s="153"/>
      <c r="R78" s="101"/>
      <c r="S78" s="100"/>
      <c r="T78" s="102"/>
      <c r="U78" s="102"/>
      <c r="V78" s="160"/>
    </row>
    <row r="79" spans="2:22" ht="34.5" customHeight="1">
      <c r="B79" s="130" t="str">
        <f t="shared" ref="B79:B105" si="1">"1-"&amp;ROW()-8</f>
        <v>1-71</v>
      </c>
      <c r="C79" s="100"/>
      <c r="D79" s="42" t="s">
        <v>332</v>
      </c>
      <c r="E79" s="100" t="s">
        <v>62</v>
      </c>
      <c r="F79" s="208" t="s">
        <v>190</v>
      </c>
      <c r="G79" s="206"/>
      <c r="H79" s="101"/>
      <c r="I79" s="20"/>
      <c r="J79" s="101"/>
      <c r="K79" s="101"/>
      <c r="L79" s="20"/>
      <c r="M79" s="101"/>
      <c r="N79" s="101"/>
      <c r="O79" s="20"/>
      <c r="P79" s="101"/>
      <c r="Q79" s="153"/>
      <c r="R79" s="101"/>
      <c r="S79" s="100"/>
      <c r="T79" s="102"/>
      <c r="U79" s="102"/>
      <c r="V79" s="160"/>
    </row>
    <row r="80" spans="2:22" ht="34.5" customHeight="1">
      <c r="B80" s="130" t="str">
        <f t="shared" si="1"/>
        <v>1-72</v>
      </c>
      <c r="C80" s="100"/>
      <c r="D80" s="42" t="s">
        <v>333</v>
      </c>
      <c r="E80" s="100" t="s">
        <v>62</v>
      </c>
      <c r="F80" s="208" t="s">
        <v>190</v>
      </c>
      <c r="G80" s="206"/>
      <c r="H80" s="101"/>
      <c r="I80" s="20"/>
      <c r="J80" s="101"/>
      <c r="K80" s="101"/>
      <c r="L80" s="20"/>
      <c r="M80" s="101"/>
      <c r="N80" s="101"/>
      <c r="O80" s="20"/>
      <c r="P80" s="101"/>
      <c r="Q80" s="153"/>
      <c r="R80" s="101"/>
      <c r="S80" s="100"/>
      <c r="T80" s="102"/>
      <c r="U80" s="102"/>
      <c r="V80" s="160"/>
    </row>
    <row r="81" spans="2:22" ht="34.5" customHeight="1">
      <c r="B81" s="130" t="str">
        <f t="shared" si="1"/>
        <v>1-73</v>
      </c>
      <c r="C81" s="121" t="s">
        <v>191</v>
      </c>
      <c r="D81" s="122" t="s">
        <v>266</v>
      </c>
      <c r="E81" s="42" t="s">
        <v>387</v>
      </c>
      <c r="F81" s="203" t="s">
        <v>386</v>
      </c>
      <c r="G81" s="204"/>
      <c r="H81" s="101"/>
      <c r="I81" s="20"/>
      <c r="J81" s="101"/>
      <c r="K81" s="101"/>
      <c r="L81" s="20"/>
      <c r="M81" s="101"/>
      <c r="N81" s="101"/>
      <c r="O81" s="20"/>
      <c r="P81" s="101"/>
      <c r="Q81" s="101"/>
      <c r="R81" s="101"/>
      <c r="S81" s="100"/>
      <c r="T81" s="102"/>
      <c r="U81" s="102"/>
      <c r="V81" s="160"/>
    </row>
    <row r="82" spans="2:22" ht="34.5" customHeight="1">
      <c r="B82" s="130" t="str">
        <f t="shared" si="1"/>
        <v>1-74</v>
      </c>
      <c r="C82" s="100"/>
      <c r="D82" s="42" t="s">
        <v>83</v>
      </c>
      <c r="E82" s="100" t="s">
        <v>62</v>
      </c>
      <c r="F82" s="203" t="s">
        <v>199</v>
      </c>
      <c r="G82" s="204"/>
      <c r="H82" s="101"/>
      <c r="I82" s="20"/>
      <c r="J82" s="101"/>
      <c r="K82" s="101"/>
      <c r="L82" s="20"/>
      <c r="M82" s="101"/>
      <c r="N82" s="101"/>
      <c r="O82" s="20"/>
      <c r="P82" s="101"/>
      <c r="Q82" s="101"/>
      <c r="R82" s="101"/>
      <c r="S82" s="100"/>
      <c r="T82" s="102"/>
      <c r="U82" s="102"/>
      <c r="V82" s="160"/>
    </row>
    <row r="83" spans="2:22" ht="34.5" customHeight="1">
      <c r="B83" s="130" t="str">
        <f t="shared" si="1"/>
        <v>1-75</v>
      </c>
      <c r="C83" s="100"/>
      <c r="D83" s="42" t="s">
        <v>332</v>
      </c>
      <c r="E83" s="100" t="s">
        <v>62</v>
      </c>
      <c r="F83" s="208" t="s">
        <v>192</v>
      </c>
      <c r="G83" s="206"/>
      <c r="H83" s="101"/>
      <c r="I83" s="20"/>
      <c r="J83" s="101"/>
      <c r="K83" s="101"/>
      <c r="L83" s="20"/>
      <c r="M83" s="101"/>
      <c r="N83" s="101"/>
      <c r="O83" s="20"/>
      <c r="P83" s="101"/>
      <c r="Q83" s="153"/>
      <c r="R83" s="101"/>
      <c r="S83" s="100"/>
      <c r="T83" s="102"/>
      <c r="U83" s="102"/>
      <c r="V83" s="160"/>
    </row>
    <row r="84" spans="2:22" ht="34.5" customHeight="1">
      <c r="B84" s="157" t="str">
        <f t="shared" si="1"/>
        <v>1-76</v>
      </c>
      <c r="C84" s="158" t="s">
        <v>193</v>
      </c>
      <c r="D84" s="159" t="s">
        <v>198</v>
      </c>
      <c r="E84" s="159" t="s">
        <v>388</v>
      </c>
      <c r="F84" s="211" t="s">
        <v>386</v>
      </c>
      <c r="G84" s="212"/>
      <c r="H84" s="101"/>
      <c r="I84" s="20"/>
      <c r="J84" s="101"/>
      <c r="K84" s="101"/>
      <c r="L84" s="101"/>
      <c r="M84" s="101"/>
      <c r="N84" s="101"/>
      <c r="O84" s="20"/>
      <c r="P84" s="101"/>
      <c r="Q84" s="101"/>
      <c r="R84" s="101"/>
      <c r="S84" s="100"/>
      <c r="T84" s="102"/>
      <c r="U84" s="102"/>
      <c r="V84" s="160"/>
    </row>
    <row r="85" spans="2:22" ht="34.5" customHeight="1">
      <c r="B85" s="130" t="str">
        <f t="shared" si="1"/>
        <v>1-77</v>
      </c>
      <c r="C85" s="100" t="s">
        <v>193</v>
      </c>
      <c r="D85" s="42" t="s">
        <v>83</v>
      </c>
      <c r="E85" s="100" t="s">
        <v>62</v>
      </c>
      <c r="F85" s="203" t="s">
        <v>199</v>
      </c>
      <c r="G85" s="204"/>
      <c r="H85" s="101"/>
      <c r="I85" s="20"/>
      <c r="J85" s="101"/>
      <c r="K85" s="101"/>
      <c r="L85" s="20"/>
      <c r="M85" s="101"/>
      <c r="N85" s="101"/>
      <c r="O85" s="20"/>
      <c r="P85" s="101"/>
      <c r="Q85" s="101"/>
      <c r="R85" s="101"/>
      <c r="S85" s="100"/>
      <c r="T85" s="102"/>
      <c r="U85" s="102"/>
      <c r="V85" s="160"/>
    </row>
    <row r="86" spans="2:22" ht="34.5" customHeight="1">
      <c r="B86" s="157" t="str">
        <f t="shared" si="1"/>
        <v>1-78</v>
      </c>
      <c r="C86" s="158"/>
      <c r="D86" s="159" t="s">
        <v>334</v>
      </c>
      <c r="E86" s="158" t="s">
        <v>62</v>
      </c>
      <c r="F86" s="209" t="s">
        <v>192</v>
      </c>
      <c r="G86" s="210"/>
      <c r="H86" s="101"/>
      <c r="I86" s="101"/>
      <c r="J86" s="101"/>
      <c r="K86" s="101"/>
      <c r="L86" s="101"/>
      <c r="M86" s="101"/>
      <c r="N86" s="101"/>
      <c r="O86" s="101"/>
      <c r="P86" s="101"/>
      <c r="Q86" s="101"/>
      <c r="R86" s="101"/>
      <c r="S86" s="100"/>
      <c r="T86" s="102"/>
      <c r="U86" s="102"/>
      <c r="V86" s="160"/>
    </row>
    <row r="87" spans="2:22" ht="47.25" customHeight="1">
      <c r="B87" s="130" t="str">
        <f t="shared" si="1"/>
        <v>1-79</v>
      </c>
      <c r="C87" s="121" t="s">
        <v>194</v>
      </c>
      <c r="D87" s="122" t="s">
        <v>194</v>
      </c>
      <c r="E87" s="42" t="s">
        <v>382</v>
      </c>
      <c r="F87" s="203" t="s">
        <v>385</v>
      </c>
      <c r="G87" s="204"/>
      <c r="H87" s="101"/>
      <c r="I87" s="20"/>
      <c r="J87" s="101"/>
      <c r="K87" s="101"/>
      <c r="L87" s="20"/>
      <c r="M87" s="101"/>
      <c r="N87" s="101"/>
      <c r="O87" s="20"/>
      <c r="P87" s="101"/>
      <c r="Q87" s="101"/>
      <c r="R87" s="153"/>
      <c r="S87" s="100"/>
      <c r="T87" s="102"/>
      <c r="U87" s="102"/>
      <c r="V87" s="160"/>
    </row>
    <row r="88" spans="2:22" ht="34.5" customHeight="1">
      <c r="B88" s="130" t="str">
        <f t="shared" si="1"/>
        <v>1-80</v>
      </c>
      <c r="C88" s="121"/>
      <c r="D88" s="122" t="s">
        <v>195</v>
      </c>
      <c r="E88" s="122" t="s">
        <v>196</v>
      </c>
      <c r="F88" s="201" t="s">
        <v>197</v>
      </c>
      <c r="G88" s="207"/>
      <c r="H88" s="101"/>
      <c r="I88" s="20"/>
      <c r="J88" s="101"/>
      <c r="K88" s="101"/>
      <c r="L88" s="20"/>
      <c r="M88" s="101"/>
      <c r="N88" s="101"/>
      <c r="O88" s="20"/>
      <c r="P88" s="101"/>
      <c r="Q88" s="153"/>
      <c r="R88" s="153"/>
      <c r="S88" s="100"/>
      <c r="T88" s="102"/>
      <c r="U88" s="102"/>
      <c r="V88" s="160"/>
    </row>
    <row r="89" spans="2:22" ht="44.25" customHeight="1">
      <c r="B89" s="130" t="str">
        <f t="shared" si="1"/>
        <v>1-81</v>
      </c>
      <c r="C89" s="100" t="s">
        <v>117</v>
      </c>
      <c r="D89" s="42" t="s">
        <v>335</v>
      </c>
      <c r="E89" s="42" t="s">
        <v>114</v>
      </c>
      <c r="F89" s="205" t="s">
        <v>118</v>
      </c>
      <c r="G89" s="206"/>
      <c r="H89" s="101"/>
      <c r="I89" s="20"/>
      <c r="J89" s="101"/>
      <c r="K89" s="101"/>
      <c r="L89" s="20"/>
      <c r="M89" s="101"/>
      <c r="N89" s="101"/>
      <c r="O89" s="20"/>
      <c r="P89" s="101"/>
      <c r="Q89" s="153"/>
      <c r="R89" s="153"/>
      <c r="S89" s="100"/>
      <c r="T89" s="102"/>
      <c r="U89" s="102"/>
      <c r="V89" s="160"/>
    </row>
    <row r="90" spans="2:22" ht="56.25" customHeight="1">
      <c r="B90" s="130" t="str">
        <f t="shared" si="1"/>
        <v>1-82</v>
      </c>
      <c r="C90" s="100"/>
      <c r="D90" s="42" t="s">
        <v>336</v>
      </c>
      <c r="E90" s="100" t="s">
        <v>83</v>
      </c>
      <c r="F90" s="205" t="s">
        <v>119</v>
      </c>
      <c r="G90" s="206"/>
      <c r="H90" s="101"/>
      <c r="I90" s="20"/>
      <c r="J90" s="101"/>
      <c r="K90" s="101"/>
      <c r="L90" s="20"/>
      <c r="M90" s="101"/>
      <c r="N90" s="101"/>
      <c r="O90" s="20"/>
      <c r="P90" s="101"/>
      <c r="Q90" s="153"/>
      <c r="R90" s="153"/>
      <c r="S90" s="100"/>
      <c r="T90" s="102"/>
      <c r="U90" s="102"/>
      <c r="V90" s="160"/>
    </row>
    <row r="91" spans="2:22" ht="42.75" customHeight="1">
      <c r="B91" s="130" t="str">
        <f t="shared" si="1"/>
        <v>1-83</v>
      </c>
      <c r="C91" s="100"/>
      <c r="D91" s="42" t="s">
        <v>337</v>
      </c>
      <c r="E91" s="100" t="s">
        <v>83</v>
      </c>
      <c r="F91" s="205" t="s">
        <v>120</v>
      </c>
      <c r="G91" s="206"/>
      <c r="H91" s="101"/>
      <c r="I91" s="20"/>
      <c r="J91" s="101"/>
      <c r="K91" s="101"/>
      <c r="L91" s="20"/>
      <c r="M91" s="101"/>
      <c r="N91" s="101"/>
      <c r="O91" s="20"/>
      <c r="P91" s="101"/>
      <c r="Q91" s="153"/>
      <c r="R91" s="153"/>
      <c r="S91" s="100"/>
      <c r="T91" s="102"/>
      <c r="U91" s="102"/>
      <c r="V91" s="160"/>
    </row>
    <row r="92" spans="2:22" ht="42.75" customHeight="1">
      <c r="B92" s="130" t="str">
        <f t="shared" si="1"/>
        <v>1-84</v>
      </c>
      <c r="C92" s="100"/>
      <c r="D92" s="42" t="s">
        <v>338</v>
      </c>
      <c r="E92" s="100" t="s">
        <v>83</v>
      </c>
      <c r="F92" s="205" t="s">
        <v>121</v>
      </c>
      <c r="G92" s="206"/>
      <c r="H92" s="101"/>
      <c r="I92" s="20"/>
      <c r="J92" s="101"/>
      <c r="K92" s="101"/>
      <c r="L92" s="20"/>
      <c r="M92" s="101"/>
      <c r="N92" s="101"/>
      <c r="O92" s="20"/>
      <c r="P92" s="101"/>
      <c r="Q92" s="153"/>
      <c r="R92" s="153"/>
      <c r="S92" s="100"/>
      <c r="T92" s="102"/>
      <c r="U92" s="102"/>
      <c r="V92" s="160"/>
    </row>
    <row r="93" spans="2:22" ht="34.5" customHeight="1">
      <c r="B93" s="130" t="str">
        <f t="shared" si="1"/>
        <v>1-85</v>
      </c>
      <c r="C93" s="100" t="s">
        <v>122</v>
      </c>
      <c r="D93" s="42" t="s">
        <v>339</v>
      </c>
      <c r="E93" s="100" t="s">
        <v>83</v>
      </c>
      <c r="F93" s="205" t="s">
        <v>123</v>
      </c>
      <c r="G93" s="206"/>
      <c r="H93" s="101"/>
      <c r="I93" s="20"/>
      <c r="J93" s="101"/>
      <c r="K93" s="101"/>
      <c r="L93" s="20"/>
      <c r="M93" s="101"/>
      <c r="N93" s="101"/>
      <c r="O93" s="20"/>
      <c r="P93" s="101"/>
      <c r="Q93" s="153"/>
      <c r="R93" s="153"/>
      <c r="S93" s="100"/>
      <c r="T93" s="102"/>
      <c r="U93" s="102"/>
      <c r="V93" s="160"/>
    </row>
    <row r="94" spans="2:22" ht="34.5" customHeight="1">
      <c r="B94" s="130" t="str">
        <f t="shared" si="1"/>
        <v>1-86</v>
      </c>
      <c r="C94" s="18" t="s">
        <v>126</v>
      </c>
      <c r="D94" s="18" t="s">
        <v>127</v>
      </c>
      <c r="E94" s="100" t="s">
        <v>114</v>
      </c>
      <c r="F94" s="201" t="s">
        <v>128</v>
      </c>
      <c r="G94" s="202"/>
      <c r="H94" s="101"/>
      <c r="I94" s="20"/>
      <c r="J94" s="101"/>
      <c r="K94" s="101"/>
      <c r="L94" s="20"/>
      <c r="M94" s="101"/>
      <c r="N94" s="101"/>
      <c r="O94" s="20"/>
      <c r="P94" s="101"/>
      <c r="Q94" s="101"/>
      <c r="R94" s="153"/>
      <c r="S94" s="100"/>
      <c r="T94" s="102"/>
      <c r="U94" s="102"/>
      <c r="V94" s="160"/>
    </row>
    <row r="95" spans="2:22" ht="34.5" customHeight="1">
      <c r="B95" s="130" t="str">
        <f t="shared" si="1"/>
        <v>1-87</v>
      </c>
      <c r="C95" s="18"/>
      <c r="D95" s="18"/>
      <c r="E95" s="100" t="s">
        <v>114</v>
      </c>
      <c r="F95" s="201" t="s">
        <v>129</v>
      </c>
      <c r="G95" s="202"/>
      <c r="H95" s="101"/>
      <c r="I95" s="20"/>
      <c r="J95" s="101"/>
      <c r="K95" s="101"/>
      <c r="L95" s="20"/>
      <c r="M95" s="101"/>
      <c r="N95" s="101"/>
      <c r="O95" s="20"/>
      <c r="P95" s="101"/>
      <c r="Q95" s="101"/>
      <c r="R95" s="101"/>
      <c r="S95" s="100"/>
      <c r="T95" s="102"/>
      <c r="U95" s="102"/>
      <c r="V95" s="160"/>
    </row>
    <row r="96" spans="2:22" ht="34.5" customHeight="1">
      <c r="B96" s="130" t="str">
        <f t="shared" si="1"/>
        <v>1-88</v>
      </c>
      <c r="C96" s="18"/>
      <c r="D96" s="18" t="s">
        <v>311</v>
      </c>
      <c r="E96" s="100" t="s">
        <v>114</v>
      </c>
      <c r="F96" s="201" t="s">
        <v>312</v>
      </c>
      <c r="G96" s="202"/>
      <c r="H96" s="101"/>
      <c r="I96" s="20"/>
      <c r="J96" s="101"/>
      <c r="K96" s="101"/>
      <c r="L96" s="20"/>
      <c r="M96" s="101"/>
      <c r="N96" s="101"/>
      <c r="O96" s="20"/>
      <c r="P96" s="101"/>
      <c r="Q96" s="101"/>
      <c r="R96" s="101"/>
      <c r="S96" s="100"/>
      <c r="T96" s="102"/>
      <c r="U96" s="102"/>
      <c r="V96" s="160"/>
    </row>
    <row r="97" spans="1:22" ht="34.5" customHeight="1">
      <c r="B97" s="130" t="str">
        <f t="shared" si="1"/>
        <v>1-89</v>
      </c>
      <c r="C97" s="18"/>
      <c r="D97" s="100" t="s">
        <v>313</v>
      </c>
      <c r="E97" s="100" t="s">
        <v>314</v>
      </c>
      <c r="F97" s="201" t="s">
        <v>129</v>
      </c>
      <c r="G97" s="202"/>
      <c r="H97" s="101"/>
      <c r="I97" s="20"/>
      <c r="J97" s="101"/>
      <c r="K97" s="101"/>
      <c r="L97" s="20"/>
      <c r="M97" s="101"/>
      <c r="N97" s="101"/>
      <c r="O97" s="20"/>
      <c r="P97" s="101"/>
      <c r="Q97" s="101"/>
      <c r="R97" s="101"/>
      <c r="S97" s="100"/>
      <c r="T97" s="102"/>
      <c r="U97" s="102"/>
      <c r="V97" s="160"/>
    </row>
    <row r="98" spans="1:22" ht="34.5" customHeight="1">
      <c r="B98" s="130" t="str">
        <f t="shared" si="1"/>
        <v>1-90</v>
      </c>
      <c r="C98" s="18"/>
      <c r="D98" s="18" t="s">
        <v>315</v>
      </c>
      <c r="E98" s="100" t="s">
        <v>114</v>
      </c>
      <c r="F98" s="201" t="s">
        <v>316</v>
      </c>
      <c r="G98" s="202"/>
      <c r="H98" s="101"/>
      <c r="I98" s="20"/>
      <c r="J98" s="101"/>
      <c r="K98" s="101"/>
      <c r="L98" s="20"/>
      <c r="M98" s="101"/>
      <c r="N98" s="101"/>
      <c r="O98" s="20"/>
      <c r="P98" s="101"/>
      <c r="Q98" s="101"/>
      <c r="R98" s="101"/>
      <c r="S98" s="100"/>
      <c r="T98" s="102"/>
      <c r="U98" s="102"/>
      <c r="V98" s="160"/>
    </row>
    <row r="99" spans="1:22" ht="34.5" customHeight="1">
      <c r="B99" s="130" t="str">
        <f t="shared" si="1"/>
        <v>1-91</v>
      </c>
      <c r="C99" s="18"/>
      <c r="D99" s="100" t="s">
        <v>313</v>
      </c>
      <c r="E99" s="100" t="s">
        <v>314</v>
      </c>
      <c r="F99" s="201" t="s">
        <v>129</v>
      </c>
      <c r="G99" s="202"/>
      <c r="H99" s="101"/>
      <c r="I99" s="20"/>
      <c r="J99" s="101"/>
      <c r="K99" s="101"/>
      <c r="L99" s="20"/>
      <c r="M99" s="101"/>
      <c r="N99" s="101"/>
      <c r="O99" s="20"/>
      <c r="P99" s="101"/>
      <c r="Q99" s="101"/>
      <c r="R99" s="101"/>
      <c r="S99" s="100"/>
      <c r="T99" s="102"/>
      <c r="U99" s="102"/>
      <c r="V99" s="160"/>
    </row>
    <row r="100" spans="1:22" ht="34.5" customHeight="1">
      <c r="A100" s="15"/>
      <c r="B100" s="130" t="str">
        <f t="shared" si="1"/>
        <v>1-92</v>
      </c>
      <c r="C100" s="18" t="s">
        <v>343</v>
      </c>
      <c r="D100" s="18" t="s">
        <v>344</v>
      </c>
      <c r="E100" s="18" t="s">
        <v>345</v>
      </c>
      <c r="F100" s="203" t="s">
        <v>346</v>
      </c>
      <c r="G100" s="204"/>
      <c r="H100" s="101"/>
      <c r="I100" s="20"/>
      <c r="J100" s="101"/>
      <c r="K100" s="101"/>
      <c r="L100" s="20"/>
      <c r="M100" s="101"/>
      <c r="N100" s="101"/>
      <c r="O100" s="20"/>
      <c r="P100" s="101"/>
      <c r="Q100" s="161"/>
      <c r="R100" s="161"/>
      <c r="S100" s="100"/>
      <c r="T100" s="102"/>
      <c r="U100" s="102"/>
      <c r="V100" s="160"/>
    </row>
    <row r="101" spans="1:22" ht="34.5" customHeight="1">
      <c r="A101" s="15"/>
      <c r="B101" s="130" t="str">
        <f t="shared" si="1"/>
        <v>1-93</v>
      </c>
      <c r="C101" s="100" t="s">
        <v>103</v>
      </c>
      <c r="D101" s="42" t="s">
        <v>104</v>
      </c>
      <c r="E101" s="100" t="s">
        <v>110</v>
      </c>
      <c r="F101" s="208" t="s">
        <v>105</v>
      </c>
      <c r="G101" s="213"/>
      <c r="H101" s="101"/>
      <c r="I101" s="20"/>
      <c r="J101" s="101"/>
      <c r="K101" s="101"/>
      <c r="L101" s="20"/>
      <c r="M101" s="101"/>
      <c r="N101" s="101"/>
      <c r="O101" s="20"/>
      <c r="P101" s="101"/>
      <c r="Q101" s="101"/>
      <c r="R101" s="101"/>
      <c r="S101" s="100"/>
      <c r="T101" s="102"/>
      <c r="U101" s="102"/>
      <c r="V101" s="160"/>
    </row>
    <row r="102" spans="1:22" ht="34.5" customHeight="1">
      <c r="A102" s="15"/>
      <c r="B102" s="130" t="str">
        <f t="shared" si="1"/>
        <v>1-94</v>
      </c>
      <c r="C102" s="100"/>
      <c r="D102" s="42" t="s">
        <v>106</v>
      </c>
      <c r="E102" s="100" t="s">
        <v>340</v>
      </c>
      <c r="F102" s="208" t="s">
        <v>107</v>
      </c>
      <c r="G102" s="214"/>
      <c r="H102" s="101"/>
      <c r="I102" s="20"/>
      <c r="J102" s="101"/>
      <c r="K102" s="101"/>
      <c r="L102" s="20"/>
      <c r="M102" s="101"/>
      <c r="N102" s="101"/>
      <c r="O102" s="20"/>
      <c r="P102" s="101"/>
      <c r="Q102" s="101"/>
      <c r="R102" s="101"/>
      <c r="S102" s="100"/>
      <c r="T102" s="102"/>
      <c r="U102" s="102"/>
      <c r="V102" s="160"/>
    </row>
    <row r="103" spans="1:22" ht="34.5" customHeight="1">
      <c r="A103" s="15"/>
      <c r="B103" s="130" t="str">
        <f t="shared" si="1"/>
        <v>1-95</v>
      </c>
      <c r="C103" s="100"/>
      <c r="D103" s="42" t="s">
        <v>108</v>
      </c>
      <c r="E103" s="100" t="s">
        <v>341</v>
      </c>
      <c r="F103" s="208" t="s">
        <v>107</v>
      </c>
      <c r="G103" s="213"/>
      <c r="H103" s="101"/>
      <c r="I103" s="20"/>
      <c r="J103" s="101"/>
      <c r="K103" s="101"/>
      <c r="L103" s="20"/>
      <c r="M103" s="101"/>
      <c r="N103" s="101"/>
      <c r="O103" s="20"/>
      <c r="P103" s="101"/>
      <c r="Q103" s="101"/>
      <c r="R103" s="101"/>
      <c r="S103" s="100"/>
      <c r="T103" s="102"/>
      <c r="U103" s="102"/>
      <c r="V103" s="160"/>
    </row>
    <row r="104" spans="1:22" ht="34.5" customHeight="1">
      <c r="A104" s="15"/>
      <c r="B104" s="130" t="str">
        <f t="shared" si="1"/>
        <v>1-96</v>
      </c>
      <c r="C104" s="100"/>
      <c r="D104" s="42" t="s">
        <v>111</v>
      </c>
      <c r="E104" s="100" t="s">
        <v>109</v>
      </c>
      <c r="F104" s="208" t="s">
        <v>107</v>
      </c>
      <c r="G104" s="213"/>
      <c r="H104" s="101"/>
      <c r="I104" s="20"/>
      <c r="J104" s="101"/>
      <c r="K104" s="101"/>
      <c r="L104" s="20"/>
      <c r="M104" s="101"/>
      <c r="N104" s="101"/>
      <c r="O104" s="20"/>
      <c r="P104" s="101"/>
      <c r="Q104" s="101"/>
      <c r="R104" s="101"/>
      <c r="S104" s="100"/>
      <c r="T104" s="102"/>
      <c r="U104" s="102"/>
      <c r="V104" s="160"/>
    </row>
    <row r="105" spans="1:22" ht="34.5" customHeight="1">
      <c r="A105" s="15"/>
      <c r="B105" s="130" t="str">
        <f t="shared" si="1"/>
        <v>1-97</v>
      </c>
      <c r="C105" s="100"/>
      <c r="D105" s="18" t="s">
        <v>112</v>
      </c>
      <c r="E105" s="100" t="s">
        <v>125</v>
      </c>
      <c r="F105" s="208" t="s">
        <v>113</v>
      </c>
      <c r="G105" s="214"/>
      <c r="H105" s="101"/>
      <c r="I105" s="20"/>
      <c r="J105" s="101"/>
      <c r="K105" s="101"/>
      <c r="L105" s="20"/>
      <c r="M105" s="101"/>
      <c r="N105" s="101"/>
      <c r="O105" s="20"/>
      <c r="P105" s="101"/>
      <c r="Q105" s="101"/>
      <c r="R105" s="101"/>
      <c r="S105" s="100"/>
      <c r="T105" s="102"/>
      <c r="U105" s="102"/>
      <c r="V105" s="160"/>
    </row>
    <row r="106" spans="1:22">
      <c r="H106" s="162"/>
      <c r="I106" s="162"/>
      <c r="J106" s="162"/>
      <c r="K106" s="160"/>
      <c r="L106" s="26"/>
      <c r="M106" s="160"/>
      <c r="N106" s="160"/>
      <c r="O106" s="26"/>
      <c r="P106" s="160"/>
      <c r="Q106" s="160"/>
      <c r="R106" s="160"/>
      <c r="S106" s="27"/>
      <c r="T106" s="15"/>
      <c r="U106" s="15"/>
      <c r="V106" s="15"/>
    </row>
    <row r="107" spans="1:22">
      <c r="H107" s="162"/>
      <c r="I107" s="162"/>
      <c r="J107" s="162"/>
      <c r="K107" s="160"/>
      <c r="L107" s="26"/>
      <c r="M107" s="160"/>
      <c r="N107" s="160"/>
      <c r="O107" s="26"/>
      <c r="P107" s="160"/>
      <c r="Q107" s="160"/>
      <c r="R107" s="160"/>
      <c r="S107" s="27"/>
      <c r="T107" s="15"/>
      <c r="U107" s="15"/>
      <c r="V107" s="15"/>
    </row>
    <row r="108" spans="1:22">
      <c r="K108" s="106"/>
      <c r="L108" s="26"/>
      <c r="M108" s="106"/>
      <c r="N108" s="106"/>
      <c r="O108" s="26"/>
      <c r="P108" s="106"/>
      <c r="Q108" s="139"/>
      <c r="R108" s="106"/>
      <c r="S108" s="8"/>
    </row>
    <row r="109" spans="1:22">
      <c r="K109" s="106"/>
      <c r="L109" s="26"/>
      <c r="M109" s="106"/>
      <c r="N109" s="106"/>
      <c r="O109" s="26"/>
      <c r="P109" s="106"/>
      <c r="Q109" s="139"/>
      <c r="R109" s="106"/>
      <c r="S109" s="8"/>
    </row>
    <row r="110" spans="1:22">
      <c r="K110" s="106"/>
      <c r="L110" s="26"/>
      <c r="M110" s="106"/>
      <c r="N110" s="106"/>
      <c r="O110" s="26"/>
      <c r="P110" s="106"/>
      <c r="Q110" s="139"/>
      <c r="R110" s="106"/>
      <c r="S110" s="8"/>
    </row>
    <row r="111" spans="1:22">
      <c r="F111" s="99"/>
      <c r="G111" s="99"/>
      <c r="K111" s="106"/>
      <c r="L111" s="26"/>
      <c r="M111" s="106"/>
      <c r="N111" s="106"/>
      <c r="O111" s="26"/>
      <c r="P111" s="106"/>
      <c r="Q111" s="139"/>
      <c r="R111" s="106"/>
      <c r="S111" s="8"/>
    </row>
    <row r="112" spans="1:22">
      <c r="F112" s="99"/>
      <c r="G112" s="99"/>
    </row>
    <row r="113" spans="6:7">
      <c r="F113" s="99"/>
      <c r="G113" s="99"/>
    </row>
    <row r="114" spans="6:7">
      <c r="F114" s="99"/>
      <c r="G114" s="99"/>
    </row>
    <row r="115" spans="6:7">
      <c r="F115" s="99"/>
      <c r="G115" s="99"/>
    </row>
    <row r="116" spans="6:7">
      <c r="F116" s="99"/>
      <c r="G116" s="99"/>
    </row>
    <row r="117" spans="6:7">
      <c r="F117" s="99"/>
      <c r="G117" s="99"/>
    </row>
    <row r="118" spans="6:7">
      <c r="F118" s="99"/>
      <c r="G118" s="99"/>
    </row>
    <row r="119" spans="6:7">
      <c r="F119" s="99"/>
      <c r="G119" s="99"/>
    </row>
    <row r="120" spans="6:7">
      <c r="F120" s="99"/>
      <c r="G120" s="99"/>
    </row>
    <row r="121" spans="6:7">
      <c r="F121" s="99"/>
      <c r="G121" s="99"/>
    </row>
    <row r="122" spans="6:7">
      <c r="F122" s="99"/>
      <c r="G122" s="99"/>
    </row>
  </sheetData>
  <autoFilter ref="B7:U118">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108">
    <mergeCell ref="F34:G34"/>
    <mergeCell ref="F31:G31"/>
    <mergeCell ref="F30:G30"/>
    <mergeCell ref="F76:G76"/>
    <mergeCell ref="F70:G70"/>
    <mergeCell ref="F71:G71"/>
    <mergeCell ref="F72:G72"/>
    <mergeCell ref="F38:G38"/>
    <mergeCell ref="F36:G36"/>
    <mergeCell ref="F68:G68"/>
    <mergeCell ref="F69:G69"/>
    <mergeCell ref="F63:G63"/>
    <mergeCell ref="F64:G64"/>
    <mergeCell ref="F65:G65"/>
    <mergeCell ref="F67:G67"/>
    <mergeCell ref="F60:G60"/>
    <mergeCell ref="F61:G61"/>
    <mergeCell ref="F62:G62"/>
    <mergeCell ref="F57:G57"/>
    <mergeCell ref="F58:G58"/>
    <mergeCell ref="F59:G59"/>
    <mergeCell ref="F53:G53"/>
    <mergeCell ref="F45:G45"/>
    <mergeCell ref="F44:G44"/>
    <mergeCell ref="F29:G29"/>
    <mergeCell ref="B7:B8"/>
    <mergeCell ref="C7:C8"/>
    <mergeCell ref="E7:E8"/>
    <mergeCell ref="F7:G8"/>
    <mergeCell ref="D7:D8"/>
    <mergeCell ref="F51:G51"/>
    <mergeCell ref="F48:G48"/>
    <mergeCell ref="F49:G49"/>
    <mergeCell ref="F50:G50"/>
    <mergeCell ref="F24:G24"/>
    <mergeCell ref="F25:G25"/>
    <mergeCell ref="F26:G26"/>
    <mergeCell ref="F39:G39"/>
    <mergeCell ref="F47:G47"/>
    <mergeCell ref="F46:G46"/>
    <mergeCell ref="F41:G41"/>
    <mergeCell ref="F40:G40"/>
    <mergeCell ref="F27:G27"/>
    <mergeCell ref="F28:G28"/>
    <mergeCell ref="F37:G37"/>
    <mergeCell ref="F33:G33"/>
    <mergeCell ref="F35:G35"/>
    <mergeCell ref="F32:G32"/>
    <mergeCell ref="S7:U7"/>
    <mergeCell ref="R7:R8"/>
    <mergeCell ref="H7:J7"/>
    <mergeCell ref="F23:G23"/>
    <mergeCell ref="K7:M7"/>
    <mergeCell ref="N7:P7"/>
    <mergeCell ref="F9:G9"/>
    <mergeCell ref="F19:G19"/>
    <mergeCell ref="F20:G20"/>
    <mergeCell ref="F21:G21"/>
    <mergeCell ref="F22:G22"/>
    <mergeCell ref="F10:G10"/>
    <mergeCell ref="Q7:Q8"/>
    <mergeCell ref="F13:G13"/>
    <mergeCell ref="F11:G11"/>
    <mergeCell ref="F12:G12"/>
    <mergeCell ref="F14:G14"/>
    <mergeCell ref="F15:G15"/>
    <mergeCell ref="F16:G16"/>
    <mergeCell ref="F17:G17"/>
    <mergeCell ref="F18:G18"/>
    <mergeCell ref="F104:G104"/>
    <mergeCell ref="F105:G105"/>
    <mergeCell ref="F90:G90"/>
    <mergeCell ref="F91:G91"/>
    <mergeCell ref="F92:G92"/>
    <mergeCell ref="F93:G93"/>
    <mergeCell ref="F103:G103"/>
    <mergeCell ref="F101:G101"/>
    <mergeCell ref="F94:G94"/>
    <mergeCell ref="F95:G95"/>
    <mergeCell ref="F102:G102"/>
    <mergeCell ref="F96:G96"/>
    <mergeCell ref="F97:G97"/>
    <mergeCell ref="F98:G98"/>
    <mergeCell ref="F99:G99"/>
    <mergeCell ref="F100:G100"/>
    <mergeCell ref="F42:G42"/>
    <mergeCell ref="F55:G55"/>
    <mergeCell ref="F43:G43"/>
    <mergeCell ref="F66:G66"/>
    <mergeCell ref="F56:G56"/>
    <mergeCell ref="F52:G52"/>
    <mergeCell ref="F54:G54"/>
    <mergeCell ref="F89:G89"/>
    <mergeCell ref="F77:G77"/>
    <mergeCell ref="F78:G78"/>
    <mergeCell ref="F88:G88"/>
    <mergeCell ref="F83:G83"/>
    <mergeCell ref="F87:G87"/>
    <mergeCell ref="F73:G73"/>
    <mergeCell ref="F74:G74"/>
    <mergeCell ref="F75:G75"/>
    <mergeCell ref="F80:G80"/>
    <mergeCell ref="F79:G79"/>
    <mergeCell ref="F86:G86"/>
    <mergeCell ref="F82:G82"/>
    <mergeCell ref="F81:G81"/>
    <mergeCell ref="F84:G84"/>
    <mergeCell ref="F85:G85"/>
  </mergeCells>
  <phoneticPr fontId="28"/>
  <dataValidations count="1">
    <dataValidation type="list" allowBlank="1" showInputMessage="1" showErrorMessage="1" sqref="L84:M84 O86 I86:J86 L86:M86 H9:H105 K9:K105 N9:N105">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
  <sheetViews>
    <sheetView zoomScale="80" zoomScaleNormal="80" workbookViewId="0"/>
  </sheetViews>
  <sheetFormatPr defaultRowHeight="13.5"/>
  <cols>
    <col min="1" max="1" width="3.25" customWidth="1"/>
    <col min="2" max="2" width="28.375" customWidth="1"/>
    <col min="3" max="3" width="30.5" customWidth="1"/>
    <col min="4" max="4" width="80.875" customWidth="1"/>
    <col min="5" max="5" width="10.125" customWidth="1"/>
  </cols>
  <sheetData>
    <row r="1" spans="1:5">
      <c r="A1" t="s">
        <v>97</v>
      </c>
      <c r="C1" s="126"/>
      <c r="D1" s="126"/>
      <c r="E1" s="126"/>
    </row>
    <row r="2" spans="1:5">
      <c r="C2" s="126"/>
      <c r="D2" s="126"/>
      <c r="E2" s="126"/>
    </row>
    <row r="3" spans="1:5">
      <c r="C3" s="126"/>
      <c r="D3" s="126"/>
      <c r="E3" s="127"/>
    </row>
    <row r="4" spans="1:5">
      <c r="A4" s="111" t="s">
        <v>268</v>
      </c>
      <c r="C4" s="128"/>
      <c r="D4" s="128"/>
      <c r="E4" s="120" t="s">
        <v>98</v>
      </c>
    </row>
    <row r="5" spans="1:5">
      <c r="B5" s="111" t="s">
        <v>200</v>
      </c>
      <c r="C5" s="123"/>
      <c r="D5" s="123"/>
      <c r="E5" s="124"/>
    </row>
    <row r="6" spans="1:5">
      <c r="A6" s="113"/>
      <c r="B6" s="112" t="s">
        <v>99</v>
      </c>
      <c r="C6" s="112" t="s">
        <v>100</v>
      </c>
      <c r="D6" s="112" t="s">
        <v>101</v>
      </c>
      <c r="E6" s="132" t="s">
        <v>274</v>
      </c>
    </row>
    <row r="7" spans="1:5">
      <c r="A7" s="113"/>
      <c r="B7" s="114" t="s">
        <v>277</v>
      </c>
      <c r="C7" s="133" t="s">
        <v>278</v>
      </c>
      <c r="D7" s="134"/>
      <c r="E7" s="101" t="s">
        <v>0</v>
      </c>
    </row>
    <row r="8" spans="1:5">
      <c r="A8" s="113"/>
      <c r="B8" s="114" t="s">
        <v>279</v>
      </c>
      <c r="C8" s="133" t="s">
        <v>280</v>
      </c>
      <c r="D8" s="134"/>
      <c r="E8" s="101" t="s">
        <v>0</v>
      </c>
    </row>
    <row r="9" spans="1:5">
      <c r="A9" s="113"/>
      <c r="B9" s="114" t="s">
        <v>281</v>
      </c>
      <c r="C9" s="133" t="s">
        <v>282</v>
      </c>
      <c r="D9" s="134"/>
      <c r="E9" s="101" t="s">
        <v>0</v>
      </c>
    </row>
    <row r="10" spans="1:5">
      <c r="A10" s="113"/>
      <c r="B10" s="114" t="s">
        <v>283</v>
      </c>
      <c r="C10" s="133" t="s">
        <v>284</v>
      </c>
      <c r="D10" s="134"/>
      <c r="E10" s="101" t="s">
        <v>0</v>
      </c>
    </row>
    <row r="11" spans="1:5">
      <c r="A11" s="113"/>
      <c r="B11" s="114" t="s">
        <v>285</v>
      </c>
      <c r="C11" s="133" t="s">
        <v>286</v>
      </c>
      <c r="D11" s="134"/>
      <c r="E11" s="101" t="s">
        <v>0</v>
      </c>
    </row>
    <row r="12" spans="1:5">
      <c r="A12" s="113"/>
      <c r="B12" s="114" t="s">
        <v>369</v>
      </c>
      <c r="C12" s="133" t="s">
        <v>287</v>
      </c>
      <c r="D12" s="134"/>
      <c r="E12" s="101" t="s">
        <v>0</v>
      </c>
    </row>
    <row r="13" spans="1:5">
      <c r="A13" s="113"/>
      <c r="B13" s="114" t="s">
        <v>288</v>
      </c>
      <c r="C13" s="133" t="s">
        <v>289</v>
      </c>
      <c r="D13" s="134"/>
      <c r="E13" s="101" t="s">
        <v>0</v>
      </c>
    </row>
    <row r="14" spans="1:5">
      <c r="A14" s="113"/>
      <c r="B14" s="114" t="s">
        <v>290</v>
      </c>
      <c r="C14" s="133" t="s">
        <v>291</v>
      </c>
      <c r="D14" s="134"/>
      <c r="E14" s="101" t="s">
        <v>0</v>
      </c>
    </row>
    <row r="15" spans="1:5">
      <c r="A15" s="113"/>
      <c r="B15" s="114" t="s">
        <v>292</v>
      </c>
      <c r="C15" s="133" t="s">
        <v>293</v>
      </c>
      <c r="D15" s="134"/>
      <c r="E15" s="101" t="s">
        <v>0</v>
      </c>
    </row>
    <row r="16" spans="1:5">
      <c r="A16" s="113"/>
      <c r="B16" s="133" t="s">
        <v>370</v>
      </c>
      <c r="C16" s="133" t="s">
        <v>294</v>
      </c>
      <c r="D16" s="134"/>
      <c r="E16" s="101" t="s">
        <v>0</v>
      </c>
    </row>
    <row r="17" spans="1:5">
      <c r="B17" s="111"/>
      <c r="E17" s="124"/>
    </row>
    <row r="18" spans="1:5">
      <c r="B18" s="125" t="s">
        <v>295</v>
      </c>
      <c r="E18" s="124"/>
    </row>
    <row r="19" spans="1:5">
      <c r="B19" s="112" t="s">
        <v>99</v>
      </c>
      <c r="C19" s="112" t="s">
        <v>100</v>
      </c>
      <c r="D19" s="112" t="s">
        <v>101</v>
      </c>
      <c r="E19" s="132" t="s">
        <v>274</v>
      </c>
    </row>
    <row r="20" spans="1:5">
      <c r="B20" s="114" t="s">
        <v>296</v>
      </c>
      <c r="C20" s="114" t="s">
        <v>210</v>
      </c>
      <c r="D20" s="129" t="s">
        <v>297</v>
      </c>
      <c r="E20" s="101" t="s">
        <v>0</v>
      </c>
    </row>
    <row r="21" spans="1:5">
      <c r="B21" s="114" t="s">
        <v>298</v>
      </c>
      <c r="C21" s="114" t="s">
        <v>299</v>
      </c>
      <c r="D21" s="134"/>
      <c r="E21" s="101" t="s">
        <v>0</v>
      </c>
    </row>
    <row r="22" spans="1:5" ht="27">
      <c r="B22" s="114" t="s">
        <v>300</v>
      </c>
      <c r="C22" s="114" t="s">
        <v>212</v>
      </c>
      <c r="D22" s="129" t="s">
        <v>301</v>
      </c>
      <c r="E22" s="150"/>
    </row>
    <row r="23" spans="1:5">
      <c r="B23" s="114" t="s">
        <v>302</v>
      </c>
      <c r="C23" s="114" t="s">
        <v>213</v>
      </c>
      <c r="D23" s="134"/>
      <c r="E23" s="150"/>
    </row>
    <row r="24" spans="1:5">
      <c r="B24" s="114" t="s">
        <v>303</v>
      </c>
      <c r="C24" s="114" t="s">
        <v>304</v>
      </c>
      <c r="D24" s="134"/>
      <c r="E24" s="150"/>
    </row>
    <row r="25" spans="1:5">
      <c r="B25" s="114" t="s">
        <v>305</v>
      </c>
      <c r="C25" s="114" t="s">
        <v>211</v>
      </c>
      <c r="D25" s="134"/>
      <c r="E25" s="150"/>
    </row>
    <row r="26" spans="1:5">
      <c r="B26" s="114" t="s">
        <v>306</v>
      </c>
      <c r="C26" s="114" t="s">
        <v>307</v>
      </c>
      <c r="D26" s="134"/>
      <c r="E26" s="150"/>
    </row>
    <row r="28" spans="1:5">
      <c r="A28" s="111" t="s">
        <v>351</v>
      </c>
    </row>
    <row r="29" spans="1:5">
      <c r="B29" t="s">
        <v>352</v>
      </c>
    </row>
    <row r="30" spans="1:5">
      <c r="B30" s="112" t="s">
        <v>99</v>
      </c>
      <c r="C30" s="112" t="s">
        <v>100</v>
      </c>
      <c r="D30" s="112" t="s">
        <v>101</v>
      </c>
      <c r="E30" s="131" t="s">
        <v>98</v>
      </c>
    </row>
    <row r="31" spans="1:5">
      <c r="A31" s="113"/>
      <c r="B31" s="114" t="s">
        <v>353</v>
      </c>
      <c r="C31" s="133" t="s">
        <v>354</v>
      </c>
      <c r="D31" s="115"/>
      <c r="E31" s="101" t="s">
        <v>0</v>
      </c>
    </row>
    <row r="32" spans="1:5">
      <c r="A32" s="113"/>
      <c r="B32" s="114" t="s">
        <v>355</v>
      </c>
      <c r="C32" s="133" t="s">
        <v>356</v>
      </c>
      <c r="D32" s="115"/>
      <c r="E32" s="101" t="s">
        <v>0</v>
      </c>
    </row>
    <row r="33" spans="1:10">
      <c r="A33" s="113"/>
      <c r="B33" s="114" t="s">
        <v>281</v>
      </c>
      <c r="C33" s="133" t="s">
        <v>282</v>
      </c>
      <c r="D33" s="115"/>
      <c r="E33" s="101" t="s">
        <v>0</v>
      </c>
    </row>
    <row r="34" spans="1:10">
      <c r="A34" s="113"/>
      <c r="B34" s="114" t="s">
        <v>201</v>
      </c>
      <c r="C34" s="133" t="s">
        <v>202</v>
      </c>
      <c r="D34" s="115"/>
      <c r="E34" s="101" t="s">
        <v>0</v>
      </c>
    </row>
    <row r="35" spans="1:10">
      <c r="A35" s="113"/>
      <c r="B35" s="114" t="s">
        <v>203</v>
      </c>
      <c r="C35" s="133" t="s">
        <v>286</v>
      </c>
      <c r="D35" s="115"/>
      <c r="E35" s="101" t="s">
        <v>0</v>
      </c>
    </row>
    <row r="36" spans="1:10">
      <c r="A36" s="113"/>
      <c r="B36" s="114" t="s">
        <v>369</v>
      </c>
      <c r="C36" s="133" t="s">
        <v>357</v>
      </c>
      <c r="D36" s="115"/>
      <c r="E36" s="101" t="s">
        <v>0</v>
      </c>
    </row>
    <row r="37" spans="1:10">
      <c r="A37" s="113"/>
      <c r="B37" s="114" t="s">
        <v>207</v>
      </c>
      <c r="C37" s="133" t="s">
        <v>358</v>
      </c>
      <c r="D37" s="115"/>
      <c r="E37" s="101" t="s">
        <v>0</v>
      </c>
    </row>
    <row r="38" spans="1:10">
      <c r="A38" s="113"/>
      <c r="B38" s="114" t="s">
        <v>214</v>
      </c>
      <c r="C38" s="133" t="s">
        <v>291</v>
      </c>
      <c r="D38" s="115"/>
      <c r="E38" s="101" t="s">
        <v>0</v>
      </c>
    </row>
    <row r="39" spans="1:10">
      <c r="A39" s="113"/>
      <c r="B39" s="114" t="s">
        <v>359</v>
      </c>
      <c r="C39" s="133" t="s">
        <v>293</v>
      </c>
      <c r="D39" s="115"/>
      <c r="E39" s="101" t="s">
        <v>0</v>
      </c>
    </row>
    <row r="40" spans="1:10">
      <c r="A40" s="113"/>
      <c r="B40" s="133" t="s">
        <v>370</v>
      </c>
      <c r="C40" s="133" t="s">
        <v>294</v>
      </c>
      <c r="D40" s="115"/>
      <c r="E40" s="101" t="s">
        <v>0</v>
      </c>
    </row>
    <row r="41" spans="1:10">
      <c r="B41" s="140"/>
      <c r="C41" s="140"/>
      <c r="E41" s="140"/>
    </row>
    <row r="42" spans="1:10">
      <c r="A42" s="141"/>
      <c r="B42" s="142" t="s">
        <v>257</v>
      </c>
      <c r="C42" s="143"/>
      <c r="D42" s="144"/>
      <c r="E42" s="145"/>
    </row>
    <row r="43" spans="1:10">
      <c r="B43" s="112" t="s">
        <v>99</v>
      </c>
      <c r="C43" s="112" t="s">
        <v>100</v>
      </c>
      <c r="D43" s="112" t="s">
        <v>101</v>
      </c>
      <c r="E43" s="131" t="s">
        <v>98</v>
      </c>
    </row>
    <row r="44" spans="1:10">
      <c r="A44" s="113"/>
      <c r="B44" s="146" t="s">
        <v>360</v>
      </c>
      <c r="C44" s="146" t="s">
        <v>361</v>
      </c>
      <c r="D44" s="147" t="s">
        <v>362</v>
      </c>
      <c r="E44" s="101" t="s">
        <v>0</v>
      </c>
    </row>
    <row r="45" spans="1:10">
      <c r="A45" s="113"/>
      <c r="B45" s="148"/>
      <c r="C45" s="148"/>
      <c r="D45" s="149"/>
      <c r="E45" s="139"/>
    </row>
    <row r="46" spans="1:10">
      <c r="A46" s="116" t="s">
        <v>267</v>
      </c>
    </row>
    <row r="47" spans="1:10">
      <c r="B47" s="111" t="s">
        <v>200</v>
      </c>
      <c r="C47" s="123"/>
      <c r="D47" s="123"/>
      <c r="E47" s="124"/>
    </row>
    <row r="48" spans="1:10">
      <c r="B48" s="112" t="s">
        <v>99</v>
      </c>
      <c r="C48" s="112" t="s">
        <v>100</v>
      </c>
      <c r="D48" s="112" t="s">
        <v>101</v>
      </c>
      <c r="E48" s="132" t="s">
        <v>274</v>
      </c>
      <c r="F48" s="132" t="s">
        <v>275</v>
      </c>
      <c r="G48" s="132" t="s">
        <v>276</v>
      </c>
      <c r="H48" s="132" t="s">
        <v>308</v>
      </c>
      <c r="I48" s="132" t="s">
        <v>383</v>
      </c>
      <c r="J48" s="132" t="s">
        <v>384</v>
      </c>
    </row>
    <row r="49" spans="1:11">
      <c r="A49" s="113"/>
      <c r="B49" s="114" t="s">
        <v>353</v>
      </c>
      <c r="C49" s="133" t="s">
        <v>354</v>
      </c>
      <c r="D49" s="115"/>
      <c r="E49" s="101" t="s">
        <v>0</v>
      </c>
      <c r="F49" s="101" t="s">
        <v>0</v>
      </c>
      <c r="G49" s="101" t="s">
        <v>0</v>
      </c>
      <c r="H49" s="101" t="s">
        <v>0</v>
      </c>
      <c r="I49" s="101" t="s">
        <v>0</v>
      </c>
      <c r="J49" s="101" t="s">
        <v>0</v>
      </c>
    </row>
    <row r="50" spans="1:11">
      <c r="A50" s="113"/>
      <c r="B50" s="114" t="s">
        <v>355</v>
      </c>
      <c r="C50" s="133" t="s">
        <v>356</v>
      </c>
      <c r="D50" s="115"/>
      <c r="E50" s="101" t="s">
        <v>0</v>
      </c>
      <c r="F50" s="101" t="s">
        <v>0</v>
      </c>
      <c r="G50" s="101" t="s">
        <v>0</v>
      </c>
      <c r="H50" s="101" t="s">
        <v>0</v>
      </c>
      <c r="I50" s="101" t="s">
        <v>0</v>
      </c>
      <c r="J50" s="101" t="s">
        <v>0</v>
      </c>
    </row>
    <row r="51" spans="1:11">
      <c r="A51" s="113"/>
      <c r="B51" s="114" t="s">
        <v>281</v>
      </c>
      <c r="C51" s="133" t="s">
        <v>282</v>
      </c>
      <c r="D51" s="115"/>
      <c r="E51" s="101" t="s">
        <v>0</v>
      </c>
      <c r="F51" s="101" t="s">
        <v>0</v>
      </c>
      <c r="G51" s="101" t="s">
        <v>0</v>
      </c>
      <c r="H51" s="101" t="s">
        <v>0</v>
      </c>
      <c r="I51" s="101" t="s">
        <v>0</v>
      </c>
      <c r="J51" s="101" t="s">
        <v>0</v>
      </c>
    </row>
    <row r="52" spans="1:11">
      <c r="B52" s="114" t="s">
        <v>201</v>
      </c>
      <c r="C52" s="114" t="s">
        <v>202</v>
      </c>
      <c r="D52" s="115"/>
      <c r="E52" s="101" t="s">
        <v>0</v>
      </c>
      <c r="F52" s="101" t="s">
        <v>0</v>
      </c>
      <c r="G52" s="101" t="s">
        <v>0</v>
      </c>
      <c r="H52" s="101" t="s">
        <v>0</v>
      </c>
      <c r="I52" s="101" t="s">
        <v>0</v>
      </c>
      <c r="J52" s="101" t="s">
        <v>0</v>
      </c>
    </row>
    <row r="53" spans="1:11">
      <c r="B53" s="114" t="s">
        <v>203</v>
      </c>
      <c r="C53" s="114" t="s">
        <v>204</v>
      </c>
      <c r="D53" s="115"/>
      <c r="E53" s="101" t="s">
        <v>0</v>
      </c>
      <c r="F53" s="101" t="s">
        <v>0</v>
      </c>
      <c r="G53" s="101" t="s">
        <v>0</v>
      </c>
      <c r="H53" s="101" t="s">
        <v>0</v>
      </c>
      <c r="I53" s="101" t="s">
        <v>0</v>
      </c>
      <c r="J53" s="101" t="s">
        <v>0</v>
      </c>
    </row>
    <row r="54" spans="1:11">
      <c r="B54" s="114" t="s">
        <v>205</v>
      </c>
      <c r="C54" s="114" t="s">
        <v>206</v>
      </c>
      <c r="D54" s="115"/>
      <c r="E54" s="101" t="s">
        <v>0</v>
      </c>
      <c r="F54" s="101" t="s">
        <v>0</v>
      </c>
      <c r="G54" s="101" t="s">
        <v>0</v>
      </c>
      <c r="H54" s="101" t="s">
        <v>0</v>
      </c>
      <c r="I54" s="101" t="s">
        <v>0</v>
      </c>
      <c r="J54" s="101" t="s">
        <v>0</v>
      </c>
    </row>
    <row r="55" spans="1:11">
      <c r="B55" s="114" t="s">
        <v>207</v>
      </c>
      <c r="C55" s="114" t="s">
        <v>208</v>
      </c>
      <c r="D55" s="115"/>
      <c r="E55" s="101" t="s">
        <v>0</v>
      </c>
      <c r="F55" s="101" t="s">
        <v>0</v>
      </c>
      <c r="G55" s="101" t="s">
        <v>0</v>
      </c>
      <c r="H55" s="101" t="s">
        <v>0</v>
      </c>
      <c r="I55" s="101" t="s">
        <v>0</v>
      </c>
      <c r="J55" s="101" t="s">
        <v>0</v>
      </c>
    </row>
    <row r="56" spans="1:11">
      <c r="B56" s="114" t="s">
        <v>214</v>
      </c>
      <c r="C56" s="114" t="s">
        <v>209</v>
      </c>
      <c r="D56" s="115"/>
      <c r="E56" s="101" t="s">
        <v>0</v>
      </c>
      <c r="F56" s="101" t="s">
        <v>0</v>
      </c>
      <c r="G56" s="101" t="s">
        <v>0</v>
      </c>
      <c r="H56" s="101" t="s">
        <v>0</v>
      </c>
      <c r="I56" s="101" t="s">
        <v>0</v>
      </c>
      <c r="J56" s="101" t="s">
        <v>0</v>
      </c>
    </row>
    <row r="57" spans="1:11">
      <c r="B57" s="114" t="s">
        <v>215</v>
      </c>
      <c r="C57" s="114" t="s">
        <v>209</v>
      </c>
      <c r="D57" s="115"/>
      <c r="E57" s="101" t="s">
        <v>0</v>
      </c>
      <c r="F57" s="101" t="s">
        <v>0</v>
      </c>
      <c r="G57" s="101" t="s">
        <v>0</v>
      </c>
      <c r="H57" s="101" t="s">
        <v>0</v>
      </c>
      <c r="I57" s="101" t="s">
        <v>0</v>
      </c>
      <c r="J57" s="101" t="s">
        <v>0</v>
      </c>
    </row>
    <row r="58" spans="1:11">
      <c r="B58" s="114" t="s">
        <v>216</v>
      </c>
      <c r="C58" s="114" t="s">
        <v>209</v>
      </c>
      <c r="D58" s="115"/>
      <c r="E58" s="101" t="s">
        <v>0</v>
      </c>
      <c r="F58" s="101" t="s">
        <v>0</v>
      </c>
      <c r="G58" s="101" t="s">
        <v>0</v>
      </c>
      <c r="H58" s="101" t="s">
        <v>0</v>
      </c>
      <c r="I58" s="101" t="s">
        <v>0</v>
      </c>
      <c r="J58" s="101" t="s">
        <v>0</v>
      </c>
    </row>
    <row r="59" spans="1:11">
      <c r="B59" s="114" t="s">
        <v>217</v>
      </c>
      <c r="C59" s="114" t="s">
        <v>209</v>
      </c>
      <c r="D59" s="115"/>
      <c r="E59" s="101" t="s">
        <v>0</v>
      </c>
      <c r="F59" s="115" t="s">
        <v>372</v>
      </c>
      <c r="G59" s="115" t="s">
        <v>372</v>
      </c>
      <c r="H59" s="115" t="s">
        <v>372</v>
      </c>
      <c r="I59" s="101" t="s">
        <v>0</v>
      </c>
      <c r="J59" s="101" t="s">
        <v>0</v>
      </c>
    </row>
    <row r="60" spans="1:11">
      <c r="B60" s="111"/>
      <c r="E60" s="124"/>
    </row>
    <row r="61" spans="1:11">
      <c r="B61" s="125" t="s">
        <v>218</v>
      </c>
      <c r="E61" s="124"/>
    </row>
    <row r="62" spans="1:11">
      <c r="B62" s="112" t="s">
        <v>99</v>
      </c>
      <c r="C62" s="112" t="s">
        <v>100</v>
      </c>
      <c r="D62" s="112" t="s">
        <v>101</v>
      </c>
      <c r="E62" s="132" t="s">
        <v>274</v>
      </c>
      <c r="F62" s="132" t="s">
        <v>275</v>
      </c>
      <c r="G62" s="132" t="s">
        <v>276</v>
      </c>
      <c r="H62" s="132" t="s">
        <v>308</v>
      </c>
      <c r="I62" s="132" t="s">
        <v>383</v>
      </c>
      <c r="J62" s="132" t="s">
        <v>384</v>
      </c>
    </row>
    <row r="63" spans="1:11" ht="18" customHeight="1">
      <c r="B63" s="114" t="s">
        <v>219</v>
      </c>
      <c r="C63" s="114" t="s">
        <v>231</v>
      </c>
      <c r="D63" s="115" t="s">
        <v>243</v>
      </c>
      <c r="E63" s="101" t="s">
        <v>0</v>
      </c>
      <c r="F63" s="101" t="s">
        <v>0</v>
      </c>
      <c r="G63" s="101" t="s">
        <v>0</v>
      </c>
      <c r="H63" s="101" t="s">
        <v>0</v>
      </c>
      <c r="I63" s="101" t="s">
        <v>0</v>
      </c>
      <c r="J63" s="101" t="s">
        <v>0</v>
      </c>
      <c r="K63" s="151"/>
    </row>
    <row r="64" spans="1:11" ht="18" customHeight="1">
      <c r="B64" s="114" t="s">
        <v>220</v>
      </c>
      <c r="C64" s="114" t="s">
        <v>232</v>
      </c>
      <c r="D64" s="115" t="s">
        <v>244</v>
      </c>
      <c r="E64" s="152"/>
      <c r="F64" s="101" t="s">
        <v>0</v>
      </c>
      <c r="G64" s="101" t="s">
        <v>0</v>
      </c>
      <c r="H64" s="101" t="s">
        <v>0</v>
      </c>
      <c r="I64" s="101" t="s">
        <v>0</v>
      </c>
      <c r="J64" s="152"/>
    </row>
    <row r="65" spans="1:10" ht="18" customHeight="1">
      <c r="B65" s="114" t="s">
        <v>221</v>
      </c>
      <c r="C65" s="114" t="s">
        <v>233</v>
      </c>
      <c r="D65" s="115" t="s">
        <v>245</v>
      </c>
      <c r="E65" s="152"/>
      <c r="F65" s="101" t="s">
        <v>0</v>
      </c>
      <c r="G65" s="101" t="s">
        <v>0</v>
      </c>
      <c r="H65" s="101" t="s">
        <v>0</v>
      </c>
      <c r="I65" s="101" t="s">
        <v>0</v>
      </c>
      <c r="J65" s="152"/>
    </row>
    <row r="66" spans="1:10" ht="27">
      <c r="B66" s="114" t="s">
        <v>222</v>
      </c>
      <c r="C66" s="114" t="s">
        <v>234</v>
      </c>
      <c r="D66" s="129" t="s">
        <v>254</v>
      </c>
      <c r="E66" s="152"/>
      <c r="F66" s="101" t="s">
        <v>0</v>
      </c>
      <c r="G66" s="101" t="s">
        <v>0</v>
      </c>
      <c r="H66" s="101" t="s">
        <v>0</v>
      </c>
      <c r="I66" s="101" t="s">
        <v>0</v>
      </c>
      <c r="J66" s="152"/>
    </row>
    <row r="67" spans="1:10" ht="18" customHeight="1">
      <c r="B67" s="114" t="s">
        <v>223</v>
      </c>
      <c r="C67" s="114" t="s">
        <v>235</v>
      </c>
      <c r="D67" s="115" t="s">
        <v>246</v>
      </c>
      <c r="E67" s="101" t="s">
        <v>0</v>
      </c>
      <c r="F67" s="101" t="s">
        <v>0</v>
      </c>
      <c r="G67" s="101" t="s">
        <v>0</v>
      </c>
      <c r="H67" s="101" t="s">
        <v>0</v>
      </c>
      <c r="I67" s="101" t="s">
        <v>0</v>
      </c>
      <c r="J67" s="101" t="s">
        <v>0</v>
      </c>
    </row>
    <row r="68" spans="1:10" ht="18" customHeight="1">
      <c r="B68" s="114" t="s">
        <v>224</v>
      </c>
      <c r="C68" s="114" t="s">
        <v>236</v>
      </c>
      <c r="D68" s="115" t="s">
        <v>247</v>
      </c>
      <c r="E68" s="101" t="s">
        <v>0</v>
      </c>
      <c r="F68" s="101" t="s">
        <v>0</v>
      </c>
      <c r="G68" s="101" t="s">
        <v>0</v>
      </c>
      <c r="H68" s="101" t="s">
        <v>0</v>
      </c>
      <c r="I68" s="101" t="s">
        <v>0</v>
      </c>
      <c r="J68" s="101" t="s">
        <v>0</v>
      </c>
    </row>
    <row r="69" spans="1:10" ht="18" customHeight="1">
      <c r="B69" s="114" t="s">
        <v>225</v>
      </c>
      <c r="C69" s="114" t="s">
        <v>237</v>
      </c>
      <c r="D69" s="115" t="s">
        <v>248</v>
      </c>
      <c r="E69" s="101" t="s">
        <v>0</v>
      </c>
      <c r="F69" s="101" t="s">
        <v>0</v>
      </c>
      <c r="G69" s="101" t="s">
        <v>0</v>
      </c>
      <c r="H69" s="101" t="s">
        <v>0</v>
      </c>
      <c r="I69" s="101" t="s">
        <v>0</v>
      </c>
      <c r="J69" s="101" t="s">
        <v>0</v>
      </c>
    </row>
    <row r="70" spans="1:10" ht="18" customHeight="1">
      <c r="B70" s="114" t="s">
        <v>226</v>
      </c>
      <c r="C70" s="114" t="s">
        <v>238</v>
      </c>
      <c r="D70" s="115" t="s">
        <v>249</v>
      </c>
      <c r="E70" s="101" t="s">
        <v>0</v>
      </c>
      <c r="F70" s="101" t="s">
        <v>0</v>
      </c>
      <c r="G70" s="101" t="s">
        <v>0</v>
      </c>
      <c r="H70" s="101" t="s">
        <v>0</v>
      </c>
      <c r="I70" s="101" t="s">
        <v>0</v>
      </c>
      <c r="J70" s="101" t="s">
        <v>0</v>
      </c>
    </row>
    <row r="71" spans="1:10" ht="18" customHeight="1">
      <c r="B71" s="114" t="s">
        <v>227</v>
      </c>
      <c r="C71" s="114" t="s">
        <v>239</v>
      </c>
      <c r="D71" s="115" t="s">
        <v>250</v>
      </c>
      <c r="E71" s="101" t="s">
        <v>0</v>
      </c>
      <c r="F71" s="101" t="s">
        <v>0</v>
      </c>
      <c r="G71" s="101" t="s">
        <v>0</v>
      </c>
      <c r="H71" s="101" t="s">
        <v>0</v>
      </c>
      <c r="I71" s="101" t="s">
        <v>0</v>
      </c>
      <c r="J71" s="101" t="s">
        <v>0</v>
      </c>
    </row>
    <row r="72" spans="1:10" ht="18" customHeight="1">
      <c r="B72" s="114" t="s">
        <v>228</v>
      </c>
      <c r="C72" s="114" t="s">
        <v>240</v>
      </c>
      <c r="D72" s="115" t="s">
        <v>251</v>
      </c>
      <c r="E72" s="101" t="s">
        <v>0</v>
      </c>
      <c r="F72" s="101" t="s">
        <v>0</v>
      </c>
      <c r="G72" s="101" t="s">
        <v>0</v>
      </c>
      <c r="H72" s="101" t="s">
        <v>0</v>
      </c>
      <c r="I72" s="101" t="s">
        <v>0</v>
      </c>
      <c r="J72" s="101" t="s">
        <v>0</v>
      </c>
    </row>
    <row r="73" spans="1:10" ht="18" customHeight="1">
      <c r="B73" s="114" t="s">
        <v>229</v>
      </c>
      <c r="C73" s="114" t="s">
        <v>241</v>
      </c>
      <c r="D73" s="115" t="s">
        <v>252</v>
      </c>
      <c r="E73" s="101" t="s">
        <v>0</v>
      </c>
      <c r="F73" s="101" t="s">
        <v>0</v>
      </c>
      <c r="G73" s="101" t="s">
        <v>0</v>
      </c>
      <c r="H73" s="101" t="s">
        <v>0</v>
      </c>
      <c r="I73" s="101" t="s">
        <v>0</v>
      </c>
      <c r="J73" s="101" t="s">
        <v>0</v>
      </c>
    </row>
    <row r="74" spans="1:10" ht="18" customHeight="1">
      <c r="B74" s="114" t="s">
        <v>230</v>
      </c>
      <c r="C74" s="114" t="s">
        <v>242</v>
      </c>
      <c r="D74" s="115" t="s">
        <v>253</v>
      </c>
      <c r="E74" s="101" t="s">
        <v>0</v>
      </c>
      <c r="F74" s="101" t="s">
        <v>0</v>
      </c>
      <c r="G74" s="101" t="s">
        <v>0</v>
      </c>
      <c r="H74" s="101" t="s">
        <v>0</v>
      </c>
      <c r="I74" s="101" t="s">
        <v>0</v>
      </c>
      <c r="J74" s="101" t="s">
        <v>0</v>
      </c>
    </row>
    <row r="77" spans="1:10">
      <c r="A77" t="s">
        <v>377</v>
      </c>
    </row>
    <row r="78" spans="1:10">
      <c r="B78" s="111" t="s">
        <v>200</v>
      </c>
      <c r="C78" s="123"/>
      <c r="D78" s="123"/>
      <c r="E78" s="124"/>
    </row>
    <row r="79" spans="1:10">
      <c r="B79" s="112" t="s">
        <v>99</v>
      </c>
      <c r="C79" s="112" t="s">
        <v>100</v>
      </c>
      <c r="D79" s="137" t="s">
        <v>101</v>
      </c>
      <c r="E79" s="131" t="s">
        <v>376</v>
      </c>
    </row>
    <row r="80" spans="1:10">
      <c r="A80" s="113"/>
      <c r="B80" s="114" t="s">
        <v>353</v>
      </c>
      <c r="C80" s="133" t="s">
        <v>354</v>
      </c>
      <c r="D80" s="115"/>
      <c r="E80" s="101" t="s">
        <v>0</v>
      </c>
    </row>
    <row r="81" spans="1:5">
      <c r="A81" s="113"/>
      <c r="B81" s="114" t="s">
        <v>355</v>
      </c>
      <c r="C81" s="133" t="s">
        <v>356</v>
      </c>
      <c r="D81" s="115"/>
      <c r="E81" s="101" t="s">
        <v>0</v>
      </c>
    </row>
    <row r="82" spans="1:5">
      <c r="A82" s="113"/>
      <c r="B82" s="114" t="s">
        <v>281</v>
      </c>
      <c r="C82" s="133" t="s">
        <v>282</v>
      </c>
      <c r="D82" s="115"/>
      <c r="E82" s="101" t="s">
        <v>0</v>
      </c>
    </row>
    <row r="83" spans="1:5">
      <c r="B83" s="114" t="s">
        <v>201</v>
      </c>
      <c r="C83" s="114" t="s">
        <v>202</v>
      </c>
      <c r="D83" s="115"/>
      <c r="E83" s="101" t="s">
        <v>0</v>
      </c>
    </row>
    <row r="84" spans="1:5">
      <c r="B84" s="114" t="s">
        <v>203</v>
      </c>
      <c r="C84" s="114" t="s">
        <v>204</v>
      </c>
      <c r="D84" s="115"/>
      <c r="E84" s="101" t="s">
        <v>0</v>
      </c>
    </row>
    <row r="85" spans="1:5">
      <c r="B85" s="114" t="s">
        <v>205</v>
      </c>
      <c r="C85" s="114" t="s">
        <v>206</v>
      </c>
      <c r="D85" s="115"/>
      <c r="E85" s="101" t="s">
        <v>0</v>
      </c>
    </row>
    <row r="86" spans="1:5">
      <c r="B86" s="114" t="s">
        <v>207</v>
      </c>
      <c r="C86" s="114" t="s">
        <v>208</v>
      </c>
      <c r="D86" s="115"/>
      <c r="E86" s="101" t="s">
        <v>0</v>
      </c>
    </row>
    <row r="87" spans="1:5">
      <c r="B87" s="114" t="s">
        <v>214</v>
      </c>
      <c r="C87" s="114" t="s">
        <v>209</v>
      </c>
      <c r="D87" s="115"/>
      <c r="E87" s="101" t="s">
        <v>0</v>
      </c>
    </row>
    <row r="88" spans="1:5">
      <c r="B88" s="111"/>
    </row>
    <row r="89" spans="1:5">
      <c r="B89" s="125" t="s">
        <v>257</v>
      </c>
    </row>
    <row r="90" spans="1:5">
      <c r="B90" s="112" t="s">
        <v>99</v>
      </c>
      <c r="C90" s="112" t="s">
        <v>100</v>
      </c>
      <c r="D90" s="137" t="s">
        <v>101</v>
      </c>
      <c r="E90" s="131" t="s">
        <v>376</v>
      </c>
    </row>
    <row r="91" spans="1:5">
      <c r="B91" s="114" t="s">
        <v>258</v>
      </c>
      <c r="C91" s="114"/>
      <c r="D91" s="138"/>
      <c r="E91" s="155" t="s">
        <v>375</v>
      </c>
    </row>
    <row r="92" spans="1:5">
      <c r="B92" s="114" t="s">
        <v>374</v>
      </c>
      <c r="C92" s="114" t="s">
        <v>263</v>
      </c>
      <c r="D92" s="138"/>
      <c r="E92" s="155" t="s">
        <v>375</v>
      </c>
    </row>
    <row r="93" spans="1:5">
      <c r="B93" s="114" t="s">
        <v>259</v>
      </c>
      <c r="C93" s="114" t="s">
        <v>262</v>
      </c>
      <c r="D93" s="138"/>
      <c r="E93" s="155" t="s">
        <v>375</v>
      </c>
    </row>
    <row r="94" spans="1:5">
      <c r="B94" s="114" t="s">
        <v>260</v>
      </c>
      <c r="C94" s="114" t="s">
        <v>233</v>
      </c>
      <c r="D94" s="138" t="s">
        <v>264</v>
      </c>
      <c r="E94" s="155" t="s">
        <v>375</v>
      </c>
    </row>
    <row r="95" spans="1:5">
      <c r="B95" s="114" t="s">
        <v>261</v>
      </c>
      <c r="C95" s="114" t="s">
        <v>265</v>
      </c>
      <c r="D95" s="138"/>
      <c r="E95" s="155" t="s">
        <v>375</v>
      </c>
    </row>
    <row r="97" spans="1:5">
      <c r="A97" s="111" t="s">
        <v>378</v>
      </c>
    </row>
    <row r="98" spans="1:5">
      <c r="B98" t="s">
        <v>352</v>
      </c>
    </row>
    <row r="99" spans="1:5">
      <c r="B99" s="112" t="s">
        <v>99</v>
      </c>
      <c r="C99" s="112" t="s">
        <v>100</v>
      </c>
      <c r="D99" s="112" t="s">
        <v>101</v>
      </c>
      <c r="E99" s="131" t="s">
        <v>98</v>
      </c>
    </row>
    <row r="100" spans="1:5">
      <c r="A100" s="113"/>
      <c r="B100" s="114" t="s">
        <v>353</v>
      </c>
      <c r="C100" s="133" t="s">
        <v>354</v>
      </c>
      <c r="D100" s="115"/>
      <c r="E100" s="101" t="s">
        <v>0</v>
      </c>
    </row>
    <row r="101" spans="1:5">
      <c r="A101" s="113"/>
      <c r="B101" s="114" t="s">
        <v>355</v>
      </c>
      <c r="C101" s="133" t="s">
        <v>356</v>
      </c>
      <c r="D101" s="115"/>
      <c r="E101" s="101" t="s">
        <v>0</v>
      </c>
    </row>
    <row r="102" spans="1:5">
      <c r="A102" s="113"/>
      <c r="B102" s="114" t="s">
        <v>281</v>
      </c>
      <c r="C102" s="133" t="s">
        <v>282</v>
      </c>
      <c r="D102" s="115"/>
      <c r="E102" s="101" t="s">
        <v>0</v>
      </c>
    </row>
    <row r="103" spans="1:5">
      <c r="A103" s="113"/>
      <c r="B103" s="114" t="s">
        <v>201</v>
      </c>
      <c r="C103" s="133" t="s">
        <v>202</v>
      </c>
      <c r="D103" s="115"/>
      <c r="E103" s="101" t="s">
        <v>0</v>
      </c>
    </row>
    <row r="104" spans="1:5">
      <c r="A104" s="113"/>
      <c r="B104" s="114" t="s">
        <v>203</v>
      </c>
      <c r="C104" s="133" t="s">
        <v>286</v>
      </c>
      <c r="D104" s="115"/>
      <c r="E104" s="101" t="s">
        <v>0</v>
      </c>
    </row>
    <row r="105" spans="1:5">
      <c r="A105" s="113"/>
      <c r="B105" s="114" t="s">
        <v>369</v>
      </c>
      <c r="C105" s="133" t="s">
        <v>357</v>
      </c>
      <c r="D105" s="115"/>
      <c r="E105" s="101" t="s">
        <v>0</v>
      </c>
    </row>
    <row r="106" spans="1:5">
      <c r="A106" s="113"/>
      <c r="B106" s="114" t="s">
        <v>207</v>
      </c>
      <c r="C106" s="133" t="s">
        <v>208</v>
      </c>
      <c r="D106" s="115"/>
      <c r="E106" s="101" t="s">
        <v>0</v>
      </c>
    </row>
    <row r="107" spans="1:5">
      <c r="A107" s="113"/>
      <c r="B107" s="114" t="s">
        <v>214</v>
      </c>
      <c r="C107" s="133" t="s">
        <v>291</v>
      </c>
      <c r="D107" s="115"/>
      <c r="E107" s="101" t="s">
        <v>0</v>
      </c>
    </row>
    <row r="108" spans="1:5">
      <c r="A108" s="113"/>
      <c r="B108" s="114" t="s">
        <v>359</v>
      </c>
      <c r="C108" s="133" t="s">
        <v>293</v>
      </c>
      <c r="D108" s="115"/>
      <c r="E108" s="101" t="s">
        <v>0</v>
      </c>
    </row>
    <row r="109" spans="1:5">
      <c r="A109" s="113"/>
      <c r="B109" s="133" t="s">
        <v>370</v>
      </c>
      <c r="C109" s="133" t="s">
        <v>294</v>
      </c>
      <c r="D109" s="115"/>
      <c r="E109" s="101" t="s">
        <v>0</v>
      </c>
    </row>
    <row r="110" spans="1:5">
      <c r="B110" s="140"/>
      <c r="C110" s="140"/>
      <c r="E110" s="140"/>
    </row>
    <row r="111" spans="1:5">
      <c r="A111" s="141"/>
      <c r="B111" s="142" t="s">
        <v>257</v>
      </c>
      <c r="C111" s="143"/>
      <c r="D111" s="144"/>
      <c r="E111" s="145"/>
    </row>
    <row r="112" spans="1:5">
      <c r="B112" s="112" t="s">
        <v>99</v>
      </c>
      <c r="C112" s="112" t="s">
        <v>100</v>
      </c>
      <c r="D112" s="112" t="s">
        <v>101</v>
      </c>
      <c r="E112" s="131" t="s">
        <v>98</v>
      </c>
    </row>
    <row r="113" spans="1:6" ht="40.5">
      <c r="A113" s="113"/>
      <c r="B113" s="146" t="s">
        <v>379</v>
      </c>
      <c r="C113" s="146" t="s">
        <v>380</v>
      </c>
      <c r="D113" s="154" t="s">
        <v>381</v>
      </c>
      <c r="E113" s="101" t="s">
        <v>0</v>
      </c>
      <c r="F113" s="156"/>
    </row>
  </sheetData>
  <phoneticPr fontId="28"/>
  <dataValidations count="1">
    <dataValidation type="list" allowBlank="1" showInputMessage="1" showErrorMessage="1" sqref="E44:E45 E31:E40 E7:E16 E20:E21 E67:E74 E49:E59 F49:H58 E80:E87 I49:J59 E100:E109 F64:I74 J67:J74 E113 E63:J63">
      <formula1>"OK,NG,NG（済）,－,未実施"</formula1>
    </dataValidation>
  </dataValidations>
  <pageMargins left="0.7" right="0.7" top="0.75" bottom="0.75" header="0.3" footer="0.3"/>
  <pageSetup paperSize="9" scale="5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30" t="s">
        <v>4</v>
      </c>
      <c r="C6" s="227" t="s">
        <v>30</v>
      </c>
      <c r="D6" s="227" t="s">
        <v>56</v>
      </c>
      <c r="E6" s="57"/>
      <c r="F6" s="231" t="s">
        <v>7</v>
      </c>
      <c r="G6" s="232"/>
      <c r="H6" s="218" t="s">
        <v>12</v>
      </c>
      <c r="I6" s="218"/>
      <c r="J6" s="218"/>
      <c r="K6" s="215" t="s">
        <v>14</v>
      </c>
      <c r="L6" s="215"/>
      <c r="M6" s="215"/>
      <c r="N6" s="233"/>
      <c r="O6" s="233"/>
      <c r="P6" s="233"/>
    </row>
    <row r="7" spans="1:17">
      <c r="B7" s="220"/>
      <c r="C7" s="217"/>
      <c r="D7" s="217"/>
      <c r="E7" s="58"/>
      <c r="F7" s="224"/>
      <c r="G7" s="225"/>
      <c r="H7" s="45" t="s">
        <v>8</v>
      </c>
      <c r="I7" s="45" t="s">
        <v>9</v>
      </c>
      <c r="J7" s="45" t="s">
        <v>10</v>
      </c>
      <c r="K7" s="30"/>
      <c r="L7" s="32"/>
      <c r="M7" s="33"/>
      <c r="N7" s="44"/>
      <c r="O7" s="44"/>
      <c r="P7" s="44"/>
      <c r="Q7" s="3" t="s">
        <v>23</v>
      </c>
    </row>
    <row r="8" spans="1:17">
      <c r="B8" s="38" t="s">
        <v>15</v>
      </c>
      <c r="C8" s="29" t="s">
        <v>31</v>
      </c>
      <c r="D8" s="28" t="s">
        <v>33</v>
      </c>
      <c r="E8" s="39"/>
      <c r="F8" s="203" t="s">
        <v>28</v>
      </c>
      <c r="G8" s="204"/>
      <c r="H8" s="53"/>
      <c r="I8" s="54"/>
      <c r="J8" s="53"/>
      <c r="K8" s="39"/>
      <c r="L8" s="34"/>
      <c r="M8" s="35"/>
      <c r="N8" s="44"/>
      <c r="O8" s="44"/>
      <c r="P8" s="44"/>
      <c r="Q8" s="3" t="s">
        <v>24</v>
      </c>
    </row>
    <row r="9" spans="1:17">
      <c r="B9" s="16"/>
      <c r="C9" s="40"/>
      <c r="D9" s="29" t="s">
        <v>33</v>
      </c>
      <c r="E9" s="49"/>
      <c r="F9" s="234" t="s">
        <v>29</v>
      </c>
      <c r="G9" s="235"/>
      <c r="H9" s="47"/>
      <c r="I9" s="48"/>
      <c r="J9" s="47"/>
      <c r="K9" s="49"/>
      <c r="L9" s="55"/>
      <c r="M9" s="56"/>
      <c r="N9" s="44"/>
      <c r="O9" s="44"/>
      <c r="P9" s="44"/>
      <c r="Q9" s="3" t="s">
        <v>25</v>
      </c>
    </row>
    <row r="10" spans="1:17" s="15" customFormat="1">
      <c r="B10" s="38" t="s">
        <v>16</v>
      </c>
      <c r="C10" s="46" t="s">
        <v>32</v>
      </c>
      <c r="D10" s="18" t="s">
        <v>35</v>
      </c>
      <c r="E10" s="59"/>
      <c r="F10" s="203" t="s">
        <v>36</v>
      </c>
      <c r="G10" s="207"/>
      <c r="H10" s="53"/>
      <c r="I10" s="54"/>
      <c r="J10" s="53"/>
      <c r="K10" s="31"/>
      <c r="L10" s="36"/>
      <c r="M10" s="37"/>
      <c r="N10" s="1"/>
      <c r="O10" s="1"/>
      <c r="P10" s="1"/>
      <c r="Q10" s="3" t="s">
        <v>26</v>
      </c>
    </row>
    <row r="11" spans="1:17" s="15" customFormat="1">
      <c r="B11" s="16"/>
      <c r="C11" s="17"/>
      <c r="D11" s="18" t="s">
        <v>37</v>
      </c>
      <c r="E11" s="59"/>
      <c r="F11" s="203" t="s">
        <v>38</v>
      </c>
      <c r="G11" s="207"/>
      <c r="H11" s="19"/>
      <c r="I11" s="20"/>
      <c r="J11" s="19"/>
      <c r="K11" s="31"/>
      <c r="L11" s="36"/>
      <c r="M11" s="37"/>
      <c r="N11" s="1"/>
      <c r="O11" s="1"/>
      <c r="P11" s="1"/>
      <c r="Q11" s="3" t="s">
        <v>27</v>
      </c>
    </row>
    <row r="12" spans="1:17" s="15" customFormat="1" ht="27" customHeight="1">
      <c r="B12" s="16"/>
      <c r="C12" s="17"/>
      <c r="D12" s="18" t="s">
        <v>39</v>
      </c>
      <c r="E12" s="59"/>
      <c r="F12" s="203" t="s">
        <v>40</v>
      </c>
      <c r="G12" s="204"/>
      <c r="H12" s="19"/>
      <c r="I12" s="20"/>
      <c r="J12" s="19"/>
      <c r="K12" s="31"/>
      <c r="L12" s="36"/>
      <c r="M12" s="37"/>
      <c r="N12" s="1"/>
      <c r="O12" s="1"/>
      <c r="P12" s="1"/>
      <c r="Q12" s="15" t="s">
        <v>61</v>
      </c>
    </row>
    <row r="13" spans="1:17" s="15" customFormat="1" ht="27" customHeight="1">
      <c r="B13" s="16"/>
      <c r="C13" s="17"/>
      <c r="D13" s="18" t="s">
        <v>41</v>
      </c>
      <c r="E13" s="59"/>
      <c r="F13" s="203" t="s">
        <v>44</v>
      </c>
      <c r="G13" s="204"/>
      <c r="H13" s="19"/>
      <c r="I13" s="20"/>
      <c r="J13" s="19"/>
      <c r="K13" s="39"/>
      <c r="L13" s="36"/>
      <c r="M13" s="37"/>
      <c r="N13" s="1"/>
      <c r="O13" s="1"/>
      <c r="P13" s="1"/>
    </row>
    <row r="14" spans="1:17" s="15" customFormat="1" ht="27" customHeight="1">
      <c r="B14" s="21"/>
      <c r="C14" s="22"/>
      <c r="D14" s="18" t="s">
        <v>42</v>
      </c>
      <c r="E14" s="59"/>
      <c r="F14" s="203" t="s">
        <v>43</v>
      </c>
      <c r="G14" s="204"/>
      <c r="H14" s="19"/>
      <c r="I14" s="20"/>
      <c r="J14" s="19"/>
      <c r="K14" s="31"/>
      <c r="L14" s="36"/>
      <c r="M14" s="37"/>
      <c r="N14" s="1"/>
      <c r="O14" s="1"/>
      <c r="P14" s="1"/>
    </row>
    <row r="15" spans="1:17" s="15" customFormat="1" ht="27" customHeight="1">
      <c r="B15" s="41" t="s">
        <v>18</v>
      </c>
      <c r="C15" s="18" t="s">
        <v>45</v>
      </c>
      <c r="D15" s="18" t="s">
        <v>46</v>
      </c>
      <c r="E15" s="59"/>
      <c r="F15" s="203" t="s">
        <v>47</v>
      </c>
      <c r="G15" s="207"/>
      <c r="H15" s="53"/>
      <c r="I15" s="54"/>
      <c r="J15" s="53"/>
      <c r="K15" s="31"/>
      <c r="L15" s="36"/>
      <c r="M15" s="37"/>
      <c r="N15" s="1"/>
      <c r="O15" s="1"/>
      <c r="P15" s="1"/>
    </row>
    <row r="16" spans="1:17" s="15" customFormat="1" ht="27" customHeight="1">
      <c r="B16" s="41" t="s">
        <v>19</v>
      </c>
      <c r="C16" s="18" t="s">
        <v>48</v>
      </c>
      <c r="D16" s="18" t="s">
        <v>49</v>
      </c>
      <c r="E16" s="59"/>
      <c r="F16" s="203" t="s">
        <v>50</v>
      </c>
      <c r="G16" s="207"/>
      <c r="H16" s="54"/>
      <c r="I16" s="54"/>
      <c r="J16" s="53"/>
      <c r="K16" s="31"/>
      <c r="L16" s="36"/>
      <c r="M16" s="37"/>
      <c r="N16" s="1"/>
      <c r="O16" s="1"/>
      <c r="P16" s="1"/>
    </row>
    <row r="17" spans="2:16" s="15" customFormat="1" ht="27" customHeight="1">
      <c r="B17" s="21" t="s">
        <v>20</v>
      </c>
      <c r="C17" s="18" t="s">
        <v>51</v>
      </c>
      <c r="D17" s="18" t="s">
        <v>52</v>
      </c>
      <c r="E17" s="60"/>
      <c r="F17" s="228" t="s">
        <v>53</v>
      </c>
      <c r="G17" s="229"/>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30" t="s">
        <v>4</v>
      </c>
      <c r="C22" s="227" t="s">
        <v>30</v>
      </c>
      <c r="D22" s="227" t="s">
        <v>34</v>
      </c>
      <c r="E22" s="227" t="s">
        <v>58</v>
      </c>
      <c r="F22" s="231" t="s">
        <v>7</v>
      </c>
      <c r="G22" s="232"/>
      <c r="H22" s="218" t="s">
        <v>12</v>
      </c>
      <c r="I22" s="218"/>
      <c r="J22" s="218"/>
      <c r="K22" s="215" t="s">
        <v>14</v>
      </c>
      <c r="L22" s="215"/>
      <c r="M22" s="215"/>
    </row>
    <row r="23" spans="2:16">
      <c r="B23" s="220"/>
      <c r="C23" s="217"/>
      <c r="D23" s="217"/>
      <c r="E23" s="217"/>
      <c r="F23" s="224"/>
      <c r="G23" s="225"/>
      <c r="H23" s="45" t="s">
        <v>8</v>
      </c>
      <c r="I23" s="45" t="s">
        <v>9</v>
      </c>
      <c r="J23" s="45" t="s">
        <v>10</v>
      </c>
      <c r="K23" s="30"/>
      <c r="L23" s="32"/>
      <c r="M23" s="33"/>
    </row>
    <row r="24" spans="2:16" ht="40.5">
      <c r="B24" s="38" t="s">
        <v>15</v>
      </c>
      <c r="C24" s="29" t="s">
        <v>55</v>
      </c>
      <c r="D24" s="42" t="s">
        <v>57</v>
      </c>
      <c r="E24" s="43" t="s">
        <v>59</v>
      </c>
      <c r="F24" s="203" t="s">
        <v>60</v>
      </c>
      <c r="G24" s="204"/>
      <c r="H24" s="53"/>
      <c r="I24" s="54"/>
      <c r="J24" s="53"/>
      <c r="K24" s="39"/>
      <c r="L24" s="34"/>
      <c r="M24" s="35"/>
    </row>
    <row r="25" spans="2:16">
      <c r="B25" s="41" t="s">
        <v>16</v>
      </c>
      <c r="C25" s="18"/>
      <c r="D25" s="18"/>
      <c r="E25" s="59"/>
      <c r="F25" s="203"/>
      <c r="G25" s="207"/>
      <c r="H25" s="53"/>
      <c r="I25" s="54"/>
      <c r="J25" s="53"/>
      <c r="K25" s="31"/>
      <c r="L25" s="36"/>
      <c r="M25" s="37"/>
    </row>
    <row r="26" spans="2:16">
      <c r="B26" s="41"/>
      <c r="C26" s="18"/>
      <c r="D26" s="18"/>
      <c r="E26" s="59"/>
      <c r="F26" s="203"/>
      <c r="G26" s="207"/>
      <c r="H26" s="19"/>
      <c r="I26" s="20"/>
      <c r="J26" s="19"/>
      <c r="K26" s="31"/>
      <c r="L26" s="36"/>
      <c r="M26" s="37"/>
    </row>
    <row r="27" spans="2:16">
      <c r="B27" s="41"/>
      <c r="C27" s="18"/>
      <c r="D27" s="18"/>
      <c r="E27" s="59"/>
      <c r="F27" s="203"/>
      <c r="G27" s="204"/>
      <c r="H27" s="19"/>
      <c r="I27" s="20"/>
      <c r="J27" s="19"/>
      <c r="K27" s="31"/>
      <c r="L27" s="36"/>
      <c r="M27" s="37"/>
    </row>
    <row r="28" spans="2:16">
      <c r="B28" s="41"/>
      <c r="C28" s="18"/>
      <c r="D28" s="18"/>
      <c r="E28" s="59"/>
      <c r="F28" s="203"/>
      <c r="G28" s="204"/>
      <c r="H28" s="19"/>
      <c r="I28" s="20"/>
      <c r="J28" s="19"/>
      <c r="K28" s="39"/>
      <c r="L28" s="36"/>
      <c r="M28" s="37"/>
    </row>
    <row r="29" spans="2:16">
      <c r="B29" s="41"/>
      <c r="C29" s="18"/>
      <c r="D29" s="18"/>
      <c r="E29" s="59"/>
      <c r="F29" s="203"/>
      <c r="G29" s="204"/>
      <c r="H29" s="19"/>
      <c r="I29" s="20"/>
      <c r="J29" s="19"/>
      <c r="K29" s="31"/>
      <c r="L29" s="36"/>
      <c r="M29" s="37"/>
    </row>
    <row r="30" spans="2:16">
      <c r="B30" s="41" t="s">
        <v>18</v>
      </c>
      <c r="C30" s="18"/>
      <c r="D30" s="18"/>
      <c r="E30" s="59"/>
      <c r="F30" s="203"/>
      <c r="G30" s="207"/>
      <c r="H30" s="53"/>
      <c r="I30" s="54"/>
      <c r="J30" s="53"/>
      <c r="K30" s="31"/>
      <c r="L30" s="36"/>
      <c r="M30" s="37"/>
    </row>
    <row r="31" spans="2:16">
      <c r="B31" s="41" t="s">
        <v>19</v>
      </c>
      <c r="C31" s="18"/>
      <c r="D31" s="18"/>
      <c r="E31" s="59"/>
      <c r="F31" s="203"/>
      <c r="G31" s="207"/>
      <c r="H31" s="54"/>
      <c r="I31" s="54"/>
      <c r="J31" s="53"/>
      <c r="K31" s="31"/>
      <c r="L31" s="36"/>
      <c r="M31" s="37"/>
    </row>
    <row r="32" spans="2:16">
      <c r="B32" s="21" t="s">
        <v>20</v>
      </c>
      <c r="C32" s="18"/>
      <c r="D32" s="18"/>
      <c r="E32" s="60"/>
      <c r="F32" s="228"/>
      <c r="G32" s="229"/>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2019-01-09T07:11:40Z</dcterms:modified>
</cp:coreProperties>
</file>