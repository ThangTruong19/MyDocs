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activeTab="2"/>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テスト項目!$B$8:$U$325</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テスト項目!$A$1:$J$316</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P2" i="19" l="1"/>
  <c r="O2"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325" i="19"/>
  <c r="B324" i="19"/>
  <c r="B323" i="19"/>
  <c r="B322" i="19"/>
  <c r="B321" i="19"/>
  <c r="B320" i="19"/>
  <c r="B319" i="19"/>
  <c r="B318" i="19"/>
  <c r="B317" i="19"/>
  <c r="B316" i="19"/>
  <c r="B315" i="19"/>
  <c r="B314" i="19"/>
  <c r="B313" i="19"/>
  <c r="B312" i="19"/>
  <c r="B311" i="19"/>
  <c r="B310" i="19"/>
  <c r="B309" i="19"/>
  <c r="B308" i="19"/>
  <c r="B307" i="19"/>
  <c r="B306" i="19"/>
  <c r="B305" i="19"/>
  <c r="B304" i="19"/>
  <c r="B303" i="19"/>
  <c r="B302" i="19"/>
  <c r="B301" i="19"/>
  <c r="B300" i="19"/>
  <c r="B299" i="19"/>
  <c r="B298" i="19"/>
  <c r="B297" i="19"/>
  <c r="B296" i="19"/>
  <c r="B295" i="19"/>
  <c r="B294" i="19"/>
  <c r="B293" i="19"/>
  <c r="B292" i="19"/>
  <c r="B291" i="19"/>
  <c r="B290" i="19"/>
  <c r="B289" i="19"/>
  <c r="B288" i="19"/>
  <c r="B287" i="19"/>
  <c r="B286" i="19"/>
  <c r="B285" i="19"/>
  <c r="B284" i="19"/>
  <c r="B283" i="19"/>
  <c r="B282" i="19"/>
  <c r="B281" i="19"/>
  <c r="B280" i="19"/>
  <c r="B279" i="19"/>
  <c r="B278" i="19"/>
  <c r="B277" i="19"/>
  <c r="B276" i="19"/>
  <c r="B275" i="19"/>
  <c r="B274" i="19"/>
  <c r="B273" i="19"/>
  <c r="B272" i="19"/>
  <c r="B271" i="19"/>
  <c r="B270" i="19"/>
  <c r="B269" i="19"/>
  <c r="B268" i="19"/>
  <c r="B267" i="19"/>
  <c r="B266" i="19"/>
  <c r="B265" i="19"/>
  <c r="B264" i="19"/>
  <c r="B263" i="19"/>
  <c r="B262" i="19"/>
  <c r="B261" i="19"/>
  <c r="B260" i="19"/>
  <c r="B259" i="19"/>
  <c r="B258" i="19"/>
  <c r="B257" i="19"/>
  <c r="B256" i="19"/>
  <c r="B255" i="19"/>
  <c r="B254" i="19"/>
  <c r="B253" i="19"/>
  <c r="B252" i="19"/>
  <c r="Q4" i="19"/>
  <c r="Q3" i="19"/>
  <c r="Q2" i="19"/>
  <c r="P4" i="19"/>
  <c r="O4" i="19"/>
  <c r="N4" i="19"/>
  <c r="P3" i="19"/>
  <c r="O3" i="19"/>
  <c r="N3" i="19"/>
  <c r="N2"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M20" i="14"/>
  <c r="L20" i="14"/>
  <c r="K20" i="14"/>
  <c r="H20" i="14" s="1"/>
  <c r="N4" i="14"/>
  <c r="N3" i="14" s="1"/>
  <c r="J3" i="14" s="1"/>
  <c r="M4" i="14"/>
  <c r="M3" i="14" s="1"/>
  <c r="I3" i="14" s="1"/>
  <c r="L4" i="14"/>
  <c r="L3" i="14" s="1"/>
  <c r="H3" i="14" s="1"/>
  <c r="K4" i="14"/>
  <c r="H4" i="14" s="1"/>
  <c r="M4" i="19" l="1"/>
  <c r="M2" i="19"/>
  <c r="K3" i="14"/>
  <c r="G3" i="14" s="1"/>
  <c r="M3" i="19"/>
  <c r="I3" i="19"/>
  <c r="H3" i="19"/>
  <c r="J3" i="19"/>
  <c r="G3" i="19" l="1"/>
</calcChain>
</file>

<file path=xl/sharedStrings.xml><?xml version="1.0" encoding="utf-8"?>
<sst xmlns="http://schemas.openxmlformats.org/spreadsheetml/2006/main" count="1723" uniqueCount="595">
  <si>
    <t>OK</t>
  </si>
  <si>
    <t>ALL</t>
  </si>
  <si>
    <t>■</t>
  </si>
  <si>
    <t xml:space="preserve"> </t>
  </si>
  <si>
    <t>項番</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</si>
  <si>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</si>
  <si>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</si>
  <si>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</si>
  <si>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</si>
  <si>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</si>
  <si>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</si>
  <si>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</si>
  <si>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</si>
  <si>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</si>
  <si>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</si>
  <si>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</si>
  <si>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</si>
  <si>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</si>
  <si>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</si>
  <si>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</si>
  <si>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</si>
  <si>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</si>
  <si>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</si>
  <si>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</si>
  <si>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</si>
  <si>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</si>
  <si>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</si>
  <si>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</si>
  <si>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</si>
  <si>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</si>
  <si>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</si>
  <si>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</si>
  <si>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</si>
  <si>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</si>
  <si>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</si>
  <si>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</si>
  <si>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</si>
  <si>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</si>
  <si>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</si>
  <si>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</si>
  <si>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</si>
  <si>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</si>
  <si>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</si>
  <si>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</si>
  <si>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</si>
  <si>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</si>
  <si>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</si>
  <si>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</si>
  <si>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</si>
  <si>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</si>
  <si>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</si>
  <si>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</si>
  <si>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</si>
  <si>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</si>
  <si>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</si>
  <si>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</si>
  <si>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</si>
  <si>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</si>
  <si>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</si>
  <si>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</si>
  <si>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</si>
  <si>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</si>
  <si>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</si>
  <si>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</si>
  <si>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</si>
  <si>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</si>
  <si>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</si>
  <si>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</si>
  <si>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</si>
  <si>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</si>
  <si>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</si>
  <si>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</si>
  <si>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</si>
  <si>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</si>
  <si>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</si>
  <si>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</si>
  <si>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</si>
  <si>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</si>
  <si>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</si>
  <si>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</si>
  <si>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</si>
  <si>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</si>
  <si>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</si>
  <si>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</si>
  <si>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</si>
  <si>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</si>
  <si>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</si>
  <si>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</si>
  <si>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</si>
  <si>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</si>
  <si>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</si>
  <si>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</si>
  <si>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</si>
  <si>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</si>
  <si>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</si>
  <si>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</si>
  <si>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t>
    <phoneticPr fontId="47"/>
  </si>
  <si>
    <t>-</t>
    <phoneticPr fontId="28"/>
  </si>
  <si>
    <t>想定外操作</t>
    <rPh sb="0" eb="2">
      <t>ソウテイ</t>
    </rPh>
    <rPh sb="2" eb="3">
      <t>ガイ</t>
    </rPh>
    <rPh sb="3" eb="5">
      <t>ソウサ</t>
    </rPh>
    <phoneticPr fontId="28"/>
  </si>
  <si>
    <t>-</t>
    <phoneticPr fontId="28"/>
  </si>
  <si>
    <t>SMS API名称</t>
    <phoneticPr fontId="28"/>
  </si>
  <si>
    <t>メッセージ</t>
    <phoneticPr fontId="28"/>
  </si>
  <si>
    <t>「Test SMS を送信」ボタン</t>
    <rPh sb="11" eb="13">
      <t>ソウシン</t>
    </rPh>
    <phoneticPr fontId="28"/>
  </si>
  <si>
    <t>非活性になっていること</t>
    <rPh sb="0" eb="1">
      <t>ヒ</t>
    </rPh>
    <rPh sb="1" eb="3">
      <t>カッセイ</t>
    </rPh>
    <phoneticPr fontId="28"/>
  </si>
  <si>
    <t>Test SMS Mobile Number(国)</t>
    <rPh sb="23" eb="24">
      <t>クニ</t>
    </rPh>
    <phoneticPr fontId="47"/>
  </si>
  <si>
    <t>更新ボタン</t>
    <rPh sb="0" eb="2">
      <t>コウシン</t>
    </rPh>
    <phoneticPr fontId="28"/>
  </si>
  <si>
    <t>Sender Id</t>
    <phoneticPr fontId="28"/>
  </si>
  <si>
    <t>Short Code Number</t>
    <phoneticPr fontId="28"/>
  </si>
  <si>
    <t>Short Code Number</t>
    <phoneticPr fontId="28"/>
  </si>
  <si>
    <t>ユーザ</t>
    <phoneticPr fontId="28"/>
  </si>
  <si>
    <t>パスワード</t>
    <phoneticPr fontId="28"/>
  </si>
  <si>
    <t>Short Code Key</t>
    <phoneticPr fontId="28"/>
  </si>
  <si>
    <t>Call Back URL</t>
    <phoneticPr fontId="28"/>
  </si>
  <si>
    <t>Send API URL</t>
    <phoneticPr fontId="28"/>
  </si>
  <si>
    <t>Test SMS Mobile Number（番号）</t>
    <rPh sb="23" eb="25">
      <t>バンゴウ</t>
    </rPh>
    <phoneticPr fontId="28"/>
  </si>
  <si>
    <t>検索結果が0件</t>
    <rPh sb="0" eb="2">
      <t>ケンサク</t>
    </rPh>
    <rPh sb="2" eb="4">
      <t>ケッカ</t>
    </rPh>
    <rPh sb="6" eb="7">
      <t>ケン</t>
    </rPh>
    <phoneticPr fontId="28"/>
  </si>
  <si>
    <t>初期表示</t>
    <rPh sb="0" eb="2">
      <t>ショキ</t>
    </rPh>
    <rPh sb="2" eb="4">
      <t>ヒョウジ</t>
    </rPh>
    <phoneticPr fontId="47"/>
  </si>
  <si>
    <t>「データがありません。」が表示されること</t>
    <rPh sb="13" eb="15">
      <t>ヒョウジ</t>
    </rPh>
    <phoneticPr fontId="28"/>
  </si>
  <si>
    <t>選択解除したデータの背景色が白に変わること</t>
    <rPh sb="0" eb="2">
      <t>センタク</t>
    </rPh>
    <rPh sb="2" eb="4">
      <t>カイジョ</t>
    </rPh>
    <rPh sb="10" eb="13">
      <t>ハイケイショク</t>
    </rPh>
    <rPh sb="14" eb="15">
      <t>シロ</t>
    </rPh>
    <rPh sb="16" eb="17">
      <t>カ</t>
    </rPh>
    <phoneticPr fontId="28"/>
  </si>
  <si>
    <t>データの背景色が変わること</t>
    <rPh sb="4" eb="7">
      <t>ハイケイショク</t>
    </rPh>
    <rPh sb="8" eb="9">
      <t>カ</t>
    </rPh>
    <phoneticPr fontId="28"/>
  </si>
  <si>
    <t>OFF切替</t>
    <rPh sb="3" eb="5">
      <t>キリカエ</t>
    </rPh>
    <phoneticPr fontId="28"/>
  </si>
  <si>
    <t>ON切替</t>
    <rPh sb="2" eb="4">
      <t>キリカエ</t>
    </rPh>
    <phoneticPr fontId="28"/>
  </si>
  <si>
    <t>-</t>
    <phoneticPr fontId="28"/>
  </si>
  <si>
    <t>全てのデータをONにした場合、ヘッダ部のチェックボックスがONになること</t>
    <rPh sb="0" eb="1">
      <t>スベ</t>
    </rPh>
    <rPh sb="12" eb="14">
      <t>バアイ</t>
    </rPh>
    <rPh sb="18" eb="19">
      <t>ブ</t>
    </rPh>
    <phoneticPr fontId="28"/>
  </si>
  <si>
    <t>明細部のすべてのチェックボックスがONになること</t>
    <rPh sb="0" eb="2">
      <t>メイサイ</t>
    </rPh>
    <rPh sb="2" eb="3">
      <t>ブ</t>
    </rPh>
    <phoneticPr fontId="28"/>
  </si>
  <si>
    <t>明細部のすべてのチェックボックスがOFFになること</t>
    <rPh sb="0" eb="2">
      <t>メイサイ</t>
    </rPh>
    <rPh sb="2" eb="3">
      <t>ブ</t>
    </rPh>
    <phoneticPr fontId="28"/>
  </si>
  <si>
    <t>中項目</t>
    <phoneticPr fontId="28"/>
  </si>
  <si>
    <t>文字数制御</t>
    <rPh sb="0" eb="3">
      <t>モジスウ</t>
    </rPh>
    <rPh sb="3" eb="5">
      <t>セイギョ</t>
    </rPh>
    <phoneticPr fontId="28"/>
  </si>
  <si>
    <t>最大入力文字数が64文字であること</t>
    <rPh sb="0" eb="2">
      <t>サイダイ</t>
    </rPh>
    <rPh sb="2" eb="4">
      <t>ニュウリョク</t>
    </rPh>
    <rPh sb="4" eb="7">
      <t>モジスウ</t>
    </rPh>
    <rPh sb="10" eb="12">
      <t>モジ</t>
    </rPh>
    <phoneticPr fontId="28"/>
  </si>
  <si>
    <t>テキストボックスが空白で表示されること</t>
    <rPh sb="9" eb="11">
      <t>クウハク</t>
    </rPh>
    <rPh sb="12" eb="14">
      <t>ヒョウジ</t>
    </rPh>
    <phoneticPr fontId="28"/>
  </si>
  <si>
    <t>最大入力文字数が11文字であること</t>
    <rPh sb="0" eb="2">
      <t>サイダイ</t>
    </rPh>
    <rPh sb="2" eb="4">
      <t>ニュウリョク</t>
    </rPh>
    <rPh sb="4" eb="7">
      <t>モジスウ</t>
    </rPh>
    <rPh sb="10" eb="12">
      <t>モジ</t>
    </rPh>
    <phoneticPr fontId="28"/>
  </si>
  <si>
    <t>数値以外入力できないこと</t>
    <rPh sb="0" eb="2">
      <t>スウチ</t>
    </rPh>
    <rPh sb="2" eb="4">
      <t>イガイ</t>
    </rPh>
    <rPh sb="4" eb="6">
      <t>ニュウリョク</t>
    </rPh>
    <phoneticPr fontId="28"/>
  </si>
  <si>
    <t>数値制御</t>
    <rPh sb="0" eb="2">
      <t>スウチ</t>
    </rPh>
    <rPh sb="2" eb="4">
      <t>セイギョ</t>
    </rPh>
    <phoneticPr fontId="28"/>
  </si>
  <si>
    <t>最大入力文字数が20文字であること</t>
    <rPh sb="0" eb="2">
      <t>サイダイ</t>
    </rPh>
    <rPh sb="2" eb="4">
      <t>ニュウリョク</t>
    </rPh>
    <rPh sb="4" eb="7">
      <t>モジスウ</t>
    </rPh>
    <rPh sb="10" eb="12">
      <t>モジ</t>
    </rPh>
    <phoneticPr fontId="28"/>
  </si>
  <si>
    <t>最大入力文字数が256文字であること</t>
    <rPh sb="0" eb="2">
      <t>サイダイ</t>
    </rPh>
    <rPh sb="2" eb="4">
      <t>ニュウリョク</t>
    </rPh>
    <rPh sb="4" eb="7">
      <t>モジスウ</t>
    </rPh>
    <rPh sb="11" eb="13">
      <t>モジ</t>
    </rPh>
    <phoneticPr fontId="28"/>
  </si>
  <si>
    <t>入力時に「Test SMS を送信」ボタンが活性化されること</t>
    <rPh sb="0" eb="3">
      <t>ニュウリョクジ</t>
    </rPh>
    <rPh sb="15" eb="17">
      <t>ソウシン</t>
    </rPh>
    <rPh sb="22" eb="25">
      <t>カッセイカ</t>
    </rPh>
    <phoneticPr fontId="28"/>
  </si>
  <si>
    <t>入力形式チェック</t>
    <rPh sb="0" eb="2">
      <t>ニュウリョク</t>
    </rPh>
    <rPh sb="2" eb="4">
      <t>ケイシキ</t>
    </rPh>
    <phoneticPr fontId="28"/>
  </si>
  <si>
    <t>ボタン制御</t>
    <rPh sb="3" eb="5">
      <t>セイギョ</t>
    </rPh>
    <phoneticPr fontId="28"/>
  </si>
  <si>
    <t>グループ名（ヘッダ）</t>
    <rPh sb="4" eb="5">
      <t>メイ</t>
    </rPh>
    <phoneticPr fontId="47"/>
  </si>
  <si>
    <t>グループ名（明細）</t>
    <rPh sb="4" eb="5">
      <t>メイ</t>
    </rPh>
    <rPh sb="6" eb="8">
      <t>メイサイ</t>
    </rPh>
    <phoneticPr fontId="47"/>
  </si>
  <si>
    <t>Test SMS Mobile Number（国）</t>
    <rPh sb="23" eb="24">
      <t>クニ</t>
    </rPh>
    <phoneticPr fontId="28"/>
  </si>
  <si>
    <t>SMS送信失敗時</t>
    <rPh sb="3" eb="5">
      <t>ソウシン</t>
    </rPh>
    <rPh sb="5" eb="7">
      <t>シッパイ</t>
    </rPh>
    <rPh sb="7" eb="8">
      <t>ジ</t>
    </rPh>
    <phoneticPr fontId="47"/>
  </si>
  <si>
    <t>登録ボタン</t>
    <rPh sb="0" eb="2">
      <t>トウロク</t>
    </rPh>
    <phoneticPr fontId="47"/>
  </si>
  <si>
    <t>画面項目制御</t>
    <rPh sb="0" eb="2">
      <t>ガメン</t>
    </rPh>
    <rPh sb="2" eb="4">
      <t>コウモク</t>
    </rPh>
    <rPh sb="4" eb="6">
      <t>セイギョ</t>
    </rPh>
    <phoneticPr fontId="47"/>
  </si>
  <si>
    <t>メッセージ</t>
    <phoneticPr fontId="28"/>
  </si>
  <si>
    <t>API呼び出し失敗</t>
    <rPh sb="3" eb="4">
      <t>ヨ</t>
    </rPh>
    <rPh sb="5" eb="6">
      <t>ダ</t>
    </rPh>
    <rPh sb="7" eb="9">
      <t>シッパイ</t>
    </rPh>
    <phoneticPr fontId="28"/>
  </si>
  <si>
    <t>SMS送信成功時</t>
    <rPh sb="3" eb="5">
      <t>ソウシン</t>
    </rPh>
    <rPh sb="5" eb="7">
      <t>セイコウ</t>
    </rPh>
    <rPh sb="7" eb="8">
      <t>ジ</t>
    </rPh>
    <phoneticPr fontId="47"/>
  </si>
  <si>
    <t>-</t>
    <phoneticPr fontId="47"/>
  </si>
  <si>
    <t>活性化されること</t>
    <rPh sb="0" eb="3">
      <t>カッセイカ</t>
    </rPh>
    <phoneticPr fontId="28"/>
  </si>
  <si>
    <t>テキスト制御</t>
    <rPh sb="4" eb="6">
      <t>セイギョ</t>
    </rPh>
    <phoneticPr fontId="47"/>
  </si>
  <si>
    <t>-</t>
    <phoneticPr fontId="28"/>
  </si>
  <si>
    <t>ボタン制御</t>
    <rPh sb="3" eb="5">
      <t>セイギョ</t>
    </rPh>
    <phoneticPr fontId="47"/>
  </si>
  <si>
    <t>グループ名（明細部）</t>
    <rPh sb="4" eb="5">
      <t>メイ</t>
    </rPh>
    <rPh sb="6" eb="8">
      <t>メイサイ</t>
    </rPh>
    <rPh sb="8" eb="9">
      <t>ブ</t>
    </rPh>
    <phoneticPr fontId="47"/>
  </si>
  <si>
    <t>「データがありません。」と表示されていること</t>
    <rPh sb="13" eb="15">
      <t>ヒョウジ</t>
    </rPh>
    <phoneticPr fontId="28"/>
  </si>
  <si>
    <t>削除ボタン</t>
    <rPh sb="0" eb="2">
      <t>サクジョ</t>
    </rPh>
    <phoneticPr fontId="28"/>
  </si>
  <si>
    <t>大項目：API設定登録（受信者）</t>
    <rPh sb="0" eb="3">
      <t>ダイコウモク</t>
    </rPh>
    <rPh sb="7" eb="9">
      <t>セッテイ</t>
    </rPh>
    <rPh sb="9" eb="11">
      <t>トウロク</t>
    </rPh>
    <rPh sb="12" eb="15">
      <t>ジュシンシャ</t>
    </rPh>
    <phoneticPr fontId="28"/>
  </si>
  <si>
    <t>大項目：API設定更新（受信者）</t>
    <rPh sb="0" eb="3">
      <t>ダイコウモク</t>
    </rPh>
    <rPh sb="7" eb="9">
      <t>セッテイ</t>
    </rPh>
    <rPh sb="9" eb="11">
      <t>コウシン</t>
    </rPh>
    <rPh sb="12" eb="15">
      <t>ジュシンシャ</t>
    </rPh>
    <phoneticPr fontId="28"/>
  </si>
  <si>
    <t>大項目：API設定削除（受信者）</t>
    <rPh sb="0" eb="3">
      <t>ダイコウモク</t>
    </rPh>
    <rPh sb="7" eb="9">
      <t>セッテイ</t>
    </rPh>
    <rPh sb="9" eb="11">
      <t>サクジョ</t>
    </rPh>
    <rPh sb="12" eb="15">
      <t>ジュシンシャ</t>
    </rPh>
    <phoneticPr fontId="28"/>
  </si>
  <si>
    <t>－</t>
    <phoneticPr fontId="47"/>
  </si>
  <si>
    <t>非活性になること</t>
    <rPh sb="0" eb="1">
      <t>ヒ</t>
    </rPh>
    <rPh sb="1" eb="3">
      <t>カッセイ</t>
    </rPh>
    <phoneticPr fontId="28"/>
  </si>
  <si>
    <t>－</t>
    <phoneticPr fontId="47"/>
  </si>
  <si>
    <t>－</t>
    <phoneticPr fontId="47"/>
  </si>
  <si>
    <t>－</t>
    <phoneticPr fontId="47"/>
  </si>
  <si>
    <t>指定画面サイズ（1280 * 768）で表示した際、JSエラーなく表示されること</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</si>
  <si>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</si>
  <si>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</si>
  <si>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リサイズ</t>
    <phoneticPr fontId="47"/>
  </si>
  <si>
    <t>－</t>
    <phoneticPr fontId="47"/>
  </si>
  <si>
    <t>リサイズ</t>
    <phoneticPr fontId="47"/>
  </si>
  <si>
    <t>－</t>
    <phoneticPr fontId="47"/>
  </si>
  <si>
    <t>必須入力チェック</t>
    <rPh sb="0" eb="2">
      <t>ヒッス</t>
    </rPh>
    <rPh sb="2" eb="4">
      <t>ニュウリョク</t>
    </rPh>
    <phoneticPr fontId="28"/>
  </si>
  <si>
    <t>－</t>
    <phoneticPr fontId="47"/>
  </si>
  <si>
    <t>－</t>
    <phoneticPr fontId="47"/>
  </si>
  <si>
    <t>グループ割り当て（テキスト）</t>
    <rPh sb="4" eb="5">
      <t>ワ</t>
    </rPh>
    <rPh sb="6" eb="7">
      <t>ア</t>
    </rPh>
    <phoneticPr fontId="28"/>
  </si>
  <si>
    <t>別シート"リクエストパラメータチェックシート:リソース取得API"参照</t>
    <rPh sb="0" eb="1">
      <t>ベツ</t>
    </rPh>
    <rPh sb="33" eb="35">
      <t>サンショウ</t>
    </rPh>
    <phoneticPr fontId="28"/>
  </si>
  <si>
    <t>グループ一覧</t>
    <rPh sb="4" eb="6">
      <t>イチラン</t>
    </rPh>
    <phoneticPr fontId="28"/>
  </si>
  <si>
    <t>リソース取得APIで取得した結果が表示されていること</t>
    <rPh sb="4" eb="6">
      <t>シュトク</t>
    </rPh>
    <rPh sb="10" eb="12">
      <t>シュトク</t>
    </rPh>
    <rPh sb="14" eb="16">
      <t>ケッカ</t>
    </rPh>
    <rPh sb="17" eb="19">
      <t>ヒョウジ</t>
    </rPh>
    <phoneticPr fontId="28"/>
  </si>
  <si>
    <t>モーダル画面表示</t>
    <rPh sb="4" eb="6">
      <t>ガメン</t>
    </rPh>
    <rPh sb="6" eb="8">
      <t>ヒョウジ</t>
    </rPh>
    <phoneticPr fontId="28"/>
  </si>
  <si>
    <t>初期表示と同じデータが表示されていること</t>
    <rPh sb="0" eb="2">
      <t>ショキ</t>
    </rPh>
    <rPh sb="2" eb="4">
      <t>ヒョウジ</t>
    </rPh>
    <rPh sb="5" eb="6">
      <t>オナ</t>
    </rPh>
    <rPh sb="11" eb="13">
      <t>ヒョウジ</t>
    </rPh>
    <phoneticPr fontId="28"/>
  </si>
  <si>
    <t>－</t>
    <phoneticPr fontId="47"/>
  </si>
  <si>
    <t>チェックされているデータが存在しないこと</t>
    <rPh sb="13" eb="15">
      <t>ソンザイ</t>
    </rPh>
    <phoneticPr fontId="28"/>
  </si>
  <si>
    <t>検索結果が1件以上</t>
    <rPh sb="0" eb="2">
      <t>ケンサク</t>
    </rPh>
    <rPh sb="2" eb="4">
      <t>ケッカ</t>
    </rPh>
    <rPh sb="6" eb="7">
      <t>ケン</t>
    </rPh>
    <rPh sb="7" eb="9">
      <t>イジョウ</t>
    </rPh>
    <phoneticPr fontId="28"/>
  </si>
  <si>
    <t>－</t>
    <phoneticPr fontId="47"/>
  </si>
  <si>
    <t>クリック</t>
    <phoneticPr fontId="28"/>
  </si>
  <si>
    <t>初期表示</t>
    <rPh sb="0" eb="2">
      <t>ショキ</t>
    </rPh>
    <rPh sb="2" eb="4">
      <t>ヒョウジ</t>
    </rPh>
    <phoneticPr fontId="28"/>
  </si>
  <si>
    <t>リサイズ</t>
    <phoneticPr fontId="47"/>
  </si>
  <si>
    <t>SMSAPI名称</t>
    <rPh sb="6" eb="8">
      <t>メイショウ</t>
    </rPh>
    <phoneticPr fontId="28"/>
  </si>
  <si>
    <t>リソース取得APIで取得した最初の値がセットされていること</t>
    <rPh sb="4" eb="6">
      <t>シュトク</t>
    </rPh>
    <rPh sb="10" eb="12">
      <t>シュトク</t>
    </rPh>
    <rPh sb="14" eb="16">
      <t>サイショ</t>
    </rPh>
    <rPh sb="17" eb="18">
      <t>アタイ</t>
    </rPh>
    <phoneticPr fontId="28"/>
  </si>
  <si>
    <t>-</t>
    <phoneticPr fontId="28"/>
  </si>
  <si>
    <t>プルダウン</t>
    <phoneticPr fontId="28"/>
  </si>
  <si>
    <t>プルダウン</t>
    <phoneticPr fontId="28"/>
  </si>
  <si>
    <t>リソース取得APIで取得した値が表示されること</t>
    <rPh sb="14" eb="15">
      <t>アタイ</t>
    </rPh>
    <rPh sb="16" eb="18">
      <t>ヒョウジ</t>
    </rPh>
    <phoneticPr fontId="28"/>
  </si>
  <si>
    <t>－</t>
    <phoneticPr fontId="47"/>
  </si>
  <si>
    <t>処理結果</t>
    <rPh sb="0" eb="2">
      <t>ショリ</t>
    </rPh>
    <rPh sb="2" eb="4">
      <t>ケッカ</t>
    </rPh>
    <phoneticPr fontId="28"/>
  </si>
  <si>
    <t>Sender Id</t>
    <phoneticPr fontId="28"/>
  </si>
  <si>
    <t>-</t>
    <phoneticPr fontId="28"/>
  </si>
  <si>
    <t>Short Code Number</t>
    <phoneticPr fontId="28"/>
  </si>
  <si>
    <t>ユーザ:</t>
    <phoneticPr fontId="28"/>
  </si>
  <si>
    <t>Short Code Key</t>
    <phoneticPr fontId="28"/>
  </si>
  <si>
    <t>Send API URL</t>
    <phoneticPr fontId="28"/>
  </si>
  <si>
    <t>Call Back URL</t>
    <phoneticPr fontId="28"/>
  </si>
  <si>
    <t>グループ割当て（テキスト）</t>
    <phoneticPr fontId="28"/>
  </si>
  <si>
    <t>グループ割当て（ボタン）</t>
    <phoneticPr fontId="28"/>
  </si>
  <si>
    <t>グループ名（ヘッダ部）</t>
    <rPh sb="4" eb="5">
      <t>メイ</t>
    </rPh>
    <rPh sb="9" eb="10">
      <t>ブ</t>
    </rPh>
    <phoneticPr fontId="28"/>
  </si>
  <si>
    <t>グループ名（明細部）</t>
    <rPh sb="4" eb="5">
      <t>メイ</t>
    </rPh>
    <rPh sb="6" eb="8">
      <t>メイサイ</t>
    </rPh>
    <rPh sb="8" eb="9">
      <t>ブ</t>
    </rPh>
    <phoneticPr fontId="28"/>
  </si>
  <si>
    <t>-</t>
    <phoneticPr fontId="28"/>
  </si>
  <si>
    <t>メッセージ</t>
    <phoneticPr fontId="28"/>
  </si>
  <si>
    <t>－</t>
    <phoneticPr fontId="47"/>
  </si>
  <si>
    <t>Sender Id</t>
    <phoneticPr fontId="28"/>
  </si>
  <si>
    <t>－</t>
    <phoneticPr fontId="47"/>
  </si>
  <si>
    <t>-</t>
    <phoneticPr fontId="28"/>
  </si>
  <si>
    <t>非活性時</t>
    <rPh sb="0" eb="1">
      <t>ヒ</t>
    </rPh>
    <rPh sb="1" eb="3">
      <t>カッセイ</t>
    </rPh>
    <rPh sb="3" eb="4">
      <t>ジ</t>
    </rPh>
    <phoneticPr fontId="28"/>
  </si>
  <si>
    <t>マウスカーソルアイコンが表示されること</t>
    <rPh sb="12" eb="14">
      <t>ヒョウジ</t>
    </rPh>
    <phoneticPr fontId="28"/>
  </si>
  <si>
    <t>－</t>
    <phoneticPr fontId="47"/>
  </si>
  <si>
    <t>-</t>
    <phoneticPr fontId="28"/>
  </si>
  <si>
    <t>-</t>
    <phoneticPr fontId="28"/>
  </si>
  <si>
    <t>最大入力文字数が10文字であること</t>
    <rPh sb="0" eb="2">
      <t>サイダイ</t>
    </rPh>
    <rPh sb="2" eb="4">
      <t>ニュウリョク</t>
    </rPh>
    <rPh sb="4" eb="7">
      <t>モジスウ</t>
    </rPh>
    <rPh sb="10" eb="12">
      <t>モジ</t>
    </rPh>
    <phoneticPr fontId="28"/>
  </si>
  <si>
    <t>ユーザ:</t>
    <phoneticPr fontId="28"/>
  </si>
  <si>
    <t>-</t>
    <phoneticPr fontId="28"/>
  </si>
  <si>
    <t>－</t>
    <phoneticPr fontId="47"/>
  </si>
  <si>
    <t>Send API URL</t>
    <phoneticPr fontId="28"/>
  </si>
  <si>
    <t>入力時に「Test SMS を送信」ボタンが活性化されること</t>
    <rPh sb="0" eb="3">
      <t>ニュウリョクジ</t>
    </rPh>
    <rPh sb="2" eb="3">
      <t>ジ</t>
    </rPh>
    <rPh sb="15" eb="17">
      <t>ソウシン</t>
    </rPh>
    <rPh sb="22" eb="24">
      <t>カッセイ</t>
    </rPh>
    <rPh sb="24" eb="25">
      <t>カ</t>
    </rPh>
    <phoneticPr fontId="28"/>
  </si>
  <si>
    <t>入力値クリア時に「Test SMS を送信」ボタンが非活性になること</t>
    <rPh sb="0" eb="3">
      <t>ニュウリョクチ</t>
    </rPh>
    <rPh sb="6" eb="7">
      <t>ジ</t>
    </rPh>
    <rPh sb="19" eb="21">
      <t>ソウシン</t>
    </rPh>
    <rPh sb="26" eb="27">
      <t>ヒ</t>
    </rPh>
    <rPh sb="27" eb="29">
      <t>カッセイ</t>
    </rPh>
    <phoneticPr fontId="28"/>
  </si>
  <si>
    <t>-</t>
    <phoneticPr fontId="28"/>
  </si>
  <si>
    <t>Call Back URL</t>
    <phoneticPr fontId="28"/>
  </si>
  <si>
    <t>-</t>
    <phoneticPr fontId="28"/>
  </si>
  <si>
    <t>－</t>
    <phoneticPr fontId="47"/>
  </si>
  <si>
    <t>グループ割当て（テキスト）</t>
    <phoneticPr fontId="28"/>
  </si>
  <si>
    <t>グループ割当て（ボタン）</t>
    <phoneticPr fontId="28"/>
  </si>
  <si>
    <t>－</t>
    <phoneticPr fontId="47"/>
  </si>
  <si>
    <t>－</t>
    <phoneticPr fontId="47"/>
  </si>
  <si>
    <t>－</t>
    <phoneticPr fontId="47"/>
  </si>
  <si>
    <t>-</t>
    <phoneticPr fontId="28"/>
  </si>
  <si>
    <t>－</t>
    <phoneticPr fontId="47"/>
  </si>
  <si>
    <t>－</t>
    <phoneticPr fontId="47"/>
  </si>
  <si>
    <t>Sender Id</t>
    <phoneticPr fontId="28"/>
  </si>
  <si>
    <t>ユーザ:</t>
    <phoneticPr fontId="28"/>
  </si>
  <si>
    <t>Short Code Number</t>
    <phoneticPr fontId="28"/>
  </si>
  <si>
    <t>Short Code Key</t>
    <phoneticPr fontId="28"/>
  </si>
  <si>
    <t>Sender Id</t>
    <phoneticPr fontId="28"/>
  </si>
  <si>
    <t>ユーザ:</t>
    <phoneticPr fontId="28"/>
  </si>
  <si>
    <t>-</t>
    <phoneticPr fontId="28"/>
  </si>
  <si>
    <t>－</t>
    <phoneticPr fontId="47"/>
  </si>
  <si>
    <t>パスワード</t>
    <phoneticPr fontId="28"/>
  </si>
  <si>
    <t>Send API URL</t>
    <phoneticPr fontId="28"/>
  </si>
  <si>
    <t>Call Back URL</t>
    <phoneticPr fontId="28"/>
  </si>
  <si>
    <t>－</t>
    <phoneticPr fontId="47"/>
  </si>
  <si>
    <t>－</t>
    <phoneticPr fontId="47"/>
  </si>
  <si>
    <t>　SMSAPI名称プルダウン選択</t>
    <phoneticPr fontId="47"/>
  </si>
  <si>
    <t>リソース取得API</t>
    <phoneticPr fontId="47"/>
  </si>
  <si>
    <t>リソース取得APIで取得した値が表示されていること</t>
    <rPh sb="4" eb="6">
      <t>シュトク</t>
    </rPh>
    <rPh sb="10" eb="12">
      <t>シュトク</t>
    </rPh>
    <rPh sb="14" eb="15">
      <t>アタイ</t>
    </rPh>
    <rPh sb="16" eb="18">
      <t>ヒョウジ</t>
    </rPh>
    <phoneticPr fontId="28"/>
  </si>
  <si>
    <r>
      <t>header</t>
    </r>
    <r>
      <rPr>
        <sz val="10"/>
        <color rgb="FFFF0000"/>
        <rFont val="ＭＳ Ｐゴシック"/>
        <family val="3"/>
        <charset val="128"/>
      </rPr>
      <t>　</t>
    </r>
    <phoneticPr fontId="28"/>
  </si>
  <si>
    <t>body</t>
    <phoneticPr fontId="28"/>
  </si>
  <si>
    <t>画面コード一覧参照</t>
    <rPh sb="0" eb="2">
      <t>ガメン</t>
    </rPh>
    <rPh sb="5" eb="7">
      <t>イチラン</t>
    </rPh>
    <rPh sb="7" eb="9">
      <t>サンショウ</t>
    </rPh>
    <phoneticPr fontId="28"/>
  </si>
  <si>
    <t>区分</t>
    <rPh sb="0" eb="2">
      <t>クブン</t>
    </rPh>
    <phoneticPr fontId="28"/>
  </si>
  <si>
    <t>設定不要</t>
    <rPh sb="0" eb="2">
      <t>セッテイ</t>
    </rPh>
    <rPh sb="2" eb="4">
      <t>フヨウ</t>
    </rPh>
    <phoneticPr fontId="28"/>
  </si>
  <si>
    <t>絞込条件</t>
    <rPh sb="0" eb="2">
      <t>シボリコミ</t>
    </rPh>
    <rPh sb="2" eb="4">
      <t>ジョウケン</t>
    </rPh>
    <phoneticPr fontId="28"/>
  </si>
  <si>
    <t>SMS APIユーザ名称</t>
    <phoneticPr fontId="28"/>
  </si>
  <si>
    <t>別シート"リクエストパラメータチェックシート:API設定登録API"参照</t>
    <phoneticPr fontId="28"/>
  </si>
  <si>
    <t>別シート"リクエストパラメータチェックシート:SMS API設定取得API"参照</t>
  </si>
  <si>
    <t>SMS API設定取得APIで取得した値がチェックされていること</t>
    <rPh sb="15" eb="17">
      <t>シュトク</t>
    </rPh>
    <rPh sb="19" eb="20">
      <t>アタイ</t>
    </rPh>
    <phoneticPr fontId="28"/>
  </si>
  <si>
    <t>別シート"リクエストパラメータチェックシート:SMSテストメッセージ登録API"参照</t>
    <phoneticPr fontId="28"/>
  </si>
  <si>
    <t>別シート"リクエストパラメータチェックシートSMSテストメッセージ登録API"参照</t>
  </si>
  <si>
    <t>:SMS API設定取得APIで取得した値がチェックされていること</t>
    <rPh sb="16" eb="18">
      <t>シュトク</t>
    </rPh>
    <rPh sb="20" eb="21">
      <t>アタイ</t>
    </rPh>
    <phoneticPr fontId="28"/>
  </si>
  <si>
    <t>別シート"リクエストパラメータチェックシート:SMS API設定削除API"参照</t>
    <phoneticPr fontId="28"/>
  </si>
  <si>
    <t>別シート"リクエストパラメータチェックシート:API設定更新API"参照</t>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</si>
  <si>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</si>
  <si>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</si>
  <si>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画面表示</t>
    <rPh sb="0" eb="2">
      <t>ガメン</t>
    </rPh>
    <rPh sb="2" eb="4">
      <t>ヒョウジ</t>
    </rPh>
    <phoneticPr fontId="28"/>
  </si>
  <si>
    <t>表示項目がロシア語になること</t>
    <rPh sb="0" eb="2">
      <t>ヒョウジ</t>
    </rPh>
    <rPh sb="2" eb="4">
      <t>コウモク</t>
    </rPh>
    <rPh sb="8" eb="9">
      <t>ゴ</t>
    </rPh>
    <phoneticPr fontId="28"/>
  </si>
  <si>
    <t>-</t>
  </si>
  <si>
    <t>レイアウトが崩れないこと</t>
    <rPh sb="6" eb="7">
      <t>クズ</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</si>
  <si>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</si>
  <si>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</si>
  <si>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</si>
  <si>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</si>
  <si>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ボタン連打</t>
    <rPh sb="3" eb="5">
      <t>レンダ</t>
    </rPh>
    <phoneticPr fontId="28"/>
  </si>
  <si>
    <t>追加ボタン</t>
    <rPh sb="0" eb="2">
      <t>ツイカ</t>
    </rPh>
    <phoneticPr fontId="28"/>
  </si>
  <si>
    <t>チェック欄</t>
    <phoneticPr fontId="28"/>
  </si>
  <si>
    <t>データ形式</t>
    <phoneticPr fontId="28"/>
  </si>
  <si>
    <t>Accept</t>
    <phoneticPr fontId="28"/>
  </si>
  <si>
    <t>アプリコード</t>
    <phoneticPr fontId="28"/>
  </si>
  <si>
    <t>グループID</t>
    <phoneticPr fontId="28"/>
  </si>
  <si>
    <t>X-DateFormat</t>
    <phoneticPr fontId="28"/>
  </si>
  <si>
    <t>X-DistanceUnit</t>
    <phoneticPr fontId="28"/>
  </si>
  <si>
    <t>車種</t>
    <rPh sb="0" eb="2">
      <t>シャシュ</t>
    </rPh>
    <phoneticPr fontId="28"/>
  </si>
  <si>
    <t>一覧取得系APIの取得開始位置</t>
    <rPh sb="0" eb="2">
      <t>イチラン</t>
    </rPh>
    <rPh sb="2" eb="4">
      <t>シュトク</t>
    </rPh>
    <rPh sb="4" eb="5">
      <t>ケイ</t>
    </rPh>
    <rPh sb="9" eb="11">
      <t>シュトク</t>
    </rPh>
    <rPh sb="11" eb="13">
      <t>カイシ</t>
    </rPh>
    <rPh sb="13" eb="15">
      <t>イチ</t>
    </rPh>
    <phoneticPr fontId="28"/>
  </si>
  <si>
    <t>一覧取得系APIの取得件数</t>
    <rPh sb="0" eb="2">
      <t>イチラン</t>
    </rPh>
    <rPh sb="2" eb="4">
      <t>シュトク</t>
    </rPh>
    <rPh sb="4" eb="5">
      <t>ケイ</t>
    </rPh>
    <rPh sb="9" eb="11">
      <t>シュトク</t>
    </rPh>
    <rPh sb="11" eb="13">
      <t>ケンスウ</t>
    </rPh>
    <phoneticPr fontId="28"/>
  </si>
  <si>
    <t>一覧取得系APIのソートを指定</t>
    <rPh sb="0" eb="2">
      <t>イチラン</t>
    </rPh>
    <rPh sb="2" eb="4">
      <t>シュトク</t>
    </rPh>
    <rPh sb="4" eb="5">
      <t>ケイ</t>
    </rPh>
    <rPh sb="13" eb="15">
      <t>シテイ</t>
    </rPh>
    <phoneticPr fontId="28"/>
  </si>
  <si>
    <t>メディアタイプ</t>
    <phoneticPr fontId="28"/>
  </si>
  <si>
    <t>X-TemperatureUnit</t>
    <phoneticPr fontId="28"/>
  </si>
  <si>
    <t>X-Fields</t>
    <phoneticPr fontId="28"/>
  </si>
  <si>
    <t>指定項目</t>
    <phoneticPr fontId="28"/>
  </si>
  <si>
    <t>SMS API URL</t>
    <phoneticPr fontId="28"/>
  </si>
  <si>
    <t>Authorization</t>
    <phoneticPr fontId="28"/>
  </si>
  <si>
    <t>温度単位</t>
    <phoneticPr fontId="28"/>
  </si>
  <si>
    <t>-</t>
    <phoneticPr fontId="47"/>
  </si>
  <si>
    <t>リクエストパラメータ　確認</t>
    <phoneticPr fontId="28"/>
  </si>
  <si>
    <t>リクエストパラメータ　確認</t>
    <phoneticPr fontId="28"/>
  </si>
  <si>
    <t>リクエストパラメータ　確認①</t>
    <phoneticPr fontId="28"/>
  </si>
  <si>
    <t>リクエストパラメータ　確認②</t>
    <phoneticPr fontId="28"/>
  </si>
  <si>
    <t>リクエストパラメータ　確認②</t>
    <phoneticPr fontId="28"/>
  </si>
  <si>
    <t>リクエストパラメータチェックシート</t>
    <phoneticPr fontId="28"/>
  </si>
  <si>
    <r>
      <t>header</t>
    </r>
    <r>
      <rPr>
        <sz val="10"/>
        <color rgb="FFFF0000"/>
        <rFont val="ＭＳ Ｐゴシック"/>
        <family val="3"/>
        <charset val="128"/>
      </rPr>
      <t>　</t>
    </r>
    <phoneticPr fontId="28"/>
  </si>
  <si>
    <t>チェック欄（①）</t>
    <phoneticPr fontId="28"/>
  </si>
  <si>
    <t>チェック欄（②）</t>
    <phoneticPr fontId="28"/>
  </si>
  <si>
    <t>チェック欄（②）</t>
    <phoneticPr fontId="28"/>
  </si>
  <si>
    <t>Authorization</t>
    <phoneticPr fontId="28"/>
  </si>
  <si>
    <t>Bearerトークン</t>
    <phoneticPr fontId="28"/>
  </si>
  <si>
    <t>Content-Type</t>
    <phoneticPr fontId="28"/>
  </si>
  <si>
    <t>データ形式</t>
    <phoneticPr fontId="28"/>
  </si>
  <si>
    <t>言語タグ</t>
    <phoneticPr fontId="28"/>
  </si>
  <si>
    <t>X-AppCode</t>
    <phoneticPr fontId="28"/>
  </si>
  <si>
    <t>グループID</t>
    <phoneticPr fontId="28"/>
  </si>
  <si>
    <t>日付形式</t>
    <phoneticPr fontId="28"/>
  </si>
  <si>
    <t>X-DistanceUnit</t>
    <phoneticPr fontId="28"/>
  </si>
  <si>
    <t>距離単位</t>
    <phoneticPr fontId="28"/>
  </si>
  <si>
    <t>X-TemperatureUnit</t>
    <phoneticPr fontId="28"/>
  </si>
  <si>
    <t>温度単位</t>
    <phoneticPr fontId="28"/>
  </si>
  <si>
    <t>X-Fields</t>
    <phoneticPr fontId="28"/>
  </si>
  <si>
    <t>X-From</t>
    <phoneticPr fontId="28"/>
  </si>
  <si>
    <t>X-Count</t>
    <phoneticPr fontId="28"/>
  </si>
  <si>
    <t>X-Sort</t>
    <phoneticPr fontId="28"/>
  </si>
  <si>
    <t>チェック欄（②）</t>
    <phoneticPr fontId="28"/>
  </si>
  <si>
    <t>チェック欄（③）</t>
    <phoneticPr fontId="28"/>
  </si>
  <si>
    <t>screen_code</t>
    <phoneticPr fontId="28"/>
  </si>
  <si>
    <t>画面コード</t>
    <phoneticPr fontId="28"/>
  </si>
  <si>
    <t>search_parameters</t>
    <phoneticPr fontId="28"/>
  </si>
  <si>
    <t>resource_path</t>
    <phoneticPr fontId="28"/>
  </si>
  <si>
    <t>リソースパス</t>
    <phoneticPr fontId="28"/>
  </si>
  <si>
    <t>kinds</t>
    <phoneticPr fontId="28"/>
  </si>
  <si>
    <t>condition_sets</t>
    <phoneticPr fontId="28"/>
  </si>
  <si>
    <t>SMSテストメッセージ登録API  (POST:/emn/sms_api_test_messages)</t>
    <phoneticPr fontId="28"/>
  </si>
  <si>
    <r>
      <t>header</t>
    </r>
    <r>
      <rPr>
        <sz val="10"/>
        <color rgb="FFFF0000"/>
        <rFont val="ＭＳ Ｐゴシック"/>
        <family val="3"/>
        <charset val="128"/>
      </rPr>
      <t>　</t>
    </r>
    <phoneticPr fontId="28"/>
  </si>
  <si>
    <t>チェック欄（①）</t>
    <phoneticPr fontId="28"/>
  </si>
  <si>
    <t>Bearerトークン</t>
    <phoneticPr fontId="28"/>
  </si>
  <si>
    <t>データ形式</t>
    <phoneticPr fontId="28"/>
  </si>
  <si>
    <t>Accept</t>
    <phoneticPr fontId="28"/>
  </si>
  <si>
    <t>メディアタイプ</t>
    <phoneticPr fontId="28"/>
  </si>
  <si>
    <t>言語タグ</t>
    <phoneticPr fontId="28"/>
  </si>
  <si>
    <t>アプリコード</t>
    <phoneticPr fontId="28"/>
  </si>
  <si>
    <t>グループID</t>
    <phoneticPr fontId="28"/>
  </si>
  <si>
    <t>X-DateFormat</t>
    <phoneticPr fontId="28"/>
  </si>
  <si>
    <t>日付形式</t>
    <phoneticPr fontId="28"/>
  </si>
  <si>
    <t>温度単位</t>
    <phoneticPr fontId="28"/>
  </si>
  <si>
    <t>指定項目</t>
    <phoneticPr fontId="28"/>
  </si>
  <si>
    <t>X-From</t>
    <phoneticPr fontId="28"/>
  </si>
  <si>
    <t>X-Count</t>
    <phoneticPr fontId="28"/>
  </si>
  <si>
    <t>X-Sort</t>
    <phoneticPr fontId="28"/>
  </si>
  <si>
    <t>body</t>
    <phoneticPr fontId="28"/>
  </si>
  <si>
    <t>チェック欄（①）</t>
    <phoneticPr fontId="28"/>
  </si>
  <si>
    <t>sms_api_test_message</t>
    <phoneticPr fontId="28"/>
  </si>
  <si>
    <t>SMS APIテストメッセージ</t>
    <phoneticPr fontId="28"/>
  </si>
  <si>
    <t>　text</t>
    <phoneticPr fontId="28"/>
  </si>
  <si>
    <t>メッセージテキスト</t>
    <phoneticPr fontId="28"/>
  </si>
  <si>
    <t>　phone_no</t>
    <phoneticPr fontId="28"/>
  </si>
  <si>
    <t>電話番号(国内プレフィックス除く)</t>
    <phoneticPr fontId="28"/>
  </si>
  <si>
    <t>　country_code</t>
    <phoneticPr fontId="28"/>
  </si>
  <si>
    <t>国際電話国番号</t>
    <phoneticPr fontId="28"/>
  </si>
  <si>
    <t>SMS API設定</t>
    <phoneticPr fontId="28"/>
  </si>
  <si>
    <t>　　user_name</t>
    <phoneticPr fontId="28"/>
  </si>
  <si>
    <t>　　password</t>
    <phoneticPr fontId="28"/>
  </si>
  <si>
    <t xml:space="preserve">SMS APIパスワード </t>
    <phoneticPr fontId="28"/>
  </si>
  <si>
    <t>　　sender_id</t>
    <phoneticPr fontId="28"/>
  </si>
  <si>
    <t>Sender ID</t>
    <phoneticPr fontId="28"/>
  </si>
  <si>
    <t>　　url</t>
    <phoneticPr fontId="28"/>
  </si>
  <si>
    <t>チェック欄</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</si>
  <si>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</si>
  <si>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</si>
  <si>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</si>
  <si>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</si>
  <si>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</si>
  <si>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</si>
  <si>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X-AppCode</t>
    <phoneticPr fontId="28"/>
  </si>
  <si>
    <t>アプリコード</t>
    <phoneticPr fontId="28"/>
  </si>
  <si>
    <t>日付形式</t>
    <phoneticPr fontId="28"/>
  </si>
  <si>
    <t>X-DistanceUnit</t>
    <phoneticPr fontId="28"/>
  </si>
  <si>
    <t>距離単位</t>
    <phoneticPr fontId="28"/>
  </si>
  <si>
    <t>X-TemperatureUnit</t>
    <phoneticPr fontId="28"/>
  </si>
  <si>
    <t>指定項目</t>
    <phoneticPr fontId="28"/>
  </si>
  <si>
    <t>X-From</t>
    <phoneticPr fontId="28"/>
  </si>
  <si>
    <t>X-Count</t>
    <phoneticPr fontId="28"/>
  </si>
  <si>
    <t>X-Sort</t>
    <phoneticPr fontId="28"/>
  </si>
  <si>
    <t>チェック欄</t>
    <phoneticPr fontId="28"/>
  </si>
  <si>
    <t>SMS API設定</t>
    <phoneticPr fontId="28"/>
  </si>
  <si>
    <t>SMS API区分</t>
    <phoneticPr fontId="28"/>
  </si>
  <si>
    <t>　label</t>
    <phoneticPr fontId="28"/>
  </si>
  <si>
    <t>SMS API設定名称</t>
    <phoneticPr fontId="28"/>
  </si>
  <si>
    <t>　user_name</t>
    <phoneticPr fontId="28"/>
  </si>
  <si>
    <t xml:space="preserve">SMS APIユーザ名称 </t>
    <phoneticPr fontId="28"/>
  </si>
  <si>
    <t>　password</t>
    <phoneticPr fontId="28"/>
  </si>
  <si>
    <t xml:space="preserve">SMS APIパスワード </t>
    <phoneticPr fontId="28"/>
  </si>
  <si>
    <t>　sender_id</t>
    <phoneticPr fontId="28"/>
  </si>
  <si>
    <t xml:space="preserve">Sender ID </t>
    <phoneticPr fontId="28"/>
  </si>
  <si>
    <t>　short_code_number</t>
    <phoneticPr fontId="28"/>
  </si>
  <si>
    <t>Short Code Number</t>
    <phoneticPr fontId="28"/>
  </si>
  <si>
    <t>　short_code_key</t>
    <phoneticPr fontId="28"/>
  </si>
  <si>
    <t>Short Code Key</t>
    <phoneticPr fontId="28"/>
  </si>
  <si>
    <t>　url</t>
    <phoneticPr fontId="28"/>
  </si>
  <si>
    <t>SMS API URL</t>
    <phoneticPr fontId="28"/>
  </si>
  <si>
    <t>　callback_url</t>
    <phoneticPr fontId="28"/>
  </si>
  <si>
    <t>SMS APIコールバックURL</t>
    <phoneticPr fontId="28"/>
  </si>
  <si>
    <t>　group_ids</t>
    <phoneticPr fontId="28"/>
  </si>
  <si>
    <r>
      <t>header</t>
    </r>
    <r>
      <rPr>
        <sz val="10"/>
        <color rgb="FFFF0000"/>
        <rFont val="ＭＳ Ｐゴシック"/>
        <family val="3"/>
        <charset val="128"/>
      </rPr>
      <t>　</t>
    </r>
    <phoneticPr fontId="28"/>
  </si>
  <si>
    <t>Content-Type</t>
    <phoneticPr fontId="28"/>
  </si>
  <si>
    <t>アプリコード</t>
    <phoneticPr fontId="28"/>
  </si>
  <si>
    <t>グループID</t>
    <phoneticPr fontId="28"/>
  </si>
  <si>
    <t>X-DateFormat</t>
    <phoneticPr fontId="28"/>
  </si>
  <si>
    <t>日付形式</t>
    <phoneticPr fontId="28"/>
  </si>
  <si>
    <t>X-TemperatureUnit</t>
    <phoneticPr fontId="28"/>
  </si>
  <si>
    <t>X-Fields</t>
    <phoneticPr fontId="28"/>
  </si>
  <si>
    <t>指定項目</t>
    <phoneticPr fontId="28"/>
  </si>
  <si>
    <t>X-From</t>
    <phoneticPr fontId="28"/>
  </si>
  <si>
    <t>X-Count</t>
    <phoneticPr fontId="28"/>
  </si>
  <si>
    <t>X-Sort</t>
    <phoneticPr fontId="28"/>
  </si>
  <si>
    <t>path</t>
    <phoneticPr fontId="28"/>
  </si>
  <si>
    <t>SMS API設定ID</t>
    <phoneticPr fontId="28"/>
  </si>
  <si>
    <t>完全一致</t>
    <phoneticPr fontId="28"/>
  </si>
  <si>
    <t>body</t>
    <phoneticPr fontId="28"/>
  </si>
  <si>
    <t>チェック欄</t>
    <phoneticPr fontId="28"/>
  </si>
  <si>
    <t>SMS API区分</t>
    <phoneticPr fontId="28"/>
  </si>
  <si>
    <t>　label</t>
    <phoneticPr fontId="28"/>
  </si>
  <si>
    <t>SMS API設定名称</t>
    <phoneticPr fontId="28"/>
  </si>
  <si>
    <t>　user_name</t>
    <phoneticPr fontId="28"/>
  </si>
  <si>
    <t xml:space="preserve">SMS APIユーザ名称 </t>
    <phoneticPr fontId="28"/>
  </si>
  <si>
    <t xml:space="preserve">SMS APIパスワード </t>
    <phoneticPr fontId="28"/>
  </si>
  <si>
    <t>　short_code_number</t>
    <phoneticPr fontId="28"/>
  </si>
  <si>
    <t>Short Code Number</t>
    <phoneticPr fontId="28"/>
  </si>
  <si>
    <t>　short_code_key</t>
    <phoneticPr fontId="28"/>
  </si>
  <si>
    <t>　url</t>
    <phoneticPr fontId="28"/>
  </si>
  <si>
    <t>SMS API URL</t>
    <phoneticPr fontId="28"/>
  </si>
  <si>
    <t>　callback_url</t>
    <phoneticPr fontId="28"/>
  </si>
  <si>
    <t>SMS APIコールバックURL</t>
    <phoneticPr fontId="28"/>
  </si>
  <si>
    <t>　group_ids</t>
    <phoneticPr fontId="28"/>
  </si>
  <si>
    <t>グループID</t>
    <phoneticPr fontId="28"/>
  </si>
  <si>
    <t>　update_datetime</t>
    <phoneticPr fontId="28"/>
  </si>
  <si>
    <t>更新日時</t>
    <phoneticPr fontId="28"/>
  </si>
  <si>
    <t>メディアタイプ</t>
    <phoneticPr fontId="28"/>
  </si>
  <si>
    <t>言語タグ</t>
    <phoneticPr fontId="28"/>
  </si>
  <si>
    <t>X-AppCode</t>
    <phoneticPr fontId="28"/>
  </si>
  <si>
    <t>グループID</t>
    <phoneticPr fontId="28"/>
  </si>
  <si>
    <t>X-DateFormat</t>
    <phoneticPr fontId="28"/>
  </si>
  <si>
    <t>X-DistanceUnit</t>
    <phoneticPr fontId="28"/>
  </si>
  <si>
    <t>X-TemperatureUnit</t>
    <phoneticPr fontId="28"/>
  </si>
  <si>
    <t>温度単位</t>
    <phoneticPr fontId="28"/>
  </si>
  <si>
    <t>X-Fields</t>
    <phoneticPr fontId="28"/>
  </si>
  <si>
    <t>指定項目</t>
    <phoneticPr fontId="28"/>
  </si>
  <si>
    <t>X-Sort</t>
    <phoneticPr fontId="28"/>
  </si>
  <si>
    <t>query</t>
    <phoneticPr fontId="28"/>
  </si>
  <si>
    <t>SMS API設定</t>
    <phoneticPr fontId="28"/>
  </si>
  <si>
    <t>言語タグ</t>
    <phoneticPr fontId="28"/>
  </si>
  <si>
    <t>X-DateFormat</t>
    <phoneticPr fontId="28"/>
  </si>
  <si>
    <t>距離単位</t>
    <phoneticPr fontId="28"/>
  </si>
  <si>
    <t>X-From</t>
    <phoneticPr fontId="28"/>
  </si>
  <si>
    <t>path</t>
    <phoneticPr fontId="28"/>
  </si>
  <si>
    <t>SMS API設定ID</t>
    <phoneticPr fontId="28"/>
  </si>
  <si>
    <t>完全一致</t>
    <phoneticPr fontId="28"/>
  </si>
  <si>
    <t>-</t>
    <phoneticPr fontId="28"/>
  </si>
  <si>
    <t>禁則文字チェック</t>
    <rPh sb="0" eb="2">
      <t>キンソク</t>
    </rPh>
    <rPh sb="2" eb="4">
      <t>モジ</t>
    </rPh>
    <phoneticPr fontId="28"/>
  </si>
  <si>
    <t>モーダル画面「SMS API設定は保管されました。」と表示されること
※メッセージは現行のメッセージ</t>
    <rPh sb="4" eb="6">
      <t>ガメン</t>
    </rPh>
    <rPh sb="27" eb="29">
      <t>ヒョウジ</t>
    </rPh>
    <rPh sb="42" eb="44">
      <t>ゲンコウ</t>
    </rPh>
    <phoneticPr fontId="28"/>
  </si>
  <si>
    <t>モーダル画面に「SMS API設定は削除されました。」と表示されること
※メッセージは現行のメッセージ</t>
    <rPh sb="4" eb="6">
      <t>ガメン</t>
    </rPh>
    <rPh sb="28" eb="30">
      <t>ヒョウジ</t>
    </rPh>
    <rPh sb="43" eb="45">
      <t>ゲンコウ</t>
    </rPh>
    <phoneticPr fontId="28"/>
  </si>
  <si>
    <t>モーダル画面に「SMS API設定は更新されました。」が表示されること
※メッセージは現行の内容</t>
    <rPh sb="4" eb="6">
      <t>ガメン</t>
    </rPh>
    <rPh sb="28" eb="30">
      <t>ヒョウジ</t>
    </rPh>
    <rPh sb="43" eb="45">
      <t>ゲンコウ</t>
    </rPh>
    <rPh sb="46" eb="48">
      <t>ナイヨウ</t>
    </rPh>
    <phoneticPr fontId="28"/>
  </si>
  <si>
    <t>モーダル画面に「この携帯番号にSMSは送信されました。」と表示されること</t>
    <rPh sb="4" eb="6">
      <t>ガメン</t>
    </rPh>
    <rPh sb="29" eb="31">
      <t>ヒョウジ</t>
    </rPh>
    <phoneticPr fontId="28"/>
  </si>
  <si>
    <t>キャンセルボタン</t>
    <phoneticPr fontId="47"/>
  </si>
  <si>
    <t>クリック</t>
    <phoneticPr fontId="28"/>
  </si>
  <si>
    <t>活性化されていること</t>
    <rPh sb="0" eb="3">
      <t>カッセイカ</t>
    </rPh>
    <phoneticPr fontId="28"/>
  </si>
  <si>
    <t>API設定登録（受信者）画面を閉じる</t>
    <rPh sb="5" eb="7">
      <t>トウロク</t>
    </rPh>
    <rPh sb="12" eb="14">
      <t>ガメン</t>
    </rPh>
    <rPh sb="15" eb="16">
      <t>ト</t>
    </rPh>
    <phoneticPr fontId="28"/>
  </si>
  <si>
    <t>API設定更新（受信者）画面を閉じる</t>
    <rPh sb="5" eb="7">
      <t>コウシン</t>
    </rPh>
    <rPh sb="12" eb="14">
      <t>ガメン</t>
    </rPh>
    <rPh sb="15" eb="16">
      <t>ト</t>
    </rPh>
    <phoneticPr fontId="28"/>
  </si>
  <si>
    <t>API設定削除（受信者）画面を閉じる</t>
    <rPh sb="12" eb="14">
      <t>ガメン</t>
    </rPh>
    <rPh sb="15" eb="16">
      <t>ト</t>
    </rPh>
    <phoneticPr fontId="28"/>
  </si>
  <si>
    <t>API設定削除（受信者）画面を閉じる</t>
    <rPh sb="5" eb="7">
      <t>サクジョ</t>
    </rPh>
    <rPh sb="12" eb="14">
      <t>ガメン</t>
    </rPh>
    <rPh sb="15" eb="16">
      <t>ト</t>
    </rPh>
    <phoneticPr fontId="28"/>
  </si>
  <si>
    <t>別シート"リクエストパラメータチェックシート:SMS API設定取得API"参照</t>
    <phoneticPr fontId="28"/>
  </si>
  <si>
    <t>SMS API設定取得APIで取得した値を表示すること</t>
    <rPh sb="15" eb="17">
      <t>シュトク</t>
    </rPh>
    <rPh sb="19" eb="20">
      <t>アタイ</t>
    </rPh>
    <rPh sb="21" eb="23">
      <t>ヒョウジ</t>
    </rPh>
    <phoneticPr fontId="28"/>
  </si>
  <si>
    <t>:SMS API設定取得API</t>
    <phoneticPr fontId="28"/>
  </si>
  <si>
    <t>グループ名の明細部にリソース取得APIで取得したデータが表示されること</t>
    <rPh sb="6" eb="8">
      <t>メイサイ</t>
    </rPh>
    <rPh sb="8" eb="9">
      <t>ブ</t>
    </rPh>
    <rPh sb="20" eb="22">
      <t>シュトク</t>
    </rPh>
    <rPh sb="28" eb="30">
      <t>ヒョウジ</t>
    </rPh>
    <phoneticPr fontId="28"/>
  </si>
  <si>
    <t>別シート"リクエストパラメータチェックシート:リソース取得API"参照</t>
    <rPh sb="27" eb="29">
      <t>シュトク</t>
    </rPh>
    <phoneticPr fontId="28"/>
  </si>
  <si>
    <t>処置結果</t>
    <rPh sb="0" eb="2">
      <t>ショチ</t>
    </rPh>
    <rPh sb="2" eb="4">
      <t>ケッカ</t>
    </rPh>
    <phoneticPr fontId="47"/>
  </si>
  <si>
    <t>－</t>
    <phoneticPr fontId="47"/>
  </si>
  <si>
    <t>API設定登録（受信者）画面が起動すること</t>
    <phoneticPr fontId="47"/>
  </si>
  <si>
    <t>API設定削除（受信者）画面が起動すること</t>
    <phoneticPr fontId="47"/>
  </si>
  <si>
    <t>API設定更新（受信者）画面が起動すること</t>
    <phoneticPr fontId="47"/>
  </si>
  <si>
    <t>１.メインメニュー［SMS API設定］項目より［API設定（受信者）］ボタンをクリック
２.API設定 - 受信者画面の追加ボタンをクリック</t>
    <rPh sb="17" eb="19">
      <t>セッテイ</t>
    </rPh>
    <rPh sb="20" eb="22">
      <t>コウモク</t>
    </rPh>
    <rPh sb="51" eb="53">
      <t>セッテイ</t>
    </rPh>
    <rPh sb="56" eb="59">
      <t>ジュシンシャ</t>
    </rPh>
    <rPh sb="59" eb="61">
      <t>ガメン</t>
    </rPh>
    <rPh sb="62" eb="64">
      <t>ツイカ</t>
    </rPh>
    <phoneticPr fontId="28"/>
  </si>
  <si>
    <t>禁則文字で入力した場合、Test SMSを送信ボタンクリック時にエラーになること
※禁則文字："#%&amp;'&lt;&gt;</t>
    <rPh sb="0" eb="2">
      <t>キンソク</t>
    </rPh>
    <rPh sb="2" eb="4">
      <t>モジ</t>
    </rPh>
    <rPh sb="5" eb="7">
      <t>ニュウリョク</t>
    </rPh>
    <rPh sb="9" eb="11">
      <t>バアイ</t>
    </rPh>
    <rPh sb="42" eb="44">
      <t>キンソク</t>
    </rPh>
    <rPh sb="44" eb="46">
      <t>モジ</t>
    </rPh>
    <phoneticPr fontId="28"/>
  </si>
  <si>
    <t>禁則文字で入力した場合、登録ボタンクリック時にエラーになること
※禁則文字："#%&amp;'&lt;&gt;</t>
    <rPh sb="0" eb="2">
      <t>キンソク</t>
    </rPh>
    <rPh sb="2" eb="4">
      <t>モジ</t>
    </rPh>
    <rPh sb="5" eb="7">
      <t>ニュウリョク</t>
    </rPh>
    <rPh sb="9" eb="11">
      <t>バアイ</t>
    </rPh>
    <rPh sb="12" eb="14">
      <t>トウロク</t>
    </rPh>
    <rPh sb="33" eb="35">
      <t>キンソク</t>
    </rPh>
    <rPh sb="35" eb="37">
      <t>モジ</t>
    </rPh>
    <phoneticPr fontId="28"/>
  </si>
  <si>
    <t>禁則文字で入力した場合、更新ボタンクリック時にエラーになること
※禁則文字："#%&amp;'&lt;&gt;</t>
    <rPh sb="0" eb="2">
      <t>キンソク</t>
    </rPh>
    <rPh sb="2" eb="4">
      <t>モジ</t>
    </rPh>
    <rPh sb="5" eb="7">
      <t>ニュウリョク</t>
    </rPh>
    <rPh sb="9" eb="11">
      <t>バアイ</t>
    </rPh>
    <rPh sb="12" eb="14">
      <t>コウシン</t>
    </rPh>
    <rPh sb="33" eb="35">
      <t>キンソク</t>
    </rPh>
    <rPh sb="35" eb="37">
      <t>モジ</t>
    </rPh>
    <phoneticPr fontId="28"/>
  </si>
  <si>
    <t>有効なURL以外を入力した場合、Test SMSを送信ボタンクリック時にエラーになること</t>
    <rPh sb="0" eb="2">
      <t>ユウコウ</t>
    </rPh>
    <rPh sb="6" eb="8">
      <t>イガイ</t>
    </rPh>
    <rPh sb="9" eb="11">
      <t>ニュウリョク</t>
    </rPh>
    <rPh sb="13" eb="15">
      <t>バアイ</t>
    </rPh>
    <rPh sb="25" eb="27">
      <t>ソウシン</t>
    </rPh>
    <rPh sb="34" eb="35">
      <t>ジ</t>
    </rPh>
    <phoneticPr fontId="28"/>
  </si>
  <si>
    <t>有効なURL以外を入力した場合、登録ボタンクリック時にエラーになること</t>
    <rPh sb="0" eb="2">
      <t>ユウコウ</t>
    </rPh>
    <rPh sb="6" eb="8">
      <t>イガイ</t>
    </rPh>
    <rPh sb="9" eb="11">
      <t>ニュウリョク</t>
    </rPh>
    <rPh sb="13" eb="15">
      <t>バアイ</t>
    </rPh>
    <rPh sb="16" eb="18">
      <t>トウロク</t>
    </rPh>
    <rPh sb="25" eb="26">
      <t>ジ</t>
    </rPh>
    <phoneticPr fontId="28"/>
  </si>
  <si>
    <t>ボタンクリック前にチェックしていたデータがチェックされていること</t>
    <rPh sb="7" eb="8">
      <t>マエ</t>
    </rPh>
    <phoneticPr fontId="28"/>
  </si>
  <si>
    <t>成功時のモーダルのOKボタンクリック</t>
    <rPh sb="0" eb="2">
      <t>セイコウ</t>
    </rPh>
    <rPh sb="2" eb="3">
      <t>ジ</t>
    </rPh>
    <phoneticPr fontId="28"/>
  </si>
  <si>
    <t>１.メインメニュー［SMS API設定］項目より［API設定（受信者）］をクリック
２.API設定 - 受信者画面の更新ボタンをクリック</t>
    <rPh sb="17" eb="19">
      <t>セッテイ</t>
    </rPh>
    <rPh sb="20" eb="22">
      <t>コウモク</t>
    </rPh>
    <rPh sb="48" eb="50">
      <t>セッテイ</t>
    </rPh>
    <rPh sb="53" eb="56">
      <t>ジュシンシャ</t>
    </rPh>
    <rPh sb="56" eb="58">
      <t>ガメン</t>
    </rPh>
    <rPh sb="59" eb="61">
      <t>コウシン</t>
    </rPh>
    <phoneticPr fontId="28"/>
  </si>
  <si>
    <t>更新ボタンクリック時エラーになること</t>
    <rPh sb="0" eb="2">
      <t>コウシン</t>
    </rPh>
    <rPh sb="9" eb="10">
      <t>ジ</t>
    </rPh>
    <phoneticPr fontId="28"/>
  </si>
  <si>
    <t>モーダルのOKボタンクリック</t>
    <phoneticPr fontId="28"/>
  </si>
  <si>
    <t>１.メインメニュー［SMS API設定］項目より［API設定（受信者）］をクリック
２.API設定 - 受信者画面の削除ボタンをクリック</t>
    <rPh sb="17" eb="19">
      <t>セッテイ</t>
    </rPh>
    <rPh sb="20" eb="22">
      <t>コウモク</t>
    </rPh>
    <rPh sb="48" eb="50">
      <t>セッテイ</t>
    </rPh>
    <rPh sb="53" eb="56">
      <t>ジュシンシャ</t>
    </rPh>
    <rPh sb="56" eb="58">
      <t>ガメン</t>
    </rPh>
    <rPh sb="59" eb="61">
      <t>サクジョ</t>
    </rPh>
    <phoneticPr fontId="28"/>
  </si>
  <si>
    <t>モーダルのOKボタンクリック</t>
    <phoneticPr fontId="28"/>
  </si>
  <si>
    <t>チェックボックスが非活性になっていること</t>
    <rPh sb="9" eb="10">
      <t>ヒ</t>
    </rPh>
    <rPh sb="10" eb="12">
      <t>カッセイ</t>
    </rPh>
    <phoneticPr fontId="28"/>
  </si>
  <si>
    <t>　　API呼び出し失敗</t>
    <rPh sb="5" eb="6">
      <t>ヨ</t>
    </rPh>
    <rPh sb="7" eb="8">
      <t>ダ</t>
    </rPh>
    <rPh sb="9" eb="11">
      <t>シッパイ</t>
    </rPh>
    <phoneticPr fontId="28"/>
  </si>
  <si>
    <t>－</t>
    <phoneticPr fontId="47"/>
  </si>
  <si>
    <t>－</t>
    <phoneticPr fontId="47"/>
  </si>
  <si>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</si>
  <si>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　　呼び出しエラー</t>
    <rPh sb="2" eb="3">
      <t>ヨ</t>
    </rPh>
    <rPh sb="4" eb="5">
      <t>ダ</t>
    </rPh>
    <phoneticPr fontId="47"/>
  </si>
  <si>
    <t>　　異常終了</t>
    <rPh sb="2" eb="4">
      <t>イジョウ</t>
    </rPh>
    <rPh sb="4" eb="6">
      <t>シュウリョウ</t>
    </rPh>
    <phoneticPr fontId="47"/>
  </si>
  <si>
    <t>　　エラー確認</t>
    <rPh sb="5" eb="7">
      <t>カクニン</t>
    </rPh>
    <phoneticPr fontId="47"/>
  </si>
  <si>
    <t>　　正常終了</t>
    <rPh sb="2" eb="4">
      <t>セイジョウ</t>
    </rPh>
    <rPh sb="4" eb="6">
      <t>シュウリョウ</t>
    </rPh>
    <phoneticPr fontId="28"/>
  </si>
  <si>
    <t>　　クリック</t>
    <phoneticPr fontId="28"/>
  </si>
  <si>
    <t>　　クリック</t>
    <phoneticPr fontId="28"/>
  </si>
  <si>
    <t>禁則文字で入力した場合、登録ボタンをクリック時にエラーになること
※禁則文字："#%&amp;'&lt;&gt;</t>
    <rPh sb="0" eb="2">
      <t>キンソク</t>
    </rPh>
    <rPh sb="2" eb="4">
      <t>モジ</t>
    </rPh>
    <rPh sb="5" eb="7">
      <t>ニュウリョク</t>
    </rPh>
    <rPh sb="9" eb="11">
      <t>バアイ</t>
    </rPh>
    <rPh sb="12" eb="14">
      <t>トウロク</t>
    </rPh>
    <rPh sb="22" eb="23">
      <t>ジ</t>
    </rPh>
    <rPh sb="34" eb="36">
      <t>キンソク</t>
    </rPh>
    <rPh sb="36" eb="38">
      <t>モジ</t>
    </rPh>
    <phoneticPr fontId="28"/>
  </si>
  <si>
    <t>送信ボタンクリック時エラーになること</t>
    <phoneticPr fontId="28"/>
  </si>
  <si>
    <t>－</t>
    <phoneticPr fontId="47"/>
  </si>
  <si>
    <t>クリック</t>
    <phoneticPr fontId="28"/>
  </si>
  <si>
    <t>　　・クリック時にグループ名（明細）のチェックが0件だった場合</t>
    <rPh sb="7" eb="8">
      <t>ジ</t>
    </rPh>
    <rPh sb="25" eb="26">
      <t>ケン</t>
    </rPh>
    <rPh sb="29" eb="31">
      <t>バアイ</t>
    </rPh>
    <phoneticPr fontId="28"/>
  </si>
  <si>
    <t>－</t>
    <phoneticPr fontId="47"/>
  </si>
  <si>
    <t>－</t>
    <phoneticPr fontId="47"/>
  </si>
  <si>
    <t>　　・クリック時にグループ名（明細）のチェックが1件以上だった場合</t>
    <rPh sb="7" eb="8">
      <t>ジ</t>
    </rPh>
    <rPh sb="25" eb="26">
      <t>ケン</t>
    </rPh>
    <rPh sb="26" eb="28">
      <t>イジョウ</t>
    </rPh>
    <rPh sb="31" eb="33">
      <t>バアイ</t>
    </rPh>
    <phoneticPr fontId="28"/>
  </si>
  <si>
    <t>－</t>
    <phoneticPr fontId="47"/>
  </si>
  <si>
    <t>チェックされたグループ名が、グループ一覧で他に存在しないこと
※groups.idが別であれば同じグループ名称が表示されていても可</t>
    <rPh sb="11" eb="12">
      <t>メイ</t>
    </rPh>
    <rPh sb="18" eb="20">
      <t>イチラン</t>
    </rPh>
    <rPh sb="21" eb="22">
      <t>ホカ</t>
    </rPh>
    <rPh sb="23" eb="25">
      <t>ソンザイ</t>
    </rPh>
    <rPh sb="42" eb="43">
      <t>ベツ</t>
    </rPh>
    <rPh sb="47" eb="48">
      <t>オナ</t>
    </rPh>
    <rPh sb="53" eb="55">
      <t>メイショウ</t>
    </rPh>
    <rPh sb="56" eb="58">
      <t>ヒョウジ</t>
    </rPh>
    <rPh sb="64" eb="65">
      <t>カ</t>
    </rPh>
    <phoneticPr fontId="28"/>
  </si>
  <si>
    <t>必須項目全入力</t>
    <phoneticPr fontId="28"/>
  </si>
  <si>
    <t>必須項目全入力状態から
パスワードをクリア</t>
    <rPh sb="0" eb="2">
      <t>ヒッス</t>
    </rPh>
    <rPh sb="2" eb="4">
      <t>コウモク</t>
    </rPh>
    <rPh sb="4" eb="5">
      <t>ゼン</t>
    </rPh>
    <rPh sb="5" eb="7">
      <t>ニュウリョク</t>
    </rPh>
    <rPh sb="7" eb="9">
      <t>ジョウタイ</t>
    </rPh>
    <phoneticPr fontId="28"/>
  </si>
  <si>
    <t>クリック</t>
    <phoneticPr fontId="47"/>
  </si>
  <si>
    <t>クリック</t>
    <phoneticPr fontId="28"/>
  </si>
  <si>
    <t>－</t>
    <phoneticPr fontId="47"/>
  </si>
  <si>
    <t>-</t>
    <phoneticPr fontId="28"/>
  </si>
  <si>
    <t>グループ一覧にリソース取得APIの結果が表示されていること</t>
    <rPh sb="4" eb="6">
      <t>イチラン</t>
    </rPh>
    <rPh sb="11" eb="13">
      <t>シュトク</t>
    </rPh>
    <rPh sb="17" eb="19">
      <t>ケッカ</t>
    </rPh>
    <rPh sb="20" eb="22">
      <t>ヒョウジ</t>
    </rPh>
    <phoneticPr fontId="28"/>
  </si>
  <si>
    <t>グループ割り当て（ボタン） 
　　クリック</t>
    <rPh sb="4" eb="5">
      <t>ワ</t>
    </rPh>
    <rPh sb="6" eb="7">
      <t>ア</t>
    </rPh>
    <phoneticPr fontId="28"/>
  </si>
  <si>
    <t>リクエストパラメータ　確認⑤</t>
    <rPh sb="11" eb="13">
      <t>カクニン</t>
    </rPh>
    <phoneticPr fontId="47"/>
  </si>
  <si>
    <t>チェック欄（①）</t>
    <phoneticPr fontId="28"/>
  </si>
  <si>
    <t>チェック欄（③）</t>
    <phoneticPr fontId="28"/>
  </si>
  <si>
    <t>チェック欄（④）</t>
    <phoneticPr fontId="28"/>
  </si>
  <si>
    <t>チェック欄（⑤）</t>
    <phoneticPr fontId="28"/>
  </si>
  <si>
    <t>リクエストパラメータ　確認③</t>
    <rPh sb="11" eb="13">
      <t>カクニン</t>
    </rPh>
    <phoneticPr fontId="47"/>
  </si>
  <si>
    <t>SMSAPI名称プルダウン選択</t>
    <rPh sb="13" eb="15">
      <t>センタク</t>
    </rPh>
    <phoneticPr fontId="28"/>
  </si>
  <si>
    <t>－</t>
    <phoneticPr fontId="47"/>
  </si>
  <si>
    <t>－</t>
    <phoneticPr fontId="47"/>
  </si>
  <si>
    <t>　　condition</t>
    <phoneticPr fontId="28"/>
  </si>
  <si>
    <t>絞り込み設定</t>
    <rPh sb="0" eb="1">
      <t>シボ</t>
    </rPh>
    <rPh sb="2" eb="3">
      <t>コ</t>
    </rPh>
    <rPh sb="4" eb="6">
      <t>セッテイ</t>
    </rPh>
    <phoneticPr fontId="28"/>
  </si>
  <si>
    <t>　　values</t>
    <phoneticPr fontId="28"/>
  </si>
  <si>
    <t>絞り込み値</t>
    <rPh sb="0" eb="1">
      <t>シボ</t>
    </rPh>
    <rPh sb="2" eb="3">
      <t>コ</t>
    </rPh>
    <rPh sb="4" eb="5">
      <t>チ</t>
    </rPh>
    <phoneticPr fontId="28"/>
  </si>
  <si>
    <t>リソース取得ＡＰＩ(POST:/applications/views/resources/search)</t>
    <phoneticPr fontId="28"/>
  </si>
  <si>
    <t>結合テスト仕様書 API設定_子画面(受信者)</t>
    <rPh sb="0" eb="2">
      <t>ケツゴウ</t>
    </rPh>
    <rPh sb="5" eb="7">
      <t>シヨウ</t>
    </rPh>
    <rPh sb="7" eb="8">
      <t>ショ</t>
    </rPh>
    <phoneticPr fontId="145"/>
  </si>
  <si>
    <t>未実施</t>
    <rPh sb="0" eb="3">
      <t>ミジッシ</t>
    </rPh>
    <phoneticPr fontId="28"/>
  </si>
  <si>
    <t>エビデンス</t>
    <phoneticPr fontId="28"/>
  </si>
  <si>
    <t>送信ボタンクリック時エラーになること</t>
    <rPh sb="0" eb="2">
      <t>ソウシン</t>
    </rPh>
    <phoneticPr fontId="28"/>
  </si>
  <si>
    <t>結果が1件以上</t>
    <rPh sb="0" eb="2">
      <t>ケッカ</t>
    </rPh>
    <rPh sb="4" eb="5">
      <t>ケン</t>
    </rPh>
    <rPh sb="5" eb="7">
      <t>イジョウ</t>
    </rPh>
    <phoneticPr fontId="28"/>
  </si>
  <si>
    <t>検索結果が0件
　SMSAPI名称が空白</t>
    <rPh sb="0" eb="2">
      <t>ケンサク</t>
    </rPh>
    <rPh sb="2" eb="4">
      <t>ケッカ</t>
    </rPh>
    <rPh sb="6" eb="7">
      <t>ケン</t>
    </rPh>
    <phoneticPr fontId="28"/>
  </si>
  <si>
    <t>「データがありません。」が表示されること</t>
    <phoneticPr fontId="28"/>
  </si>
  <si>
    <t>　SMSAPI名称が空白以外</t>
    <rPh sb="7" eb="9">
      <t>メイショウ</t>
    </rPh>
    <rPh sb="10" eb="12">
      <t>クウハク</t>
    </rPh>
    <phoneticPr fontId="47"/>
  </si>
  <si>
    <r>
      <t>ボタンクリック前にチェックしていたデータがチェックされていること</t>
    </r>
    <r>
      <rPr>
        <strike/>
        <sz val="11"/>
        <rFont val="ＭＳ Ｐゴシック"/>
        <family val="3"/>
        <charset val="128"/>
        <scheme val="minor"/>
      </rPr>
      <t/>
    </r>
    <rPh sb="7" eb="8">
      <t>マエ</t>
    </rPh>
    <phoneticPr fontId="28"/>
  </si>
  <si>
    <t>　SMSAPI名称が空白</t>
    <rPh sb="7" eb="9">
      <t>メイショウ</t>
    </rPh>
    <rPh sb="10" eb="12">
      <t>クウハク</t>
    </rPh>
    <phoneticPr fontId="47"/>
  </si>
  <si>
    <t>ボタンクリック前にチェックしていたデータにチェックがついていないこと</t>
    <phoneticPr fontId="28"/>
  </si>
  <si>
    <t>全てチェックボックスがONの状態からチェックを一つOFFにした場合、ヘッダ部のチェックボックスがOFになること</t>
    <rPh sb="0" eb="1">
      <t>スベ</t>
    </rPh>
    <rPh sb="14" eb="16">
      <t>ジョウタイ</t>
    </rPh>
    <rPh sb="23" eb="24">
      <t>ヒト</t>
    </rPh>
    <rPh sb="31" eb="33">
      <t>バアイ</t>
    </rPh>
    <rPh sb="37" eb="38">
      <t>ブ</t>
    </rPh>
    <phoneticPr fontId="28"/>
  </si>
  <si>
    <t>エビデンス</t>
    <phoneticPr fontId="28"/>
  </si>
  <si>
    <t>初期表示（0件の場合）</t>
    <rPh sb="0" eb="2">
      <t>ショキ</t>
    </rPh>
    <rPh sb="2" eb="4">
      <t>ヒョウジ</t>
    </rPh>
    <rPh sb="6" eb="7">
      <t>ケン</t>
    </rPh>
    <rPh sb="8" eb="10">
      <t>バアイ</t>
    </rPh>
    <phoneticPr fontId="47"/>
  </si>
  <si>
    <t>-</t>
    <phoneticPr fontId="28"/>
  </si>
  <si>
    <t>初期表示（1件以上の場合）</t>
    <rPh sb="0" eb="2">
      <t>ショキ</t>
    </rPh>
    <rPh sb="2" eb="4">
      <t>ヒョウジ</t>
    </rPh>
    <rPh sb="6" eb="7">
      <t>ケン</t>
    </rPh>
    <rPh sb="7" eb="9">
      <t>イジョウ</t>
    </rPh>
    <rPh sb="10" eb="12">
      <t>バアイ</t>
    </rPh>
    <phoneticPr fontId="47"/>
  </si>
  <si>
    <t>リソース取得APIの取得結果が表示されていること</t>
    <rPh sb="4" eb="6">
      <t>シュトク</t>
    </rPh>
    <rPh sb="10" eb="12">
      <t>シュトク</t>
    </rPh>
    <rPh sb="12" eb="14">
      <t>ケッカ</t>
    </rPh>
    <rPh sb="15" eb="17">
      <t>ヒョウジ</t>
    </rPh>
    <phoneticPr fontId="28"/>
  </si>
  <si>
    <t>送信ボタンクリック時モーダルのエラーメッセージが表示されること</t>
    <rPh sb="24" eb="26">
      <t>ヒョウジ</t>
    </rPh>
    <phoneticPr fontId="28"/>
  </si>
  <si>
    <t>更新ボタンクリック時モーダルのエラーメッセージが表示されること</t>
    <rPh sb="0" eb="2">
      <t>コウシン</t>
    </rPh>
    <rPh sb="9" eb="10">
      <t>ジ</t>
    </rPh>
    <phoneticPr fontId="28"/>
  </si>
  <si>
    <t>ユーザ名変更後、パスワード空白で送信ボタンクリックするとモーダルのエラーメッセージが表示されること</t>
    <rPh sb="3" eb="4">
      <t>メイ</t>
    </rPh>
    <rPh sb="4" eb="6">
      <t>ヘンコウ</t>
    </rPh>
    <rPh sb="6" eb="7">
      <t>ゴ</t>
    </rPh>
    <rPh sb="13" eb="15">
      <t>クウハク</t>
    </rPh>
    <rPh sb="42" eb="44">
      <t>ヒョウジ</t>
    </rPh>
    <phoneticPr fontId="28"/>
  </si>
  <si>
    <t>ユーザ名変更後、パスワード空白で更新ボタンクリックするとモーダルのエラーメッセージが表示されること</t>
    <rPh sb="16" eb="18">
      <t>コウシン</t>
    </rPh>
    <phoneticPr fontId="28"/>
  </si>
  <si>
    <t>全てチェックボックスがONの状態からチェックを一つOFFにした場合、ヘッダ部のチェックボックスがONになること</t>
    <rPh sb="0" eb="1">
      <t>スベ</t>
    </rPh>
    <rPh sb="14" eb="16">
      <t>ジョウタイ</t>
    </rPh>
    <rPh sb="23" eb="24">
      <t>ヒト</t>
    </rPh>
    <rPh sb="31" eb="33">
      <t>バアイ</t>
    </rPh>
    <rPh sb="37" eb="38">
      <t>ブ</t>
    </rPh>
    <phoneticPr fontId="28"/>
  </si>
  <si>
    <t>設定内容（固定値）：group_label
※グループ一覧で必要</t>
    <rPh sb="0" eb="2">
      <t>セッテイ</t>
    </rPh>
    <rPh sb="2" eb="4">
      <t>ナイヨウ</t>
    </rPh>
    <rPh sb="5" eb="7">
      <t>コテイ</t>
    </rPh>
    <rPh sb="7" eb="8">
      <t>チ</t>
    </rPh>
    <rPh sb="27" eb="29">
      <t>イチラン</t>
    </rPh>
    <rPh sb="30" eb="32">
      <t>ヒツヨウ</t>
    </rPh>
    <phoneticPr fontId="28"/>
  </si>
  <si>
    <t>設定内容：画面のグループ割当て（テキスト）
※グループ一覧で必要</t>
    <rPh sb="5" eb="7">
      <t>ガメン</t>
    </rPh>
    <phoneticPr fontId="28"/>
  </si>
  <si>
    <t>X-GroupId</t>
  </si>
  <si>
    <t>X-CarDivision</t>
  </si>
  <si>
    <t>X-CarDivision</t>
    <phoneticPr fontId="28"/>
  </si>
  <si>
    <t>　kind</t>
    <phoneticPr fontId="28"/>
  </si>
  <si>
    <t>ボタンクリック前にチェックしていたデータがリソース取得APIに存在する場合、チェックされていること</t>
    <rPh sb="7" eb="8">
      <t>マエ</t>
    </rPh>
    <phoneticPr fontId="28"/>
  </si>
  <si>
    <t>リクエストパラメータ　確認④</t>
    <rPh sb="11" eb="13">
      <t>カクニン</t>
    </rPh>
    <phoneticPr fontId="47"/>
  </si>
  <si>
    <t>SMS API設定ID、更新日時をカンマ区切りで設定する</t>
    <phoneticPr fontId="28"/>
  </si>
  <si>
    <t>－</t>
    <phoneticPr fontId="47"/>
  </si>
  <si>
    <t>ボタンクリック前にチェックしていたデータがリソース取得APIに存在しなければ、表示されていないこと</t>
    <rPh sb="7" eb="8">
      <t>マエ</t>
    </rPh>
    <rPh sb="31" eb="33">
      <t>ソンザイ</t>
    </rPh>
    <rPh sb="39" eb="41">
      <t>ヒョウジ</t>
    </rPh>
    <phoneticPr fontId="28"/>
  </si>
  <si>
    <t>　　id</t>
    <phoneticPr fontId="28"/>
  </si>
  <si>
    <t>SMS API設定ID</t>
    <phoneticPr fontId="28"/>
  </si>
  <si>
    <r>
      <rPr>
        <strike/>
        <sz val="11"/>
        <rFont val="ＭＳ Ｐゴシック"/>
        <family val="3"/>
        <charset val="128"/>
        <scheme val="minor"/>
      </rPr>
      <t>メッセージ言語リスト取得AP</t>
    </r>
    <r>
      <rPr>
        <sz val="11"/>
        <rFont val="ＭＳ Ｐゴシック"/>
        <family val="3"/>
        <charset val="128"/>
        <scheme val="minor"/>
      </rPr>
      <t>リソース取得API</t>
    </r>
    <r>
      <rPr>
        <strike/>
        <sz val="11"/>
        <rFont val="ＭＳ Ｐゴシック"/>
        <family val="3"/>
        <charset val="128"/>
        <scheme val="minor"/>
      </rPr>
      <t>I</t>
    </r>
    <r>
      <rPr>
        <sz val="11"/>
        <rFont val="ＭＳ Ｐゴシック"/>
        <family val="3"/>
        <charset val="128"/>
        <scheme val="minor"/>
      </rPr>
      <t>で取得した最初の値がセットされていること</t>
    </r>
    <rPh sb="18" eb="20">
      <t>シュトク</t>
    </rPh>
    <rPh sb="25" eb="27">
      <t>シュトク</t>
    </rPh>
    <rPh sb="29" eb="31">
      <t>サイショ</t>
    </rPh>
    <rPh sb="32" eb="33">
      <t>アタイ</t>
    </rPh>
    <phoneticPr fontId="28"/>
  </si>
  <si>
    <t>有効なURL以外を入力した場合、更新ボタンクリック時にエラーになること</t>
    <rPh sb="0" eb="2">
      <t>ユウコウ</t>
    </rPh>
    <rPh sb="6" eb="8">
      <t>イガイ</t>
    </rPh>
    <rPh sb="9" eb="11">
      <t>ニュウリョク</t>
    </rPh>
    <rPh sb="13" eb="15">
      <t>バアイ</t>
    </rPh>
    <rPh sb="16" eb="18">
      <t>コウシン</t>
    </rPh>
    <rPh sb="25" eb="26">
      <t>ジ</t>
    </rPh>
    <phoneticPr fontId="28"/>
  </si>
  <si>
    <t>　　クリック</t>
    <phoneticPr fontId="47"/>
  </si>
  <si>
    <t>リクエストパラメータ　確認①</t>
    <phoneticPr fontId="28"/>
  </si>
  <si>
    <t>１度押したら、LOADING画像が表示されること</t>
    <rPh sb="1" eb="2">
      <t>ド</t>
    </rPh>
    <rPh sb="2" eb="3">
      <t>オ</t>
    </rPh>
    <rPh sb="14" eb="16">
      <t>ガゾウ</t>
    </rPh>
    <rPh sb="17" eb="19">
      <t>ヒョウジ</t>
    </rPh>
    <phoneticPr fontId="28"/>
  </si>
  <si>
    <t>メッセージが表示されること</t>
    <phoneticPr fontId="28"/>
  </si>
  <si>
    <t>メッセージが表示されること</t>
    <phoneticPr fontId="28"/>
  </si>
  <si>
    <t>メッセージが表示されること</t>
    <phoneticPr fontId="28"/>
  </si>
  <si>
    <t>エラーメッセージが表示されること</t>
    <phoneticPr fontId="28"/>
  </si>
  <si>
    <t>エラーメッセージが表示されること</t>
    <phoneticPr fontId="28"/>
  </si>
  <si>
    <t>エラーメッセージが表示されること</t>
    <phoneticPr fontId="28"/>
  </si>
  <si>
    <t>エラーメッセージが表示されること</t>
    <phoneticPr fontId="28"/>
  </si>
  <si>
    <t>エラーメッセージが表示されること</t>
    <phoneticPr fontId="28"/>
  </si>
  <si>
    <t>X-La</t>
  </si>
  <si>
    <t>　sms_api_setti</t>
  </si>
  <si>
    <t>API設定登録API  (POST /emn/sms_api_settis)</t>
    <rPh sb="5" eb="7">
      <t>トウロク</t>
    </rPh>
    <phoneticPr fontId="28"/>
  </si>
  <si>
    <t>sms_api_setti</t>
  </si>
  <si>
    <t>API設定更新API  (PUT /emn/sms_api_settis/{sms_api_setti_id})</t>
  </si>
  <si>
    <t>sms_api_setti_id</t>
  </si>
  <si>
    <t xml:space="preserve">
SMS API設定削除API  (DELETE /emn/sms_api_settis)</t>
  </si>
  <si>
    <t>SMS API設定取得API  (GET /emn/sms_api_settis/{sms_api_setti_id})</t>
  </si>
  <si>
    <t>塚田</t>
    <rPh sb="0" eb="2">
      <t>ツカダ</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</si>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</sst>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0"/>
      <color rgb="FFFF0000"/>
      <name val="ＭＳ Ｐゴシック"/>
      <family val="3"/>
      <charset val="128"/>
    </font>
    <font>
      <strike/>
      <sz val="11"/>
      <name val="ＭＳ Ｐゴシック"/>
      <family val="3"/>
      <charset val="128"/>
      <scheme val="minor"/>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31">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0" borderId="17" xfId="210" applyFont="1" applyFill="1" applyBorder="1" applyAlignment="1">
      <alignment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xf>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left" vertical="center" wrapText="1"/>
    </xf>
    <xf numFmtId="0" fontId="91" fillId="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0" fillId="60" borderId="3" xfId="0" applyFont="1" applyFill="1" applyBorder="1" applyAlignment="1">
      <alignment vertical="top" wrapText="1"/>
    </xf>
    <xf numFmtId="0" fontId="0" fillId="0" borderId="0" xfId="0" applyFont="1" applyBorder="1" applyAlignment="1">
      <alignment vertical="top" wrapText="1"/>
    </xf>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60" borderId="38" xfId="0" applyFill="1" applyBorder="1"/>
    <xf numFmtId="0" fontId="0" fillId="0" borderId="38" xfId="0" applyBorder="1"/>
    <xf numFmtId="0" fontId="0" fillId="0" borderId="3" xfId="0" applyFont="1" applyBorder="1" applyAlignment="1">
      <alignment horizontal="left" vertical="top" wrapText="1"/>
    </xf>
    <xf numFmtId="0" fontId="0" fillId="0" borderId="3" xfId="0" applyBorder="1" applyAlignment="1">
      <alignment horizontal="left" vertical="top"/>
    </xf>
    <xf numFmtId="0" fontId="0" fillId="0" borderId="3" xfId="0" applyFont="1" applyBorder="1" applyAlignment="1">
      <alignment horizontal="left" vertical="top" wrapText="1" indent="1"/>
    </xf>
    <xf numFmtId="0" fontId="91" fillId="0" borderId="0" xfId="210" applyFont="1" applyFill="1" applyBorder="1" applyAlignment="1">
      <alignment horizontal="center" vertical="center"/>
    </xf>
    <xf numFmtId="0" fontId="0" fillId="61" borderId="3" xfId="0" applyFill="1" applyBorder="1" applyAlignment="1">
      <alignment horizontal="center"/>
    </xf>
    <xf numFmtId="0" fontId="0" fillId="62" borderId="18" xfId="0" applyFill="1" applyBorder="1" applyAlignment="1">
      <alignment horizont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62" borderId="3" xfId="0" applyFill="1" applyBorder="1" applyAlignment="1">
      <alignment horizont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60" borderId="3" xfId="0" applyFill="1" applyBorder="1" applyAlignment="1">
      <alignment horizontal="center" vertical="center"/>
    </xf>
    <xf numFmtId="0" fontId="0" fillId="0" borderId="3" xfId="0" applyBorder="1" applyAlignment="1">
      <alignment horizontal="left" vertical="top" wrapText="1"/>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91" fillId="0" borderId="0" xfId="210" applyFont="1" applyFill="1" applyBorder="1" applyAlignment="1">
      <alignment horizontal="center" vertical="center"/>
    </xf>
    <xf numFmtId="0" fontId="0" fillId="63" borderId="3" xfId="0" applyFont="1" applyFill="1" applyBorder="1" applyAlignment="1">
      <alignment vertical="top" wrapText="1"/>
    </xf>
    <xf numFmtId="0" fontId="0" fillId="63" borderId="3" xfId="0" applyFill="1" applyBorder="1"/>
    <xf numFmtId="0" fontId="0" fillId="63" borderId="18" xfId="0" applyFill="1" applyBorder="1"/>
    <xf numFmtId="0" fontId="0" fillId="60" borderId="18" xfId="0" applyFill="1" applyBorder="1" applyAlignment="1">
      <alignment horizontal="center" vertical="center"/>
    </xf>
    <xf numFmtId="0" fontId="0" fillId="63" borderId="18" xfId="0" applyFill="1" applyBorder="1" applyAlignment="1">
      <alignment vertical="top"/>
    </xf>
    <xf numFmtId="0" fontId="0" fillId="63" borderId="3" xfId="0" applyFill="1" applyBorder="1" applyAlignment="1">
      <alignment vertical="top"/>
    </xf>
    <xf numFmtId="0" fontId="0" fillId="63" borderId="18" xfId="0" applyFill="1" applyBorder="1" applyAlignment="1">
      <alignment horizontal="center" vertical="center"/>
    </xf>
    <xf numFmtId="0" fontId="0" fillId="0" borderId="3" xfId="0" applyBorder="1" applyAlignment="1">
      <alignment wrapText="1"/>
    </xf>
    <xf numFmtId="0" fontId="91" fillId="0" borderId="0" xfId="210" applyFont="1" applyFill="1" applyBorder="1" applyAlignment="1">
      <alignment horizontal="center" vertical="center"/>
    </xf>
    <xf numFmtId="0" fontId="91" fillId="60" borderId="3" xfId="210" applyNumberFormat="1" applyFont="1" applyFill="1" applyBorder="1" applyAlignment="1">
      <alignment horizontal="center" vertical="center"/>
    </xf>
    <xf numFmtId="0" fontId="91" fillId="60" borderId="0" xfId="210" applyFont="1" applyFill="1" applyAlignment="1">
      <alignment vertical="center"/>
    </xf>
    <xf numFmtId="0" fontId="91" fillId="0" borderId="0" xfId="210" applyFont="1" applyFill="1" applyBorder="1" applyAlignment="1">
      <alignment horizontal="center" vertical="center"/>
    </xf>
    <xf numFmtId="0" fontId="48" fillId="0" borderId="17" xfId="210" applyFont="1" applyFill="1" applyBorder="1" applyAlignment="1">
      <alignment horizontal="center" vertical="center"/>
    </xf>
    <xf numFmtId="0" fontId="48" fillId="0" borderId="17" xfId="210" applyFont="1" applyFill="1" applyBorder="1" applyAlignment="1">
      <alignment horizontal="center" vertical="center" wrapText="1"/>
    </xf>
    <xf numFmtId="0" fontId="48" fillId="0" borderId="17" xfId="210" applyFont="1" applyFill="1" applyBorder="1" applyAlignment="1">
      <alignment vertical="center"/>
    </xf>
    <xf numFmtId="0" fontId="0" fillId="63" borderId="3" xfId="0" applyFill="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60" borderId="18" xfId="210" applyFont="1" applyFill="1" applyBorder="1" applyAlignment="1">
      <alignment vertical="center" wrapText="1"/>
    </xf>
    <xf numFmtId="0" fontId="91" fillId="60" borderId="20" xfId="210" applyFont="1" applyFill="1" applyBorder="1" applyAlignment="1">
      <alignment vertical="center" wrapText="1"/>
    </xf>
    <xf numFmtId="0" fontId="91" fillId="59" borderId="3"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zoomScaleNormal="100" zoomScaleSheetLayoutView="85" workbookViewId="0"/>
  </sheetViews>
  <sheetFormatPr defaultColWidth="0.75" defaultRowHeight="12"/>
  <cols>
    <col min="1" max="16384" width="0.75" style="61"/>
  </cols>
  <sheetData>
    <row r="4" spans="1:168" ht="13.5">
      <c r="EM4" s="164"/>
      <c r="EN4" s="165"/>
      <c r="EO4" s="165"/>
      <c r="EP4" s="165"/>
      <c r="EQ4" s="165"/>
      <c r="ER4" s="165"/>
      <c r="ES4" s="165"/>
      <c r="ET4" s="165"/>
      <c r="EU4" s="165"/>
      <c r="EV4" s="165"/>
      <c r="EW4" s="165"/>
      <c r="EX4" s="165"/>
      <c r="EY4" s="165"/>
      <c r="EZ4" s="165"/>
      <c r="FA4" s="165"/>
      <c r="FB4" s="165"/>
      <c r="FC4" s="165"/>
      <c r="FD4" s="165"/>
      <c r="FE4" s="165"/>
      <c r="FF4" s="165"/>
      <c r="FG4" s="165"/>
      <c r="FH4" s="165"/>
      <c r="FI4" s="165"/>
      <c r="FJ4" s="165"/>
      <c r="FK4" s="165"/>
      <c r="FL4" s="165"/>
    </row>
    <row r="5" spans="1:168">
      <c r="A5" s="62"/>
      <c r="B5" s="62"/>
      <c r="C5" s="62"/>
      <c r="D5" s="62"/>
      <c r="E5" s="62"/>
      <c r="F5" s="62"/>
      <c r="G5" s="62"/>
      <c r="H5" s="62"/>
      <c r="I5" s="166" t="s">
        <v>62</v>
      </c>
      <c r="J5" s="166"/>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c r="AP5" s="166"/>
      <c r="AQ5" s="166"/>
      <c r="AR5" s="166"/>
      <c r="AS5" s="166"/>
      <c r="AT5" s="166"/>
      <c r="AU5" s="166"/>
      <c r="AV5" s="166"/>
      <c r="AW5" s="166"/>
      <c r="AX5" s="166"/>
      <c r="AY5" s="166"/>
      <c r="AZ5" s="166"/>
      <c r="BA5" s="166"/>
      <c r="BB5" s="166"/>
      <c r="BC5" s="166"/>
      <c r="BD5" s="166"/>
      <c r="BE5" s="166"/>
      <c r="BF5" s="166"/>
      <c r="BG5" s="166"/>
      <c r="BH5" s="166"/>
      <c r="BI5" s="166"/>
      <c r="BJ5" s="166"/>
      <c r="BK5" s="166"/>
      <c r="BL5" s="166"/>
      <c r="BM5" s="166"/>
      <c r="BN5" s="166"/>
      <c r="BO5" s="166"/>
      <c r="BP5" s="166"/>
      <c r="BQ5" s="166"/>
      <c r="BR5" s="166"/>
      <c r="BS5" s="166"/>
      <c r="BT5" s="166"/>
      <c r="BU5" s="166"/>
      <c r="BV5" s="166"/>
      <c r="BW5" s="166"/>
      <c r="BX5" s="166"/>
      <c r="BY5" s="166"/>
      <c r="BZ5" s="166"/>
      <c r="CA5" s="166"/>
      <c r="CB5" s="166"/>
      <c r="CC5" s="166"/>
      <c r="CD5" s="166"/>
      <c r="CE5" s="166"/>
      <c r="CF5" s="166"/>
      <c r="CG5" s="166"/>
      <c r="CH5" s="166"/>
      <c r="CI5" s="166"/>
      <c r="CJ5" s="166"/>
      <c r="CK5" s="166"/>
      <c r="CL5" s="166"/>
      <c r="CM5" s="166"/>
      <c r="CN5" s="166"/>
      <c r="CO5" s="166"/>
      <c r="CP5" s="166"/>
      <c r="CQ5" s="166"/>
      <c r="CR5" s="166"/>
      <c r="CS5" s="166"/>
      <c r="CT5" s="166"/>
      <c r="CU5" s="166"/>
      <c r="CV5" s="166"/>
      <c r="CW5" s="166"/>
      <c r="CX5" s="166"/>
      <c r="CY5" s="166"/>
      <c r="CZ5" s="166"/>
      <c r="DA5" s="166"/>
      <c r="DB5" s="166"/>
      <c r="DC5" s="166"/>
      <c r="DD5" s="166"/>
      <c r="DE5" s="166"/>
      <c r="DF5" s="166"/>
      <c r="DG5" s="166"/>
      <c r="DH5" s="166"/>
      <c r="DI5" s="166"/>
      <c r="DJ5" s="166"/>
      <c r="DK5" s="166"/>
      <c r="DL5" s="166"/>
      <c r="DM5" s="166"/>
      <c r="DN5" s="166"/>
      <c r="DO5" s="166"/>
      <c r="DP5" s="166"/>
      <c r="DQ5" s="166"/>
      <c r="DR5" s="166"/>
      <c r="DS5" s="166"/>
      <c r="DT5" s="166"/>
      <c r="DU5" s="166"/>
      <c r="DV5" s="166"/>
      <c r="DW5" s="166"/>
      <c r="DX5" s="166"/>
      <c r="DY5" s="166"/>
      <c r="DZ5" s="166"/>
      <c r="EA5" s="166"/>
      <c r="EB5" s="166"/>
      <c r="EC5" s="166"/>
      <c r="ED5" s="166"/>
      <c r="EE5" s="166"/>
      <c r="EF5" s="166"/>
      <c r="EG5" s="166"/>
      <c r="EH5" s="166"/>
      <c r="EI5" s="166"/>
      <c r="EJ5" s="166"/>
      <c r="EK5" s="166"/>
      <c r="EL5" s="166"/>
      <c r="EM5" s="166"/>
      <c r="EN5" s="166"/>
      <c r="EO5" s="166"/>
      <c r="EP5" s="166"/>
      <c r="EQ5" s="166"/>
      <c r="ER5" s="166"/>
      <c r="ES5" s="166"/>
      <c r="ET5" s="166"/>
      <c r="EU5" s="166"/>
      <c r="EV5" s="166"/>
      <c r="EW5" s="166"/>
      <c r="EX5" s="166"/>
      <c r="EY5" s="166"/>
      <c r="EZ5" s="166"/>
      <c r="FA5" s="166"/>
      <c r="FB5" s="166"/>
      <c r="FC5" s="166"/>
      <c r="FD5" s="166"/>
      <c r="FE5" s="62"/>
      <c r="FF5" s="62"/>
      <c r="FG5" s="62"/>
      <c r="FH5" s="62"/>
      <c r="FI5" s="62"/>
      <c r="FJ5" s="62"/>
      <c r="FK5" s="62"/>
      <c r="FL5" s="62"/>
    </row>
    <row r="6" spans="1:168">
      <c r="A6" s="62"/>
      <c r="B6" s="62"/>
      <c r="C6" s="62"/>
      <c r="D6" s="62"/>
      <c r="E6" s="62"/>
      <c r="F6" s="62"/>
      <c r="G6" s="62"/>
      <c r="H6" s="62"/>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6"/>
      <c r="BO6" s="166"/>
      <c r="BP6" s="166"/>
      <c r="BQ6" s="166"/>
      <c r="BR6" s="166"/>
      <c r="BS6" s="166"/>
      <c r="BT6" s="166"/>
      <c r="BU6" s="166"/>
      <c r="BV6" s="166"/>
      <c r="BW6" s="166"/>
      <c r="BX6" s="166"/>
      <c r="BY6" s="166"/>
      <c r="BZ6" s="166"/>
      <c r="CA6" s="166"/>
      <c r="CB6" s="166"/>
      <c r="CC6" s="166"/>
      <c r="CD6" s="166"/>
      <c r="CE6" s="166"/>
      <c r="CF6" s="166"/>
      <c r="CG6" s="166"/>
      <c r="CH6" s="166"/>
      <c r="CI6" s="166"/>
      <c r="CJ6" s="166"/>
      <c r="CK6" s="166"/>
      <c r="CL6" s="166"/>
      <c r="CM6" s="166"/>
      <c r="CN6" s="166"/>
      <c r="CO6" s="166"/>
      <c r="CP6" s="166"/>
      <c r="CQ6" s="166"/>
      <c r="CR6" s="166"/>
      <c r="CS6" s="166"/>
      <c r="CT6" s="166"/>
      <c r="CU6" s="166"/>
      <c r="CV6" s="166"/>
      <c r="CW6" s="166"/>
      <c r="CX6" s="166"/>
      <c r="CY6" s="166"/>
      <c r="CZ6" s="166"/>
      <c r="DA6" s="166"/>
      <c r="DB6" s="166"/>
      <c r="DC6" s="166"/>
      <c r="DD6" s="166"/>
      <c r="DE6" s="166"/>
      <c r="DF6" s="166"/>
      <c r="DG6" s="166"/>
      <c r="DH6" s="166"/>
      <c r="DI6" s="166"/>
      <c r="DJ6" s="166"/>
      <c r="DK6" s="166"/>
      <c r="DL6" s="166"/>
      <c r="DM6" s="166"/>
      <c r="DN6" s="166"/>
      <c r="DO6" s="166"/>
      <c r="DP6" s="166"/>
      <c r="DQ6" s="166"/>
      <c r="DR6" s="166"/>
      <c r="DS6" s="166"/>
      <c r="DT6" s="166"/>
      <c r="DU6" s="166"/>
      <c r="DV6" s="166"/>
      <c r="DW6" s="166"/>
      <c r="DX6" s="166"/>
      <c r="DY6" s="166"/>
      <c r="DZ6" s="166"/>
      <c r="EA6" s="166"/>
      <c r="EB6" s="166"/>
      <c r="EC6" s="166"/>
      <c r="ED6" s="166"/>
      <c r="EE6" s="166"/>
      <c r="EF6" s="166"/>
      <c r="EG6" s="166"/>
      <c r="EH6" s="166"/>
      <c r="EI6" s="166"/>
      <c r="EJ6" s="166"/>
      <c r="EK6" s="166"/>
      <c r="EL6" s="166"/>
      <c r="EM6" s="166"/>
      <c r="EN6" s="166"/>
      <c r="EO6" s="166"/>
      <c r="EP6" s="166"/>
      <c r="EQ6" s="166"/>
      <c r="ER6" s="166"/>
      <c r="ES6" s="166"/>
      <c r="ET6" s="166"/>
      <c r="EU6" s="166"/>
      <c r="EV6" s="166"/>
      <c r="EW6" s="166"/>
      <c r="EX6" s="166"/>
      <c r="EY6" s="166"/>
      <c r="EZ6" s="166"/>
      <c r="FA6" s="166"/>
      <c r="FB6" s="166"/>
      <c r="FC6" s="166"/>
      <c r="FD6" s="166"/>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67" t="s">
        <v>80</v>
      </c>
      <c r="J8" s="167"/>
      <c r="K8" s="167"/>
      <c r="L8" s="16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c r="BK8" s="167"/>
      <c r="BL8" s="167"/>
      <c r="BM8" s="167"/>
      <c r="BN8" s="167"/>
      <c r="BO8" s="167"/>
      <c r="BP8" s="167"/>
      <c r="BQ8" s="167"/>
      <c r="BR8" s="167"/>
      <c r="BS8" s="167"/>
      <c r="BT8" s="167"/>
      <c r="BU8" s="167"/>
      <c r="BV8" s="167"/>
      <c r="BW8" s="167"/>
      <c r="BX8" s="167"/>
      <c r="BY8" s="167"/>
      <c r="BZ8" s="167"/>
      <c r="CA8" s="167"/>
      <c r="CB8" s="167"/>
      <c r="CC8" s="167"/>
      <c r="CD8" s="167"/>
      <c r="CE8" s="167"/>
      <c r="CF8" s="167"/>
      <c r="CG8" s="167"/>
      <c r="CH8" s="167"/>
      <c r="CI8" s="167"/>
      <c r="CJ8" s="167"/>
      <c r="CK8" s="167"/>
      <c r="CL8" s="167"/>
      <c r="CM8" s="167"/>
      <c r="CN8" s="167"/>
      <c r="CO8" s="167"/>
      <c r="CP8" s="167"/>
      <c r="CQ8" s="167"/>
      <c r="CR8" s="167"/>
      <c r="CS8" s="167"/>
      <c r="CT8" s="167"/>
      <c r="CU8" s="167"/>
      <c r="CV8" s="167"/>
      <c r="CW8" s="167"/>
      <c r="CX8" s="167"/>
      <c r="CY8" s="167"/>
      <c r="CZ8" s="167"/>
      <c r="DA8" s="167"/>
      <c r="DB8" s="167"/>
      <c r="DC8" s="167"/>
      <c r="DD8" s="167"/>
      <c r="DE8" s="167"/>
      <c r="DF8" s="167"/>
      <c r="DG8" s="167"/>
      <c r="DH8" s="167"/>
      <c r="DI8" s="167"/>
      <c r="DJ8" s="167"/>
      <c r="DK8" s="167"/>
      <c r="DL8" s="167"/>
      <c r="DM8" s="167"/>
      <c r="DN8" s="167"/>
      <c r="DO8" s="167"/>
      <c r="DP8" s="167"/>
      <c r="DQ8" s="167"/>
      <c r="DR8" s="167"/>
      <c r="DS8" s="167"/>
      <c r="DT8" s="167"/>
      <c r="DU8" s="167"/>
      <c r="DV8" s="167"/>
      <c r="DW8" s="167"/>
      <c r="DX8" s="167"/>
      <c r="DY8" s="167"/>
      <c r="DZ8" s="167"/>
      <c r="EA8" s="167"/>
      <c r="EB8" s="167"/>
      <c r="EC8" s="167"/>
      <c r="ED8" s="167"/>
      <c r="EE8" s="167"/>
      <c r="EF8" s="167"/>
      <c r="EG8" s="167"/>
      <c r="EH8" s="167"/>
      <c r="EI8" s="167"/>
      <c r="EJ8" s="167"/>
      <c r="EK8" s="167"/>
      <c r="EL8" s="167"/>
      <c r="EM8" s="167"/>
      <c r="EN8" s="167"/>
      <c r="EO8" s="167"/>
      <c r="EP8" s="167"/>
      <c r="EQ8" s="167"/>
      <c r="ER8" s="167"/>
      <c r="ES8" s="167"/>
      <c r="ET8" s="167"/>
      <c r="EU8" s="167"/>
      <c r="EV8" s="167"/>
      <c r="EW8" s="167"/>
      <c r="EX8" s="167"/>
      <c r="EY8" s="167"/>
      <c r="EZ8" s="167"/>
      <c r="FA8" s="167"/>
      <c r="FB8" s="167"/>
      <c r="FC8" s="167"/>
      <c r="FD8" s="167"/>
      <c r="FE8" s="62"/>
      <c r="FF8" s="62"/>
      <c r="FG8" s="62"/>
      <c r="FH8" s="62"/>
      <c r="FI8" s="62"/>
      <c r="FJ8" s="62"/>
      <c r="FK8" s="62"/>
      <c r="FL8" s="62"/>
    </row>
    <row r="9" spans="1:168">
      <c r="A9" s="62"/>
      <c r="B9" s="62"/>
      <c r="C9" s="62"/>
      <c r="D9" s="62"/>
      <c r="E9" s="62"/>
      <c r="F9" s="62"/>
      <c r="G9" s="62"/>
      <c r="H9" s="62"/>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7"/>
      <c r="AT9" s="167"/>
      <c r="AU9" s="167"/>
      <c r="AV9" s="167"/>
      <c r="AW9" s="167"/>
      <c r="AX9" s="167"/>
      <c r="AY9" s="167"/>
      <c r="AZ9" s="167"/>
      <c r="BA9" s="167"/>
      <c r="BB9" s="167"/>
      <c r="BC9" s="167"/>
      <c r="BD9" s="167"/>
      <c r="BE9" s="167"/>
      <c r="BF9" s="167"/>
      <c r="BG9" s="167"/>
      <c r="BH9" s="167"/>
      <c r="BI9" s="167"/>
      <c r="BJ9" s="167"/>
      <c r="BK9" s="167"/>
      <c r="BL9" s="167"/>
      <c r="BM9" s="167"/>
      <c r="BN9" s="167"/>
      <c r="BO9" s="167"/>
      <c r="BP9" s="167"/>
      <c r="BQ9" s="167"/>
      <c r="BR9" s="167"/>
      <c r="BS9" s="167"/>
      <c r="BT9" s="167"/>
      <c r="BU9" s="167"/>
      <c r="BV9" s="167"/>
      <c r="BW9" s="167"/>
      <c r="BX9" s="167"/>
      <c r="BY9" s="167"/>
      <c r="BZ9" s="167"/>
      <c r="CA9" s="167"/>
      <c r="CB9" s="167"/>
      <c r="CC9" s="167"/>
      <c r="CD9" s="167"/>
      <c r="CE9" s="167"/>
      <c r="CF9" s="167"/>
      <c r="CG9" s="167"/>
      <c r="CH9" s="167"/>
      <c r="CI9" s="167"/>
      <c r="CJ9" s="167"/>
      <c r="CK9" s="167"/>
      <c r="CL9" s="167"/>
      <c r="CM9" s="167"/>
      <c r="CN9" s="167"/>
      <c r="CO9" s="167"/>
      <c r="CP9" s="167"/>
      <c r="CQ9" s="167"/>
      <c r="CR9" s="167"/>
      <c r="CS9" s="167"/>
      <c r="CT9" s="167"/>
      <c r="CU9" s="167"/>
      <c r="CV9" s="167"/>
      <c r="CW9" s="167"/>
      <c r="CX9" s="167"/>
      <c r="CY9" s="167"/>
      <c r="CZ9" s="167"/>
      <c r="DA9" s="167"/>
      <c r="DB9" s="167"/>
      <c r="DC9" s="167"/>
      <c r="DD9" s="167"/>
      <c r="DE9" s="167"/>
      <c r="DF9" s="167"/>
      <c r="DG9" s="167"/>
      <c r="DH9" s="167"/>
      <c r="DI9" s="167"/>
      <c r="DJ9" s="167"/>
      <c r="DK9" s="167"/>
      <c r="DL9" s="167"/>
      <c r="DM9" s="167"/>
      <c r="DN9" s="167"/>
      <c r="DO9" s="167"/>
      <c r="DP9" s="167"/>
      <c r="DQ9" s="167"/>
      <c r="DR9" s="167"/>
      <c r="DS9" s="167"/>
      <c r="DT9" s="167"/>
      <c r="DU9" s="167"/>
      <c r="DV9" s="167"/>
      <c r="DW9" s="167"/>
      <c r="DX9" s="167"/>
      <c r="DY9" s="167"/>
      <c r="DZ9" s="167"/>
      <c r="EA9" s="167"/>
      <c r="EB9" s="167"/>
      <c r="EC9" s="167"/>
      <c r="ED9" s="167"/>
      <c r="EE9" s="167"/>
      <c r="EF9" s="167"/>
      <c r="EG9" s="167"/>
      <c r="EH9" s="167"/>
      <c r="EI9" s="167"/>
      <c r="EJ9" s="167"/>
      <c r="EK9" s="167"/>
      <c r="EL9" s="167"/>
      <c r="EM9" s="167"/>
      <c r="EN9" s="167"/>
      <c r="EO9" s="167"/>
      <c r="EP9" s="167"/>
      <c r="EQ9" s="167"/>
      <c r="ER9" s="167"/>
      <c r="ES9" s="167"/>
      <c r="ET9" s="167"/>
      <c r="EU9" s="167"/>
      <c r="EV9" s="167"/>
      <c r="EW9" s="167"/>
      <c r="EX9" s="167"/>
      <c r="EY9" s="167"/>
      <c r="EZ9" s="167"/>
      <c r="FA9" s="167"/>
      <c r="FB9" s="167"/>
      <c r="FC9" s="167"/>
      <c r="FD9" s="167"/>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68" t="s">
        <v>536</v>
      </c>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68"/>
      <c r="BT11" s="168"/>
      <c r="BU11" s="168"/>
      <c r="BV11" s="168"/>
      <c r="BW11" s="168"/>
      <c r="BX11" s="168"/>
      <c r="BY11" s="168"/>
      <c r="BZ11" s="168"/>
      <c r="CA11" s="168"/>
      <c r="CB11" s="168"/>
      <c r="CC11" s="168"/>
      <c r="CD11" s="168"/>
      <c r="CE11" s="168"/>
      <c r="CF11" s="168"/>
      <c r="CG11" s="168"/>
      <c r="CH11" s="168"/>
      <c r="CI11" s="168"/>
      <c r="CJ11" s="168"/>
      <c r="CK11" s="168"/>
      <c r="CL11" s="168"/>
      <c r="CM11" s="168"/>
      <c r="CN11" s="168"/>
      <c r="CO11" s="168"/>
      <c r="CP11" s="168"/>
      <c r="CQ11" s="168"/>
      <c r="CR11" s="168"/>
      <c r="CS11" s="168"/>
      <c r="CT11" s="168"/>
      <c r="CU11" s="168"/>
      <c r="CV11" s="168"/>
      <c r="CW11" s="168"/>
      <c r="CX11" s="168"/>
      <c r="CY11" s="168"/>
      <c r="CZ11" s="168"/>
      <c r="DA11" s="168"/>
      <c r="DB11" s="168"/>
      <c r="DC11" s="168"/>
      <c r="DD11" s="168"/>
      <c r="DE11" s="168"/>
      <c r="DF11" s="168"/>
      <c r="DG11" s="168"/>
      <c r="DH11" s="168"/>
      <c r="DI11" s="168"/>
      <c r="DJ11" s="168"/>
      <c r="DK11" s="168"/>
      <c r="DL11" s="168"/>
      <c r="DM11" s="168"/>
      <c r="DN11" s="168"/>
      <c r="DO11" s="168"/>
      <c r="DP11" s="168"/>
      <c r="DQ11" s="168"/>
      <c r="DR11" s="168"/>
      <c r="DS11" s="168"/>
      <c r="DT11" s="168"/>
      <c r="DU11" s="168"/>
      <c r="DV11" s="168"/>
      <c r="DW11" s="168"/>
      <c r="DX11" s="168"/>
      <c r="DY11" s="168"/>
      <c r="DZ11" s="168"/>
      <c r="EA11" s="168"/>
      <c r="EB11" s="168"/>
      <c r="EC11" s="168"/>
      <c r="ED11" s="168"/>
      <c r="EE11" s="168"/>
      <c r="EF11" s="168"/>
      <c r="EG11" s="168"/>
      <c r="EH11" s="168"/>
      <c r="EI11" s="168"/>
      <c r="EJ11" s="168"/>
      <c r="EK11" s="168"/>
      <c r="EL11" s="168"/>
      <c r="EM11" s="168"/>
      <c r="EN11" s="168"/>
      <c r="EO11" s="168"/>
      <c r="EP11" s="168"/>
      <c r="EQ11" s="168"/>
      <c r="ER11" s="168"/>
      <c r="ES11" s="168"/>
      <c r="ET11" s="168"/>
      <c r="EU11" s="168"/>
      <c r="EV11" s="168"/>
      <c r="EW11" s="168"/>
      <c r="EX11" s="168"/>
      <c r="EY11" s="168"/>
      <c r="EZ11" s="168"/>
      <c r="FA11" s="168"/>
      <c r="FB11" s="168"/>
      <c r="FC11" s="168"/>
      <c r="FD11" s="168"/>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68"/>
      <c r="BH12" s="168"/>
      <c r="BI12" s="168"/>
      <c r="BJ12" s="168"/>
      <c r="BK12" s="168"/>
      <c r="BL12" s="168"/>
      <c r="BM12" s="168"/>
      <c r="BN12" s="168"/>
      <c r="BO12" s="168"/>
      <c r="BP12" s="168"/>
      <c r="BQ12" s="168"/>
      <c r="BR12" s="168"/>
      <c r="BS12" s="168"/>
      <c r="BT12" s="168"/>
      <c r="BU12" s="168"/>
      <c r="BV12" s="168"/>
      <c r="BW12" s="168"/>
      <c r="BX12" s="168"/>
      <c r="BY12" s="168"/>
      <c r="BZ12" s="168"/>
      <c r="CA12" s="168"/>
      <c r="CB12" s="168"/>
      <c r="CC12" s="168"/>
      <c r="CD12" s="168"/>
      <c r="CE12" s="168"/>
      <c r="CF12" s="168"/>
      <c r="CG12" s="168"/>
      <c r="CH12" s="168"/>
      <c r="CI12" s="168"/>
      <c r="CJ12" s="168"/>
      <c r="CK12" s="168"/>
      <c r="CL12" s="168"/>
      <c r="CM12" s="168"/>
      <c r="CN12" s="168"/>
      <c r="CO12" s="168"/>
      <c r="CP12" s="168"/>
      <c r="CQ12" s="168"/>
      <c r="CR12" s="168"/>
      <c r="CS12" s="168"/>
      <c r="CT12" s="168"/>
      <c r="CU12" s="168"/>
      <c r="CV12" s="168"/>
      <c r="CW12" s="168"/>
      <c r="CX12" s="168"/>
      <c r="CY12" s="168"/>
      <c r="CZ12" s="168"/>
      <c r="DA12" s="168"/>
      <c r="DB12" s="168"/>
      <c r="DC12" s="168"/>
      <c r="DD12" s="168"/>
      <c r="DE12" s="168"/>
      <c r="DF12" s="168"/>
      <c r="DG12" s="168"/>
      <c r="DH12" s="168"/>
      <c r="DI12" s="168"/>
      <c r="DJ12" s="168"/>
      <c r="DK12" s="168"/>
      <c r="DL12" s="168"/>
      <c r="DM12" s="168"/>
      <c r="DN12" s="168"/>
      <c r="DO12" s="168"/>
      <c r="DP12" s="168"/>
      <c r="DQ12" s="168"/>
      <c r="DR12" s="168"/>
      <c r="DS12" s="168"/>
      <c r="DT12" s="168"/>
      <c r="DU12" s="168"/>
      <c r="DV12" s="168"/>
      <c r="DW12" s="168"/>
      <c r="DX12" s="168"/>
      <c r="DY12" s="168"/>
      <c r="DZ12" s="168"/>
      <c r="EA12" s="168"/>
      <c r="EB12" s="168"/>
      <c r="EC12" s="168"/>
      <c r="ED12" s="168"/>
      <c r="EE12" s="168"/>
      <c r="EF12" s="168"/>
      <c r="EG12" s="168"/>
      <c r="EH12" s="168"/>
      <c r="EI12" s="168"/>
      <c r="EJ12" s="168"/>
      <c r="EK12" s="168"/>
      <c r="EL12" s="168"/>
      <c r="EM12" s="168"/>
      <c r="EN12" s="168"/>
      <c r="EO12" s="168"/>
      <c r="EP12" s="168"/>
      <c r="EQ12" s="168"/>
      <c r="ER12" s="168"/>
      <c r="ES12" s="168"/>
      <c r="ET12" s="168"/>
      <c r="EU12" s="168"/>
      <c r="EV12" s="168"/>
      <c r="EW12" s="168"/>
      <c r="EX12" s="168"/>
      <c r="EY12" s="168"/>
      <c r="EZ12" s="168"/>
      <c r="FA12" s="168"/>
      <c r="FB12" s="168"/>
      <c r="FC12" s="168"/>
      <c r="FD12" s="168"/>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69" t="s">
        <v>63</v>
      </c>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75" t="s">
        <v>64</v>
      </c>
      <c r="BE28" s="170"/>
      <c r="BF28" s="170"/>
      <c r="BG28" s="170"/>
      <c r="BH28" s="170"/>
      <c r="BI28" s="170"/>
      <c r="BJ28" s="170"/>
      <c r="BK28" s="170"/>
      <c r="BL28" s="170"/>
      <c r="BM28" s="170"/>
      <c r="BN28" s="170"/>
      <c r="BO28" s="170"/>
      <c r="BP28" s="170"/>
      <c r="BQ28" s="170"/>
      <c r="BR28" s="170"/>
      <c r="BS28" s="170"/>
      <c r="BT28" s="170"/>
      <c r="BU28" s="170"/>
      <c r="BV28" s="170"/>
      <c r="BW28" s="170"/>
      <c r="BX28" s="170"/>
      <c r="BY28" s="170"/>
      <c r="BZ28" s="171"/>
      <c r="CA28" s="175" t="s">
        <v>65</v>
      </c>
      <c r="CB28" s="170"/>
      <c r="CC28" s="170"/>
      <c r="CD28" s="170"/>
      <c r="CE28" s="170"/>
      <c r="CF28" s="170"/>
      <c r="CG28" s="170"/>
      <c r="CH28" s="170"/>
      <c r="CI28" s="170"/>
      <c r="CJ28" s="170"/>
      <c r="CK28" s="170"/>
      <c r="CL28" s="170"/>
      <c r="CM28" s="170"/>
      <c r="CN28" s="170"/>
      <c r="CO28" s="170"/>
      <c r="CP28" s="170"/>
      <c r="CQ28" s="170"/>
      <c r="CR28" s="170"/>
      <c r="CS28" s="170"/>
      <c r="CT28" s="170"/>
      <c r="CU28" s="170"/>
      <c r="CV28" s="170"/>
      <c r="CW28" s="177"/>
      <c r="CX28" s="65"/>
      <c r="CY28" s="65"/>
      <c r="CZ28" s="65"/>
      <c r="DA28" s="65"/>
      <c r="DB28" s="65"/>
      <c r="DC28" s="65"/>
      <c r="DD28" s="65"/>
      <c r="DE28" s="65"/>
      <c r="DF28" s="65"/>
      <c r="DG28" s="65"/>
      <c r="DH28" s="65"/>
    </row>
    <row r="29" spans="3:112" s="92" customFormat="1" ht="12.75" customHeight="1" thickBot="1">
      <c r="C29" s="66"/>
      <c r="AG29" s="172"/>
      <c r="AH29" s="173"/>
      <c r="AI29" s="173"/>
      <c r="AJ29" s="173"/>
      <c r="AK29" s="173"/>
      <c r="AL29" s="173"/>
      <c r="AM29" s="173"/>
      <c r="AN29" s="173"/>
      <c r="AO29" s="173"/>
      <c r="AP29" s="173"/>
      <c r="AQ29" s="173"/>
      <c r="AR29" s="173"/>
      <c r="AS29" s="173"/>
      <c r="AT29" s="173"/>
      <c r="AU29" s="173"/>
      <c r="AV29" s="173"/>
      <c r="AW29" s="173"/>
      <c r="AX29" s="173"/>
      <c r="AY29" s="173"/>
      <c r="AZ29" s="173"/>
      <c r="BA29" s="173"/>
      <c r="BB29" s="173"/>
      <c r="BC29" s="174"/>
      <c r="BD29" s="176"/>
      <c r="BE29" s="173"/>
      <c r="BF29" s="173"/>
      <c r="BG29" s="173"/>
      <c r="BH29" s="173"/>
      <c r="BI29" s="173"/>
      <c r="BJ29" s="173"/>
      <c r="BK29" s="173"/>
      <c r="BL29" s="173"/>
      <c r="BM29" s="173"/>
      <c r="BN29" s="173"/>
      <c r="BO29" s="173"/>
      <c r="BP29" s="173"/>
      <c r="BQ29" s="173"/>
      <c r="BR29" s="173"/>
      <c r="BS29" s="173"/>
      <c r="BT29" s="173"/>
      <c r="BU29" s="173"/>
      <c r="BV29" s="173"/>
      <c r="BW29" s="173"/>
      <c r="BX29" s="173"/>
      <c r="BY29" s="173"/>
      <c r="BZ29" s="174"/>
      <c r="CA29" s="176"/>
      <c r="CB29" s="173"/>
      <c r="CC29" s="173"/>
      <c r="CD29" s="173"/>
      <c r="CE29" s="173"/>
      <c r="CF29" s="173"/>
      <c r="CG29" s="173"/>
      <c r="CH29" s="173"/>
      <c r="CI29" s="173"/>
      <c r="CJ29" s="173"/>
      <c r="CK29" s="173"/>
      <c r="CL29" s="173"/>
      <c r="CM29" s="173"/>
      <c r="CN29" s="173"/>
      <c r="CO29" s="173"/>
      <c r="CP29" s="173"/>
      <c r="CQ29" s="173"/>
      <c r="CR29" s="173"/>
      <c r="CS29" s="173"/>
      <c r="CT29" s="173"/>
      <c r="CU29" s="173"/>
      <c r="CV29" s="173"/>
      <c r="CW29" s="178"/>
      <c r="CX29" s="66"/>
      <c r="CY29" s="66"/>
      <c r="CZ29" s="65"/>
      <c r="DA29" s="65"/>
      <c r="DB29" s="65"/>
      <c r="DC29" s="65"/>
      <c r="DD29" s="65"/>
      <c r="DE29" s="65"/>
      <c r="DF29" s="65"/>
      <c r="DG29" s="65"/>
      <c r="DH29" s="65"/>
    </row>
    <row r="30" spans="3:112" s="92" customFormat="1" ht="12.75" customHeight="1" thickTop="1">
      <c r="C30" s="66"/>
      <c r="AG30" s="179" t="s">
        <v>594</v>
      </c>
      <c r="AH30" s="180"/>
      <c r="AI30" s="180"/>
      <c r="AJ30" s="180"/>
      <c r="AK30" s="180"/>
      <c r="AL30" s="180"/>
      <c r="AM30" s="180"/>
      <c r="AN30" s="180"/>
      <c r="AO30" s="180"/>
      <c r="AP30" s="180"/>
      <c r="AQ30" s="180"/>
      <c r="AR30" s="180"/>
      <c r="AS30" s="180"/>
      <c r="AT30" s="180"/>
      <c r="AU30" s="180"/>
      <c r="AV30" s="180"/>
      <c r="AW30" s="180"/>
      <c r="AX30" s="180"/>
      <c r="AY30" s="180"/>
      <c r="AZ30" s="180"/>
      <c r="BA30" s="180"/>
      <c r="BB30" s="180"/>
      <c r="BC30" s="181"/>
      <c r="BD30" s="185" t="s">
        <v>593</v>
      </c>
      <c r="BE30" s="180"/>
      <c r="BF30" s="180"/>
      <c r="BG30" s="180"/>
      <c r="BH30" s="180"/>
      <c r="BI30" s="180"/>
      <c r="BJ30" s="180"/>
      <c r="BK30" s="180"/>
      <c r="BL30" s="180"/>
      <c r="BM30" s="180"/>
      <c r="BN30" s="180"/>
      <c r="BO30" s="180"/>
      <c r="BP30" s="180"/>
      <c r="BQ30" s="180"/>
      <c r="BR30" s="180"/>
      <c r="BS30" s="180"/>
      <c r="BT30" s="180"/>
      <c r="BU30" s="180"/>
      <c r="BV30" s="180"/>
      <c r="BW30" s="180"/>
      <c r="BX30" s="180"/>
      <c r="BY30" s="180"/>
      <c r="BZ30" s="181"/>
      <c r="CA30" s="185" t="s">
        <v>592</v>
      </c>
      <c r="CB30" s="180"/>
      <c r="CC30" s="180"/>
      <c r="CD30" s="180"/>
      <c r="CE30" s="180"/>
      <c r="CF30" s="180"/>
      <c r="CG30" s="180"/>
      <c r="CH30" s="180"/>
      <c r="CI30" s="180"/>
      <c r="CJ30" s="180"/>
      <c r="CK30" s="180"/>
      <c r="CL30" s="180"/>
      <c r="CM30" s="180"/>
      <c r="CN30" s="180"/>
      <c r="CO30" s="180"/>
      <c r="CP30" s="180"/>
      <c r="CQ30" s="180"/>
      <c r="CR30" s="180"/>
      <c r="CS30" s="180"/>
      <c r="CT30" s="180"/>
      <c r="CU30" s="180"/>
      <c r="CV30" s="180"/>
      <c r="CW30" s="187"/>
      <c r="CX30" s="66"/>
      <c r="CY30" s="66"/>
      <c r="CZ30" s="65"/>
      <c r="DA30" s="65"/>
      <c r="DB30" s="65"/>
      <c r="DC30" s="65"/>
      <c r="DD30" s="65"/>
      <c r="DE30" s="65"/>
      <c r="DF30" s="65"/>
      <c r="DG30" s="65"/>
      <c r="DH30" s="65"/>
    </row>
    <row r="31" spans="3:112" s="92" customFormat="1" ht="12" customHeight="1">
      <c r="C31" s="65"/>
      <c r="AG31" s="182"/>
      <c r="AH31" s="183"/>
      <c r="AI31" s="183"/>
      <c r="AJ31" s="183"/>
      <c r="AK31" s="183"/>
      <c r="AL31" s="183"/>
      <c r="AM31" s="183"/>
      <c r="AN31" s="183"/>
      <c r="AO31" s="183"/>
      <c r="AP31" s="183"/>
      <c r="AQ31" s="183"/>
      <c r="AR31" s="183"/>
      <c r="AS31" s="183"/>
      <c r="AT31" s="183"/>
      <c r="AU31" s="183"/>
      <c r="AV31" s="183"/>
      <c r="AW31" s="183"/>
      <c r="AX31" s="183"/>
      <c r="AY31" s="183"/>
      <c r="AZ31" s="183"/>
      <c r="BA31" s="183"/>
      <c r="BB31" s="183"/>
      <c r="BC31" s="184"/>
      <c r="BD31" s="186"/>
      <c r="BE31" s="183"/>
      <c r="BF31" s="183"/>
      <c r="BG31" s="183"/>
      <c r="BH31" s="183"/>
      <c r="BI31" s="183"/>
      <c r="BJ31" s="183"/>
      <c r="BK31" s="183"/>
      <c r="BL31" s="183"/>
      <c r="BM31" s="183"/>
      <c r="BN31" s="183"/>
      <c r="BO31" s="183"/>
      <c r="BP31" s="183"/>
      <c r="BQ31" s="183"/>
      <c r="BR31" s="183"/>
      <c r="BS31" s="183"/>
      <c r="BT31" s="183"/>
      <c r="BU31" s="183"/>
      <c r="BV31" s="183"/>
      <c r="BW31" s="183"/>
      <c r="BX31" s="183"/>
      <c r="BY31" s="183"/>
      <c r="BZ31" s="184"/>
      <c r="CA31" s="186"/>
      <c r="CB31" s="183"/>
      <c r="CC31" s="183"/>
      <c r="CD31" s="183"/>
      <c r="CE31" s="183"/>
      <c r="CF31" s="183"/>
      <c r="CG31" s="183"/>
      <c r="CH31" s="183"/>
      <c r="CI31" s="183"/>
      <c r="CJ31" s="183"/>
      <c r="CK31" s="183"/>
      <c r="CL31" s="183"/>
      <c r="CM31" s="183"/>
      <c r="CN31" s="183"/>
      <c r="CO31" s="183"/>
      <c r="CP31" s="183"/>
      <c r="CQ31" s="183"/>
      <c r="CR31" s="183"/>
      <c r="CS31" s="183"/>
      <c r="CT31" s="183"/>
      <c r="CU31" s="183"/>
      <c r="CV31" s="183"/>
      <c r="CW31" s="188"/>
      <c r="CX31" s="65"/>
      <c r="CY31" s="65"/>
      <c r="CZ31" s="65"/>
      <c r="DA31" s="65"/>
      <c r="DB31" s="65"/>
      <c r="DC31" s="65"/>
      <c r="DD31" s="65"/>
      <c r="DE31" s="65"/>
      <c r="DF31" s="65"/>
      <c r="DG31" s="65"/>
      <c r="DH31" s="65"/>
    </row>
    <row r="32" spans="3:112" s="92" customFormat="1" ht="12" customHeight="1">
      <c r="C32" s="65"/>
      <c r="AG32" s="182"/>
      <c r="AH32" s="183"/>
      <c r="AI32" s="183"/>
      <c r="AJ32" s="183"/>
      <c r="AK32" s="183"/>
      <c r="AL32" s="183"/>
      <c r="AM32" s="183"/>
      <c r="AN32" s="183"/>
      <c r="AO32" s="183"/>
      <c r="AP32" s="183"/>
      <c r="AQ32" s="183"/>
      <c r="AR32" s="183"/>
      <c r="AS32" s="183"/>
      <c r="AT32" s="183"/>
      <c r="AU32" s="183"/>
      <c r="AV32" s="183"/>
      <c r="AW32" s="183"/>
      <c r="AX32" s="183"/>
      <c r="AY32" s="183"/>
      <c r="AZ32" s="183"/>
      <c r="BA32" s="183"/>
      <c r="BB32" s="183"/>
      <c r="BC32" s="184"/>
      <c r="BD32" s="186"/>
      <c r="BE32" s="183"/>
      <c r="BF32" s="183"/>
      <c r="BG32" s="183"/>
      <c r="BH32" s="183"/>
      <c r="BI32" s="183"/>
      <c r="BJ32" s="183"/>
      <c r="BK32" s="183"/>
      <c r="BL32" s="183"/>
      <c r="BM32" s="183"/>
      <c r="BN32" s="183"/>
      <c r="BO32" s="183"/>
      <c r="BP32" s="183"/>
      <c r="BQ32" s="183"/>
      <c r="BR32" s="183"/>
      <c r="BS32" s="183"/>
      <c r="BT32" s="183"/>
      <c r="BU32" s="183"/>
      <c r="BV32" s="183"/>
      <c r="BW32" s="183"/>
      <c r="BX32" s="183"/>
      <c r="BY32" s="183"/>
      <c r="BZ32" s="184"/>
      <c r="CA32" s="186"/>
      <c r="CB32" s="183"/>
      <c r="CC32" s="183"/>
      <c r="CD32" s="183"/>
      <c r="CE32" s="183"/>
      <c r="CF32" s="183"/>
      <c r="CG32" s="183"/>
      <c r="CH32" s="183"/>
      <c r="CI32" s="183"/>
      <c r="CJ32" s="183"/>
      <c r="CK32" s="183"/>
      <c r="CL32" s="183"/>
      <c r="CM32" s="183"/>
      <c r="CN32" s="183"/>
      <c r="CO32" s="183"/>
      <c r="CP32" s="183"/>
      <c r="CQ32" s="183"/>
      <c r="CR32" s="183"/>
      <c r="CS32" s="183"/>
      <c r="CT32" s="183"/>
      <c r="CU32" s="183"/>
      <c r="CV32" s="183"/>
      <c r="CW32" s="188"/>
      <c r="CX32" s="65"/>
      <c r="CY32" s="65"/>
      <c r="CZ32" s="65"/>
      <c r="DA32" s="65"/>
      <c r="DB32" s="65"/>
      <c r="DC32" s="65"/>
      <c r="DD32" s="65"/>
      <c r="DE32" s="65"/>
      <c r="DF32" s="65"/>
      <c r="DG32" s="65"/>
      <c r="DH32" s="65"/>
    </row>
    <row r="33" spans="3:164" s="92" customFormat="1" ht="12" customHeight="1" thickBot="1">
      <c r="C33" s="65"/>
      <c r="AG33" s="189">
        <v>42950</v>
      </c>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v>42950</v>
      </c>
      <c r="BE33" s="190"/>
      <c r="BF33" s="190"/>
      <c r="BG33" s="190"/>
      <c r="BH33" s="190"/>
      <c r="BI33" s="190"/>
      <c r="BJ33" s="190"/>
      <c r="BK33" s="190"/>
      <c r="BL33" s="190"/>
      <c r="BM33" s="190"/>
      <c r="BN33" s="190"/>
      <c r="BO33" s="190"/>
      <c r="BP33" s="190"/>
      <c r="BQ33" s="190"/>
      <c r="BR33" s="190"/>
      <c r="BS33" s="190"/>
      <c r="BT33" s="190"/>
      <c r="BU33" s="190"/>
      <c r="BV33" s="190"/>
      <c r="BW33" s="190"/>
      <c r="BX33" s="190"/>
      <c r="BY33" s="190"/>
      <c r="BZ33" s="190"/>
      <c r="CA33" s="190">
        <v>42950</v>
      </c>
      <c r="CB33" s="191"/>
      <c r="CC33" s="191"/>
      <c r="CD33" s="191"/>
      <c r="CE33" s="191"/>
      <c r="CF33" s="191"/>
      <c r="CG33" s="191"/>
      <c r="CH33" s="191"/>
      <c r="CI33" s="191"/>
      <c r="CJ33" s="191"/>
      <c r="CK33" s="191"/>
      <c r="CL33" s="191"/>
      <c r="CM33" s="191"/>
      <c r="CN33" s="191"/>
      <c r="CO33" s="191"/>
      <c r="CP33" s="191"/>
      <c r="CQ33" s="191"/>
      <c r="CR33" s="191"/>
      <c r="CS33" s="191"/>
      <c r="CT33" s="191"/>
      <c r="CU33" s="191"/>
      <c r="CV33" s="191"/>
      <c r="CW33" s="192"/>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69" t="s">
        <v>73</v>
      </c>
      <c r="K35" s="170"/>
      <c r="L35" s="170"/>
      <c r="M35" s="170"/>
      <c r="N35" s="170"/>
      <c r="O35" s="170"/>
      <c r="P35" s="170"/>
      <c r="Q35" s="170"/>
      <c r="R35" s="170"/>
      <c r="S35" s="170"/>
      <c r="T35" s="170"/>
      <c r="U35" s="170"/>
      <c r="V35" s="170"/>
      <c r="W35" s="170"/>
      <c r="X35" s="170"/>
      <c r="Y35" s="170"/>
      <c r="Z35" s="170"/>
      <c r="AA35" s="170"/>
      <c r="AB35" s="170"/>
      <c r="AC35" s="170"/>
      <c r="AD35" s="170"/>
      <c r="AE35" s="170"/>
      <c r="AF35" s="171"/>
      <c r="AG35" s="175" t="s">
        <v>74</v>
      </c>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75" t="s">
        <v>75</v>
      </c>
      <c r="BE35" s="170"/>
      <c r="BF35" s="170"/>
      <c r="BG35" s="170"/>
      <c r="BH35" s="170"/>
      <c r="BI35" s="170"/>
      <c r="BJ35" s="170"/>
      <c r="BK35" s="170"/>
      <c r="BL35" s="170"/>
      <c r="BM35" s="170"/>
      <c r="BN35" s="170"/>
      <c r="BO35" s="170"/>
      <c r="BP35" s="170"/>
      <c r="BQ35" s="170"/>
      <c r="BR35" s="170"/>
      <c r="BS35" s="170"/>
      <c r="BT35" s="170"/>
      <c r="BU35" s="170"/>
      <c r="BV35" s="170"/>
      <c r="BW35" s="170"/>
      <c r="BX35" s="170"/>
      <c r="BY35" s="170"/>
      <c r="BZ35" s="171"/>
      <c r="CA35" s="175" t="s">
        <v>76</v>
      </c>
      <c r="CB35" s="170"/>
      <c r="CC35" s="170"/>
      <c r="CD35" s="170"/>
      <c r="CE35" s="170"/>
      <c r="CF35" s="170"/>
      <c r="CG35" s="170"/>
      <c r="CH35" s="170"/>
      <c r="CI35" s="170"/>
      <c r="CJ35" s="170"/>
      <c r="CK35" s="170"/>
      <c r="CL35" s="170"/>
      <c r="CM35" s="170"/>
      <c r="CN35" s="170"/>
      <c r="CO35" s="170"/>
      <c r="CP35" s="170"/>
      <c r="CQ35" s="170"/>
      <c r="CR35" s="170"/>
      <c r="CS35" s="170"/>
      <c r="CT35" s="170"/>
      <c r="CU35" s="170"/>
      <c r="CV35" s="170"/>
      <c r="CW35" s="177"/>
      <c r="CX35" s="65"/>
      <c r="CY35" s="65"/>
      <c r="CZ35" s="65"/>
      <c r="DA35" s="65"/>
      <c r="DB35" s="65"/>
      <c r="DC35" s="65"/>
      <c r="DD35" s="65"/>
      <c r="DE35" s="65"/>
      <c r="DF35" s="65"/>
      <c r="DG35" s="65"/>
      <c r="DH35" s="65"/>
    </row>
    <row r="36" spans="3:164" s="92" customFormat="1" ht="12" customHeight="1" thickBot="1">
      <c r="C36" s="65"/>
      <c r="J36" s="172"/>
      <c r="K36" s="173"/>
      <c r="L36" s="173"/>
      <c r="M36" s="173"/>
      <c r="N36" s="173"/>
      <c r="O36" s="173"/>
      <c r="P36" s="173"/>
      <c r="Q36" s="173"/>
      <c r="R36" s="173"/>
      <c r="S36" s="173"/>
      <c r="T36" s="173"/>
      <c r="U36" s="173"/>
      <c r="V36" s="173"/>
      <c r="W36" s="173"/>
      <c r="X36" s="173"/>
      <c r="Y36" s="173"/>
      <c r="Z36" s="173"/>
      <c r="AA36" s="173"/>
      <c r="AB36" s="173"/>
      <c r="AC36" s="173"/>
      <c r="AD36" s="173"/>
      <c r="AE36" s="173"/>
      <c r="AF36" s="174"/>
      <c r="AG36" s="176"/>
      <c r="AH36" s="173"/>
      <c r="AI36" s="173"/>
      <c r="AJ36" s="173"/>
      <c r="AK36" s="173"/>
      <c r="AL36" s="173"/>
      <c r="AM36" s="173"/>
      <c r="AN36" s="173"/>
      <c r="AO36" s="173"/>
      <c r="AP36" s="173"/>
      <c r="AQ36" s="173"/>
      <c r="AR36" s="173"/>
      <c r="AS36" s="173"/>
      <c r="AT36" s="173"/>
      <c r="AU36" s="173"/>
      <c r="AV36" s="173"/>
      <c r="AW36" s="173"/>
      <c r="AX36" s="173"/>
      <c r="AY36" s="173"/>
      <c r="AZ36" s="173"/>
      <c r="BA36" s="173"/>
      <c r="BB36" s="173"/>
      <c r="BC36" s="174"/>
      <c r="BD36" s="176"/>
      <c r="BE36" s="173"/>
      <c r="BF36" s="173"/>
      <c r="BG36" s="173"/>
      <c r="BH36" s="173"/>
      <c r="BI36" s="173"/>
      <c r="BJ36" s="173"/>
      <c r="BK36" s="173"/>
      <c r="BL36" s="173"/>
      <c r="BM36" s="173"/>
      <c r="BN36" s="173"/>
      <c r="BO36" s="173"/>
      <c r="BP36" s="173"/>
      <c r="BQ36" s="173"/>
      <c r="BR36" s="173"/>
      <c r="BS36" s="173"/>
      <c r="BT36" s="173"/>
      <c r="BU36" s="173"/>
      <c r="BV36" s="173"/>
      <c r="BW36" s="173"/>
      <c r="BX36" s="173"/>
      <c r="BY36" s="173"/>
      <c r="BZ36" s="174"/>
      <c r="CA36" s="176"/>
      <c r="CB36" s="173"/>
      <c r="CC36" s="173"/>
      <c r="CD36" s="173"/>
      <c r="CE36" s="173"/>
      <c r="CF36" s="173"/>
      <c r="CG36" s="173"/>
      <c r="CH36" s="173"/>
      <c r="CI36" s="173"/>
      <c r="CJ36" s="173"/>
      <c r="CK36" s="173"/>
      <c r="CL36" s="173"/>
      <c r="CM36" s="173"/>
      <c r="CN36" s="173"/>
      <c r="CO36" s="173"/>
      <c r="CP36" s="173"/>
      <c r="CQ36" s="173"/>
      <c r="CR36" s="173"/>
      <c r="CS36" s="173"/>
      <c r="CT36" s="173"/>
      <c r="CU36" s="173"/>
      <c r="CV36" s="173"/>
      <c r="CW36" s="178"/>
      <c r="CX36" s="65"/>
      <c r="CY36" s="65"/>
      <c r="CZ36" s="65"/>
      <c r="DA36" s="65"/>
      <c r="DB36" s="65"/>
      <c r="DC36" s="65"/>
      <c r="DD36" s="65"/>
      <c r="DE36" s="65"/>
      <c r="DF36" s="65"/>
      <c r="DG36" s="65"/>
      <c r="DH36" s="65"/>
    </row>
    <row r="37" spans="3:164" s="92" customFormat="1" ht="12" customHeight="1" thickTop="1">
      <c r="C37" s="65"/>
      <c r="J37" s="179"/>
      <c r="K37" s="180"/>
      <c r="L37" s="180"/>
      <c r="M37" s="180"/>
      <c r="N37" s="180"/>
      <c r="O37" s="180"/>
      <c r="P37" s="180"/>
      <c r="Q37" s="180"/>
      <c r="R37" s="180"/>
      <c r="S37" s="180"/>
      <c r="T37" s="180"/>
      <c r="U37" s="180"/>
      <c r="V37" s="180"/>
      <c r="W37" s="180"/>
      <c r="X37" s="180"/>
      <c r="Y37" s="180"/>
      <c r="Z37" s="180"/>
      <c r="AA37" s="180"/>
      <c r="AB37" s="180"/>
      <c r="AC37" s="180"/>
      <c r="AD37" s="180"/>
      <c r="AE37" s="180"/>
      <c r="AF37" s="181"/>
      <c r="AG37" s="185"/>
      <c r="AH37" s="180"/>
      <c r="AI37" s="180"/>
      <c r="AJ37" s="180"/>
      <c r="AK37" s="180"/>
      <c r="AL37" s="180"/>
      <c r="AM37" s="180"/>
      <c r="AN37" s="180"/>
      <c r="AO37" s="180"/>
      <c r="AP37" s="180"/>
      <c r="AQ37" s="180"/>
      <c r="AR37" s="180"/>
      <c r="AS37" s="180"/>
      <c r="AT37" s="180"/>
      <c r="AU37" s="180"/>
      <c r="AV37" s="180"/>
      <c r="AW37" s="180"/>
      <c r="AX37" s="180"/>
      <c r="AY37" s="180"/>
      <c r="AZ37" s="180"/>
      <c r="BA37" s="180"/>
      <c r="BB37" s="180"/>
      <c r="BC37" s="181"/>
      <c r="BD37" s="185"/>
      <c r="BE37" s="180"/>
      <c r="BF37" s="180"/>
      <c r="BG37" s="180"/>
      <c r="BH37" s="180"/>
      <c r="BI37" s="180"/>
      <c r="BJ37" s="180"/>
      <c r="BK37" s="180"/>
      <c r="BL37" s="180"/>
      <c r="BM37" s="180"/>
      <c r="BN37" s="180"/>
      <c r="BO37" s="180"/>
      <c r="BP37" s="180"/>
      <c r="BQ37" s="180"/>
      <c r="BR37" s="180"/>
      <c r="BS37" s="180"/>
      <c r="BT37" s="180"/>
      <c r="BU37" s="180"/>
      <c r="BV37" s="180"/>
      <c r="BW37" s="180"/>
      <c r="BX37" s="180"/>
      <c r="BY37" s="180"/>
      <c r="BZ37" s="181"/>
      <c r="CA37" s="185"/>
      <c r="CB37" s="180"/>
      <c r="CC37" s="180"/>
      <c r="CD37" s="180"/>
      <c r="CE37" s="180"/>
      <c r="CF37" s="180"/>
      <c r="CG37" s="180"/>
      <c r="CH37" s="180"/>
      <c r="CI37" s="180"/>
      <c r="CJ37" s="180"/>
      <c r="CK37" s="180"/>
      <c r="CL37" s="180"/>
      <c r="CM37" s="180"/>
      <c r="CN37" s="180"/>
      <c r="CO37" s="180"/>
      <c r="CP37" s="180"/>
      <c r="CQ37" s="180"/>
      <c r="CR37" s="180"/>
      <c r="CS37" s="180"/>
      <c r="CT37" s="180"/>
      <c r="CU37" s="180"/>
      <c r="CV37" s="180"/>
      <c r="CW37" s="187"/>
      <c r="CX37" s="65"/>
      <c r="CY37" s="65"/>
      <c r="CZ37" s="65"/>
      <c r="DA37" s="65"/>
      <c r="DB37" s="65"/>
      <c r="DC37" s="65"/>
      <c r="DD37" s="65"/>
      <c r="DE37" s="65"/>
      <c r="DF37" s="65"/>
      <c r="DG37" s="65"/>
      <c r="DH37" s="65"/>
      <c r="DK37" s="196" t="s">
        <v>66</v>
      </c>
      <c r="DL37" s="196"/>
      <c r="DM37" s="196"/>
      <c r="DN37" s="196"/>
      <c r="DO37" s="196"/>
      <c r="DP37" s="196"/>
      <c r="DQ37" s="196"/>
      <c r="DR37" s="196"/>
      <c r="DS37" s="196"/>
      <c r="DT37" s="196"/>
      <c r="DU37" s="196"/>
      <c r="DV37" s="196"/>
      <c r="DW37" s="196"/>
      <c r="DX37" s="196"/>
      <c r="DY37" s="196"/>
      <c r="DZ37" s="196"/>
      <c r="EA37" s="196"/>
      <c r="EB37" s="196"/>
      <c r="EC37" s="196"/>
      <c r="ED37" s="196"/>
      <c r="EE37" s="196"/>
      <c r="EF37" s="196"/>
      <c r="EG37" s="196"/>
      <c r="EH37" s="196"/>
      <c r="EI37" s="196"/>
      <c r="EJ37" s="196"/>
      <c r="EK37" s="196"/>
      <c r="EL37" s="196"/>
      <c r="EM37" s="196"/>
      <c r="EN37" s="196"/>
      <c r="EO37" s="196"/>
      <c r="EP37" s="196"/>
      <c r="EQ37" s="196"/>
      <c r="ER37" s="196"/>
      <c r="ES37" s="196"/>
      <c r="ET37" s="196"/>
      <c r="EU37" s="196"/>
      <c r="EV37" s="196"/>
      <c r="EW37" s="196"/>
      <c r="EX37" s="196"/>
      <c r="EY37" s="196"/>
      <c r="EZ37" s="196"/>
      <c r="FA37" s="196"/>
      <c r="FB37" s="196"/>
      <c r="FC37" s="196"/>
      <c r="FD37" s="196"/>
      <c r="FE37" s="196"/>
      <c r="FF37" s="196"/>
      <c r="FG37" s="196"/>
      <c r="FH37" s="196"/>
    </row>
    <row r="38" spans="3:164" s="92" customFormat="1">
      <c r="C38" s="65"/>
      <c r="J38" s="182"/>
      <c r="K38" s="183"/>
      <c r="L38" s="183"/>
      <c r="M38" s="183"/>
      <c r="N38" s="183"/>
      <c r="O38" s="183"/>
      <c r="P38" s="183"/>
      <c r="Q38" s="183"/>
      <c r="R38" s="183"/>
      <c r="S38" s="183"/>
      <c r="T38" s="183"/>
      <c r="U38" s="183"/>
      <c r="V38" s="183"/>
      <c r="W38" s="183"/>
      <c r="X38" s="183"/>
      <c r="Y38" s="183"/>
      <c r="Z38" s="183"/>
      <c r="AA38" s="183"/>
      <c r="AB38" s="183"/>
      <c r="AC38" s="183"/>
      <c r="AD38" s="183"/>
      <c r="AE38" s="183"/>
      <c r="AF38" s="184"/>
      <c r="AG38" s="186"/>
      <c r="AH38" s="183"/>
      <c r="AI38" s="183"/>
      <c r="AJ38" s="183"/>
      <c r="AK38" s="183"/>
      <c r="AL38" s="183"/>
      <c r="AM38" s="183"/>
      <c r="AN38" s="183"/>
      <c r="AO38" s="183"/>
      <c r="AP38" s="183"/>
      <c r="AQ38" s="183"/>
      <c r="AR38" s="183"/>
      <c r="AS38" s="183"/>
      <c r="AT38" s="183"/>
      <c r="AU38" s="183"/>
      <c r="AV38" s="183"/>
      <c r="AW38" s="183"/>
      <c r="AX38" s="183"/>
      <c r="AY38" s="183"/>
      <c r="AZ38" s="183"/>
      <c r="BA38" s="183"/>
      <c r="BB38" s="183"/>
      <c r="BC38" s="184"/>
      <c r="BD38" s="186"/>
      <c r="BE38" s="183"/>
      <c r="BF38" s="183"/>
      <c r="BG38" s="183"/>
      <c r="BH38" s="183"/>
      <c r="BI38" s="183"/>
      <c r="BJ38" s="183"/>
      <c r="BK38" s="183"/>
      <c r="BL38" s="183"/>
      <c r="BM38" s="183"/>
      <c r="BN38" s="183"/>
      <c r="BO38" s="183"/>
      <c r="BP38" s="183"/>
      <c r="BQ38" s="183"/>
      <c r="BR38" s="183"/>
      <c r="BS38" s="183"/>
      <c r="BT38" s="183"/>
      <c r="BU38" s="183"/>
      <c r="BV38" s="183"/>
      <c r="BW38" s="183"/>
      <c r="BX38" s="183"/>
      <c r="BY38" s="183"/>
      <c r="BZ38" s="184"/>
      <c r="CA38" s="186"/>
      <c r="CB38" s="183"/>
      <c r="CC38" s="183"/>
      <c r="CD38" s="183"/>
      <c r="CE38" s="183"/>
      <c r="CF38" s="183"/>
      <c r="CG38" s="183"/>
      <c r="CH38" s="183"/>
      <c r="CI38" s="183"/>
      <c r="CJ38" s="183"/>
      <c r="CK38" s="183"/>
      <c r="CL38" s="183"/>
      <c r="CM38" s="183"/>
      <c r="CN38" s="183"/>
      <c r="CO38" s="183"/>
      <c r="CP38" s="183"/>
      <c r="CQ38" s="183"/>
      <c r="CR38" s="183"/>
      <c r="CS38" s="183"/>
      <c r="CT38" s="183"/>
      <c r="CU38" s="183"/>
      <c r="CV38" s="183"/>
      <c r="CW38" s="188"/>
      <c r="CX38" s="65"/>
      <c r="CY38" s="65"/>
      <c r="CZ38" s="65"/>
      <c r="DA38" s="65"/>
      <c r="DB38" s="65"/>
      <c r="DC38" s="65"/>
      <c r="DD38" s="65"/>
      <c r="DE38" s="65"/>
      <c r="DF38" s="65"/>
      <c r="DG38" s="65"/>
      <c r="DH38" s="65"/>
      <c r="DK38" s="196"/>
      <c r="DL38" s="196"/>
      <c r="DM38" s="196"/>
      <c r="DN38" s="196"/>
      <c r="DO38" s="196"/>
      <c r="DP38" s="196"/>
      <c r="DQ38" s="196"/>
      <c r="DR38" s="196"/>
      <c r="DS38" s="196"/>
      <c r="DT38" s="196"/>
      <c r="DU38" s="196"/>
      <c r="DV38" s="196"/>
      <c r="DW38" s="196"/>
      <c r="DX38" s="196"/>
      <c r="DY38" s="196"/>
      <c r="DZ38" s="196"/>
      <c r="EA38" s="196"/>
      <c r="EB38" s="196"/>
      <c r="EC38" s="196"/>
      <c r="ED38" s="196"/>
      <c r="EE38" s="196"/>
      <c r="EF38" s="196"/>
      <c r="EG38" s="196"/>
      <c r="EH38" s="196"/>
      <c r="EI38" s="196"/>
      <c r="EJ38" s="196"/>
      <c r="EK38" s="196"/>
      <c r="EL38" s="196"/>
      <c r="EM38" s="196"/>
      <c r="EN38" s="196"/>
      <c r="EO38" s="196"/>
      <c r="EP38" s="196"/>
      <c r="EQ38" s="196"/>
      <c r="ER38" s="196"/>
      <c r="ES38" s="196"/>
      <c r="ET38" s="196"/>
      <c r="EU38" s="196"/>
      <c r="EV38" s="196"/>
      <c r="EW38" s="196"/>
      <c r="EX38" s="196"/>
      <c r="EY38" s="196"/>
      <c r="EZ38" s="196"/>
      <c r="FA38" s="196"/>
      <c r="FB38" s="196"/>
      <c r="FC38" s="196"/>
      <c r="FD38" s="196"/>
      <c r="FE38" s="196"/>
      <c r="FF38" s="196"/>
      <c r="FG38" s="196"/>
      <c r="FH38" s="196"/>
    </row>
    <row r="39" spans="3:164" s="92" customFormat="1">
      <c r="J39" s="193"/>
      <c r="K39" s="194"/>
      <c r="L39" s="194"/>
      <c r="M39" s="194"/>
      <c r="N39" s="194"/>
      <c r="O39" s="194"/>
      <c r="P39" s="194"/>
      <c r="Q39" s="194"/>
      <c r="R39" s="194"/>
      <c r="S39" s="194"/>
      <c r="T39" s="194"/>
      <c r="U39" s="194"/>
      <c r="V39" s="194"/>
      <c r="W39" s="194"/>
      <c r="X39" s="194"/>
      <c r="Y39" s="194"/>
      <c r="Z39" s="194"/>
      <c r="AA39" s="194"/>
      <c r="AB39" s="194"/>
      <c r="AC39" s="194"/>
      <c r="AD39" s="194"/>
      <c r="AE39" s="194"/>
      <c r="AF39" s="195"/>
      <c r="AG39" s="186"/>
      <c r="AH39" s="183"/>
      <c r="AI39" s="183"/>
      <c r="AJ39" s="183"/>
      <c r="AK39" s="183"/>
      <c r="AL39" s="183"/>
      <c r="AM39" s="183"/>
      <c r="AN39" s="183"/>
      <c r="AO39" s="183"/>
      <c r="AP39" s="183"/>
      <c r="AQ39" s="183"/>
      <c r="AR39" s="183"/>
      <c r="AS39" s="183"/>
      <c r="AT39" s="183"/>
      <c r="AU39" s="183"/>
      <c r="AV39" s="183"/>
      <c r="AW39" s="183"/>
      <c r="AX39" s="183"/>
      <c r="AY39" s="183"/>
      <c r="AZ39" s="183"/>
      <c r="BA39" s="183"/>
      <c r="BB39" s="183"/>
      <c r="BC39" s="184"/>
      <c r="BD39" s="186"/>
      <c r="BE39" s="183"/>
      <c r="BF39" s="183"/>
      <c r="BG39" s="183"/>
      <c r="BH39" s="183"/>
      <c r="BI39" s="183"/>
      <c r="BJ39" s="183"/>
      <c r="BK39" s="183"/>
      <c r="BL39" s="183"/>
      <c r="BM39" s="183"/>
      <c r="BN39" s="183"/>
      <c r="BO39" s="183"/>
      <c r="BP39" s="183"/>
      <c r="BQ39" s="183"/>
      <c r="BR39" s="183"/>
      <c r="BS39" s="183"/>
      <c r="BT39" s="183"/>
      <c r="BU39" s="183"/>
      <c r="BV39" s="183"/>
      <c r="BW39" s="183"/>
      <c r="BX39" s="183"/>
      <c r="BY39" s="183"/>
      <c r="BZ39" s="184"/>
      <c r="CA39" s="186"/>
      <c r="CB39" s="183"/>
      <c r="CC39" s="183"/>
      <c r="CD39" s="183"/>
      <c r="CE39" s="183"/>
      <c r="CF39" s="183"/>
      <c r="CG39" s="183"/>
      <c r="CH39" s="183"/>
      <c r="CI39" s="183"/>
      <c r="CJ39" s="183"/>
      <c r="CK39" s="183"/>
      <c r="CL39" s="183"/>
      <c r="CM39" s="183"/>
      <c r="CN39" s="183"/>
      <c r="CO39" s="183"/>
      <c r="CP39" s="183"/>
      <c r="CQ39" s="183"/>
      <c r="CR39" s="183"/>
      <c r="CS39" s="183"/>
      <c r="CT39" s="183"/>
      <c r="CU39" s="183"/>
      <c r="CV39" s="183"/>
      <c r="CW39" s="188"/>
      <c r="DK39" s="197"/>
      <c r="DL39" s="197"/>
      <c r="DM39" s="197"/>
      <c r="DN39" s="197"/>
      <c r="DO39" s="197"/>
      <c r="DP39" s="197"/>
      <c r="DQ39" s="197"/>
      <c r="DR39" s="197"/>
      <c r="DS39" s="197"/>
      <c r="DT39" s="197"/>
      <c r="DU39" s="197"/>
      <c r="DV39" s="197"/>
      <c r="DW39" s="197"/>
      <c r="DX39" s="197"/>
      <c r="DY39" s="197"/>
      <c r="DZ39" s="197"/>
      <c r="EA39" s="197"/>
      <c r="EB39" s="197"/>
      <c r="EC39" s="197"/>
      <c r="ED39" s="197"/>
      <c r="EE39" s="197"/>
      <c r="EF39" s="197"/>
      <c r="EG39" s="197"/>
      <c r="EH39" s="197"/>
      <c r="EI39" s="197"/>
      <c r="EJ39" s="197"/>
      <c r="EK39" s="197"/>
      <c r="EL39" s="197"/>
      <c r="EM39" s="197"/>
      <c r="EN39" s="197"/>
      <c r="EO39" s="197"/>
      <c r="EP39" s="197"/>
      <c r="EQ39" s="197"/>
      <c r="ER39" s="197"/>
      <c r="ES39" s="197"/>
      <c r="ET39" s="197"/>
      <c r="EU39" s="197"/>
      <c r="EV39" s="197"/>
      <c r="EW39" s="197"/>
      <c r="EX39" s="197"/>
      <c r="EY39" s="197"/>
      <c r="EZ39" s="197"/>
      <c r="FA39" s="197"/>
      <c r="FB39" s="197"/>
      <c r="FC39" s="197"/>
      <c r="FD39" s="197"/>
      <c r="FE39" s="197"/>
      <c r="FF39" s="197"/>
      <c r="FG39" s="197"/>
      <c r="FH39" s="197"/>
    </row>
    <row r="40" spans="3:164" s="92" customFormat="1" ht="12.75" thickBot="1">
      <c r="J40" s="198"/>
      <c r="K40" s="199"/>
      <c r="L40" s="199"/>
      <c r="M40" s="199"/>
      <c r="N40" s="199"/>
      <c r="O40" s="199"/>
      <c r="P40" s="199"/>
      <c r="Q40" s="199"/>
      <c r="R40" s="199"/>
      <c r="S40" s="199"/>
      <c r="T40" s="199"/>
      <c r="U40" s="199"/>
      <c r="V40" s="199"/>
      <c r="W40" s="199"/>
      <c r="X40" s="199"/>
      <c r="Y40" s="199"/>
      <c r="Z40" s="199"/>
      <c r="AA40" s="199"/>
      <c r="AB40" s="199"/>
      <c r="AC40" s="199"/>
      <c r="AD40" s="199"/>
      <c r="AE40" s="199"/>
      <c r="AF40" s="20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c r="BF40" s="190"/>
      <c r="BG40" s="190"/>
      <c r="BH40" s="190"/>
      <c r="BI40" s="190"/>
      <c r="BJ40" s="190"/>
      <c r="BK40" s="190"/>
      <c r="BL40" s="190"/>
      <c r="BM40" s="190"/>
      <c r="BN40" s="190"/>
      <c r="BO40" s="190"/>
      <c r="BP40" s="190"/>
      <c r="BQ40" s="190"/>
      <c r="BR40" s="190"/>
      <c r="BS40" s="190"/>
      <c r="BT40" s="190"/>
      <c r="BU40" s="190"/>
      <c r="BV40" s="190"/>
      <c r="BW40" s="190"/>
      <c r="BX40" s="190"/>
      <c r="BY40" s="190"/>
      <c r="BZ40" s="190"/>
      <c r="CA40" s="190"/>
      <c r="CB40" s="190"/>
      <c r="CC40" s="190"/>
      <c r="CD40" s="190"/>
      <c r="CE40" s="190"/>
      <c r="CF40" s="190"/>
      <c r="CG40" s="190"/>
      <c r="CH40" s="190"/>
      <c r="CI40" s="190"/>
      <c r="CJ40" s="190"/>
      <c r="CK40" s="190"/>
      <c r="CL40" s="190"/>
      <c r="CM40" s="190"/>
      <c r="CN40" s="190"/>
      <c r="CO40" s="190"/>
      <c r="CP40" s="190"/>
      <c r="CQ40" s="190"/>
      <c r="CR40" s="190"/>
      <c r="CS40" s="190"/>
      <c r="CT40" s="190"/>
      <c r="CU40" s="190"/>
      <c r="CV40" s="190"/>
      <c r="CW40" s="201"/>
      <c r="DK40" s="197"/>
      <c r="DL40" s="197"/>
      <c r="DM40" s="197"/>
      <c r="DN40" s="197"/>
      <c r="DO40" s="197"/>
      <c r="DP40" s="197"/>
      <c r="DQ40" s="197"/>
      <c r="DR40" s="197"/>
      <c r="DS40" s="197"/>
      <c r="DT40" s="197"/>
      <c r="DU40" s="197"/>
      <c r="DV40" s="197"/>
      <c r="DW40" s="197"/>
      <c r="DX40" s="197"/>
      <c r="DY40" s="197"/>
      <c r="DZ40" s="197"/>
      <c r="EA40" s="197"/>
      <c r="EB40" s="197"/>
      <c r="EC40" s="197"/>
      <c r="ED40" s="197"/>
      <c r="EE40" s="197"/>
      <c r="EF40" s="197"/>
      <c r="EG40" s="197"/>
      <c r="EH40" s="197"/>
      <c r="EI40" s="197"/>
      <c r="EJ40" s="197"/>
      <c r="EK40" s="197"/>
      <c r="EL40" s="197"/>
      <c r="EM40" s="197"/>
      <c r="EN40" s="197"/>
      <c r="EO40" s="197"/>
      <c r="EP40" s="197"/>
      <c r="EQ40" s="197"/>
      <c r="ER40" s="197"/>
      <c r="ES40" s="197"/>
      <c r="ET40" s="197"/>
      <c r="EU40" s="197"/>
      <c r="EV40" s="197"/>
      <c r="EW40" s="197"/>
      <c r="EX40" s="197"/>
      <c r="EY40" s="197"/>
      <c r="EZ40" s="197"/>
      <c r="FA40" s="197"/>
      <c r="FB40" s="197"/>
      <c r="FC40" s="197"/>
      <c r="FD40" s="197"/>
      <c r="FE40" s="197"/>
      <c r="FF40" s="197"/>
      <c r="FG40" s="197"/>
      <c r="FH40" s="197"/>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67</v>
      </c>
      <c r="B3" s="75" t="s">
        <v>68</v>
      </c>
      <c r="C3" s="75" t="s">
        <v>69</v>
      </c>
      <c r="D3" s="75" t="s">
        <v>70</v>
      </c>
    </row>
    <row r="4" spans="1:8">
      <c r="A4" s="76">
        <v>42950</v>
      </c>
      <c r="B4" s="77" t="s">
        <v>71</v>
      </c>
      <c r="C4" s="78" t="s">
        <v>72</v>
      </c>
      <c r="D4" s="90" t="s">
        <v>95</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25"/>
  <sheetViews>
    <sheetView tabSelected="1" zoomScale="70" zoomScaleNormal="70" workbookViewId="0">
      <pane ySplit="9" topLeftCell="A10" activePane="bottomLeft" state="frozen"/>
      <selection pane="bottomLeft"/>
    </sheetView>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1.625" style="4" customWidth="1"/>
    <col min="10" max="10" width="8.75" style="4" customWidth="1"/>
    <col min="11" max="11" width="7.5" style="4" bestFit="1" customWidth="1"/>
    <col min="12" max="12" width="11.625" style="8" bestFit="1" customWidth="1"/>
    <col min="13" max="14" width="7.5" style="99" bestFit="1" customWidth="1"/>
    <col min="15" max="15" width="10" style="99" customWidth="1"/>
    <col min="16" max="16" width="7.5" style="99" bestFit="1" customWidth="1"/>
    <col min="17" max="17" width="35.875" style="99" customWidth="1"/>
    <col min="18" max="18" width="28.625" style="99" customWidth="1"/>
    <col min="19" max="19" width="16.75" style="99" customWidth="1"/>
    <col min="20" max="20" width="20" style="99" customWidth="1"/>
    <col min="21" max="21" width="18" style="99" customWidth="1"/>
    <col min="22" max="16384" width="6.875" style="99"/>
  </cols>
  <sheetData>
    <row r="1" spans="1:22">
      <c r="M1" s="99" t="s">
        <v>1</v>
      </c>
      <c r="N1" s="99" t="s">
        <v>0</v>
      </c>
      <c r="O1" s="99" t="s">
        <v>84</v>
      </c>
      <c r="P1" s="99" t="s">
        <v>85</v>
      </c>
      <c r="Q1" s="99" t="s">
        <v>537</v>
      </c>
    </row>
    <row r="2" spans="1:22">
      <c r="A2" s="98"/>
      <c r="G2" s="6" t="s">
        <v>1</v>
      </c>
      <c r="H2" s="7" t="s">
        <v>0</v>
      </c>
      <c r="I2" s="7" t="s">
        <v>16</v>
      </c>
      <c r="J2" s="7" t="s">
        <v>20</v>
      </c>
      <c r="K2" s="96"/>
      <c r="L2" s="104" t="s">
        <v>86</v>
      </c>
      <c r="M2" s="12">
        <f>COUNTA(B10:B378)-6</f>
        <v>304</v>
      </c>
      <c r="N2" s="99">
        <f>COUNTIF(H10:H378,"OK")+COUNTIF(H10:H378,"－")</f>
        <v>0</v>
      </c>
      <c r="O2" s="99">
        <f>COUNTIF(H10:H378,"NG")</f>
        <v>0</v>
      </c>
      <c r="P2" s="99">
        <f>COUNTIF(H10:H378,"NG（済）")</f>
        <v>0</v>
      </c>
      <c r="Q2" s="99">
        <f>COUNTIF(H10:H378,"未実施")</f>
        <v>0</v>
      </c>
    </row>
    <row r="3" spans="1:22">
      <c r="A3" s="98" t="s">
        <v>2</v>
      </c>
      <c r="B3" s="9" t="s">
        <v>79</v>
      </c>
      <c r="G3" s="10">
        <f>SUM(M2:M4)</f>
        <v>912</v>
      </c>
      <c r="H3" s="10">
        <f>SUM(N2:N4)</f>
        <v>0</v>
      </c>
      <c r="I3" s="10">
        <f>SUM(O2:O4)</f>
        <v>0</v>
      </c>
      <c r="J3" s="10">
        <f>SUM(P2:P4)</f>
        <v>0</v>
      </c>
      <c r="K3" s="96"/>
      <c r="L3" s="105" t="s">
        <v>87</v>
      </c>
      <c r="M3" s="12">
        <f>COUNTA(B10:B378)-6</f>
        <v>304</v>
      </c>
      <c r="N3" s="99">
        <f>COUNTIF(K10:K378,"OK")+COUNTIF(K10:K378,"－")</f>
        <v>0</v>
      </c>
      <c r="O3" s="99">
        <f>COUNTIF(K10:K378,"NG")</f>
        <v>0</v>
      </c>
      <c r="P3" s="12">
        <f>COUNTIF(K10:K378,"NG（済）")</f>
        <v>0</v>
      </c>
      <c r="Q3" s="12">
        <f>COUNTIF(K10:K378,"未実施")</f>
        <v>0</v>
      </c>
      <c r="R3" s="12"/>
    </row>
    <row r="4" spans="1:22">
      <c r="A4" s="13" t="s">
        <v>3</v>
      </c>
      <c r="B4" s="98"/>
      <c r="C4" s="97"/>
      <c r="D4" s="97"/>
      <c r="L4" s="105" t="s">
        <v>88</v>
      </c>
      <c r="M4" s="12">
        <f>COUNTA(B10:B378)-6</f>
        <v>304</v>
      </c>
      <c r="N4" s="99">
        <f>COUNTIF(N10:N378,"OK")+COUNTIF(N10:N378,"－")</f>
        <v>0</v>
      </c>
      <c r="O4" s="99">
        <f>COUNTIF(N10:N378,"NG")</f>
        <v>0</v>
      </c>
      <c r="P4" s="99">
        <f>COUNTIF(N10:N378,"NG（済）")</f>
        <v>0</v>
      </c>
      <c r="Q4" s="99">
        <f>COUNTIF(N10:N378,"未実施")</f>
        <v>0</v>
      </c>
    </row>
    <row r="5" spans="1:22">
      <c r="A5" s="13"/>
      <c r="B5" s="98" t="s">
        <v>155</v>
      </c>
      <c r="L5" s="105"/>
      <c r="Q5" s="13"/>
      <c r="R5" s="13"/>
    </row>
    <row r="6" spans="1:22">
      <c r="A6" s="13"/>
      <c r="B6" s="99" t="s">
        <v>497</v>
      </c>
      <c r="L6" s="105"/>
      <c r="Q6" s="13"/>
      <c r="R6" s="13"/>
    </row>
    <row r="7" spans="1:22">
      <c r="A7" s="13"/>
      <c r="B7" s="99"/>
      <c r="L7" s="105"/>
      <c r="Q7" s="13"/>
      <c r="R7" s="13"/>
    </row>
    <row r="8" spans="1:22">
      <c r="B8" s="212" t="s">
        <v>4</v>
      </c>
      <c r="C8" s="214" t="s">
        <v>126</v>
      </c>
      <c r="D8" s="214" t="s">
        <v>78</v>
      </c>
      <c r="E8" s="214" t="s">
        <v>5</v>
      </c>
      <c r="F8" s="215" t="s">
        <v>6</v>
      </c>
      <c r="G8" s="216"/>
      <c r="H8" s="211" t="s">
        <v>89</v>
      </c>
      <c r="I8" s="211"/>
      <c r="J8" s="211"/>
      <c r="K8" s="211" t="s">
        <v>82</v>
      </c>
      <c r="L8" s="211"/>
      <c r="M8" s="211"/>
      <c r="N8" s="211" t="s">
        <v>83</v>
      </c>
      <c r="O8" s="211"/>
      <c r="P8" s="211"/>
      <c r="Q8" s="202" t="s">
        <v>538</v>
      </c>
      <c r="R8" s="202" t="s">
        <v>77</v>
      </c>
      <c r="S8" s="210" t="s">
        <v>13</v>
      </c>
      <c r="T8" s="210"/>
      <c r="U8" s="210"/>
      <c r="V8" s="114"/>
    </row>
    <row r="9" spans="1:22">
      <c r="B9" s="213"/>
      <c r="C9" s="203"/>
      <c r="D9" s="203"/>
      <c r="E9" s="203"/>
      <c r="F9" s="217"/>
      <c r="G9" s="218"/>
      <c r="H9" s="113" t="s">
        <v>7</v>
      </c>
      <c r="I9" s="113" t="s">
        <v>8</v>
      </c>
      <c r="J9" s="113" t="s">
        <v>9</v>
      </c>
      <c r="K9" s="113" t="s">
        <v>7</v>
      </c>
      <c r="L9" s="113" t="s">
        <v>8</v>
      </c>
      <c r="M9" s="113" t="s">
        <v>9</v>
      </c>
      <c r="N9" s="113" t="s">
        <v>7</v>
      </c>
      <c r="O9" s="113" t="s">
        <v>8</v>
      </c>
      <c r="P9" s="113" t="s">
        <v>9</v>
      </c>
      <c r="Q9" s="203"/>
      <c r="R9" s="203"/>
      <c r="S9" s="93"/>
      <c r="T9" s="94"/>
      <c r="U9" s="95"/>
      <c r="V9" s="114"/>
    </row>
    <row r="10" spans="1:22" ht="73.5" customHeight="1">
      <c r="B10" s="120" t="str">
        <f>"1-"&amp;ROW()-9</f>
        <v>1-1</v>
      </c>
      <c r="C10" s="42" t="s">
        <v>480</v>
      </c>
      <c r="D10" s="100" t="s">
        <v>249</v>
      </c>
      <c r="E10" s="100" t="s">
        <v>574</v>
      </c>
      <c r="F10" s="204" t="s">
        <v>474</v>
      </c>
      <c r="G10" s="205"/>
      <c r="H10" s="101"/>
      <c r="I10" s="20"/>
      <c r="J10" s="101"/>
      <c r="K10" s="101"/>
      <c r="L10" s="20"/>
      <c r="M10" s="101"/>
      <c r="N10" s="101"/>
      <c r="O10" s="20"/>
      <c r="P10" s="101"/>
      <c r="Q10" s="101"/>
      <c r="R10" s="101"/>
      <c r="S10" s="100"/>
      <c r="T10" s="102"/>
      <c r="U10" s="102"/>
      <c r="V10" s="141"/>
    </row>
    <row r="11" spans="1:22" ht="38.1" customHeight="1">
      <c r="B11" s="120" t="str">
        <f t="shared" ref="B11:B69" si="0">"1-"&amp;ROW()-9</f>
        <v>1-2</v>
      </c>
      <c r="C11" s="100" t="s">
        <v>81</v>
      </c>
      <c r="D11" s="100" t="s">
        <v>498</v>
      </c>
      <c r="E11" s="42" t="s">
        <v>475</v>
      </c>
      <c r="F11" s="204" t="s">
        <v>579</v>
      </c>
      <c r="G11" s="205"/>
      <c r="H11" s="101"/>
      <c r="I11" s="20"/>
      <c r="J11" s="101"/>
      <c r="K11" s="101"/>
      <c r="L11" s="20"/>
      <c r="M11" s="101"/>
      <c r="N11" s="101"/>
      <c r="O11" s="20"/>
      <c r="P11" s="101"/>
      <c r="Q11" s="160"/>
      <c r="R11" s="101"/>
      <c r="S11" s="100"/>
      <c r="T11" s="102"/>
      <c r="U11" s="102"/>
      <c r="V11" s="141"/>
    </row>
    <row r="12" spans="1:22" s="15" customFormat="1" ht="38.1" customHeight="1">
      <c r="B12" s="120" t="str">
        <f t="shared" si="0"/>
        <v>1-3</v>
      </c>
      <c r="C12" s="100" t="s">
        <v>476</v>
      </c>
      <c r="D12" s="100" t="s">
        <v>499</v>
      </c>
      <c r="E12" s="42" t="s">
        <v>475</v>
      </c>
      <c r="F12" s="204" t="s">
        <v>580</v>
      </c>
      <c r="G12" s="205"/>
      <c r="H12" s="101"/>
      <c r="I12" s="20"/>
      <c r="J12" s="101"/>
      <c r="K12" s="101"/>
      <c r="L12" s="20"/>
      <c r="M12" s="101"/>
      <c r="N12" s="101"/>
      <c r="O12" s="20"/>
      <c r="P12" s="101"/>
      <c r="Q12" s="160"/>
      <c r="R12" s="101"/>
      <c r="S12" s="100"/>
      <c r="T12" s="102"/>
      <c r="U12" s="102"/>
      <c r="V12" s="156"/>
    </row>
    <row r="13" spans="1:22" ht="35.450000000000003" customHeight="1">
      <c r="B13" s="120" t="str">
        <f t="shared" si="0"/>
        <v>1-4</v>
      </c>
      <c r="C13" s="100" t="s">
        <v>476</v>
      </c>
      <c r="D13" s="100" t="s">
        <v>160</v>
      </c>
      <c r="E13" s="100" t="s">
        <v>61</v>
      </c>
      <c r="F13" s="204" t="s">
        <v>477</v>
      </c>
      <c r="G13" s="205"/>
      <c r="H13" s="101"/>
      <c r="I13" s="20"/>
      <c r="J13" s="101"/>
      <c r="K13" s="101"/>
      <c r="L13" s="20"/>
      <c r="M13" s="101"/>
      <c r="N13" s="101"/>
      <c r="O13" s="20"/>
      <c r="P13" s="101"/>
      <c r="Q13" s="101"/>
      <c r="R13" s="101"/>
      <c r="S13" s="100"/>
      <c r="T13" s="102"/>
      <c r="U13" s="102"/>
      <c r="V13" s="114"/>
    </row>
    <row r="14" spans="1:22" ht="38.450000000000003" customHeight="1">
      <c r="B14" s="120" t="str">
        <f t="shared" si="0"/>
        <v>1-5</v>
      </c>
      <c r="C14" s="100" t="s">
        <v>160</v>
      </c>
      <c r="D14" s="100" t="s">
        <v>160</v>
      </c>
      <c r="E14" s="100" t="s">
        <v>61</v>
      </c>
      <c r="F14" s="204" t="s">
        <v>163</v>
      </c>
      <c r="G14" s="205"/>
      <c r="H14" s="101"/>
      <c r="I14" s="20"/>
      <c r="J14" s="101"/>
      <c r="K14" s="101"/>
      <c r="L14" s="20"/>
      <c r="M14" s="101"/>
      <c r="N14" s="101"/>
      <c r="O14" s="20"/>
      <c r="P14" s="101"/>
      <c r="Q14" s="101"/>
      <c r="R14" s="101"/>
      <c r="S14" s="100"/>
      <c r="T14" s="102"/>
      <c r="U14" s="102"/>
      <c r="V14" s="124"/>
    </row>
    <row r="15" spans="1:22" ht="38.450000000000003" customHeight="1">
      <c r="B15" s="120" t="str">
        <f t="shared" si="0"/>
        <v>1-6</v>
      </c>
      <c r="C15" s="100" t="s">
        <v>81</v>
      </c>
      <c r="D15" s="100" t="s">
        <v>81</v>
      </c>
      <c r="E15" s="100" t="s">
        <v>61</v>
      </c>
      <c r="F15" s="204" t="s">
        <v>90</v>
      </c>
      <c r="G15" s="205"/>
      <c r="H15" s="101"/>
      <c r="I15" s="20"/>
      <c r="J15" s="101"/>
      <c r="K15" s="101"/>
      <c r="L15" s="20"/>
      <c r="M15" s="101"/>
      <c r="N15" s="101"/>
      <c r="O15" s="20"/>
      <c r="P15" s="101"/>
      <c r="Q15" s="101"/>
      <c r="R15" s="101"/>
      <c r="S15" s="100"/>
      <c r="T15" s="102"/>
      <c r="U15" s="102"/>
      <c r="V15" s="115"/>
    </row>
    <row r="16" spans="1:22" ht="38.450000000000003" customHeight="1">
      <c r="B16" s="120" t="str">
        <f t="shared" si="0"/>
        <v>1-7</v>
      </c>
      <c r="C16" s="100" t="s">
        <v>81</v>
      </c>
      <c r="D16" s="100" t="s">
        <v>81</v>
      </c>
      <c r="E16" s="100" t="s">
        <v>61</v>
      </c>
      <c r="F16" s="204" t="s">
        <v>91</v>
      </c>
      <c r="G16" s="205"/>
      <c r="H16" s="101"/>
      <c r="I16" s="20"/>
      <c r="J16" s="101"/>
      <c r="K16" s="101"/>
      <c r="L16" s="20"/>
      <c r="M16" s="101"/>
      <c r="N16" s="101"/>
      <c r="O16" s="20"/>
      <c r="P16" s="101"/>
      <c r="Q16" s="101"/>
      <c r="R16" s="101"/>
      <c r="S16" s="100"/>
      <c r="T16" s="102"/>
      <c r="U16" s="102"/>
      <c r="V16" s="115"/>
    </row>
    <row r="17" spans="2:24" ht="38.450000000000003" customHeight="1">
      <c r="B17" s="120" t="str">
        <f t="shared" si="0"/>
        <v>1-8</v>
      </c>
      <c r="C17" s="100"/>
      <c r="D17" s="100" t="s">
        <v>161</v>
      </c>
      <c r="E17" s="100" t="s">
        <v>164</v>
      </c>
      <c r="F17" s="204" t="s">
        <v>165</v>
      </c>
      <c r="G17" s="205"/>
      <c r="H17" s="101"/>
      <c r="I17" s="20"/>
      <c r="J17" s="101"/>
      <c r="K17" s="101"/>
      <c r="L17" s="20"/>
      <c r="M17" s="101"/>
      <c r="N17" s="101"/>
      <c r="O17" s="20"/>
      <c r="P17" s="101"/>
      <c r="Q17" s="101"/>
      <c r="R17" s="101"/>
      <c r="S17" s="100"/>
      <c r="T17" s="102"/>
      <c r="U17" s="102"/>
      <c r="V17" s="124"/>
      <c r="W17" s="124"/>
      <c r="X17" s="124"/>
    </row>
    <row r="18" spans="2:24" ht="38.450000000000003" customHeight="1">
      <c r="B18" s="120" t="str">
        <f t="shared" si="0"/>
        <v>1-9</v>
      </c>
      <c r="C18" s="100"/>
      <c r="D18" s="100" t="s">
        <v>161</v>
      </c>
      <c r="E18" s="100" t="s">
        <v>166</v>
      </c>
      <c r="F18" s="204" t="s">
        <v>90</v>
      </c>
      <c r="G18" s="205"/>
      <c r="H18" s="101"/>
      <c r="I18" s="20"/>
      <c r="J18" s="101"/>
      <c r="K18" s="101"/>
      <c r="L18" s="20"/>
      <c r="M18" s="101"/>
      <c r="N18" s="101"/>
      <c r="O18" s="20"/>
      <c r="P18" s="101"/>
      <c r="Q18" s="101"/>
      <c r="R18" s="22"/>
      <c r="S18" s="100"/>
      <c r="T18" s="102"/>
      <c r="U18" s="102"/>
      <c r="V18" s="124"/>
      <c r="W18" s="124"/>
      <c r="X18" s="124"/>
    </row>
    <row r="19" spans="2:24" ht="38.450000000000003" customHeight="1">
      <c r="B19" s="120" t="str">
        <f t="shared" si="0"/>
        <v>1-10</v>
      </c>
      <c r="C19" s="100"/>
      <c r="D19" s="100" t="s">
        <v>167</v>
      </c>
      <c r="E19" s="100" t="s">
        <v>168</v>
      </c>
      <c r="F19" s="204" t="s">
        <v>91</v>
      </c>
      <c r="G19" s="205"/>
      <c r="H19" s="101"/>
      <c r="I19" s="20"/>
      <c r="J19" s="101"/>
      <c r="K19" s="101"/>
      <c r="L19" s="20"/>
      <c r="M19" s="101"/>
      <c r="N19" s="101"/>
      <c r="O19" s="20"/>
      <c r="P19" s="101"/>
      <c r="Q19" s="146"/>
      <c r="R19" s="101"/>
      <c r="S19" s="100"/>
      <c r="T19" s="102"/>
      <c r="U19" s="102"/>
      <c r="V19" s="124"/>
      <c r="W19" s="124"/>
      <c r="X19" s="124"/>
    </row>
    <row r="20" spans="2:24" ht="38.450000000000003" customHeight="1">
      <c r="B20" s="120" t="str">
        <f t="shared" si="0"/>
        <v>1-11</v>
      </c>
      <c r="C20" s="100" t="s">
        <v>143</v>
      </c>
      <c r="D20" s="100" t="s">
        <v>100</v>
      </c>
      <c r="E20" s="100" t="s">
        <v>116</v>
      </c>
      <c r="F20" s="206" t="s">
        <v>129</v>
      </c>
      <c r="G20" s="207"/>
      <c r="H20" s="101"/>
      <c r="I20" s="20"/>
      <c r="J20" s="101"/>
      <c r="K20" s="101"/>
      <c r="L20" s="20"/>
      <c r="M20" s="101"/>
      <c r="N20" s="101"/>
      <c r="O20" s="20"/>
      <c r="P20" s="101"/>
      <c r="Q20" s="101"/>
      <c r="R20" s="101"/>
      <c r="S20" s="100"/>
      <c r="T20" s="102"/>
      <c r="U20" s="102"/>
      <c r="V20" s="117"/>
    </row>
    <row r="21" spans="2:24" ht="38.450000000000003" customHeight="1">
      <c r="B21" s="120" t="str">
        <f t="shared" si="0"/>
        <v>1-12</v>
      </c>
      <c r="C21" s="100" t="s">
        <v>81</v>
      </c>
      <c r="D21" s="100" t="s">
        <v>81</v>
      </c>
      <c r="E21" s="100" t="s">
        <v>127</v>
      </c>
      <c r="F21" s="206" t="s">
        <v>128</v>
      </c>
      <c r="G21" s="207"/>
      <c r="H21" s="101"/>
      <c r="I21" s="20"/>
      <c r="J21" s="101"/>
      <c r="K21" s="101"/>
      <c r="L21" s="20"/>
      <c r="M21" s="101"/>
      <c r="N21" s="101"/>
      <c r="O21" s="20"/>
      <c r="P21" s="101"/>
      <c r="Q21" s="101"/>
      <c r="R21" s="101"/>
      <c r="S21" s="100"/>
      <c r="T21" s="102"/>
      <c r="U21" s="102"/>
      <c r="V21" s="117"/>
    </row>
    <row r="22" spans="2:24" ht="48.95" customHeight="1">
      <c r="B22" s="120" t="str">
        <f t="shared" si="0"/>
        <v>1-13</v>
      </c>
      <c r="C22" s="100" t="s">
        <v>97</v>
      </c>
      <c r="D22" s="100" t="s">
        <v>457</v>
      </c>
      <c r="E22" s="100" t="s">
        <v>458</v>
      </c>
      <c r="F22" s="206" t="s">
        <v>504</v>
      </c>
      <c r="G22" s="207"/>
      <c r="H22" s="101"/>
      <c r="I22" s="20"/>
      <c r="J22" s="101"/>
      <c r="K22" s="101"/>
      <c r="L22" s="20"/>
      <c r="M22" s="101"/>
      <c r="N22" s="101"/>
      <c r="O22" s="20"/>
      <c r="P22" s="101"/>
      <c r="Q22" s="101"/>
      <c r="R22" s="101"/>
      <c r="S22" s="100"/>
      <c r="T22" s="102"/>
      <c r="U22" s="102"/>
      <c r="V22" s="138"/>
      <c r="W22" s="138"/>
      <c r="X22" s="138"/>
    </row>
    <row r="23" spans="2:24" ht="39.6" customHeight="1">
      <c r="B23" s="120" t="str">
        <f t="shared" si="0"/>
        <v>1-14</v>
      </c>
      <c r="C23" s="100" t="s">
        <v>81</v>
      </c>
      <c r="D23" s="100" t="s">
        <v>106</v>
      </c>
      <c r="E23" s="100" t="s">
        <v>116</v>
      </c>
      <c r="F23" s="206" t="s">
        <v>129</v>
      </c>
      <c r="G23" s="207"/>
      <c r="H23" s="101"/>
      <c r="I23" s="20"/>
      <c r="J23" s="101"/>
      <c r="K23" s="101"/>
      <c r="L23" s="20"/>
      <c r="M23" s="101"/>
      <c r="N23" s="101"/>
      <c r="O23" s="20"/>
      <c r="P23" s="101"/>
      <c r="Q23" s="101"/>
      <c r="R23" s="101"/>
      <c r="S23" s="100"/>
      <c r="T23" s="102"/>
      <c r="U23" s="102"/>
      <c r="V23" s="117"/>
    </row>
    <row r="24" spans="2:24" ht="39.6" customHeight="1">
      <c r="B24" s="120" t="str">
        <f t="shared" si="0"/>
        <v>1-15</v>
      </c>
      <c r="C24" s="100" t="s">
        <v>81</v>
      </c>
      <c r="D24" s="100" t="s">
        <v>81</v>
      </c>
      <c r="E24" s="100" t="s">
        <v>127</v>
      </c>
      <c r="F24" s="206" t="s">
        <v>130</v>
      </c>
      <c r="G24" s="207"/>
      <c r="H24" s="101"/>
      <c r="I24" s="20"/>
      <c r="J24" s="101"/>
      <c r="K24" s="101"/>
      <c r="L24" s="20"/>
      <c r="M24" s="101"/>
      <c r="N24" s="101"/>
      <c r="O24" s="20"/>
      <c r="P24" s="101"/>
      <c r="Q24" s="101"/>
      <c r="R24" s="101"/>
      <c r="S24" s="100"/>
      <c r="T24" s="102"/>
      <c r="U24" s="102"/>
      <c r="V24" s="117"/>
    </row>
    <row r="25" spans="2:24" ht="38.450000000000003" customHeight="1">
      <c r="B25" s="120" t="str">
        <f t="shared" si="0"/>
        <v>1-16</v>
      </c>
      <c r="C25" s="100" t="s">
        <v>169</v>
      </c>
      <c r="D25" s="100" t="s">
        <v>161</v>
      </c>
      <c r="E25" s="100" t="s">
        <v>170</v>
      </c>
      <c r="F25" s="204" t="s">
        <v>539</v>
      </c>
      <c r="G25" s="205"/>
      <c r="H25" s="101"/>
      <c r="I25" s="20"/>
      <c r="J25" s="101"/>
      <c r="K25" s="101"/>
      <c r="L25" s="20"/>
      <c r="M25" s="101"/>
      <c r="N25" s="101"/>
      <c r="O25" s="20"/>
      <c r="P25" s="101"/>
      <c r="Q25" s="101"/>
      <c r="R25" s="101"/>
      <c r="S25" s="100"/>
      <c r="T25" s="102"/>
      <c r="U25" s="102"/>
      <c r="V25" s="124"/>
    </row>
    <row r="26" spans="2:24" ht="48.95" customHeight="1">
      <c r="B26" s="120" t="str">
        <f t="shared" si="0"/>
        <v>1-17</v>
      </c>
      <c r="C26" s="100" t="s">
        <v>97</v>
      </c>
      <c r="D26" s="100" t="s">
        <v>99</v>
      </c>
      <c r="E26" s="100" t="s">
        <v>458</v>
      </c>
      <c r="F26" s="206" t="s">
        <v>481</v>
      </c>
      <c r="G26" s="207"/>
      <c r="H26" s="101"/>
      <c r="I26" s="20"/>
      <c r="J26" s="101"/>
      <c r="K26" s="101"/>
      <c r="L26" s="20"/>
      <c r="M26" s="101"/>
      <c r="N26" s="101"/>
      <c r="O26" s="20"/>
      <c r="P26" s="101"/>
      <c r="Q26" s="101"/>
      <c r="R26" s="101"/>
      <c r="S26" s="100"/>
      <c r="T26" s="102"/>
      <c r="U26" s="102"/>
      <c r="V26" s="139"/>
      <c r="W26" s="139"/>
      <c r="X26" s="139"/>
    </row>
    <row r="27" spans="2:24" ht="48.95" customHeight="1">
      <c r="B27" s="120" t="str">
        <f t="shared" si="0"/>
        <v>1-18</v>
      </c>
      <c r="C27" s="100" t="s">
        <v>97</v>
      </c>
      <c r="D27" s="100" t="s">
        <v>99</v>
      </c>
      <c r="E27" s="100" t="s">
        <v>99</v>
      </c>
      <c r="F27" s="206" t="s">
        <v>482</v>
      </c>
      <c r="G27" s="207"/>
      <c r="H27" s="101"/>
      <c r="I27" s="20"/>
      <c r="J27" s="101"/>
      <c r="K27" s="101"/>
      <c r="L27" s="20"/>
      <c r="M27" s="101"/>
      <c r="N27" s="101"/>
      <c r="O27" s="20"/>
      <c r="P27" s="101"/>
      <c r="Q27" s="101"/>
      <c r="R27" s="101"/>
      <c r="S27" s="100"/>
      <c r="T27" s="102"/>
      <c r="U27" s="102"/>
      <c r="V27" s="139"/>
      <c r="W27" s="139"/>
      <c r="X27" s="139"/>
    </row>
    <row r="28" spans="2:24" ht="38.450000000000003" customHeight="1">
      <c r="B28" s="120" t="str">
        <f t="shared" si="0"/>
        <v>1-19</v>
      </c>
      <c r="C28" s="100" t="s">
        <v>81</v>
      </c>
      <c r="D28" s="100" t="s">
        <v>107</v>
      </c>
      <c r="E28" s="100" t="s">
        <v>116</v>
      </c>
      <c r="F28" s="206" t="s">
        <v>129</v>
      </c>
      <c r="G28" s="207"/>
      <c r="H28" s="101"/>
      <c r="I28" s="20"/>
      <c r="J28" s="101"/>
      <c r="K28" s="101"/>
      <c r="L28" s="20"/>
      <c r="M28" s="101"/>
      <c r="N28" s="101"/>
      <c r="O28" s="20"/>
      <c r="P28" s="101"/>
      <c r="Q28" s="101"/>
      <c r="R28" s="101"/>
      <c r="S28" s="100"/>
      <c r="T28" s="102"/>
      <c r="U28" s="102"/>
      <c r="V28" s="117"/>
    </row>
    <row r="29" spans="2:24" ht="38.450000000000003" customHeight="1">
      <c r="B29" s="120" t="str">
        <f t="shared" si="0"/>
        <v>1-20</v>
      </c>
      <c r="C29" s="100" t="s">
        <v>81</v>
      </c>
      <c r="D29" s="100" t="s">
        <v>81</v>
      </c>
      <c r="E29" s="100" t="s">
        <v>132</v>
      </c>
      <c r="F29" s="206" t="s">
        <v>131</v>
      </c>
      <c r="G29" s="207"/>
      <c r="H29" s="101"/>
      <c r="I29" s="20"/>
      <c r="J29" s="101"/>
      <c r="K29" s="101"/>
      <c r="L29" s="20"/>
      <c r="M29" s="101"/>
      <c r="N29" s="101"/>
      <c r="O29" s="20"/>
      <c r="P29" s="101"/>
      <c r="Q29" s="101"/>
      <c r="R29" s="101"/>
      <c r="S29" s="100"/>
      <c r="T29" s="102"/>
      <c r="U29" s="102"/>
      <c r="V29" s="117"/>
    </row>
    <row r="30" spans="2:24" ht="38.450000000000003" customHeight="1">
      <c r="B30" s="120" t="str">
        <f t="shared" si="0"/>
        <v>1-21</v>
      </c>
      <c r="C30" s="100" t="s">
        <v>81</v>
      </c>
      <c r="D30" s="100" t="s">
        <v>81</v>
      </c>
      <c r="E30" s="100" t="s">
        <v>127</v>
      </c>
      <c r="F30" s="206" t="s">
        <v>216</v>
      </c>
      <c r="G30" s="207"/>
      <c r="H30" s="101"/>
      <c r="I30" s="20"/>
      <c r="J30" s="101"/>
      <c r="K30" s="101"/>
      <c r="L30" s="20"/>
      <c r="M30" s="101"/>
      <c r="N30" s="101"/>
      <c r="O30" s="20"/>
      <c r="P30" s="101"/>
      <c r="Q30" s="101"/>
      <c r="R30" s="101"/>
      <c r="S30" s="100"/>
      <c r="T30" s="102"/>
      <c r="U30" s="102"/>
      <c r="V30" s="117"/>
    </row>
    <row r="31" spans="2:24" ht="38.450000000000003" customHeight="1">
      <c r="B31" s="120" t="str">
        <f t="shared" si="0"/>
        <v>1-22</v>
      </c>
      <c r="C31" s="100" t="s">
        <v>81</v>
      </c>
      <c r="D31" s="100" t="s">
        <v>109</v>
      </c>
      <c r="E31" s="100" t="s">
        <v>116</v>
      </c>
      <c r="F31" s="206" t="s">
        <v>129</v>
      </c>
      <c r="G31" s="207"/>
      <c r="H31" s="101"/>
      <c r="I31" s="20"/>
      <c r="J31" s="101"/>
      <c r="K31" s="101"/>
      <c r="L31" s="20"/>
      <c r="M31" s="101"/>
      <c r="N31" s="101"/>
      <c r="O31" s="20"/>
      <c r="P31" s="101"/>
      <c r="Q31" s="101"/>
      <c r="R31" s="101"/>
      <c r="S31" s="100"/>
      <c r="T31" s="102"/>
      <c r="U31" s="102"/>
      <c r="V31" s="117"/>
    </row>
    <row r="32" spans="2:24" ht="38.450000000000003" customHeight="1">
      <c r="B32" s="120" t="str">
        <f t="shared" si="0"/>
        <v>1-23</v>
      </c>
      <c r="C32" s="100" t="s">
        <v>81</v>
      </c>
      <c r="D32" s="100" t="s">
        <v>81</v>
      </c>
      <c r="E32" s="100" t="s">
        <v>127</v>
      </c>
      <c r="F32" s="206" t="s">
        <v>133</v>
      </c>
      <c r="G32" s="207"/>
      <c r="H32" s="101"/>
      <c r="I32" s="20"/>
      <c r="J32" s="101"/>
      <c r="K32" s="101"/>
      <c r="L32" s="20"/>
      <c r="M32" s="101"/>
      <c r="N32" s="101"/>
      <c r="O32" s="20"/>
      <c r="P32" s="101"/>
      <c r="Q32" s="101"/>
      <c r="R32" s="101"/>
      <c r="S32" s="100"/>
      <c r="T32" s="102"/>
      <c r="U32" s="102"/>
      <c r="V32" s="117"/>
    </row>
    <row r="33" spans="2:24" ht="38.450000000000003" customHeight="1">
      <c r="B33" s="120" t="str">
        <f t="shared" si="0"/>
        <v>1-24</v>
      </c>
      <c r="C33" s="100" t="s">
        <v>169</v>
      </c>
      <c r="D33" s="100" t="s">
        <v>161</v>
      </c>
      <c r="E33" s="100" t="s">
        <v>170</v>
      </c>
      <c r="F33" s="204" t="s">
        <v>505</v>
      </c>
      <c r="G33" s="205"/>
      <c r="H33" s="101"/>
      <c r="I33" s="20"/>
      <c r="J33" s="101"/>
      <c r="K33" s="101"/>
      <c r="L33" s="20"/>
      <c r="M33" s="101"/>
      <c r="N33" s="101"/>
      <c r="O33" s="20"/>
      <c r="P33" s="101"/>
      <c r="Q33" s="101"/>
      <c r="R33" s="101"/>
      <c r="S33" s="100"/>
      <c r="T33" s="102"/>
      <c r="U33" s="102"/>
      <c r="V33" s="124"/>
    </row>
    <row r="34" spans="2:24" ht="48.95" customHeight="1">
      <c r="B34" s="120" t="str">
        <f t="shared" si="0"/>
        <v>1-25</v>
      </c>
      <c r="C34" s="100" t="s">
        <v>97</v>
      </c>
      <c r="D34" s="100" t="s">
        <v>99</v>
      </c>
      <c r="E34" s="100" t="s">
        <v>458</v>
      </c>
      <c r="F34" s="206" t="s">
        <v>481</v>
      </c>
      <c r="G34" s="207"/>
      <c r="H34" s="101"/>
      <c r="I34" s="20"/>
      <c r="J34" s="101"/>
      <c r="K34" s="101"/>
      <c r="L34" s="20"/>
      <c r="M34" s="101"/>
      <c r="N34" s="101"/>
      <c r="O34" s="20"/>
      <c r="P34" s="101"/>
      <c r="Q34" s="101"/>
      <c r="R34" s="101"/>
      <c r="S34" s="100"/>
      <c r="T34" s="102"/>
      <c r="U34" s="102"/>
      <c r="V34" s="139"/>
      <c r="W34" s="139"/>
      <c r="X34" s="139"/>
    </row>
    <row r="35" spans="2:24" ht="48.95" customHeight="1">
      <c r="B35" s="120" t="str">
        <f t="shared" si="0"/>
        <v>1-26</v>
      </c>
      <c r="C35" s="100" t="s">
        <v>97</v>
      </c>
      <c r="D35" s="100" t="s">
        <v>99</v>
      </c>
      <c r="E35" s="100" t="s">
        <v>99</v>
      </c>
      <c r="F35" s="206" t="s">
        <v>483</v>
      </c>
      <c r="G35" s="207"/>
      <c r="H35" s="101"/>
      <c r="I35" s="20"/>
      <c r="J35" s="101"/>
      <c r="K35" s="101"/>
      <c r="L35" s="20"/>
      <c r="M35" s="101"/>
      <c r="N35" s="101"/>
      <c r="O35" s="20"/>
      <c r="P35" s="101"/>
      <c r="Q35" s="101"/>
      <c r="R35" s="101"/>
      <c r="S35" s="100"/>
      <c r="T35" s="102"/>
      <c r="U35" s="102"/>
      <c r="V35" s="139"/>
      <c r="W35" s="139"/>
      <c r="X35" s="139"/>
    </row>
    <row r="36" spans="2:24" ht="38.450000000000003" customHeight="1">
      <c r="B36" s="120" t="str">
        <f t="shared" si="0"/>
        <v>1-27</v>
      </c>
      <c r="C36" s="100" t="s">
        <v>81</v>
      </c>
      <c r="D36" s="100" t="s">
        <v>110</v>
      </c>
      <c r="E36" s="100" t="s">
        <v>116</v>
      </c>
      <c r="F36" s="206" t="s">
        <v>129</v>
      </c>
      <c r="G36" s="207"/>
      <c r="H36" s="101"/>
      <c r="I36" s="20"/>
      <c r="J36" s="101"/>
      <c r="K36" s="101"/>
      <c r="L36" s="20"/>
      <c r="M36" s="101"/>
      <c r="N36" s="101"/>
      <c r="O36" s="20"/>
      <c r="P36" s="101"/>
      <c r="Q36" s="101"/>
      <c r="R36" s="101"/>
      <c r="S36" s="100"/>
      <c r="T36" s="102"/>
      <c r="U36" s="102"/>
      <c r="V36" s="117"/>
    </row>
    <row r="37" spans="2:24" ht="38.450000000000003" customHeight="1">
      <c r="B37" s="120" t="str">
        <f t="shared" si="0"/>
        <v>1-28</v>
      </c>
      <c r="C37" s="100" t="s">
        <v>81</v>
      </c>
      <c r="D37" s="100" t="s">
        <v>81</v>
      </c>
      <c r="E37" s="100" t="s">
        <v>127</v>
      </c>
      <c r="F37" s="206" t="s">
        <v>133</v>
      </c>
      <c r="G37" s="207"/>
      <c r="H37" s="101"/>
      <c r="I37" s="20"/>
      <c r="J37" s="101"/>
      <c r="K37" s="101"/>
      <c r="L37" s="20"/>
      <c r="M37" s="101"/>
      <c r="N37" s="101"/>
      <c r="O37" s="20"/>
      <c r="P37" s="101"/>
      <c r="Q37" s="101"/>
      <c r="R37" s="101"/>
      <c r="S37" s="100"/>
      <c r="T37" s="102"/>
      <c r="U37" s="102"/>
      <c r="V37" s="117"/>
    </row>
    <row r="38" spans="2:24" ht="38.450000000000003" customHeight="1">
      <c r="B38" s="120" t="str">
        <f t="shared" si="0"/>
        <v>1-29</v>
      </c>
      <c r="C38" s="100" t="s">
        <v>169</v>
      </c>
      <c r="D38" s="100" t="s">
        <v>161</v>
      </c>
      <c r="E38" s="100" t="s">
        <v>170</v>
      </c>
      <c r="F38" s="204" t="s">
        <v>505</v>
      </c>
      <c r="G38" s="205"/>
      <c r="H38" s="101"/>
      <c r="I38" s="20"/>
      <c r="J38" s="101"/>
      <c r="K38" s="101"/>
      <c r="L38" s="20"/>
      <c r="M38" s="101"/>
      <c r="N38" s="101"/>
      <c r="O38" s="20"/>
      <c r="P38" s="101"/>
      <c r="Q38" s="101"/>
      <c r="R38" s="101"/>
      <c r="S38" s="100"/>
      <c r="T38" s="102"/>
      <c r="U38" s="102"/>
      <c r="V38" s="124"/>
    </row>
    <row r="39" spans="2:24" ht="48.95" customHeight="1">
      <c r="B39" s="120" t="str">
        <f t="shared" si="0"/>
        <v>1-30</v>
      </c>
      <c r="C39" s="100" t="s">
        <v>97</v>
      </c>
      <c r="D39" s="100" t="s">
        <v>99</v>
      </c>
      <c r="E39" s="100" t="s">
        <v>458</v>
      </c>
      <c r="F39" s="206" t="s">
        <v>481</v>
      </c>
      <c r="G39" s="207"/>
      <c r="H39" s="101"/>
      <c r="I39" s="20"/>
      <c r="J39" s="101"/>
      <c r="K39" s="101"/>
      <c r="L39" s="20"/>
      <c r="M39" s="101"/>
      <c r="N39" s="101"/>
      <c r="O39" s="20"/>
      <c r="P39" s="101"/>
      <c r="Q39" s="101"/>
      <c r="R39" s="101"/>
      <c r="S39" s="100"/>
      <c r="T39" s="102"/>
      <c r="U39" s="102"/>
      <c r="V39" s="139"/>
      <c r="W39" s="139"/>
      <c r="X39" s="139"/>
    </row>
    <row r="40" spans="2:24" ht="48.95" customHeight="1">
      <c r="B40" s="120" t="str">
        <f t="shared" si="0"/>
        <v>1-31</v>
      </c>
      <c r="C40" s="100" t="s">
        <v>97</v>
      </c>
      <c r="D40" s="100" t="s">
        <v>99</v>
      </c>
      <c r="E40" s="100" t="s">
        <v>99</v>
      </c>
      <c r="F40" s="206" t="s">
        <v>483</v>
      </c>
      <c r="G40" s="207"/>
      <c r="H40" s="101"/>
      <c r="I40" s="20"/>
      <c r="J40" s="101"/>
      <c r="K40" s="101"/>
      <c r="L40" s="20"/>
      <c r="M40" s="101"/>
      <c r="N40" s="101"/>
      <c r="O40" s="20"/>
      <c r="P40" s="101"/>
      <c r="Q40" s="101"/>
      <c r="R40" s="101"/>
      <c r="S40" s="100"/>
      <c r="T40" s="102"/>
      <c r="U40" s="102"/>
      <c r="V40" s="139"/>
      <c r="W40" s="139"/>
      <c r="X40" s="139"/>
    </row>
    <row r="41" spans="2:24" ht="38.450000000000003" customHeight="1">
      <c r="B41" s="120" t="str">
        <f t="shared" si="0"/>
        <v>1-32</v>
      </c>
      <c r="C41" s="100" t="s">
        <v>81</v>
      </c>
      <c r="D41" s="100" t="s">
        <v>111</v>
      </c>
      <c r="E41" s="100" t="s">
        <v>116</v>
      </c>
      <c r="F41" s="206" t="s">
        <v>129</v>
      </c>
      <c r="G41" s="207"/>
      <c r="H41" s="101"/>
      <c r="I41" s="20"/>
      <c r="J41" s="101"/>
      <c r="K41" s="101"/>
      <c r="L41" s="20"/>
      <c r="M41" s="101"/>
      <c r="N41" s="101"/>
      <c r="O41" s="20"/>
      <c r="P41" s="101"/>
      <c r="Q41" s="101"/>
      <c r="R41" s="101"/>
      <c r="S41" s="100"/>
      <c r="T41" s="102"/>
      <c r="U41" s="102"/>
      <c r="V41" s="117"/>
    </row>
    <row r="42" spans="2:24" ht="38.450000000000003" customHeight="1">
      <c r="B42" s="120" t="str">
        <f t="shared" si="0"/>
        <v>1-33</v>
      </c>
      <c r="C42" s="100" t="s">
        <v>81</v>
      </c>
      <c r="D42" s="100" t="s">
        <v>81</v>
      </c>
      <c r="E42" s="100" t="s">
        <v>127</v>
      </c>
      <c r="F42" s="206" t="s">
        <v>133</v>
      </c>
      <c r="G42" s="207"/>
      <c r="H42" s="101"/>
      <c r="I42" s="20"/>
      <c r="J42" s="101"/>
      <c r="K42" s="101"/>
      <c r="L42" s="20"/>
      <c r="M42" s="101"/>
      <c r="N42" s="101"/>
      <c r="O42" s="20"/>
      <c r="P42" s="101"/>
      <c r="Q42" s="101"/>
      <c r="R42" s="101"/>
      <c r="S42" s="100"/>
      <c r="T42" s="102"/>
      <c r="U42" s="102"/>
      <c r="V42" s="117"/>
    </row>
    <row r="43" spans="2:24" ht="38.450000000000003" customHeight="1">
      <c r="B43" s="120" t="str">
        <f t="shared" si="0"/>
        <v>1-34</v>
      </c>
      <c r="C43" s="100" t="s">
        <v>81</v>
      </c>
      <c r="D43" s="100" t="s">
        <v>113</v>
      </c>
      <c r="E43" s="100" t="s">
        <v>116</v>
      </c>
      <c r="F43" s="206" t="s">
        <v>129</v>
      </c>
      <c r="G43" s="207"/>
      <c r="H43" s="101"/>
      <c r="I43" s="20"/>
      <c r="J43" s="101"/>
      <c r="K43" s="101"/>
      <c r="L43" s="20"/>
      <c r="M43" s="101"/>
      <c r="N43" s="101"/>
      <c r="O43" s="20"/>
      <c r="P43" s="101"/>
      <c r="Q43" s="101"/>
      <c r="R43" s="101"/>
      <c r="S43" s="100"/>
      <c r="T43" s="102"/>
      <c r="U43" s="102"/>
      <c r="V43" s="117"/>
    </row>
    <row r="44" spans="2:24" ht="38.450000000000003" customHeight="1">
      <c r="B44" s="120" t="str">
        <f t="shared" si="0"/>
        <v>1-35</v>
      </c>
      <c r="C44" s="100" t="s">
        <v>81</v>
      </c>
      <c r="D44" s="100" t="s">
        <v>81</v>
      </c>
      <c r="E44" s="100" t="s">
        <v>127</v>
      </c>
      <c r="F44" s="206" t="s">
        <v>134</v>
      </c>
      <c r="G44" s="207"/>
      <c r="H44" s="101"/>
      <c r="I44" s="20"/>
      <c r="J44" s="101"/>
      <c r="K44" s="101"/>
      <c r="L44" s="20"/>
      <c r="M44" s="101"/>
      <c r="N44" s="101"/>
      <c r="O44" s="20"/>
      <c r="P44" s="101"/>
      <c r="Q44" s="101"/>
      <c r="R44" s="101"/>
      <c r="S44" s="100"/>
      <c r="T44" s="102"/>
      <c r="U44" s="102"/>
      <c r="V44" s="117"/>
    </row>
    <row r="45" spans="2:24" ht="38.450000000000003" customHeight="1">
      <c r="B45" s="120" t="str">
        <f t="shared" si="0"/>
        <v>1-36</v>
      </c>
      <c r="C45" s="100" t="s">
        <v>81</v>
      </c>
      <c r="D45" s="100" t="s">
        <v>81</v>
      </c>
      <c r="E45" s="100" t="s">
        <v>137</v>
      </c>
      <c r="F45" s="204" t="s">
        <v>135</v>
      </c>
      <c r="G45" s="205"/>
      <c r="H45" s="101"/>
      <c r="I45" s="20"/>
      <c r="J45" s="101"/>
      <c r="K45" s="101"/>
      <c r="L45" s="20"/>
      <c r="M45" s="101"/>
      <c r="N45" s="101"/>
      <c r="O45" s="20"/>
      <c r="P45" s="101"/>
      <c r="Q45" s="146"/>
      <c r="R45" s="101"/>
      <c r="S45" s="100"/>
      <c r="T45" s="102"/>
      <c r="U45" s="102"/>
      <c r="V45" s="117"/>
    </row>
    <row r="46" spans="2:24" ht="38.450000000000003" customHeight="1">
      <c r="B46" s="120" t="str">
        <f t="shared" si="0"/>
        <v>1-37</v>
      </c>
      <c r="C46" s="100" t="s">
        <v>171</v>
      </c>
      <c r="D46" s="100" t="s">
        <v>171</v>
      </c>
      <c r="E46" s="100" t="s">
        <v>136</v>
      </c>
      <c r="F46" s="204" t="s">
        <v>484</v>
      </c>
      <c r="G46" s="205"/>
      <c r="H46" s="101"/>
      <c r="I46" s="20"/>
      <c r="J46" s="101"/>
      <c r="K46" s="101"/>
      <c r="L46" s="20"/>
      <c r="M46" s="101"/>
      <c r="N46" s="101"/>
      <c r="O46" s="20"/>
      <c r="P46" s="101"/>
      <c r="Q46" s="101"/>
      <c r="R46" s="101"/>
      <c r="S46" s="100"/>
      <c r="T46" s="102"/>
      <c r="U46" s="102"/>
      <c r="V46" s="124"/>
    </row>
    <row r="47" spans="2:24" ht="38.450000000000003" customHeight="1">
      <c r="B47" s="120" t="str">
        <f t="shared" si="0"/>
        <v>1-38</v>
      </c>
      <c r="C47" s="100" t="s">
        <v>171</v>
      </c>
      <c r="D47" s="100" t="s">
        <v>161</v>
      </c>
      <c r="E47" s="100" t="s">
        <v>172</v>
      </c>
      <c r="F47" s="204" t="s">
        <v>485</v>
      </c>
      <c r="G47" s="205"/>
      <c r="H47" s="101"/>
      <c r="I47" s="20"/>
      <c r="J47" s="101"/>
      <c r="K47" s="101"/>
      <c r="L47" s="20"/>
      <c r="M47" s="101"/>
      <c r="N47" s="101"/>
      <c r="O47" s="20"/>
      <c r="P47" s="101"/>
      <c r="Q47" s="101"/>
      <c r="R47" s="101"/>
      <c r="S47" s="100"/>
      <c r="T47" s="102"/>
      <c r="U47" s="102"/>
      <c r="V47" s="124"/>
    </row>
    <row r="48" spans="2:24" ht="38.450000000000003" customHeight="1">
      <c r="B48" s="120" t="str">
        <f t="shared" si="0"/>
        <v>1-39</v>
      </c>
      <c r="C48" s="100"/>
      <c r="D48" s="100" t="s">
        <v>112</v>
      </c>
      <c r="E48" s="100" t="s">
        <v>116</v>
      </c>
      <c r="F48" s="206" t="s">
        <v>129</v>
      </c>
      <c r="G48" s="207"/>
      <c r="H48" s="101"/>
      <c r="I48" s="20"/>
      <c r="J48" s="101"/>
      <c r="K48" s="101"/>
      <c r="L48" s="20"/>
      <c r="M48" s="101"/>
      <c r="N48" s="101"/>
      <c r="O48" s="20"/>
      <c r="P48" s="101"/>
      <c r="Q48" s="101"/>
      <c r="R48" s="101"/>
      <c r="S48" s="100"/>
      <c r="T48" s="102"/>
      <c r="U48" s="102"/>
      <c r="V48" s="117"/>
    </row>
    <row r="49" spans="2:22" ht="38.450000000000003" customHeight="1">
      <c r="B49" s="120" t="str">
        <f t="shared" si="0"/>
        <v>1-40</v>
      </c>
      <c r="C49" s="100" t="s">
        <v>81</v>
      </c>
      <c r="D49" s="100" t="s">
        <v>81</v>
      </c>
      <c r="E49" s="100" t="s">
        <v>127</v>
      </c>
      <c r="F49" s="206" t="s">
        <v>134</v>
      </c>
      <c r="G49" s="207"/>
      <c r="H49" s="101"/>
      <c r="I49" s="20"/>
      <c r="J49" s="101"/>
      <c r="K49" s="101"/>
      <c r="L49" s="20"/>
      <c r="M49" s="101"/>
      <c r="N49" s="101"/>
      <c r="O49" s="20"/>
      <c r="P49" s="101"/>
      <c r="Q49" s="101"/>
      <c r="R49" s="101"/>
      <c r="S49" s="100"/>
      <c r="T49" s="102"/>
      <c r="U49" s="102"/>
      <c r="V49" s="117"/>
    </row>
    <row r="50" spans="2:22" ht="38.450000000000003" customHeight="1">
      <c r="B50" s="120" t="str">
        <f t="shared" si="0"/>
        <v>1-41</v>
      </c>
      <c r="C50" s="100" t="s">
        <v>81</v>
      </c>
      <c r="D50" s="100" t="s">
        <v>81</v>
      </c>
      <c r="E50" s="100" t="s">
        <v>136</v>
      </c>
      <c r="F50" s="122" t="s">
        <v>485</v>
      </c>
      <c r="G50" s="123"/>
      <c r="H50" s="101"/>
      <c r="I50" s="20"/>
      <c r="J50" s="101"/>
      <c r="K50" s="101"/>
      <c r="L50" s="20"/>
      <c r="M50" s="101"/>
      <c r="N50" s="101"/>
      <c r="O50" s="20"/>
      <c r="P50" s="101"/>
      <c r="Q50" s="101"/>
      <c r="R50" s="101"/>
      <c r="S50" s="100"/>
      <c r="T50" s="102"/>
      <c r="U50" s="102"/>
      <c r="V50" s="117"/>
    </row>
    <row r="51" spans="2:22" ht="38.450000000000003" customHeight="1">
      <c r="B51" s="120" t="str">
        <f t="shared" si="0"/>
        <v>1-42</v>
      </c>
      <c r="C51" s="100" t="s">
        <v>81</v>
      </c>
      <c r="D51" s="100" t="s">
        <v>173</v>
      </c>
      <c r="E51" s="100" t="s">
        <v>116</v>
      </c>
      <c r="F51" s="206" t="s">
        <v>129</v>
      </c>
      <c r="G51" s="207"/>
      <c r="H51" s="101"/>
      <c r="I51" s="20"/>
      <c r="J51" s="101"/>
      <c r="K51" s="101"/>
      <c r="L51" s="20"/>
      <c r="M51" s="101"/>
      <c r="N51" s="101"/>
      <c r="O51" s="20"/>
      <c r="P51" s="101"/>
      <c r="Q51" s="101"/>
      <c r="R51" s="101"/>
      <c r="S51" s="100"/>
      <c r="T51" s="102"/>
      <c r="U51" s="102"/>
      <c r="V51" s="124"/>
    </row>
    <row r="52" spans="2:22" ht="39" customHeight="1">
      <c r="B52" s="120" t="str">
        <f t="shared" ref="B52:B63" si="1">"1-"&amp;ROW()-9</f>
        <v>1-43</v>
      </c>
      <c r="C52" s="100" t="s">
        <v>506</v>
      </c>
      <c r="D52" s="42" t="s">
        <v>521</v>
      </c>
      <c r="E52" s="100" t="s">
        <v>300</v>
      </c>
      <c r="F52" s="204" t="s">
        <v>174</v>
      </c>
      <c r="G52" s="205"/>
      <c r="H52" s="101"/>
      <c r="I52" s="20"/>
      <c r="J52" s="101"/>
      <c r="K52" s="101"/>
      <c r="L52" s="20"/>
      <c r="M52" s="101"/>
      <c r="N52" s="101"/>
      <c r="O52" s="20"/>
      <c r="P52" s="101"/>
      <c r="Q52" s="101"/>
      <c r="R52" s="101"/>
      <c r="S52" s="100"/>
      <c r="T52" s="102"/>
      <c r="U52" s="102"/>
      <c r="V52" s="141"/>
    </row>
    <row r="53" spans="2:22" ht="39" customHeight="1">
      <c r="B53" s="157" t="str">
        <f t="shared" si="1"/>
        <v>1-44</v>
      </c>
      <c r="C53" s="100"/>
      <c r="D53" s="100" t="s">
        <v>494</v>
      </c>
      <c r="E53" s="100" t="s">
        <v>177</v>
      </c>
      <c r="F53" s="204" t="s">
        <v>577</v>
      </c>
      <c r="G53" s="205"/>
      <c r="H53" s="101"/>
      <c r="I53" s="20"/>
      <c r="J53" s="101"/>
      <c r="K53" s="101"/>
      <c r="L53" s="20"/>
      <c r="M53" s="101"/>
      <c r="N53" s="101"/>
      <c r="O53" s="20"/>
      <c r="P53" s="101"/>
      <c r="Q53" s="101"/>
      <c r="R53" s="101"/>
      <c r="S53" s="100"/>
      <c r="T53" s="102"/>
      <c r="U53" s="102"/>
      <c r="V53" s="141"/>
    </row>
    <row r="54" spans="2:22" ht="39" customHeight="1">
      <c r="B54" s="157" t="str">
        <f t="shared" si="1"/>
        <v>1-45</v>
      </c>
      <c r="C54" s="100"/>
      <c r="D54" s="100" t="s">
        <v>506</v>
      </c>
      <c r="E54" s="100" t="s">
        <v>175</v>
      </c>
      <c r="F54" s="204" t="s">
        <v>178</v>
      </c>
      <c r="G54" s="205"/>
      <c r="H54" s="101"/>
      <c r="I54" s="20"/>
      <c r="J54" s="101"/>
      <c r="K54" s="101"/>
      <c r="L54" s="20"/>
      <c r="M54" s="101"/>
      <c r="N54" s="101"/>
      <c r="O54" s="20"/>
      <c r="P54" s="101"/>
      <c r="Q54" s="101"/>
      <c r="R54" s="101"/>
      <c r="S54" s="100"/>
      <c r="T54" s="102"/>
      <c r="U54" s="102"/>
      <c r="V54" s="141"/>
    </row>
    <row r="55" spans="2:22" ht="39" customHeight="1">
      <c r="B55" s="157" t="str">
        <f t="shared" si="1"/>
        <v>1-46</v>
      </c>
      <c r="C55" s="100" t="s">
        <v>509</v>
      </c>
      <c r="D55" s="42" t="s">
        <v>508</v>
      </c>
      <c r="E55" s="42" t="s">
        <v>115</v>
      </c>
      <c r="F55" s="204" t="s">
        <v>117</v>
      </c>
      <c r="G55" s="205"/>
      <c r="H55" s="101"/>
      <c r="I55" s="20"/>
      <c r="J55" s="101"/>
      <c r="K55" s="101"/>
      <c r="L55" s="20"/>
      <c r="M55" s="101"/>
      <c r="N55" s="101"/>
      <c r="O55" s="20"/>
      <c r="P55" s="101"/>
      <c r="Q55" s="146"/>
      <c r="R55" s="101"/>
      <c r="S55" s="100"/>
      <c r="T55" s="102"/>
      <c r="U55" s="102"/>
      <c r="V55" s="141"/>
    </row>
    <row r="56" spans="2:22" ht="39" customHeight="1">
      <c r="B56" s="120" t="str">
        <f t="shared" si="1"/>
        <v>1-47</v>
      </c>
      <c r="C56" s="100" t="s">
        <v>510</v>
      </c>
      <c r="D56" s="100" t="s">
        <v>81</v>
      </c>
      <c r="E56" s="42" t="s">
        <v>540</v>
      </c>
      <c r="F56" s="204" t="s">
        <v>473</v>
      </c>
      <c r="G56" s="205"/>
      <c r="H56" s="101"/>
      <c r="I56" s="20"/>
      <c r="J56" s="101"/>
      <c r="K56" s="101"/>
      <c r="L56" s="20"/>
      <c r="M56" s="101"/>
      <c r="N56" s="101"/>
      <c r="O56" s="20"/>
      <c r="P56" s="101"/>
      <c r="Q56" s="146"/>
      <c r="R56" s="101"/>
      <c r="S56" s="100"/>
      <c r="T56" s="102"/>
      <c r="U56" s="102"/>
      <c r="V56" s="141"/>
    </row>
    <row r="57" spans="2:22" ht="39" customHeight="1">
      <c r="B57" s="120" t="str">
        <f t="shared" si="1"/>
        <v>1-48</v>
      </c>
      <c r="C57" s="100" t="s">
        <v>81</v>
      </c>
      <c r="D57" s="100" t="s">
        <v>495</v>
      </c>
      <c r="E57" s="100" t="s">
        <v>495</v>
      </c>
      <c r="F57" s="204" t="s">
        <v>180</v>
      </c>
      <c r="G57" s="205"/>
      <c r="H57" s="101"/>
      <c r="I57" s="20"/>
      <c r="J57" s="101"/>
      <c r="K57" s="101"/>
      <c r="L57" s="20"/>
      <c r="M57" s="101"/>
      <c r="N57" s="101"/>
      <c r="O57" s="20"/>
      <c r="P57" s="101"/>
      <c r="Q57" s="146"/>
      <c r="R57" s="101"/>
      <c r="S57" s="100"/>
      <c r="T57" s="102"/>
      <c r="U57" s="102"/>
      <c r="V57" s="141"/>
    </row>
    <row r="58" spans="2:22" s="15" customFormat="1" ht="39" customHeight="1">
      <c r="B58" s="120" t="str">
        <f t="shared" si="1"/>
        <v>1-49</v>
      </c>
      <c r="C58" s="100" t="s">
        <v>81</v>
      </c>
      <c r="D58" s="42" t="s">
        <v>511</v>
      </c>
      <c r="E58" s="42" t="s">
        <v>541</v>
      </c>
      <c r="F58" s="204" t="s">
        <v>542</v>
      </c>
      <c r="G58" s="205"/>
      <c r="H58" s="101"/>
      <c r="I58" s="20"/>
      <c r="J58" s="101"/>
      <c r="K58" s="101"/>
      <c r="L58" s="20"/>
      <c r="M58" s="101"/>
      <c r="N58" s="101"/>
      <c r="O58" s="20"/>
      <c r="P58" s="101"/>
      <c r="Q58" s="146"/>
      <c r="R58" s="101"/>
      <c r="S58" s="100"/>
      <c r="T58" s="102"/>
      <c r="U58" s="102"/>
      <c r="V58" s="141"/>
    </row>
    <row r="59" spans="2:22" s="15" customFormat="1" ht="39" customHeight="1">
      <c r="B59" s="120" t="str">
        <f t="shared" si="1"/>
        <v>1-50</v>
      </c>
      <c r="C59" s="100" t="s">
        <v>81</v>
      </c>
      <c r="D59" s="100" t="s">
        <v>81</v>
      </c>
      <c r="E59" s="100" t="s">
        <v>543</v>
      </c>
      <c r="F59" s="204" t="s">
        <v>544</v>
      </c>
      <c r="G59" s="205"/>
      <c r="H59" s="101"/>
      <c r="I59" s="20"/>
      <c r="J59" s="101"/>
      <c r="K59" s="101"/>
      <c r="L59" s="20"/>
      <c r="M59" s="101"/>
      <c r="N59" s="101"/>
      <c r="O59" s="20"/>
      <c r="P59" s="101"/>
      <c r="Q59" s="146"/>
      <c r="R59" s="146"/>
      <c r="S59" s="100"/>
      <c r="T59" s="102"/>
      <c r="U59" s="102"/>
      <c r="V59" s="145"/>
    </row>
    <row r="60" spans="2:22" s="15" customFormat="1" ht="39" customHeight="1">
      <c r="B60" s="120" t="str">
        <f t="shared" si="1"/>
        <v>1-51</v>
      </c>
      <c r="C60" s="100" t="s">
        <v>81</v>
      </c>
      <c r="D60" s="100" t="s">
        <v>495</v>
      </c>
      <c r="E60" s="42" t="s">
        <v>181</v>
      </c>
      <c r="F60" s="204" t="s">
        <v>473</v>
      </c>
      <c r="G60" s="205"/>
      <c r="H60" s="101"/>
      <c r="I60" s="20"/>
      <c r="J60" s="101"/>
      <c r="K60" s="101"/>
      <c r="L60" s="20"/>
      <c r="M60" s="101"/>
      <c r="N60" s="101"/>
      <c r="O60" s="20"/>
      <c r="P60" s="101"/>
      <c r="Q60" s="146"/>
      <c r="R60" s="101"/>
      <c r="S60" s="100"/>
      <c r="T60" s="102"/>
      <c r="U60" s="102"/>
      <c r="V60" s="141"/>
    </row>
    <row r="61" spans="2:22" s="15" customFormat="1" ht="39" customHeight="1">
      <c r="B61" s="120" t="str">
        <f t="shared" si="1"/>
        <v>1-52</v>
      </c>
      <c r="C61" s="100" t="s">
        <v>496</v>
      </c>
      <c r="D61" s="100" t="s">
        <v>81</v>
      </c>
      <c r="E61" s="100" t="s">
        <v>545</v>
      </c>
      <c r="F61" s="204" t="s">
        <v>546</v>
      </c>
      <c r="G61" s="205"/>
      <c r="H61" s="101"/>
      <c r="I61" s="20"/>
      <c r="J61" s="101"/>
      <c r="K61" s="101"/>
      <c r="L61" s="20"/>
      <c r="M61" s="101"/>
      <c r="N61" s="101"/>
      <c r="O61" s="20"/>
      <c r="P61" s="101"/>
      <c r="Q61" s="146"/>
      <c r="R61" s="101"/>
      <c r="S61" s="100"/>
      <c r="T61" s="102"/>
      <c r="U61" s="102"/>
      <c r="V61" s="145"/>
    </row>
    <row r="62" spans="2:22" s="15" customFormat="1" ht="39" customHeight="1">
      <c r="B62" s="120" t="str">
        <f t="shared" si="1"/>
        <v>1-53</v>
      </c>
      <c r="C62" s="100" t="s">
        <v>496</v>
      </c>
      <c r="D62" s="100" t="s">
        <v>512</v>
      </c>
      <c r="E62" s="100" t="s">
        <v>543</v>
      </c>
      <c r="F62" s="204" t="s">
        <v>544</v>
      </c>
      <c r="G62" s="205"/>
      <c r="H62" s="101"/>
      <c r="I62" s="20"/>
      <c r="J62" s="101"/>
      <c r="K62" s="101"/>
      <c r="L62" s="20"/>
      <c r="M62" s="101"/>
      <c r="N62" s="101"/>
      <c r="O62" s="20"/>
      <c r="P62" s="101"/>
      <c r="Q62" s="146"/>
      <c r="R62" s="101"/>
      <c r="S62" s="100"/>
      <c r="T62" s="102"/>
      <c r="U62" s="102"/>
      <c r="V62" s="141"/>
    </row>
    <row r="63" spans="2:22" s="15" customFormat="1" ht="38.450000000000003" customHeight="1">
      <c r="B63" s="120" t="str">
        <f t="shared" si="1"/>
        <v>1-54</v>
      </c>
      <c r="C63" s="100" t="s">
        <v>506</v>
      </c>
      <c r="D63" s="100" t="s">
        <v>496</v>
      </c>
      <c r="E63" s="100" t="s">
        <v>496</v>
      </c>
      <c r="F63" s="204" t="s">
        <v>513</v>
      </c>
      <c r="G63" s="205"/>
      <c r="H63" s="101"/>
      <c r="I63" s="20"/>
      <c r="J63" s="101"/>
      <c r="K63" s="101"/>
      <c r="L63" s="20"/>
      <c r="M63" s="101"/>
      <c r="N63" s="101"/>
      <c r="O63" s="20"/>
      <c r="P63" s="101"/>
      <c r="Q63" s="146"/>
      <c r="R63" s="101"/>
      <c r="S63" s="100"/>
      <c r="T63" s="102"/>
      <c r="U63" s="102"/>
      <c r="V63" s="141"/>
    </row>
    <row r="64" spans="2:22" ht="38.450000000000003" customHeight="1">
      <c r="B64" s="120" t="str">
        <f t="shared" si="0"/>
        <v>1-55</v>
      </c>
      <c r="C64" s="100" t="s">
        <v>81</v>
      </c>
      <c r="D64" s="100" t="s">
        <v>138</v>
      </c>
      <c r="E64" s="42" t="s">
        <v>121</v>
      </c>
      <c r="F64" s="204" t="s">
        <v>124</v>
      </c>
      <c r="G64" s="205"/>
      <c r="H64" s="101"/>
      <c r="I64" s="20"/>
      <c r="J64" s="101"/>
      <c r="K64" s="101"/>
      <c r="L64" s="20"/>
      <c r="M64" s="101"/>
      <c r="N64" s="101"/>
      <c r="O64" s="20"/>
      <c r="P64" s="101"/>
      <c r="Q64" s="146"/>
      <c r="R64" s="101"/>
      <c r="S64" s="100"/>
      <c r="T64" s="102"/>
      <c r="U64" s="102"/>
      <c r="V64" s="117"/>
    </row>
    <row r="65" spans="2:24" ht="38.450000000000003" customHeight="1">
      <c r="B65" s="120" t="str">
        <f t="shared" si="0"/>
        <v>1-56</v>
      </c>
      <c r="C65" s="100" t="s">
        <v>81</v>
      </c>
      <c r="D65" s="100" t="s">
        <v>81</v>
      </c>
      <c r="E65" s="42" t="s">
        <v>120</v>
      </c>
      <c r="F65" s="204" t="s">
        <v>125</v>
      </c>
      <c r="G65" s="205"/>
      <c r="H65" s="101"/>
      <c r="I65" s="20"/>
      <c r="J65" s="101"/>
      <c r="K65" s="101"/>
      <c r="L65" s="20"/>
      <c r="M65" s="101"/>
      <c r="N65" s="101"/>
      <c r="O65" s="20"/>
      <c r="P65" s="101"/>
      <c r="Q65" s="146"/>
      <c r="R65" s="101"/>
      <c r="S65" s="100"/>
      <c r="T65" s="102"/>
      <c r="U65" s="102"/>
      <c r="V65" s="117"/>
    </row>
    <row r="66" spans="2:24" ht="38.450000000000003" customHeight="1">
      <c r="B66" s="120" t="str">
        <f t="shared" si="0"/>
        <v>1-57</v>
      </c>
      <c r="C66" s="100"/>
      <c r="D66" s="100" t="s">
        <v>139</v>
      </c>
      <c r="E66" s="100" t="s">
        <v>116</v>
      </c>
      <c r="F66" s="208" t="s">
        <v>176</v>
      </c>
      <c r="G66" s="209"/>
      <c r="H66" s="101"/>
      <c r="I66" s="20"/>
      <c r="J66" s="101"/>
      <c r="K66" s="101"/>
      <c r="L66" s="20"/>
      <c r="M66" s="101"/>
      <c r="N66" s="101"/>
      <c r="O66" s="20"/>
      <c r="P66" s="101"/>
      <c r="Q66" s="146"/>
      <c r="R66" s="101"/>
      <c r="S66" s="100"/>
      <c r="T66" s="102"/>
      <c r="U66" s="102"/>
      <c r="V66" s="124"/>
    </row>
    <row r="67" spans="2:24" ht="38.450000000000003" customHeight="1">
      <c r="B67" s="120" t="str">
        <f t="shared" si="0"/>
        <v>1-58</v>
      </c>
      <c r="C67" s="100" t="s">
        <v>81</v>
      </c>
      <c r="D67" s="100" t="s">
        <v>81</v>
      </c>
      <c r="E67" s="42" t="s">
        <v>121</v>
      </c>
      <c r="F67" s="204" t="s">
        <v>119</v>
      </c>
      <c r="G67" s="205"/>
      <c r="H67" s="101"/>
      <c r="I67" s="20"/>
      <c r="J67" s="101"/>
      <c r="K67" s="101"/>
      <c r="L67" s="20"/>
      <c r="M67" s="101"/>
      <c r="N67" s="101"/>
      <c r="O67" s="20"/>
      <c r="P67" s="101"/>
      <c r="Q67" s="146"/>
      <c r="R67" s="101"/>
      <c r="S67" s="100"/>
      <c r="T67" s="102"/>
      <c r="U67" s="102"/>
      <c r="V67" s="117"/>
    </row>
    <row r="68" spans="2:24" ht="38.450000000000003" customHeight="1">
      <c r="B68" s="120" t="str">
        <f t="shared" si="0"/>
        <v>1-59</v>
      </c>
      <c r="C68" s="100" t="s">
        <v>81</v>
      </c>
      <c r="D68" s="100" t="s">
        <v>81</v>
      </c>
      <c r="E68" s="42" t="s">
        <v>122</v>
      </c>
      <c r="F68" s="204" t="s">
        <v>123</v>
      </c>
      <c r="G68" s="205"/>
      <c r="H68" s="101"/>
      <c r="I68" s="20"/>
      <c r="J68" s="101"/>
      <c r="K68" s="101"/>
      <c r="L68" s="20"/>
      <c r="M68" s="101"/>
      <c r="N68" s="101"/>
      <c r="O68" s="20"/>
      <c r="P68" s="101"/>
      <c r="Q68" s="146"/>
      <c r="R68" s="101"/>
      <c r="S68" s="100"/>
      <c r="T68" s="102"/>
      <c r="U68" s="102"/>
      <c r="V68" s="117"/>
    </row>
    <row r="69" spans="2:24" ht="38.450000000000003" customHeight="1">
      <c r="B69" s="120" t="str">
        <f t="shared" si="0"/>
        <v>1-60</v>
      </c>
      <c r="C69" s="100" t="s">
        <v>81</v>
      </c>
      <c r="D69" s="100" t="s">
        <v>81</v>
      </c>
      <c r="E69" s="42" t="s">
        <v>120</v>
      </c>
      <c r="F69" s="204" t="s">
        <v>118</v>
      </c>
      <c r="G69" s="205"/>
      <c r="H69" s="101"/>
      <c r="I69" s="20"/>
      <c r="J69" s="101"/>
      <c r="K69" s="101"/>
      <c r="L69" s="20"/>
      <c r="M69" s="101"/>
      <c r="N69" s="101"/>
      <c r="O69" s="20"/>
      <c r="P69" s="101"/>
      <c r="Q69" s="146"/>
      <c r="R69" s="101"/>
      <c r="S69" s="100"/>
      <c r="T69" s="102"/>
      <c r="U69" s="102"/>
      <c r="V69" s="117"/>
    </row>
    <row r="70" spans="2:24" ht="38.450000000000003" customHeight="1">
      <c r="B70" s="120" t="str">
        <f t="shared" ref="B70:B97" si="2">"1-"&amp;ROW()-9</f>
        <v>1-61</v>
      </c>
      <c r="C70" s="100" t="s">
        <v>81</v>
      </c>
      <c r="D70" s="100" t="s">
        <v>81</v>
      </c>
      <c r="E70" s="42" t="s">
        <v>122</v>
      </c>
      <c r="F70" s="204" t="s">
        <v>547</v>
      </c>
      <c r="G70" s="205"/>
      <c r="H70" s="101"/>
      <c r="I70" s="20"/>
      <c r="J70" s="101"/>
      <c r="K70" s="101"/>
      <c r="L70" s="20"/>
      <c r="M70" s="101"/>
      <c r="N70" s="101"/>
      <c r="O70" s="20"/>
      <c r="P70" s="101"/>
      <c r="Q70" s="146"/>
      <c r="R70" s="101"/>
      <c r="S70" s="100"/>
      <c r="T70" s="102"/>
      <c r="U70" s="102"/>
      <c r="V70" s="117"/>
    </row>
    <row r="71" spans="2:24" ht="38.450000000000003" customHeight="1">
      <c r="B71" s="120" t="str">
        <f t="shared" si="2"/>
        <v>1-62</v>
      </c>
      <c r="C71" s="100" t="s">
        <v>81</v>
      </c>
      <c r="D71" s="100" t="s">
        <v>114</v>
      </c>
      <c r="E71" s="100" t="s">
        <v>116</v>
      </c>
      <c r="F71" s="206" t="s">
        <v>129</v>
      </c>
      <c r="G71" s="207"/>
      <c r="H71" s="101"/>
      <c r="I71" s="20"/>
      <c r="J71" s="101"/>
      <c r="K71" s="101"/>
      <c r="L71" s="20"/>
      <c r="M71" s="101"/>
      <c r="N71" s="101"/>
      <c r="O71" s="20"/>
      <c r="P71" s="101"/>
      <c r="Q71" s="146"/>
      <c r="R71" s="101"/>
      <c r="S71" s="100"/>
      <c r="T71" s="102"/>
      <c r="U71" s="102"/>
      <c r="V71" s="117"/>
    </row>
    <row r="72" spans="2:24" ht="38.450000000000003" customHeight="1">
      <c r="B72" s="120" t="str">
        <f t="shared" si="2"/>
        <v>1-63</v>
      </c>
      <c r="C72" s="100" t="s">
        <v>81</v>
      </c>
      <c r="D72" s="100" t="s">
        <v>81</v>
      </c>
      <c r="E72" s="100" t="s">
        <v>132</v>
      </c>
      <c r="F72" s="206" t="s">
        <v>131</v>
      </c>
      <c r="G72" s="207"/>
      <c r="H72" s="101"/>
      <c r="I72" s="20"/>
      <c r="J72" s="101"/>
      <c r="K72" s="101"/>
      <c r="L72" s="20"/>
      <c r="M72" s="101"/>
      <c r="N72" s="101"/>
      <c r="O72" s="20"/>
      <c r="P72" s="101"/>
      <c r="Q72" s="146"/>
      <c r="R72" s="101"/>
      <c r="S72" s="100"/>
      <c r="T72" s="102"/>
      <c r="U72" s="102"/>
      <c r="V72" s="117"/>
    </row>
    <row r="73" spans="2:24" ht="38.450000000000003" customHeight="1">
      <c r="B73" s="120" t="str">
        <f t="shared" si="2"/>
        <v>1-64</v>
      </c>
      <c r="C73" s="100" t="s">
        <v>81</v>
      </c>
      <c r="D73" s="100" t="s">
        <v>81</v>
      </c>
      <c r="E73" s="100" t="s">
        <v>127</v>
      </c>
      <c r="F73" s="206" t="s">
        <v>133</v>
      </c>
      <c r="G73" s="207"/>
      <c r="H73" s="101"/>
      <c r="I73" s="20"/>
      <c r="J73" s="101"/>
      <c r="K73" s="101"/>
      <c r="L73" s="20"/>
      <c r="M73" s="101"/>
      <c r="N73" s="101"/>
      <c r="O73" s="20"/>
      <c r="P73" s="101"/>
      <c r="Q73" s="146"/>
      <c r="R73" s="101"/>
      <c r="S73" s="100"/>
      <c r="T73" s="102"/>
      <c r="U73" s="102"/>
      <c r="V73" s="117"/>
    </row>
    <row r="74" spans="2:24" ht="38.450000000000003" customHeight="1">
      <c r="B74" s="120" t="str">
        <f t="shared" si="2"/>
        <v>1-65</v>
      </c>
      <c r="C74" s="100" t="s">
        <v>81</v>
      </c>
      <c r="D74" s="100" t="s">
        <v>104</v>
      </c>
      <c r="E74" s="100" t="s">
        <v>116</v>
      </c>
      <c r="F74" s="204" t="s">
        <v>571</v>
      </c>
      <c r="G74" s="205"/>
      <c r="H74" s="101"/>
      <c r="I74" s="20"/>
      <c r="J74" s="101"/>
      <c r="K74" s="101"/>
      <c r="L74" s="20"/>
      <c r="M74" s="101"/>
      <c r="N74" s="101"/>
      <c r="O74" s="20"/>
      <c r="P74" s="101"/>
      <c r="Q74" s="146"/>
      <c r="R74" s="101"/>
      <c r="S74" s="100"/>
      <c r="T74" s="102"/>
      <c r="U74" s="102"/>
      <c r="V74" s="114"/>
      <c r="W74" s="114"/>
      <c r="X74" s="114"/>
    </row>
    <row r="75" spans="2:24" ht="38.450000000000003" customHeight="1">
      <c r="B75" s="120" t="str">
        <f t="shared" si="2"/>
        <v>1-66</v>
      </c>
      <c r="C75" s="100" t="s">
        <v>81</v>
      </c>
      <c r="D75" s="100" t="s">
        <v>144</v>
      </c>
      <c r="E75" s="100" t="s">
        <v>116</v>
      </c>
      <c r="F75" s="208" t="s">
        <v>176</v>
      </c>
      <c r="G75" s="209"/>
      <c r="H75" s="101"/>
      <c r="I75" s="20"/>
      <c r="J75" s="101"/>
      <c r="K75" s="101"/>
      <c r="L75" s="20"/>
      <c r="M75" s="101"/>
      <c r="N75" s="101"/>
      <c r="O75" s="20"/>
      <c r="P75" s="101"/>
      <c r="Q75" s="161"/>
      <c r="R75" s="101"/>
      <c r="S75" s="100"/>
      <c r="T75" s="102"/>
      <c r="U75" s="102"/>
      <c r="V75" s="114"/>
      <c r="W75" s="114"/>
      <c r="X75" s="114"/>
    </row>
    <row r="76" spans="2:24" ht="38.450000000000003" customHeight="1">
      <c r="B76" s="120" t="str">
        <f t="shared" si="2"/>
        <v>1-67</v>
      </c>
      <c r="C76" s="100" t="s">
        <v>161</v>
      </c>
      <c r="D76" s="100" t="s">
        <v>102</v>
      </c>
      <c r="E76" s="100" t="s">
        <v>137</v>
      </c>
      <c r="F76" s="206" t="s">
        <v>103</v>
      </c>
      <c r="G76" s="207"/>
      <c r="H76" s="101"/>
      <c r="I76" s="20"/>
      <c r="J76" s="101"/>
      <c r="K76" s="101"/>
      <c r="L76" s="20"/>
      <c r="M76" s="101"/>
      <c r="N76" s="101"/>
      <c r="O76" s="20"/>
      <c r="P76" s="101"/>
      <c r="Q76" s="161"/>
      <c r="R76" s="101"/>
      <c r="S76" s="100"/>
      <c r="T76" s="102"/>
      <c r="U76" s="102"/>
      <c r="V76" s="124"/>
      <c r="W76" s="124"/>
      <c r="X76" s="124"/>
    </row>
    <row r="77" spans="2:24" ht="38.450000000000003" customHeight="1">
      <c r="B77" s="120" t="str">
        <f t="shared" si="2"/>
        <v>1-68</v>
      </c>
      <c r="C77" s="100" t="s">
        <v>161</v>
      </c>
      <c r="D77" s="42" t="s">
        <v>573</v>
      </c>
      <c r="E77" s="100" t="s">
        <v>299</v>
      </c>
      <c r="F77" s="204" t="s">
        <v>262</v>
      </c>
      <c r="G77" s="205"/>
      <c r="H77" s="101"/>
      <c r="I77" s="20"/>
      <c r="J77" s="101"/>
      <c r="K77" s="101"/>
      <c r="L77" s="20"/>
      <c r="M77" s="101"/>
      <c r="N77" s="101"/>
      <c r="O77" s="20"/>
      <c r="P77" s="101"/>
      <c r="Q77" s="160"/>
      <c r="R77" s="101"/>
      <c r="S77" s="100"/>
      <c r="T77" s="102"/>
      <c r="U77" s="102"/>
      <c r="V77" s="124"/>
    </row>
    <row r="78" spans="2:24" ht="38.450000000000003" customHeight="1">
      <c r="B78" s="157" t="str">
        <f t="shared" si="2"/>
        <v>1-69</v>
      </c>
      <c r="C78" s="100"/>
      <c r="D78" s="100" t="s">
        <v>494</v>
      </c>
      <c r="E78" s="100" t="s">
        <v>193</v>
      </c>
      <c r="F78" s="204" t="s">
        <v>581</v>
      </c>
      <c r="G78" s="205"/>
      <c r="H78" s="101"/>
      <c r="I78" s="20"/>
      <c r="J78" s="101"/>
      <c r="K78" s="101"/>
      <c r="L78" s="20"/>
      <c r="M78" s="101"/>
      <c r="N78" s="101"/>
      <c r="O78" s="20"/>
      <c r="P78" s="101"/>
      <c r="Q78" s="160"/>
      <c r="R78" s="101"/>
      <c r="S78" s="100"/>
      <c r="T78" s="102"/>
      <c r="U78" s="102"/>
      <c r="V78" s="124"/>
    </row>
    <row r="79" spans="2:24" ht="38.450000000000003" customHeight="1">
      <c r="B79" s="157" t="str">
        <f t="shared" si="2"/>
        <v>1-70</v>
      </c>
      <c r="C79" s="100" t="s">
        <v>161</v>
      </c>
      <c r="D79" s="100" t="s">
        <v>500</v>
      </c>
      <c r="E79" s="100" t="s">
        <v>193</v>
      </c>
      <c r="F79" s="204" t="s">
        <v>580</v>
      </c>
      <c r="G79" s="205"/>
      <c r="H79" s="101"/>
      <c r="I79" s="20"/>
      <c r="J79" s="101"/>
      <c r="K79" s="101"/>
      <c r="L79" s="20"/>
      <c r="M79" s="101"/>
      <c r="N79" s="101"/>
      <c r="O79" s="20"/>
      <c r="P79" s="101"/>
      <c r="Q79" s="160"/>
      <c r="R79" s="101"/>
      <c r="S79" s="100"/>
      <c r="T79" s="102"/>
      <c r="U79" s="102"/>
      <c r="V79" s="124"/>
    </row>
    <row r="80" spans="2:24" ht="38.450000000000003" customHeight="1">
      <c r="B80" s="120" t="str">
        <f t="shared" si="2"/>
        <v>1-71</v>
      </c>
      <c r="C80" s="100" t="s">
        <v>161</v>
      </c>
      <c r="D80" s="100" t="s">
        <v>161</v>
      </c>
      <c r="E80" s="100" t="s">
        <v>193</v>
      </c>
      <c r="F80" s="204" t="s">
        <v>462</v>
      </c>
      <c r="G80" s="205"/>
      <c r="H80" s="101"/>
      <c r="I80" s="20"/>
      <c r="J80" s="101"/>
      <c r="K80" s="101"/>
      <c r="L80" s="20"/>
      <c r="M80" s="101"/>
      <c r="N80" s="101"/>
      <c r="O80" s="20"/>
      <c r="P80" s="101"/>
      <c r="Q80" s="161"/>
      <c r="R80" s="101"/>
      <c r="S80" s="100"/>
      <c r="T80" s="102"/>
      <c r="U80" s="102"/>
      <c r="V80" s="124"/>
    </row>
    <row r="81" spans="2:22" ht="38.450000000000003" customHeight="1">
      <c r="B81" s="120" t="str">
        <f t="shared" si="2"/>
        <v>1-72</v>
      </c>
      <c r="C81" s="100" t="s">
        <v>142</v>
      </c>
      <c r="D81" s="100" t="s">
        <v>184</v>
      </c>
      <c r="E81" s="100" t="s">
        <v>137</v>
      </c>
      <c r="F81" s="206" t="s">
        <v>103</v>
      </c>
      <c r="G81" s="207"/>
      <c r="H81" s="101"/>
      <c r="I81" s="20"/>
      <c r="J81" s="101"/>
      <c r="K81" s="101"/>
      <c r="L81" s="20"/>
      <c r="M81" s="101"/>
      <c r="N81" s="101"/>
      <c r="O81" s="20"/>
      <c r="P81" s="101"/>
      <c r="Q81" s="161"/>
      <c r="R81" s="101"/>
      <c r="S81" s="100"/>
      <c r="T81" s="102"/>
      <c r="U81" s="102"/>
      <c r="V81" s="124"/>
    </row>
    <row r="82" spans="2:22" ht="38.450000000000003" customHeight="1">
      <c r="B82" s="120" t="str">
        <f t="shared" si="2"/>
        <v>1-73</v>
      </c>
      <c r="C82" s="100" t="s">
        <v>161</v>
      </c>
      <c r="D82" s="100" t="s">
        <v>514</v>
      </c>
      <c r="E82" s="100" t="s">
        <v>137</v>
      </c>
      <c r="F82" s="206" t="s">
        <v>148</v>
      </c>
      <c r="G82" s="207"/>
      <c r="H82" s="101"/>
      <c r="I82" s="20"/>
      <c r="J82" s="101"/>
      <c r="K82" s="101"/>
      <c r="L82" s="20"/>
      <c r="M82" s="101"/>
      <c r="N82" s="101"/>
      <c r="O82" s="20"/>
      <c r="P82" s="101"/>
      <c r="Q82" s="161"/>
      <c r="R82" s="101"/>
      <c r="S82" s="100"/>
      <c r="T82" s="102"/>
      <c r="U82" s="102"/>
      <c r="V82" s="117"/>
    </row>
    <row r="83" spans="2:22" ht="38.450000000000003" customHeight="1">
      <c r="B83" s="120" t="str">
        <f t="shared" si="2"/>
        <v>1-74</v>
      </c>
      <c r="C83" s="100" t="s">
        <v>158</v>
      </c>
      <c r="D83" s="42" t="s">
        <v>515</v>
      </c>
      <c r="E83" s="100" t="s">
        <v>137</v>
      </c>
      <c r="F83" s="206" t="s">
        <v>159</v>
      </c>
      <c r="G83" s="207"/>
      <c r="H83" s="101"/>
      <c r="I83" s="20"/>
      <c r="J83" s="101"/>
      <c r="K83" s="101"/>
      <c r="L83" s="20"/>
      <c r="M83" s="101"/>
      <c r="N83" s="101"/>
      <c r="O83" s="20"/>
      <c r="P83" s="101"/>
      <c r="Q83" s="161"/>
      <c r="R83" s="101"/>
      <c r="S83" s="100"/>
      <c r="T83" s="102"/>
      <c r="U83" s="102"/>
      <c r="V83" s="121"/>
    </row>
    <row r="84" spans="2:22" ht="38.450000000000003" customHeight="1">
      <c r="B84" s="120" t="str">
        <f t="shared" si="2"/>
        <v>1-75</v>
      </c>
      <c r="C84" s="100" t="s">
        <v>158</v>
      </c>
      <c r="D84" s="42" t="s">
        <v>183</v>
      </c>
      <c r="E84" s="100" t="s">
        <v>297</v>
      </c>
      <c r="F84" s="204" t="s">
        <v>258</v>
      </c>
      <c r="G84" s="205"/>
      <c r="H84" s="101"/>
      <c r="I84" s="20"/>
      <c r="J84" s="101"/>
      <c r="K84" s="101"/>
      <c r="L84" s="20"/>
      <c r="M84" s="101"/>
      <c r="N84" s="101"/>
      <c r="O84" s="20"/>
      <c r="P84" s="101"/>
      <c r="Q84" s="160"/>
      <c r="R84" s="101"/>
      <c r="S84" s="100"/>
      <c r="T84" s="102"/>
      <c r="U84" s="102"/>
      <c r="V84" s="117"/>
    </row>
    <row r="85" spans="2:22" ht="38.450000000000003" customHeight="1">
      <c r="B85" s="157" t="str">
        <f t="shared" si="2"/>
        <v>1-76</v>
      </c>
      <c r="C85" s="100" t="s">
        <v>81</v>
      </c>
      <c r="D85" s="100" t="s">
        <v>494</v>
      </c>
      <c r="E85" s="100" t="s">
        <v>193</v>
      </c>
      <c r="F85" s="204" t="s">
        <v>576</v>
      </c>
      <c r="G85" s="205"/>
      <c r="H85" s="101"/>
      <c r="I85" s="20"/>
      <c r="J85" s="101"/>
      <c r="K85" s="101"/>
      <c r="L85" s="20"/>
      <c r="M85" s="101"/>
      <c r="N85" s="101"/>
      <c r="O85" s="20"/>
      <c r="P85" s="101"/>
      <c r="Q85" s="160"/>
      <c r="R85" s="101"/>
      <c r="S85" s="100"/>
      <c r="T85" s="102"/>
      <c r="U85" s="102"/>
      <c r="V85" s="117"/>
    </row>
    <row r="86" spans="2:22" ht="38.450000000000003" customHeight="1">
      <c r="B86" s="157" t="str">
        <f t="shared" si="2"/>
        <v>1-77</v>
      </c>
      <c r="C86" s="100" t="s">
        <v>81</v>
      </c>
      <c r="D86" s="100" t="s">
        <v>500</v>
      </c>
      <c r="E86" s="100" t="s">
        <v>193</v>
      </c>
      <c r="F86" s="204" t="s">
        <v>576</v>
      </c>
      <c r="G86" s="205"/>
      <c r="H86" s="101"/>
      <c r="I86" s="20"/>
      <c r="J86" s="101"/>
      <c r="K86" s="101"/>
      <c r="L86" s="20"/>
      <c r="M86" s="101"/>
      <c r="N86" s="101"/>
      <c r="O86" s="20"/>
      <c r="P86" s="101"/>
      <c r="Q86" s="160"/>
      <c r="R86" s="101"/>
      <c r="S86" s="100"/>
      <c r="T86" s="102"/>
      <c r="U86" s="102"/>
      <c r="V86" s="117"/>
    </row>
    <row r="87" spans="2:22" ht="38.450000000000003" customHeight="1">
      <c r="B87" s="120" t="str">
        <f t="shared" si="2"/>
        <v>1-78</v>
      </c>
      <c r="C87" s="100" t="s">
        <v>81</v>
      </c>
      <c r="D87" s="100" t="s">
        <v>81</v>
      </c>
      <c r="E87" s="100" t="s">
        <v>193</v>
      </c>
      <c r="F87" s="204" t="s">
        <v>459</v>
      </c>
      <c r="G87" s="205"/>
      <c r="H87" s="101"/>
      <c r="I87" s="20"/>
      <c r="J87" s="101"/>
      <c r="K87" s="101"/>
      <c r="L87" s="20"/>
      <c r="M87" s="101"/>
      <c r="N87" s="101"/>
      <c r="O87" s="20"/>
      <c r="P87" s="101"/>
      <c r="Q87" s="161"/>
      <c r="R87" s="101"/>
      <c r="S87" s="100"/>
      <c r="T87" s="102"/>
      <c r="U87" s="102"/>
    </row>
    <row r="88" spans="2:22" ht="38.450000000000003" customHeight="1">
      <c r="B88" s="120" t="str">
        <f t="shared" si="2"/>
        <v>1-79</v>
      </c>
      <c r="C88" s="100" t="s">
        <v>81</v>
      </c>
      <c r="D88" s="100" t="s">
        <v>81</v>
      </c>
      <c r="E88" s="100" t="s">
        <v>487</v>
      </c>
      <c r="F88" s="204" t="s">
        <v>466</v>
      </c>
      <c r="G88" s="205"/>
      <c r="H88" s="101"/>
      <c r="I88" s="20"/>
      <c r="J88" s="101"/>
      <c r="K88" s="101"/>
      <c r="L88" s="20"/>
      <c r="M88" s="101"/>
      <c r="N88" s="101"/>
      <c r="O88" s="20"/>
      <c r="P88" s="101"/>
      <c r="Q88" s="161"/>
      <c r="R88" s="101"/>
      <c r="S88" s="100"/>
      <c r="T88" s="102"/>
      <c r="U88" s="102"/>
      <c r="V88" s="117"/>
    </row>
    <row r="89" spans="2:22" ht="38.450000000000003" customHeight="1">
      <c r="B89" s="120" t="str">
        <f t="shared" si="2"/>
        <v>1-80</v>
      </c>
      <c r="C89" s="100" t="s">
        <v>463</v>
      </c>
      <c r="D89" s="100" t="s">
        <v>184</v>
      </c>
      <c r="E89" s="100" t="s">
        <v>137</v>
      </c>
      <c r="F89" s="206" t="s">
        <v>465</v>
      </c>
      <c r="G89" s="207"/>
      <c r="H89" s="101"/>
      <c r="I89" s="20"/>
      <c r="J89" s="101"/>
      <c r="K89" s="101"/>
      <c r="L89" s="20"/>
      <c r="M89" s="101"/>
      <c r="N89" s="101"/>
      <c r="O89" s="20"/>
      <c r="P89" s="101"/>
      <c r="Q89" s="146"/>
      <c r="R89" s="101"/>
      <c r="S89" s="100"/>
      <c r="T89" s="102"/>
      <c r="U89" s="102"/>
      <c r="V89" s="139"/>
    </row>
    <row r="90" spans="2:22" ht="38.450000000000003" customHeight="1">
      <c r="B90" s="120" t="str">
        <f t="shared" si="2"/>
        <v>1-81</v>
      </c>
      <c r="C90" s="100" t="s">
        <v>81</v>
      </c>
      <c r="D90" s="100" t="s">
        <v>464</v>
      </c>
      <c r="E90" s="100" t="s">
        <v>268</v>
      </c>
      <c r="F90" s="204" t="s">
        <v>466</v>
      </c>
      <c r="G90" s="205"/>
      <c r="H90" s="101"/>
      <c r="I90" s="20"/>
      <c r="J90" s="101"/>
      <c r="K90" s="101"/>
      <c r="L90" s="20"/>
      <c r="M90" s="101"/>
      <c r="N90" s="101"/>
      <c r="O90" s="20"/>
      <c r="P90" s="101"/>
      <c r="Q90" s="146"/>
      <c r="R90" s="101"/>
      <c r="S90" s="100"/>
      <c r="T90" s="102"/>
      <c r="U90" s="102"/>
      <c r="V90" s="139"/>
    </row>
    <row r="91" spans="2:22" ht="38.450000000000003" customHeight="1">
      <c r="B91" s="157" t="str">
        <f t="shared" si="2"/>
        <v>1-82</v>
      </c>
      <c r="C91" s="18" t="s">
        <v>266</v>
      </c>
      <c r="D91" s="18" t="s">
        <v>267</v>
      </c>
      <c r="E91" s="100" t="s">
        <v>268</v>
      </c>
      <c r="F91" s="206" t="s">
        <v>269</v>
      </c>
      <c r="G91" s="207"/>
      <c r="H91" s="101"/>
      <c r="I91" s="20"/>
      <c r="J91" s="101"/>
      <c r="K91" s="101"/>
      <c r="L91" s="20"/>
      <c r="M91" s="101"/>
      <c r="N91" s="101"/>
      <c r="O91" s="20"/>
      <c r="P91" s="101"/>
      <c r="Q91" s="101"/>
      <c r="R91" s="103"/>
      <c r="S91" s="100"/>
      <c r="T91" s="102"/>
      <c r="U91" s="102"/>
      <c r="V91" s="135"/>
    </row>
    <row r="92" spans="2:22" ht="38.450000000000003" customHeight="1">
      <c r="B92" s="157" t="str">
        <f t="shared" si="2"/>
        <v>1-83</v>
      </c>
      <c r="C92" s="18" t="s">
        <v>270</v>
      </c>
      <c r="D92" s="18" t="s">
        <v>270</v>
      </c>
      <c r="E92" s="100" t="s">
        <v>268</v>
      </c>
      <c r="F92" s="206" t="s">
        <v>271</v>
      </c>
      <c r="G92" s="207"/>
      <c r="H92" s="101"/>
      <c r="I92" s="20"/>
      <c r="J92" s="101"/>
      <c r="K92" s="101"/>
      <c r="L92" s="20"/>
      <c r="M92" s="101"/>
      <c r="N92" s="101"/>
      <c r="O92" s="20"/>
      <c r="P92" s="101"/>
      <c r="Q92" s="101"/>
      <c r="R92" s="103"/>
      <c r="S92" s="100"/>
      <c r="T92" s="102"/>
      <c r="U92" s="102"/>
      <c r="V92" s="135"/>
    </row>
    <row r="93" spans="2:22" ht="38.450000000000003" customHeight="1">
      <c r="B93" s="157" t="str">
        <f t="shared" si="2"/>
        <v>1-84</v>
      </c>
      <c r="C93" s="18" t="s">
        <v>270</v>
      </c>
      <c r="D93" s="18" t="s">
        <v>272</v>
      </c>
      <c r="E93" s="100" t="s">
        <v>268</v>
      </c>
      <c r="F93" s="206" t="s">
        <v>273</v>
      </c>
      <c r="G93" s="207"/>
      <c r="H93" s="101"/>
      <c r="I93" s="20"/>
      <c r="J93" s="101"/>
      <c r="K93" s="101"/>
      <c r="L93" s="20"/>
      <c r="M93" s="101"/>
      <c r="N93" s="101"/>
      <c r="O93" s="20"/>
      <c r="P93" s="101"/>
      <c r="Q93" s="101"/>
      <c r="R93" s="103"/>
      <c r="S93" s="100"/>
      <c r="T93" s="102"/>
      <c r="U93" s="102"/>
      <c r="V93" s="135"/>
    </row>
    <row r="94" spans="2:22" ht="38.450000000000003" customHeight="1">
      <c r="B94" s="157" t="str">
        <f t="shared" si="2"/>
        <v>1-85</v>
      </c>
      <c r="C94" s="18" t="s">
        <v>270</v>
      </c>
      <c r="D94" s="18" t="s">
        <v>270</v>
      </c>
      <c r="E94" s="100" t="s">
        <v>268</v>
      </c>
      <c r="F94" s="206" t="s">
        <v>271</v>
      </c>
      <c r="G94" s="207"/>
      <c r="H94" s="101"/>
      <c r="I94" s="20"/>
      <c r="J94" s="101"/>
      <c r="K94" s="101"/>
      <c r="L94" s="20"/>
      <c r="M94" s="101"/>
      <c r="N94" s="101"/>
      <c r="O94" s="20"/>
      <c r="P94" s="101"/>
      <c r="Q94" s="101"/>
      <c r="R94" s="103"/>
      <c r="S94" s="100"/>
      <c r="T94" s="102"/>
      <c r="U94" s="102"/>
      <c r="V94" s="135"/>
    </row>
    <row r="95" spans="2:22" ht="38.450000000000003" customHeight="1">
      <c r="B95" s="157" t="str">
        <f t="shared" si="2"/>
        <v>1-86</v>
      </c>
      <c r="C95" s="18" t="s">
        <v>270</v>
      </c>
      <c r="D95" s="18" t="s">
        <v>274</v>
      </c>
      <c r="E95" s="100" t="s">
        <v>268</v>
      </c>
      <c r="F95" s="206" t="s">
        <v>275</v>
      </c>
      <c r="G95" s="207"/>
      <c r="H95" s="101"/>
      <c r="I95" s="20"/>
      <c r="J95" s="101"/>
      <c r="K95" s="101"/>
      <c r="L95" s="20"/>
      <c r="M95" s="101"/>
      <c r="N95" s="101"/>
      <c r="O95" s="20"/>
      <c r="P95" s="101"/>
      <c r="Q95" s="101"/>
      <c r="R95" s="103"/>
      <c r="S95" s="100"/>
      <c r="T95" s="102"/>
      <c r="U95" s="102"/>
      <c r="V95" s="135"/>
    </row>
    <row r="96" spans="2:22" ht="38.450000000000003" customHeight="1">
      <c r="B96" s="157" t="str">
        <f t="shared" si="2"/>
        <v>1-87</v>
      </c>
      <c r="C96" s="18" t="s">
        <v>270</v>
      </c>
      <c r="D96" s="18" t="s">
        <v>270</v>
      </c>
      <c r="E96" s="100" t="s">
        <v>268</v>
      </c>
      <c r="F96" s="206" t="s">
        <v>271</v>
      </c>
      <c r="G96" s="207"/>
      <c r="H96" s="101"/>
      <c r="I96" s="20"/>
      <c r="J96" s="101"/>
      <c r="K96" s="101"/>
      <c r="L96" s="20"/>
      <c r="M96" s="101"/>
      <c r="N96" s="101"/>
      <c r="O96" s="20"/>
      <c r="P96" s="101"/>
      <c r="Q96" s="101"/>
      <c r="R96" s="103"/>
      <c r="S96" s="100"/>
      <c r="T96" s="102"/>
      <c r="U96" s="102"/>
      <c r="V96" s="135"/>
    </row>
    <row r="97" spans="1:24" ht="38.450000000000003" customHeight="1">
      <c r="B97" s="157" t="str">
        <f t="shared" si="2"/>
        <v>1-88</v>
      </c>
      <c r="C97" s="18" t="s">
        <v>98</v>
      </c>
      <c r="D97" s="18" t="s">
        <v>276</v>
      </c>
      <c r="E97" s="100" t="s">
        <v>277</v>
      </c>
      <c r="F97" s="206" t="s">
        <v>575</v>
      </c>
      <c r="G97" s="207"/>
      <c r="H97" s="101"/>
      <c r="I97" s="20"/>
      <c r="J97" s="101"/>
      <c r="K97" s="101"/>
      <c r="L97" s="20"/>
      <c r="M97" s="101"/>
      <c r="N97" s="101"/>
      <c r="O97" s="20"/>
      <c r="P97" s="101"/>
      <c r="Q97" s="103"/>
      <c r="R97" s="103"/>
      <c r="S97" s="100"/>
      <c r="T97" s="102"/>
      <c r="U97" s="102"/>
      <c r="V97" s="135"/>
    </row>
    <row r="98" spans="1:24" ht="33.6" customHeight="1">
      <c r="B98" s="23"/>
      <c r="C98" s="97"/>
      <c r="D98" s="97"/>
      <c r="E98" s="97"/>
      <c r="F98" s="119"/>
      <c r="G98" s="119"/>
      <c r="H98" s="159"/>
      <c r="I98" s="26"/>
      <c r="J98" s="159"/>
      <c r="K98" s="159"/>
      <c r="L98" s="26"/>
      <c r="M98" s="159"/>
      <c r="N98" s="159"/>
      <c r="O98" s="26"/>
      <c r="P98" s="159"/>
      <c r="Q98" s="159"/>
      <c r="R98" s="159"/>
      <c r="S98" s="97"/>
      <c r="T98" s="159"/>
      <c r="U98" s="118"/>
    </row>
    <row r="99" spans="1:24">
      <c r="B99" s="98" t="s">
        <v>156</v>
      </c>
      <c r="C99" s="97"/>
      <c r="D99" s="97"/>
      <c r="E99" s="119"/>
      <c r="F99" s="119"/>
      <c r="G99" s="119"/>
      <c r="H99" s="117"/>
      <c r="I99" s="26"/>
      <c r="J99" s="117"/>
      <c r="K99" s="117"/>
      <c r="L99" s="26"/>
      <c r="M99" s="117"/>
      <c r="N99" s="117"/>
      <c r="O99" s="26"/>
      <c r="P99" s="117"/>
      <c r="Q99" s="145"/>
      <c r="R99" s="117"/>
      <c r="S99" s="97"/>
      <c r="T99" s="117"/>
      <c r="U99" s="117"/>
      <c r="V99" s="117"/>
    </row>
    <row r="100" spans="1:24">
      <c r="A100" s="13"/>
      <c r="B100" s="99" t="s">
        <v>497</v>
      </c>
      <c r="L100" s="105"/>
      <c r="Q100" s="13"/>
      <c r="R100" s="13"/>
    </row>
    <row r="101" spans="1:24">
      <c r="A101" s="13"/>
      <c r="B101" s="99"/>
      <c r="L101" s="105"/>
      <c r="Q101" s="13"/>
      <c r="R101" s="13"/>
    </row>
    <row r="102" spans="1:24">
      <c r="B102" s="212" t="s">
        <v>4</v>
      </c>
      <c r="C102" s="214" t="s">
        <v>126</v>
      </c>
      <c r="D102" s="214" t="s">
        <v>78</v>
      </c>
      <c r="E102" s="214" t="s">
        <v>5</v>
      </c>
      <c r="F102" s="215" t="s">
        <v>6</v>
      </c>
      <c r="G102" s="216"/>
      <c r="H102" s="211" t="s">
        <v>89</v>
      </c>
      <c r="I102" s="211"/>
      <c r="J102" s="211"/>
      <c r="K102" s="211" t="s">
        <v>82</v>
      </c>
      <c r="L102" s="211"/>
      <c r="M102" s="211"/>
      <c r="N102" s="211" t="s">
        <v>83</v>
      </c>
      <c r="O102" s="211"/>
      <c r="P102" s="211"/>
      <c r="Q102" s="202" t="s">
        <v>548</v>
      </c>
      <c r="R102" s="202" t="s">
        <v>77</v>
      </c>
      <c r="S102" s="210" t="s">
        <v>13</v>
      </c>
      <c r="T102" s="210"/>
      <c r="U102" s="210"/>
      <c r="V102" s="117"/>
    </row>
    <row r="103" spans="1:24">
      <c r="B103" s="213"/>
      <c r="C103" s="203"/>
      <c r="D103" s="203"/>
      <c r="E103" s="203"/>
      <c r="F103" s="217"/>
      <c r="G103" s="218"/>
      <c r="H103" s="116" t="s">
        <v>7</v>
      </c>
      <c r="I103" s="116" t="s">
        <v>8</v>
      </c>
      <c r="J103" s="116" t="s">
        <v>9</v>
      </c>
      <c r="K103" s="116" t="s">
        <v>7</v>
      </c>
      <c r="L103" s="116" t="s">
        <v>8</v>
      </c>
      <c r="M103" s="116" t="s">
        <v>9</v>
      </c>
      <c r="N103" s="116" t="s">
        <v>7</v>
      </c>
      <c r="O103" s="116" t="s">
        <v>8</v>
      </c>
      <c r="P103" s="116" t="s">
        <v>9</v>
      </c>
      <c r="Q103" s="203"/>
      <c r="R103" s="203"/>
      <c r="S103" s="93"/>
      <c r="T103" s="94"/>
      <c r="U103" s="95"/>
      <c r="V103" s="117"/>
    </row>
    <row r="104" spans="1:24" ht="81.95" customHeight="1">
      <c r="B104" s="120" t="str">
        <f t="shared" ref="B104:B133" si="3">"2-"&amp;ROW()-107</f>
        <v>2--3</v>
      </c>
      <c r="C104" s="42" t="s">
        <v>488</v>
      </c>
      <c r="D104" s="100" t="s">
        <v>249</v>
      </c>
      <c r="E104" s="42" t="s">
        <v>527</v>
      </c>
      <c r="F104" s="204" t="s">
        <v>474</v>
      </c>
      <c r="G104" s="205"/>
      <c r="H104" s="101"/>
      <c r="I104" s="20"/>
      <c r="J104" s="101"/>
      <c r="K104" s="101"/>
      <c r="L104" s="20"/>
      <c r="M104" s="101"/>
      <c r="N104" s="101"/>
      <c r="O104" s="20"/>
      <c r="P104" s="101"/>
      <c r="Q104" s="160"/>
      <c r="R104" s="101"/>
      <c r="S104" s="100"/>
      <c r="T104" s="102"/>
      <c r="U104" s="102"/>
      <c r="V104" s="141"/>
    </row>
    <row r="105" spans="1:24" ht="38.450000000000003" customHeight="1">
      <c r="B105" s="157" t="str">
        <f t="shared" si="3"/>
        <v>2--2</v>
      </c>
      <c r="C105" s="100" t="s">
        <v>81</v>
      </c>
      <c r="D105" s="100" t="s">
        <v>498</v>
      </c>
      <c r="E105" s="42" t="s">
        <v>475</v>
      </c>
      <c r="F105" s="204" t="s">
        <v>580</v>
      </c>
      <c r="G105" s="205"/>
      <c r="H105" s="101"/>
      <c r="I105" s="20"/>
      <c r="J105" s="101"/>
      <c r="K105" s="101"/>
      <c r="L105" s="20"/>
      <c r="M105" s="101"/>
      <c r="N105" s="101"/>
      <c r="O105" s="20"/>
      <c r="P105" s="101"/>
      <c r="Q105" s="160"/>
      <c r="R105" s="101"/>
      <c r="S105" s="100"/>
      <c r="T105" s="102"/>
      <c r="U105" s="102"/>
      <c r="V105" s="141"/>
    </row>
    <row r="106" spans="1:24" ht="38.450000000000003" customHeight="1">
      <c r="B106" s="157" t="str">
        <f t="shared" si="3"/>
        <v>2--1</v>
      </c>
      <c r="C106" s="100" t="s">
        <v>476</v>
      </c>
      <c r="D106" s="100" t="s">
        <v>499</v>
      </c>
      <c r="E106" s="42" t="s">
        <v>475</v>
      </c>
      <c r="F106" s="204" t="s">
        <v>580</v>
      </c>
      <c r="G106" s="205"/>
      <c r="H106" s="101"/>
      <c r="I106" s="20"/>
      <c r="J106" s="101"/>
      <c r="K106" s="101"/>
      <c r="L106" s="20"/>
      <c r="M106" s="101"/>
      <c r="N106" s="101"/>
      <c r="O106" s="20"/>
      <c r="P106" s="101"/>
      <c r="Q106" s="160"/>
      <c r="R106" s="101"/>
      <c r="S106" s="100"/>
      <c r="T106" s="102"/>
      <c r="U106" s="102"/>
      <c r="V106" s="141"/>
    </row>
    <row r="107" spans="1:24" ht="39.6" customHeight="1">
      <c r="B107" s="157" t="str">
        <f t="shared" si="3"/>
        <v>2-0</v>
      </c>
      <c r="C107" s="100" t="s">
        <v>81</v>
      </c>
      <c r="D107" s="100" t="s">
        <v>161</v>
      </c>
      <c r="E107" s="100" t="s">
        <v>61</v>
      </c>
      <c r="F107" s="204" t="s">
        <v>479</v>
      </c>
      <c r="G107" s="205"/>
      <c r="H107" s="101"/>
      <c r="I107" s="20"/>
      <c r="J107" s="101"/>
      <c r="K107" s="101"/>
      <c r="L107" s="20"/>
      <c r="M107" s="101"/>
      <c r="N107" s="101"/>
      <c r="O107" s="20"/>
      <c r="P107" s="101"/>
      <c r="Q107" s="160"/>
      <c r="R107" s="101"/>
      <c r="S107" s="100"/>
      <c r="T107" s="102"/>
      <c r="U107" s="102"/>
      <c r="V107" s="117"/>
    </row>
    <row r="108" spans="1:24" ht="39.6" customHeight="1">
      <c r="B108" s="157" t="str">
        <f t="shared" si="3"/>
        <v>2-1</v>
      </c>
      <c r="C108" s="100" t="s">
        <v>81</v>
      </c>
      <c r="D108" s="100" t="s">
        <v>81</v>
      </c>
      <c r="E108" s="100" t="s">
        <v>147</v>
      </c>
      <c r="F108" s="204" t="s">
        <v>90</v>
      </c>
      <c r="G108" s="205"/>
      <c r="H108" s="101"/>
      <c r="I108" s="20"/>
      <c r="J108" s="101"/>
      <c r="K108" s="101"/>
      <c r="L108" s="20"/>
      <c r="M108" s="101"/>
      <c r="N108" s="101"/>
      <c r="O108" s="20"/>
      <c r="P108" s="101"/>
      <c r="Q108" s="160"/>
      <c r="R108" s="101"/>
      <c r="S108" s="100"/>
      <c r="T108" s="102"/>
      <c r="U108" s="102"/>
      <c r="V108" s="117"/>
    </row>
    <row r="109" spans="1:24" ht="39.6" customHeight="1">
      <c r="B109" s="157" t="str">
        <f t="shared" si="3"/>
        <v>2-2</v>
      </c>
      <c r="C109" s="100" t="s">
        <v>81</v>
      </c>
      <c r="D109" s="100" t="s">
        <v>81</v>
      </c>
      <c r="E109" s="100" t="s">
        <v>96</v>
      </c>
      <c r="F109" s="204" t="s">
        <v>91</v>
      </c>
      <c r="G109" s="205"/>
      <c r="H109" s="101"/>
      <c r="I109" s="20"/>
      <c r="J109" s="101"/>
      <c r="K109" s="101"/>
      <c r="L109" s="20"/>
      <c r="M109" s="101"/>
      <c r="N109" s="101"/>
      <c r="O109" s="20"/>
      <c r="P109" s="101"/>
      <c r="Q109" s="160"/>
      <c r="R109" s="101"/>
      <c r="S109" s="100"/>
      <c r="T109" s="102"/>
      <c r="U109" s="102"/>
      <c r="V109" s="117"/>
    </row>
    <row r="110" spans="1:24" ht="39.6" customHeight="1">
      <c r="B110" s="157" t="str">
        <f t="shared" si="3"/>
        <v>2-3</v>
      </c>
      <c r="C110" s="100"/>
      <c r="D110" s="100" t="s">
        <v>161</v>
      </c>
      <c r="E110" s="100" t="s">
        <v>166</v>
      </c>
      <c r="F110" s="204" t="s">
        <v>165</v>
      </c>
      <c r="G110" s="205"/>
      <c r="H110" s="101"/>
      <c r="I110" s="20"/>
      <c r="J110" s="101"/>
      <c r="K110" s="101"/>
      <c r="L110" s="20"/>
      <c r="M110" s="101"/>
      <c r="N110" s="101"/>
      <c r="O110" s="20"/>
      <c r="P110" s="101"/>
      <c r="Q110" s="160"/>
      <c r="R110" s="101"/>
      <c r="S110" s="100"/>
      <c r="T110" s="102"/>
      <c r="U110" s="102"/>
      <c r="V110" s="124"/>
      <c r="W110" s="124"/>
      <c r="X110" s="124"/>
    </row>
    <row r="111" spans="1:24" ht="39.6" customHeight="1">
      <c r="B111" s="157" t="str">
        <f t="shared" si="3"/>
        <v>2-4</v>
      </c>
      <c r="C111" s="100"/>
      <c r="D111" s="100" t="s">
        <v>161</v>
      </c>
      <c r="E111" s="100" t="s">
        <v>164</v>
      </c>
      <c r="F111" s="204" t="s">
        <v>90</v>
      </c>
      <c r="G111" s="205"/>
      <c r="H111" s="101"/>
      <c r="I111" s="20"/>
      <c r="J111" s="101"/>
      <c r="K111" s="101"/>
      <c r="L111" s="20"/>
      <c r="M111" s="101"/>
      <c r="N111" s="101"/>
      <c r="O111" s="20"/>
      <c r="P111" s="101"/>
      <c r="Q111" s="161"/>
      <c r="R111" s="101"/>
      <c r="S111" s="100"/>
      <c r="T111" s="102"/>
      <c r="U111" s="102"/>
      <c r="V111" s="124"/>
      <c r="W111" s="124"/>
      <c r="X111" s="124"/>
    </row>
    <row r="112" spans="1:24" ht="39.6" customHeight="1">
      <c r="B112" s="157" t="str">
        <f t="shared" si="3"/>
        <v>2-5</v>
      </c>
      <c r="C112" s="100"/>
      <c r="D112" s="100" t="s">
        <v>167</v>
      </c>
      <c r="E112" s="100" t="s">
        <v>185</v>
      </c>
      <c r="F112" s="204" t="s">
        <v>91</v>
      </c>
      <c r="G112" s="205"/>
      <c r="H112" s="101"/>
      <c r="I112" s="20"/>
      <c r="J112" s="101"/>
      <c r="K112" s="101"/>
      <c r="L112" s="20"/>
      <c r="M112" s="101"/>
      <c r="N112" s="101"/>
      <c r="O112" s="20"/>
      <c r="P112" s="101"/>
      <c r="Q112" s="161"/>
      <c r="R112" s="101"/>
      <c r="S112" s="100"/>
      <c r="T112" s="102"/>
      <c r="U112" s="102"/>
      <c r="V112" s="124"/>
      <c r="W112" s="124"/>
      <c r="X112" s="124"/>
    </row>
    <row r="113" spans="2:22" ht="39.6" customHeight="1">
      <c r="B113" s="157" t="str">
        <f t="shared" si="3"/>
        <v>2-6</v>
      </c>
      <c r="C113" s="100" t="s">
        <v>143</v>
      </c>
      <c r="D113" s="42" t="s">
        <v>186</v>
      </c>
      <c r="E113" s="100" t="s">
        <v>116</v>
      </c>
      <c r="F113" s="208" t="s">
        <v>187</v>
      </c>
      <c r="G113" s="209"/>
      <c r="H113" s="101"/>
      <c r="I113" s="20"/>
      <c r="J113" s="101"/>
      <c r="K113" s="101"/>
      <c r="L113" s="20"/>
      <c r="M113" s="101"/>
      <c r="N113" s="101"/>
      <c r="O113" s="20"/>
      <c r="P113" s="101"/>
      <c r="Q113" s="161"/>
      <c r="R113" s="101"/>
      <c r="S113" s="100"/>
      <c r="T113" s="102"/>
      <c r="U113" s="102"/>
      <c r="V113" s="124"/>
    </row>
    <row r="114" spans="2:22" ht="39.6" customHeight="1">
      <c r="B114" s="157" t="str">
        <f t="shared" si="3"/>
        <v>2-7</v>
      </c>
      <c r="C114" s="100" t="s">
        <v>160</v>
      </c>
      <c r="D114" s="100" t="s">
        <v>188</v>
      </c>
      <c r="E114" s="100" t="s">
        <v>190</v>
      </c>
      <c r="F114" s="206" t="s">
        <v>191</v>
      </c>
      <c r="G114" s="207"/>
      <c r="H114" s="101"/>
      <c r="I114" s="20"/>
      <c r="J114" s="101"/>
      <c r="K114" s="101"/>
      <c r="L114" s="20"/>
      <c r="M114" s="101"/>
      <c r="N114" s="101"/>
      <c r="O114" s="20"/>
      <c r="P114" s="101"/>
      <c r="Q114" s="161"/>
      <c r="R114" s="101"/>
      <c r="S114" s="100"/>
      <c r="T114" s="102"/>
      <c r="U114" s="102"/>
      <c r="V114" s="124"/>
    </row>
    <row r="115" spans="2:22" ht="39.6" customHeight="1">
      <c r="B115" s="157" t="str">
        <f t="shared" si="3"/>
        <v>2-8</v>
      </c>
      <c r="C115" s="100" t="s">
        <v>160</v>
      </c>
      <c r="D115" s="100" t="s">
        <v>528</v>
      </c>
      <c r="E115" s="100" t="s">
        <v>299</v>
      </c>
      <c r="F115" s="204" t="s">
        <v>470</v>
      </c>
      <c r="G115" s="205"/>
      <c r="H115" s="101"/>
      <c r="I115" s="20"/>
      <c r="J115" s="101"/>
      <c r="K115" s="101"/>
      <c r="L115" s="20"/>
      <c r="M115" s="101"/>
      <c r="N115" s="101"/>
      <c r="O115" s="20"/>
      <c r="P115" s="101"/>
      <c r="Q115" s="160"/>
      <c r="R115" s="101"/>
      <c r="S115" s="100"/>
      <c r="T115" s="102"/>
      <c r="U115" s="102"/>
      <c r="V115" s="124"/>
    </row>
    <row r="116" spans="2:22" ht="39.6" customHeight="1">
      <c r="B116" s="157" t="str">
        <f t="shared" si="3"/>
        <v>2-9</v>
      </c>
      <c r="C116" s="100" t="s">
        <v>192</v>
      </c>
      <c r="D116" s="100" t="s">
        <v>494</v>
      </c>
      <c r="E116" s="100" t="s">
        <v>193</v>
      </c>
      <c r="F116" s="204" t="s">
        <v>577</v>
      </c>
      <c r="G116" s="205"/>
      <c r="H116" s="101"/>
      <c r="I116" s="20"/>
      <c r="J116" s="101"/>
      <c r="K116" s="101"/>
      <c r="L116" s="20"/>
      <c r="M116" s="101"/>
      <c r="N116" s="101"/>
      <c r="O116" s="20"/>
      <c r="P116" s="101"/>
      <c r="Q116" s="160"/>
      <c r="R116" s="101"/>
      <c r="S116" s="100"/>
      <c r="T116" s="102"/>
      <c r="U116" s="102"/>
      <c r="V116" s="124"/>
    </row>
    <row r="117" spans="2:22" ht="39.6" customHeight="1">
      <c r="B117" s="157" t="str">
        <f t="shared" si="3"/>
        <v>2-10</v>
      </c>
      <c r="C117" s="100" t="s">
        <v>161</v>
      </c>
      <c r="D117" s="100" t="s">
        <v>501</v>
      </c>
      <c r="E117" s="100" t="s">
        <v>194</v>
      </c>
      <c r="F117" s="204" t="s">
        <v>471</v>
      </c>
      <c r="G117" s="205"/>
      <c r="H117" s="101"/>
      <c r="I117" s="20"/>
      <c r="J117" s="101"/>
      <c r="K117" s="101"/>
      <c r="L117" s="20"/>
      <c r="M117" s="101"/>
      <c r="N117" s="101"/>
      <c r="O117" s="20"/>
      <c r="P117" s="101"/>
      <c r="Q117" s="161"/>
      <c r="R117" s="101"/>
      <c r="S117" s="100"/>
      <c r="T117" s="102"/>
      <c r="U117" s="102"/>
      <c r="V117" s="124"/>
    </row>
    <row r="118" spans="2:22" ht="39.6" customHeight="1">
      <c r="B118" s="157" t="str">
        <f t="shared" si="3"/>
        <v>2-11</v>
      </c>
      <c r="C118" s="100" t="s">
        <v>172</v>
      </c>
      <c r="D118" s="100" t="s">
        <v>172</v>
      </c>
      <c r="E118" s="100" t="s">
        <v>172</v>
      </c>
      <c r="F118" s="122" t="s">
        <v>148</v>
      </c>
      <c r="G118" s="123"/>
      <c r="H118" s="101"/>
      <c r="I118" s="20"/>
      <c r="J118" s="101"/>
      <c r="K118" s="101"/>
      <c r="L118" s="20"/>
      <c r="M118" s="101"/>
      <c r="N118" s="101"/>
      <c r="O118" s="20"/>
      <c r="P118" s="101"/>
      <c r="Q118" s="101"/>
      <c r="R118" s="101"/>
      <c r="S118" s="100"/>
      <c r="T118" s="102"/>
      <c r="U118" s="102"/>
      <c r="V118" s="124"/>
    </row>
    <row r="119" spans="2:22" ht="39.6" customHeight="1">
      <c r="B119" s="157" t="str">
        <f t="shared" si="3"/>
        <v>2-12</v>
      </c>
      <c r="C119" s="100" t="s">
        <v>172</v>
      </c>
      <c r="D119" s="100" t="s">
        <v>195</v>
      </c>
      <c r="E119" s="100" t="s">
        <v>196</v>
      </c>
      <c r="F119" s="204" t="s">
        <v>471</v>
      </c>
      <c r="G119" s="205"/>
      <c r="H119" s="101"/>
      <c r="I119" s="20"/>
      <c r="J119" s="101"/>
      <c r="K119" s="101"/>
      <c r="L119" s="20"/>
      <c r="M119" s="101"/>
      <c r="N119" s="101"/>
      <c r="O119" s="20"/>
      <c r="P119" s="101"/>
      <c r="Q119" s="146"/>
      <c r="R119" s="101"/>
      <c r="S119" s="100"/>
      <c r="T119" s="102"/>
      <c r="U119" s="102"/>
      <c r="V119" s="124"/>
    </row>
    <row r="120" spans="2:22" ht="39.6" customHeight="1">
      <c r="B120" s="120" t="str">
        <f t="shared" si="3"/>
        <v>2-13</v>
      </c>
      <c r="C120" s="100" t="s">
        <v>172</v>
      </c>
      <c r="D120" s="100" t="s">
        <v>172</v>
      </c>
      <c r="E120" s="100" t="s">
        <v>172</v>
      </c>
      <c r="F120" s="122" t="s">
        <v>148</v>
      </c>
      <c r="G120" s="123"/>
      <c r="H120" s="101"/>
      <c r="I120" s="20"/>
      <c r="J120" s="101"/>
      <c r="K120" s="101"/>
      <c r="L120" s="20"/>
      <c r="M120" s="101"/>
      <c r="N120" s="101"/>
      <c r="O120" s="20"/>
      <c r="P120" s="101"/>
      <c r="Q120" s="101"/>
      <c r="R120" s="101"/>
      <c r="S120" s="100"/>
      <c r="T120" s="102"/>
      <c r="U120" s="102"/>
      <c r="V120" s="124"/>
    </row>
    <row r="121" spans="2:22" ht="39.6" customHeight="1">
      <c r="B121" s="120" t="str">
        <f t="shared" si="3"/>
        <v>2-14</v>
      </c>
      <c r="C121" s="100" t="s">
        <v>172</v>
      </c>
      <c r="D121" s="100" t="s">
        <v>195</v>
      </c>
      <c r="E121" s="100" t="s">
        <v>197</v>
      </c>
      <c r="F121" s="204" t="s">
        <v>471</v>
      </c>
      <c r="G121" s="205"/>
      <c r="H121" s="101"/>
      <c r="I121" s="20"/>
      <c r="J121" s="101"/>
      <c r="K121" s="101"/>
      <c r="L121" s="20"/>
      <c r="M121" s="101"/>
      <c r="N121" s="101"/>
      <c r="O121" s="20"/>
      <c r="P121" s="101"/>
      <c r="Q121" s="146"/>
      <c r="R121" s="101"/>
      <c r="S121" s="100"/>
      <c r="T121" s="102"/>
      <c r="U121" s="102"/>
      <c r="V121" s="124"/>
    </row>
    <row r="122" spans="2:22" ht="39.6" customHeight="1">
      <c r="B122" s="120" t="str">
        <f t="shared" si="3"/>
        <v>2-15</v>
      </c>
      <c r="C122" s="100" t="s">
        <v>172</v>
      </c>
      <c r="D122" s="100" t="s">
        <v>172</v>
      </c>
      <c r="E122" s="100" t="s">
        <v>296</v>
      </c>
      <c r="F122" s="122" t="s">
        <v>148</v>
      </c>
      <c r="G122" s="123"/>
      <c r="H122" s="101"/>
      <c r="I122" s="20"/>
      <c r="J122" s="101"/>
      <c r="K122" s="101"/>
      <c r="L122" s="20"/>
      <c r="M122" s="101"/>
      <c r="N122" s="101"/>
      <c r="O122" s="20"/>
      <c r="P122" s="101"/>
      <c r="Q122" s="101"/>
      <c r="R122" s="101"/>
      <c r="S122" s="100"/>
      <c r="T122" s="102"/>
      <c r="U122" s="102"/>
      <c r="V122" s="124"/>
    </row>
    <row r="123" spans="2:22" ht="39.6" customHeight="1">
      <c r="B123" s="120" t="str">
        <f t="shared" si="3"/>
        <v>2-16</v>
      </c>
      <c r="C123" s="100" t="s">
        <v>172</v>
      </c>
      <c r="D123" s="100" t="s">
        <v>172</v>
      </c>
      <c r="E123" s="100" t="s">
        <v>110</v>
      </c>
      <c r="F123" s="122" t="s">
        <v>148</v>
      </c>
      <c r="G123" s="123"/>
      <c r="H123" s="101"/>
      <c r="I123" s="20"/>
      <c r="J123" s="101"/>
      <c r="K123" s="101"/>
      <c r="L123" s="20"/>
      <c r="M123" s="101"/>
      <c r="N123" s="101"/>
      <c r="O123" s="20"/>
      <c r="P123" s="101"/>
      <c r="Q123" s="101"/>
      <c r="R123" s="101"/>
      <c r="S123" s="100"/>
      <c r="T123" s="102"/>
      <c r="U123" s="102"/>
      <c r="V123" s="124"/>
    </row>
    <row r="124" spans="2:22" ht="39.6" customHeight="1">
      <c r="B124" s="120" t="str">
        <f t="shared" si="3"/>
        <v>2-17</v>
      </c>
      <c r="C124" s="100" t="s">
        <v>172</v>
      </c>
      <c r="D124" s="100" t="s">
        <v>195</v>
      </c>
      <c r="E124" s="100" t="s">
        <v>198</v>
      </c>
      <c r="F124" s="204" t="s">
        <v>471</v>
      </c>
      <c r="G124" s="205"/>
      <c r="H124" s="101"/>
      <c r="I124" s="20"/>
      <c r="J124" s="101"/>
      <c r="K124" s="101"/>
      <c r="L124" s="20"/>
      <c r="M124" s="101"/>
      <c r="N124" s="101"/>
      <c r="O124" s="20"/>
      <c r="P124" s="101"/>
      <c r="Q124" s="146"/>
      <c r="R124" s="101"/>
      <c r="S124" s="100"/>
      <c r="T124" s="102"/>
      <c r="U124" s="102"/>
      <c r="V124" s="124"/>
    </row>
    <row r="125" spans="2:22" ht="39.6" customHeight="1">
      <c r="B125" s="120" t="str">
        <f t="shared" si="3"/>
        <v>2-18</v>
      </c>
      <c r="C125" s="100" t="s">
        <v>172</v>
      </c>
      <c r="D125" s="100" t="s">
        <v>172</v>
      </c>
      <c r="E125" s="100" t="s">
        <v>296</v>
      </c>
      <c r="F125" s="122" t="s">
        <v>148</v>
      </c>
      <c r="G125" s="123"/>
      <c r="H125" s="101"/>
      <c r="I125" s="20"/>
      <c r="J125" s="101"/>
      <c r="K125" s="101"/>
      <c r="L125" s="20"/>
      <c r="M125" s="101"/>
      <c r="N125" s="101"/>
      <c r="O125" s="20"/>
      <c r="P125" s="101"/>
      <c r="Q125" s="101"/>
      <c r="R125" s="101"/>
      <c r="S125" s="100"/>
      <c r="T125" s="102"/>
      <c r="U125" s="102"/>
      <c r="V125" s="124"/>
    </row>
    <row r="126" spans="2:22" ht="39.6" customHeight="1">
      <c r="B126" s="120" t="str">
        <f t="shared" si="3"/>
        <v>2-19</v>
      </c>
      <c r="C126" s="100" t="s">
        <v>172</v>
      </c>
      <c r="D126" s="100" t="s">
        <v>195</v>
      </c>
      <c r="E126" s="100" t="s">
        <v>199</v>
      </c>
      <c r="F126" s="204" t="s">
        <v>471</v>
      </c>
      <c r="G126" s="205"/>
      <c r="H126" s="101"/>
      <c r="I126" s="20"/>
      <c r="J126" s="101"/>
      <c r="K126" s="101"/>
      <c r="L126" s="20"/>
      <c r="M126" s="101"/>
      <c r="N126" s="101"/>
      <c r="O126" s="20"/>
      <c r="P126" s="101"/>
      <c r="Q126" s="146"/>
      <c r="R126" s="101"/>
      <c r="S126" s="100"/>
      <c r="T126" s="102"/>
      <c r="U126" s="102"/>
      <c r="V126" s="124"/>
    </row>
    <row r="127" spans="2:22" ht="39.6" customHeight="1">
      <c r="B127" s="120" t="str">
        <f t="shared" si="3"/>
        <v>2-20</v>
      </c>
      <c r="C127" s="100" t="s">
        <v>172</v>
      </c>
      <c r="D127" s="100" t="s">
        <v>172</v>
      </c>
      <c r="E127" s="100" t="s">
        <v>296</v>
      </c>
      <c r="F127" s="122" t="s">
        <v>148</v>
      </c>
      <c r="G127" s="123"/>
      <c r="H127" s="101"/>
      <c r="I127" s="20"/>
      <c r="J127" s="101"/>
      <c r="K127" s="101"/>
      <c r="L127" s="20"/>
      <c r="M127" s="101"/>
      <c r="N127" s="101"/>
      <c r="O127" s="20"/>
      <c r="P127" s="101"/>
      <c r="Q127" s="101"/>
      <c r="R127" s="101"/>
      <c r="S127" s="100"/>
      <c r="T127" s="102"/>
      <c r="U127" s="102"/>
      <c r="V127" s="124"/>
    </row>
    <row r="128" spans="2:22" ht="39.6" customHeight="1">
      <c r="B128" s="120" t="str">
        <f t="shared" si="3"/>
        <v>2-21</v>
      </c>
      <c r="C128" s="100" t="s">
        <v>172</v>
      </c>
      <c r="D128" s="100" t="s">
        <v>195</v>
      </c>
      <c r="E128" s="100" t="s">
        <v>200</v>
      </c>
      <c r="F128" s="204" t="s">
        <v>471</v>
      </c>
      <c r="G128" s="205"/>
      <c r="H128" s="101"/>
      <c r="I128" s="20"/>
      <c r="J128" s="101"/>
      <c r="K128" s="101"/>
      <c r="L128" s="20"/>
      <c r="M128" s="101"/>
      <c r="N128" s="101"/>
      <c r="O128" s="20"/>
      <c r="P128" s="101"/>
      <c r="Q128" s="146"/>
      <c r="R128" s="101"/>
      <c r="S128" s="100"/>
      <c r="T128" s="102"/>
      <c r="U128" s="102"/>
      <c r="V128" s="124"/>
    </row>
    <row r="129" spans="2:24" ht="39.6" customHeight="1">
      <c r="B129" s="120" t="str">
        <f t="shared" si="3"/>
        <v>2-22</v>
      </c>
      <c r="C129" s="100" t="s">
        <v>172</v>
      </c>
      <c r="D129" s="100" t="s">
        <v>172</v>
      </c>
      <c r="E129" s="100" t="s">
        <v>296</v>
      </c>
      <c r="F129" s="122" t="s">
        <v>148</v>
      </c>
      <c r="G129" s="123"/>
      <c r="H129" s="101"/>
      <c r="I129" s="20"/>
      <c r="J129" s="101"/>
      <c r="K129" s="101"/>
      <c r="L129" s="20"/>
      <c r="M129" s="101"/>
      <c r="N129" s="101"/>
      <c r="O129" s="20"/>
      <c r="P129" s="101"/>
      <c r="Q129" s="101"/>
      <c r="R129" s="101"/>
      <c r="S129" s="100"/>
      <c r="T129" s="102"/>
      <c r="U129" s="102"/>
      <c r="V129" s="124"/>
    </row>
    <row r="130" spans="2:24" ht="39.6" customHeight="1">
      <c r="B130" s="120" t="str">
        <f t="shared" si="3"/>
        <v>2-23</v>
      </c>
      <c r="C130" s="100" t="s">
        <v>172</v>
      </c>
      <c r="D130" s="100" t="s">
        <v>195</v>
      </c>
      <c r="E130" s="100" t="s">
        <v>201</v>
      </c>
      <c r="F130" s="204" t="s">
        <v>148</v>
      </c>
      <c r="G130" s="205"/>
      <c r="H130" s="101"/>
      <c r="I130" s="20"/>
      <c r="J130" s="101"/>
      <c r="K130" s="101"/>
      <c r="L130" s="20"/>
      <c r="M130" s="101"/>
      <c r="N130" s="101"/>
      <c r="O130" s="20"/>
      <c r="P130" s="101"/>
      <c r="Q130" s="101"/>
      <c r="R130" s="101"/>
      <c r="S130" s="100"/>
      <c r="T130" s="102"/>
      <c r="U130" s="102"/>
      <c r="V130" s="124"/>
    </row>
    <row r="131" spans="2:24" ht="39.6" customHeight="1">
      <c r="B131" s="120" t="str">
        <f t="shared" si="3"/>
        <v>2-24</v>
      </c>
      <c r="C131" s="100" t="s">
        <v>172</v>
      </c>
      <c r="D131" s="100" t="s">
        <v>195</v>
      </c>
      <c r="E131" s="100" t="s">
        <v>202</v>
      </c>
      <c r="F131" s="204" t="s">
        <v>148</v>
      </c>
      <c r="G131" s="205"/>
      <c r="H131" s="101"/>
      <c r="I131" s="20"/>
      <c r="J131" s="101"/>
      <c r="K131" s="101"/>
      <c r="L131" s="20"/>
      <c r="M131" s="101"/>
      <c r="N131" s="101"/>
      <c r="O131" s="20"/>
      <c r="P131" s="101"/>
      <c r="Q131" s="101"/>
      <c r="R131" s="101"/>
      <c r="S131" s="100"/>
      <c r="T131" s="102"/>
      <c r="U131" s="102"/>
      <c r="V131" s="124"/>
    </row>
    <row r="132" spans="2:24" ht="39.6" customHeight="1">
      <c r="B132" s="120" t="str">
        <f t="shared" si="3"/>
        <v>2-25</v>
      </c>
      <c r="C132" s="100" t="s">
        <v>172</v>
      </c>
      <c r="D132" s="100" t="s">
        <v>195</v>
      </c>
      <c r="E132" s="100" t="s">
        <v>203</v>
      </c>
      <c r="F132" s="204" t="s">
        <v>148</v>
      </c>
      <c r="G132" s="205"/>
      <c r="H132" s="101"/>
      <c r="I132" s="20"/>
      <c r="J132" s="101"/>
      <c r="K132" s="101"/>
      <c r="L132" s="20"/>
      <c r="M132" s="101"/>
      <c r="N132" s="101"/>
      <c r="O132" s="20"/>
      <c r="P132" s="101"/>
      <c r="Q132" s="101"/>
      <c r="R132" s="101"/>
      <c r="S132" s="100"/>
      <c r="T132" s="102"/>
      <c r="U132" s="102"/>
      <c r="V132" s="124"/>
    </row>
    <row r="133" spans="2:24" ht="39.6" customHeight="1">
      <c r="B133" s="120" t="str">
        <f t="shared" si="3"/>
        <v>2-26</v>
      </c>
      <c r="C133" s="100" t="s">
        <v>160</v>
      </c>
      <c r="D133" s="100" t="s">
        <v>195</v>
      </c>
      <c r="E133" s="100" t="s">
        <v>204</v>
      </c>
      <c r="F133" s="204" t="s">
        <v>148</v>
      </c>
      <c r="G133" s="205"/>
      <c r="H133" s="101"/>
      <c r="I133" s="20"/>
      <c r="J133" s="101"/>
      <c r="K133" s="101"/>
      <c r="L133" s="20"/>
      <c r="M133" s="101"/>
      <c r="N133" s="101"/>
      <c r="O133" s="20"/>
      <c r="P133" s="101"/>
      <c r="Q133" s="101"/>
      <c r="R133" s="101"/>
      <c r="S133" s="100"/>
      <c r="T133" s="102"/>
      <c r="U133" s="102"/>
      <c r="V133" s="124"/>
    </row>
    <row r="134" spans="2:24" ht="39.6" customHeight="1">
      <c r="B134" s="120" t="str">
        <f t="shared" ref="B134:B165" si="4">"2-"&amp;ROW()-107</f>
        <v>2-27</v>
      </c>
      <c r="C134" s="100" t="s">
        <v>160</v>
      </c>
      <c r="D134" s="100" t="s">
        <v>195</v>
      </c>
      <c r="E134" s="100" t="s">
        <v>195</v>
      </c>
      <c r="F134" s="219" t="s">
        <v>250</v>
      </c>
      <c r="G134" s="220"/>
      <c r="H134" s="101"/>
      <c r="I134" s="20"/>
      <c r="J134" s="101"/>
      <c r="K134" s="101"/>
      <c r="L134" s="20"/>
      <c r="M134" s="101"/>
      <c r="N134" s="101"/>
      <c r="O134" s="20"/>
      <c r="P134" s="101"/>
      <c r="Q134" s="146"/>
      <c r="R134" s="101"/>
      <c r="S134" s="100"/>
      <c r="T134" s="102"/>
      <c r="U134" s="102"/>
      <c r="V134" s="124"/>
    </row>
    <row r="135" spans="2:24" ht="39.6" customHeight="1">
      <c r="B135" s="120" t="str">
        <f t="shared" si="4"/>
        <v>2-28</v>
      </c>
      <c r="C135" s="100" t="s">
        <v>172</v>
      </c>
      <c r="D135" s="100" t="s">
        <v>195</v>
      </c>
      <c r="E135" s="100" t="s">
        <v>195</v>
      </c>
      <c r="F135" s="204" t="s">
        <v>260</v>
      </c>
      <c r="G135" s="205"/>
      <c r="H135" s="101"/>
      <c r="I135" s="20"/>
      <c r="J135" s="101"/>
      <c r="K135" s="101"/>
      <c r="L135" s="20"/>
      <c r="M135" s="101"/>
      <c r="N135" s="101"/>
      <c r="O135" s="20"/>
      <c r="P135" s="101"/>
      <c r="Q135" s="146"/>
      <c r="R135" s="101"/>
      <c r="S135" s="100"/>
      <c r="T135" s="102"/>
      <c r="U135" s="102"/>
      <c r="V135" s="124"/>
    </row>
    <row r="136" spans="2:24" ht="39.6" customHeight="1">
      <c r="B136" s="120" t="str">
        <f t="shared" si="4"/>
        <v>2-29</v>
      </c>
      <c r="C136" s="100" t="s">
        <v>172</v>
      </c>
      <c r="D136" s="100" t="s">
        <v>195</v>
      </c>
      <c r="E136" s="100" t="s">
        <v>140</v>
      </c>
      <c r="F136" s="204" t="s">
        <v>148</v>
      </c>
      <c r="G136" s="205"/>
      <c r="H136" s="101"/>
      <c r="I136" s="20"/>
      <c r="J136" s="101"/>
      <c r="K136" s="101"/>
      <c r="L136" s="20"/>
      <c r="M136" s="101"/>
      <c r="N136" s="101"/>
      <c r="O136" s="20"/>
      <c r="P136" s="101"/>
      <c r="Q136" s="101"/>
      <c r="R136" s="101"/>
      <c r="S136" s="100"/>
      <c r="T136" s="102"/>
      <c r="U136" s="102"/>
      <c r="V136" s="124"/>
    </row>
    <row r="137" spans="2:24" ht="39.6" customHeight="1">
      <c r="B137" s="120" t="str">
        <f t="shared" si="4"/>
        <v>2-30</v>
      </c>
      <c r="C137" s="100" t="s">
        <v>167</v>
      </c>
      <c r="D137" s="100" t="s">
        <v>195</v>
      </c>
      <c r="E137" s="100" t="s">
        <v>114</v>
      </c>
      <c r="F137" s="204" t="s">
        <v>148</v>
      </c>
      <c r="G137" s="205"/>
      <c r="H137" s="101"/>
      <c r="I137" s="20"/>
      <c r="J137" s="101"/>
      <c r="K137" s="101"/>
      <c r="L137" s="20"/>
      <c r="M137" s="101"/>
      <c r="N137" s="101"/>
      <c r="O137" s="20"/>
      <c r="P137" s="101"/>
      <c r="Q137" s="101"/>
      <c r="R137" s="101"/>
      <c r="S137" s="100"/>
      <c r="T137" s="102"/>
      <c r="U137" s="102"/>
      <c r="V137" s="124"/>
    </row>
    <row r="138" spans="2:24" ht="39.6" customHeight="1">
      <c r="B138" s="120" t="str">
        <f t="shared" si="4"/>
        <v>2-31</v>
      </c>
      <c r="C138" s="100" t="s">
        <v>172</v>
      </c>
      <c r="D138" s="100" t="s">
        <v>205</v>
      </c>
      <c r="E138" s="100" t="s">
        <v>206</v>
      </c>
      <c r="F138" s="204" t="s">
        <v>148</v>
      </c>
      <c r="G138" s="205"/>
      <c r="H138" s="101"/>
      <c r="I138" s="20"/>
      <c r="J138" s="101"/>
      <c r="K138" s="101"/>
      <c r="L138" s="20"/>
      <c r="M138" s="101"/>
      <c r="N138" s="101"/>
      <c r="O138" s="20"/>
      <c r="P138" s="101"/>
      <c r="Q138" s="101"/>
      <c r="R138" s="101"/>
      <c r="S138" s="100"/>
      <c r="T138" s="102"/>
      <c r="U138" s="102"/>
      <c r="V138" s="124"/>
    </row>
    <row r="139" spans="2:24" ht="39.6" customHeight="1">
      <c r="B139" s="120" t="str">
        <f t="shared" si="4"/>
        <v>2-32</v>
      </c>
      <c r="C139" s="100" t="s">
        <v>207</v>
      </c>
      <c r="D139" s="100" t="s">
        <v>195</v>
      </c>
      <c r="E139" s="100" t="s">
        <v>102</v>
      </c>
      <c r="F139" s="208" t="s">
        <v>148</v>
      </c>
      <c r="G139" s="209"/>
      <c r="H139" s="101"/>
      <c r="I139" s="20"/>
      <c r="J139" s="101"/>
      <c r="K139" s="101"/>
      <c r="L139" s="20"/>
      <c r="M139" s="101"/>
      <c r="N139" s="101"/>
      <c r="O139" s="20"/>
      <c r="P139" s="101"/>
      <c r="Q139" s="101"/>
      <c r="R139" s="101"/>
      <c r="S139" s="100"/>
      <c r="T139" s="102"/>
      <c r="U139" s="102"/>
      <c r="V139" s="124"/>
      <c r="W139" s="124"/>
      <c r="X139" s="124"/>
    </row>
    <row r="140" spans="2:24" ht="39.6" customHeight="1">
      <c r="B140" s="120" t="str">
        <f t="shared" si="4"/>
        <v>2-33</v>
      </c>
      <c r="C140" s="100" t="s">
        <v>172</v>
      </c>
      <c r="D140" s="100" t="s">
        <v>195</v>
      </c>
      <c r="E140" s="100" t="s">
        <v>105</v>
      </c>
      <c r="F140" s="204" t="s">
        <v>148</v>
      </c>
      <c r="G140" s="205"/>
      <c r="H140" s="101"/>
      <c r="I140" s="20"/>
      <c r="J140" s="101"/>
      <c r="K140" s="101"/>
      <c r="L140" s="20"/>
      <c r="M140" s="101"/>
      <c r="N140" s="101"/>
      <c r="O140" s="20"/>
      <c r="P140" s="101"/>
      <c r="Q140" s="101"/>
      <c r="R140" s="101"/>
      <c r="S140" s="100"/>
      <c r="T140" s="102"/>
      <c r="U140" s="102"/>
      <c r="V140" s="124"/>
    </row>
    <row r="141" spans="2:24" ht="39.6" customHeight="1">
      <c r="B141" s="120" t="str">
        <f t="shared" si="4"/>
        <v>2-34</v>
      </c>
      <c r="C141" s="100" t="s">
        <v>161</v>
      </c>
      <c r="D141" s="42" t="s">
        <v>208</v>
      </c>
      <c r="E141" s="100" t="s">
        <v>116</v>
      </c>
      <c r="F141" s="208" t="s">
        <v>103</v>
      </c>
      <c r="G141" s="209"/>
      <c r="H141" s="101"/>
      <c r="I141" s="20"/>
      <c r="J141" s="101"/>
      <c r="K141" s="101"/>
      <c r="L141" s="20"/>
      <c r="M141" s="101"/>
      <c r="N141" s="101"/>
      <c r="O141" s="20"/>
      <c r="P141" s="101"/>
      <c r="Q141" s="101"/>
      <c r="R141" s="101"/>
      <c r="S141" s="100"/>
      <c r="T141" s="102"/>
      <c r="U141" s="102"/>
      <c r="V141" s="124"/>
    </row>
    <row r="142" spans="2:24" ht="39.6" customHeight="1">
      <c r="B142" s="120" t="str">
        <f t="shared" si="4"/>
        <v>2-35</v>
      </c>
      <c r="C142" s="100" t="s">
        <v>209</v>
      </c>
      <c r="D142" s="100" t="s">
        <v>210</v>
      </c>
      <c r="E142" s="100" t="s">
        <v>195</v>
      </c>
      <c r="F142" s="206" t="s">
        <v>129</v>
      </c>
      <c r="G142" s="207"/>
      <c r="H142" s="101"/>
      <c r="I142" s="20"/>
      <c r="J142" s="101"/>
      <c r="K142" s="101"/>
      <c r="L142" s="20"/>
      <c r="M142" s="101"/>
      <c r="N142" s="101"/>
      <c r="O142" s="20"/>
      <c r="P142" s="101"/>
      <c r="Q142" s="101"/>
      <c r="R142" s="101"/>
      <c r="S142" s="100"/>
      <c r="T142" s="102"/>
      <c r="U142" s="102"/>
      <c r="V142" s="124"/>
    </row>
    <row r="143" spans="2:24" ht="39.6" customHeight="1">
      <c r="B143" s="120" t="str">
        <f t="shared" si="4"/>
        <v>2-36</v>
      </c>
      <c r="C143" s="100" t="s">
        <v>209</v>
      </c>
      <c r="D143" s="100" t="s">
        <v>195</v>
      </c>
      <c r="E143" s="100" t="s">
        <v>211</v>
      </c>
      <c r="F143" s="206" t="s">
        <v>212</v>
      </c>
      <c r="G143" s="207"/>
      <c r="H143" s="101"/>
      <c r="I143" s="20"/>
      <c r="J143" s="101"/>
      <c r="K143" s="101"/>
      <c r="L143" s="20"/>
      <c r="M143" s="101"/>
      <c r="N143" s="101"/>
      <c r="O143" s="20"/>
      <c r="P143" s="101"/>
      <c r="Q143" s="101"/>
      <c r="R143" s="101"/>
      <c r="S143" s="100"/>
      <c r="T143" s="102"/>
      <c r="U143" s="102"/>
      <c r="V143" s="124"/>
    </row>
    <row r="144" spans="2:24" ht="39.6" customHeight="1">
      <c r="B144" s="120" t="str">
        <f t="shared" si="4"/>
        <v>2-37</v>
      </c>
      <c r="C144" s="100" t="s">
        <v>213</v>
      </c>
      <c r="D144" s="100" t="s">
        <v>214</v>
      </c>
      <c r="E144" s="100" t="s">
        <v>127</v>
      </c>
      <c r="F144" s="206" t="s">
        <v>130</v>
      </c>
      <c r="G144" s="207"/>
      <c r="H144" s="101"/>
      <c r="I144" s="20"/>
      <c r="J144" s="101"/>
      <c r="K144" s="101"/>
      <c r="L144" s="20"/>
      <c r="M144" s="101"/>
      <c r="N144" s="101"/>
      <c r="O144" s="20"/>
      <c r="P144" s="101"/>
      <c r="Q144" s="101"/>
      <c r="R144" s="101"/>
      <c r="S144" s="100"/>
      <c r="T144" s="102"/>
      <c r="U144" s="102"/>
      <c r="V144" s="124"/>
    </row>
    <row r="145" spans="2:24" ht="39.6" customHeight="1">
      <c r="B145" s="120" t="str">
        <f t="shared" si="4"/>
        <v>2-38</v>
      </c>
      <c r="C145" s="100" t="s">
        <v>172</v>
      </c>
      <c r="D145" s="100" t="s">
        <v>99</v>
      </c>
      <c r="E145" s="100" t="s">
        <v>170</v>
      </c>
      <c r="F145" s="204" t="s">
        <v>505</v>
      </c>
      <c r="G145" s="205"/>
      <c r="H145" s="101"/>
      <c r="I145" s="20"/>
      <c r="J145" s="101"/>
      <c r="K145" s="101"/>
      <c r="L145" s="20"/>
      <c r="M145" s="101"/>
      <c r="N145" s="101"/>
      <c r="O145" s="20"/>
      <c r="P145" s="101"/>
      <c r="Q145" s="101"/>
      <c r="R145" s="101"/>
      <c r="S145" s="100"/>
      <c r="T145" s="102"/>
      <c r="U145" s="102"/>
      <c r="V145" s="124"/>
    </row>
    <row r="146" spans="2:24" ht="39.6" customHeight="1">
      <c r="B146" s="120" t="str">
        <f t="shared" si="4"/>
        <v>2-39</v>
      </c>
      <c r="C146" s="100" t="s">
        <v>209</v>
      </c>
      <c r="D146" s="100" t="s">
        <v>215</v>
      </c>
      <c r="E146" s="100" t="s">
        <v>214</v>
      </c>
      <c r="F146" s="204" t="s">
        <v>489</v>
      </c>
      <c r="G146" s="205"/>
      <c r="H146" s="101"/>
      <c r="I146" s="20"/>
      <c r="J146" s="101"/>
      <c r="K146" s="101"/>
      <c r="L146" s="20"/>
      <c r="M146" s="101"/>
      <c r="N146" s="101"/>
      <c r="O146" s="20"/>
      <c r="P146" s="101"/>
      <c r="Q146" s="101"/>
      <c r="R146" s="101"/>
      <c r="S146" s="100"/>
      <c r="T146" s="102"/>
      <c r="U146" s="102"/>
      <c r="V146" s="124"/>
    </row>
    <row r="147" spans="2:24" ht="48.95" customHeight="1">
      <c r="B147" s="120" t="str">
        <f t="shared" si="4"/>
        <v>2-40</v>
      </c>
      <c r="C147" s="100" t="s">
        <v>97</v>
      </c>
      <c r="D147" s="100" t="s">
        <v>99</v>
      </c>
      <c r="E147" s="100" t="s">
        <v>458</v>
      </c>
      <c r="F147" s="206" t="s">
        <v>481</v>
      </c>
      <c r="G147" s="207"/>
      <c r="H147" s="101"/>
      <c r="I147" s="20"/>
      <c r="J147" s="101"/>
      <c r="K147" s="101"/>
      <c r="L147" s="20"/>
      <c r="M147" s="101"/>
      <c r="N147" s="101"/>
      <c r="O147" s="20"/>
      <c r="P147" s="101"/>
      <c r="Q147" s="101"/>
      <c r="R147" s="101"/>
      <c r="S147" s="100"/>
      <c r="T147" s="102"/>
      <c r="U147" s="102"/>
      <c r="V147" s="139"/>
      <c r="W147" s="139"/>
      <c r="X147" s="139"/>
    </row>
    <row r="148" spans="2:24" ht="48.95" customHeight="1">
      <c r="B148" s="120" t="str">
        <f t="shared" si="4"/>
        <v>2-41</v>
      </c>
      <c r="C148" s="100" t="s">
        <v>97</v>
      </c>
      <c r="D148" s="100" t="s">
        <v>99</v>
      </c>
      <c r="E148" s="100" t="s">
        <v>99</v>
      </c>
      <c r="F148" s="206" t="s">
        <v>483</v>
      </c>
      <c r="G148" s="207"/>
      <c r="H148" s="101"/>
      <c r="I148" s="20"/>
      <c r="J148" s="101"/>
      <c r="K148" s="101"/>
      <c r="L148" s="20"/>
      <c r="M148" s="101"/>
      <c r="N148" s="101"/>
      <c r="O148" s="20"/>
      <c r="P148" s="101"/>
      <c r="Q148" s="101"/>
      <c r="R148" s="101"/>
      <c r="S148" s="100"/>
      <c r="T148" s="102"/>
      <c r="U148" s="102"/>
      <c r="V148" s="139"/>
      <c r="W148" s="139"/>
      <c r="X148" s="139"/>
    </row>
    <row r="149" spans="2:24" ht="39.6" customHeight="1">
      <c r="B149" s="120" t="str">
        <f t="shared" si="4"/>
        <v>2-42</v>
      </c>
      <c r="C149" s="100" t="s">
        <v>81</v>
      </c>
      <c r="D149" s="42" t="s">
        <v>108</v>
      </c>
      <c r="E149" s="100" t="s">
        <v>116</v>
      </c>
      <c r="F149" s="208" t="s">
        <v>103</v>
      </c>
      <c r="G149" s="209"/>
      <c r="H149" s="101"/>
      <c r="I149" s="20"/>
      <c r="J149" s="101"/>
      <c r="K149" s="101"/>
      <c r="L149" s="20"/>
      <c r="M149" s="101"/>
      <c r="N149" s="101"/>
      <c r="O149" s="20"/>
      <c r="P149" s="101"/>
      <c r="Q149" s="101"/>
      <c r="R149" s="101"/>
      <c r="S149" s="100"/>
      <c r="T149" s="102"/>
      <c r="U149" s="102"/>
      <c r="V149" s="117"/>
    </row>
    <row r="150" spans="2:24" ht="39.6" customHeight="1">
      <c r="B150" s="120" t="str">
        <f t="shared" si="4"/>
        <v>2-43</v>
      </c>
      <c r="C150" s="100" t="s">
        <v>81</v>
      </c>
      <c r="D150" s="100" t="s">
        <v>150</v>
      </c>
      <c r="E150" s="100" t="s">
        <v>214</v>
      </c>
      <c r="F150" s="206" t="s">
        <v>129</v>
      </c>
      <c r="G150" s="207"/>
      <c r="H150" s="101"/>
      <c r="I150" s="20"/>
      <c r="J150" s="101"/>
      <c r="K150" s="101"/>
      <c r="L150" s="20"/>
      <c r="M150" s="101"/>
      <c r="N150" s="101"/>
      <c r="O150" s="20"/>
      <c r="P150" s="101"/>
      <c r="Q150" s="101"/>
      <c r="R150" s="101"/>
      <c r="S150" s="100"/>
      <c r="T150" s="102"/>
      <c r="U150" s="102"/>
      <c r="V150" s="117"/>
    </row>
    <row r="151" spans="2:24" ht="39.6" customHeight="1">
      <c r="B151" s="120" t="str">
        <f t="shared" si="4"/>
        <v>2-44</v>
      </c>
      <c r="C151" s="100" t="s">
        <v>209</v>
      </c>
      <c r="D151" s="100" t="s">
        <v>195</v>
      </c>
      <c r="E151" s="100" t="s">
        <v>211</v>
      </c>
      <c r="F151" s="206" t="s">
        <v>212</v>
      </c>
      <c r="G151" s="207"/>
      <c r="H151" s="101"/>
      <c r="I151" s="20"/>
      <c r="J151" s="101"/>
      <c r="K151" s="101"/>
      <c r="L151" s="20"/>
      <c r="M151" s="101"/>
      <c r="N151" s="101"/>
      <c r="O151" s="20"/>
      <c r="P151" s="101"/>
      <c r="Q151" s="101"/>
      <c r="R151" s="101"/>
      <c r="S151" s="100"/>
      <c r="T151" s="102"/>
      <c r="U151" s="102"/>
      <c r="V151" s="124"/>
    </row>
    <row r="152" spans="2:24" ht="39.6" customHeight="1">
      <c r="B152" s="120" t="str">
        <f t="shared" si="4"/>
        <v>2-45</v>
      </c>
      <c r="C152" s="100" t="s">
        <v>213</v>
      </c>
      <c r="D152" s="100" t="s">
        <v>214</v>
      </c>
      <c r="E152" s="100" t="s">
        <v>127</v>
      </c>
      <c r="F152" s="206" t="s">
        <v>216</v>
      </c>
      <c r="G152" s="207"/>
      <c r="H152" s="101"/>
      <c r="I152" s="20"/>
      <c r="J152" s="101"/>
      <c r="K152" s="101"/>
      <c r="L152" s="20"/>
      <c r="M152" s="101"/>
      <c r="N152" s="101"/>
      <c r="O152" s="20"/>
      <c r="P152" s="101"/>
      <c r="Q152" s="101"/>
      <c r="R152" s="101"/>
      <c r="S152" s="100"/>
      <c r="T152" s="102"/>
      <c r="U152" s="102"/>
      <c r="V152" s="124"/>
    </row>
    <row r="153" spans="2:24" ht="39.6" customHeight="1">
      <c r="B153" s="120" t="str">
        <f t="shared" si="4"/>
        <v>2-46</v>
      </c>
      <c r="C153" s="100" t="s">
        <v>209</v>
      </c>
      <c r="D153" s="100" t="s">
        <v>215</v>
      </c>
      <c r="E153" s="100" t="s">
        <v>170</v>
      </c>
      <c r="F153" s="204" t="s">
        <v>489</v>
      </c>
      <c r="G153" s="205"/>
      <c r="H153" s="101"/>
      <c r="I153" s="20"/>
      <c r="J153" s="101"/>
      <c r="K153" s="101"/>
      <c r="L153" s="20"/>
      <c r="M153" s="101"/>
      <c r="N153" s="101"/>
      <c r="O153" s="20"/>
      <c r="P153" s="101"/>
      <c r="Q153" s="101"/>
      <c r="R153" s="101"/>
      <c r="S153" s="100"/>
      <c r="T153" s="102"/>
      <c r="U153" s="102"/>
      <c r="V153" s="124"/>
    </row>
    <row r="154" spans="2:24" ht="48.95" customHeight="1">
      <c r="B154" s="120" t="str">
        <f t="shared" si="4"/>
        <v>2-47</v>
      </c>
      <c r="C154" s="100" t="s">
        <v>97</v>
      </c>
      <c r="D154" s="100" t="s">
        <v>99</v>
      </c>
      <c r="E154" s="100" t="s">
        <v>132</v>
      </c>
      <c r="F154" s="206" t="s">
        <v>131</v>
      </c>
      <c r="G154" s="207"/>
      <c r="H154" s="101"/>
      <c r="I154" s="20"/>
      <c r="J154" s="101"/>
      <c r="K154" s="101"/>
      <c r="L154" s="20"/>
      <c r="M154" s="101"/>
      <c r="N154" s="101"/>
      <c r="O154" s="20"/>
      <c r="P154" s="101"/>
      <c r="Q154" s="101"/>
      <c r="R154" s="101"/>
      <c r="S154" s="100"/>
      <c r="T154" s="102"/>
      <c r="U154" s="102"/>
      <c r="V154" s="139"/>
      <c r="W154" s="139"/>
      <c r="X154" s="139"/>
    </row>
    <row r="155" spans="2:24" ht="39.6" customHeight="1">
      <c r="B155" s="120" t="str">
        <f t="shared" si="4"/>
        <v>2-48</v>
      </c>
      <c r="C155" s="100" t="s">
        <v>161</v>
      </c>
      <c r="D155" s="42" t="s">
        <v>217</v>
      </c>
      <c r="E155" s="100" t="s">
        <v>116</v>
      </c>
      <c r="F155" s="208" t="s">
        <v>103</v>
      </c>
      <c r="G155" s="209"/>
      <c r="H155" s="101"/>
      <c r="I155" s="20"/>
      <c r="J155" s="101"/>
      <c r="K155" s="101"/>
      <c r="L155" s="20"/>
      <c r="M155" s="101"/>
      <c r="N155" s="101"/>
      <c r="O155" s="20"/>
      <c r="P155" s="101"/>
      <c r="Q155" s="101"/>
      <c r="R155" s="101"/>
      <c r="S155" s="100"/>
      <c r="T155" s="102"/>
      <c r="U155" s="102"/>
      <c r="V155" s="124"/>
    </row>
    <row r="156" spans="2:24" ht="39.6" customHeight="1">
      <c r="B156" s="120" t="str">
        <f t="shared" si="4"/>
        <v>2-49</v>
      </c>
      <c r="C156" s="100" t="s">
        <v>161</v>
      </c>
      <c r="D156" s="100" t="s">
        <v>99</v>
      </c>
      <c r="E156" s="100" t="s">
        <v>99</v>
      </c>
      <c r="F156" s="206" t="s">
        <v>129</v>
      </c>
      <c r="G156" s="207"/>
      <c r="H156" s="101"/>
      <c r="I156" s="20"/>
      <c r="J156" s="101"/>
      <c r="K156" s="101"/>
      <c r="L156" s="20"/>
      <c r="M156" s="101"/>
      <c r="N156" s="101"/>
      <c r="O156" s="20"/>
      <c r="P156" s="101"/>
      <c r="Q156" s="101"/>
      <c r="R156" s="101"/>
      <c r="S156" s="100"/>
      <c r="T156" s="102"/>
      <c r="U156" s="102"/>
      <c r="V156" s="124"/>
    </row>
    <row r="157" spans="2:24" ht="39.6" customHeight="1">
      <c r="B157" s="120" t="str">
        <f t="shared" si="4"/>
        <v>2-50</v>
      </c>
      <c r="C157" s="100" t="s">
        <v>161</v>
      </c>
      <c r="D157" s="100" t="s">
        <v>210</v>
      </c>
      <c r="E157" s="100" t="s">
        <v>211</v>
      </c>
      <c r="F157" s="206" t="s">
        <v>212</v>
      </c>
      <c r="G157" s="207"/>
      <c r="H157" s="101"/>
      <c r="I157" s="20"/>
      <c r="J157" s="101"/>
      <c r="K157" s="101"/>
      <c r="L157" s="20"/>
      <c r="M157" s="101"/>
      <c r="N157" s="101"/>
      <c r="O157" s="20"/>
      <c r="P157" s="101"/>
      <c r="Q157" s="101"/>
      <c r="R157" s="101"/>
      <c r="S157" s="100"/>
      <c r="T157" s="102"/>
      <c r="U157" s="102"/>
      <c r="V157" s="124"/>
    </row>
    <row r="158" spans="2:24" ht="39.6" customHeight="1">
      <c r="B158" s="120" t="str">
        <f t="shared" si="4"/>
        <v>2-51</v>
      </c>
      <c r="C158" s="100" t="s">
        <v>160</v>
      </c>
      <c r="D158" s="100" t="s">
        <v>218</v>
      </c>
      <c r="E158" s="100" t="s">
        <v>127</v>
      </c>
      <c r="F158" s="206" t="s">
        <v>133</v>
      </c>
      <c r="G158" s="207"/>
      <c r="H158" s="101"/>
      <c r="I158" s="20"/>
      <c r="J158" s="101"/>
      <c r="K158" s="101"/>
      <c r="L158" s="20"/>
      <c r="M158" s="101"/>
      <c r="N158" s="101"/>
      <c r="O158" s="20"/>
      <c r="P158" s="101"/>
      <c r="Q158" s="101"/>
      <c r="R158" s="101"/>
      <c r="S158" s="100"/>
      <c r="T158" s="102"/>
      <c r="U158" s="102"/>
      <c r="V158" s="124"/>
    </row>
    <row r="159" spans="2:24" ht="39.6" customHeight="1">
      <c r="B159" s="120" t="str">
        <f t="shared" si="4"/>
        <v>2-52</v>
      </c>
      <c r="C159" s="100" t="s">
        <v>172</v>
      </c>
      <c r="D159" s="100" t="s">
        <v>195</v>
      </c>
      <c r="E159" s="100" t="s">
        <v>170</v>
      </c>
      <c r="F159" s="204" t="s">
        <v>553</v>
      </c>
      <c r="G159" s="205"/>
      <c r="H159" s="101"/>
      <c r="I159" s="20"/>
      <c r="J159" s="101"/>
      <c r="K159" s="101"/>
      <c r="L159" s="20"/>
      <c r="M159" s="101"/>
      <c r="N159" s="101"/>
      <c r="O159" s="20"/>
      <c r="P159" s="101"/>
      <c r="Q159" s="101"/>
      <c r="R159" s="101"/>
      <c r="S159" s="100"/>
      <c r="T159" s="102"/>
      <c r="U159" s="102"/>
      <c r="V159" s="124"/>
    </row>
    <row r="160" spans="2:24" ht="39.6" customHeight="1">
      <c r="B160" s="120" t="str">
        <f t="shared" si="4"/>
        <v>2-53</v>
      </c>
      <c r="C160" s="100" t="s">
        <v>172</v>
      </c>
      <c r="D160" s="100" t="s">
        <v>195</v>
      </c>
      <c r="E160" s="100" t="s">
        <v>195</v>
      </c>
      <c r="F160" s="204" t="s">
        <v>554</v>
      </c>
      <c r="G160" s="205"/>
      <c r="H160" s="101"/>
      <c r="I160" s="20"/>
      <c r="J160" s="101"/>
      <c r="K160" s="101"/>
      <c r="L160" s="20"/>
      <c r="M160" s="101"/>
      <c r="N160" s="101"/>
      <c r="O160" s="20"/>
      <c r="P160" s="101"/>
      <c r="Q160" s="101"/>
      <c r="R160" s="101"/>
      <c r="S160" s="100"/>
      <c r="T160" s="102"/>
      <c r="U160" s="102"/>
      <c r="V160" s="124"/>
    </row>
    <row r="161" spans="2:24" ht="48.95" customHeight="1">
      <c r="B161" s="120" t="str">
        <f t="shared" si="4"/>
        <v>2-54</v>
      </c>
      <c r="C161" s="100" t="s">
        <v>97</v>
      </c>
      <c r="D161" s="100" t="s">
        <v>99</v>
      </c>
      <c r="E161" s="100" t="s">
        <v>458</v>
      </c>
      <c r="F161" s="206" t="s">
        <v>481</v>
      </c>
      <c r="G161" s="207"/>
      <c r="H161" s="101"/>
      <c r="I161" s="20"/>
      <c r="J161" s="101"/>
      <c r="K161" s="101"/>
      <c r="L161" s="20"/>
      <c r="M161" s="101"/>
      <c r="N161" s="101"/>
      <c r="O161" s="20"/>
      <c r="P161" s="101"/>
      <c r="Q161" s="101"/>
      <c r="R161" s="146"/>
      <c r="S161" s="100"/>
      <c r="T161" s="102"/>
      <c r="U161" s="102"/>
      <c r="V161" s="139"/>
      <c r="W161" s="139"/>
      <c r="X161" s="139"/>
    </row>
    <row r="162" spans="2:24" ht="48.95" customHeight="1">
      <c r="B162" s="120" t="str">
        <f t="shared" si="4"/>
        <v>2-55</v>
      </c>
      <c r="C162" s="100" t="s">
        <v>97</v>
      </c>
      <c r="D162" s="100" t="s">
        <v>99</v>
      </c>
      <c r="E162" s="100" t="s">
        <v>99</v>
      </c>
      <c r="F162" s="206" t="s">
        <v>483</v>
      </c>
      <c r="G162" s="207"/>
      <c r="H162" s="101"/>
      <c r="I162" s="20"/>
      <c r="J162" s="101"/>
      <c r="K162" s="101"/>
      <c r="L162" s="20"/>
      <c r="M162" s="101"/>
      <c r="N162" s="101"/>
      <c r="O162" s="20"/>
      <c r="P162" s="101"/>
      <c r="Q162" s="101"/>
      <c r="R162" s="146"/>
      <c r="S162" s="100"/>
      <c r="T162" s="102"/>
      <c r="U162" s="102"/>
      <c r="V162" s="139"/>
      <c r="W162" s="139"/>
      <c r="X162" s="139"/>
    </row>
    <row r="163" spans="2:24" ht="39.6" customHeight="1">
      <c r="B163" s="120" t="str">
        <f t="shared" si="4"/>
        <v>2-56</v>
      </c>
      <c r="C163" s="100" t="s">
        <v>213</v>
      </c>
      <c r="D163" s="42" t="s">
        <v>110</v>
      </c>
      <c r="E163" s="100" t="s">
        <v>116</v>
      </c>
      <c r="F163" s="208" t="s">
        <v>103</v>
      </c>
      <c r="G163" s="209"/>
      <c r="H163" s="101"/>
      <c r="I163" s="20"/>
      <c r="J163" s="101"/>
      <c r="K163" s="101"/>
      <c r="L163" s="20"/>
      <c r="M163" s="101"/>
      <c r="N163" s="101"/>
      <c r="O163" s="20"/>
      <c r="P163" s="101"/>
      <c r="Q163" s="101"/>
      <c r="R163" s="101"/>
      <c r="S163" s="100"/>
      <c r="T163" s="102"/>
      <c r="U163" s="102"/>
      <c r="V163" s="124"/>
    </row>
    <row r="164" spans="2:24" ht="39.6" customHeight="1">
      <c r="B164" s="120" t="str">
        <f t="shared" si="4"/>
        <v>2-57</v>
      </c>
      <c r="C164" s="100" t="s">
        <v>161</v>
      </c>
      <c r="D164" s="100" t="s">
        <v>99</v>
      </c>
      <c r="E164" s="100" t="s">
        <v>99</v>
      </c>
      <c r="F164" s="206" t="s">
        <v>129</v>
      </c>
      <c r="G164" s="207"/>
      <c r="H164" s="101"/>
      <c r="I164" s="20"/>
      <c r="J164" s="101"/>
      <c r="K164" s="101"/>
      <c r="L164" s="20"/>
      <c r="M164" s="101"/>
      <c r="N164" s="101"/>
      <c r="O164" s="20"/>
      <c r="P164" s="101"/>
      <c r="Q164" s="101"/>
      <c r="R164" s="101"/>
      <c r="S164" s="100"/>
      <c r="T164" s="102"/>
      <c r="U164" s="102"/>
      <c r="V164" s="124"/>
    </row>
    <row r="165" spans="2:24" ht="39.6" customHeight="1">
      <c r="B165" s="120" t="str">
        <f t="shared" si="4"/>
        <v>2-58</v>
      </c>
      <c r="C165" s="100" t="s">
        <v>161</v>
      </c>
      <c r="D165" s="100" t="s">
        <v>195</v>
      </c>
      <c r="E165" s="100" t="s">
        <v>211</v>
      </c>
      <c r="F165" s="206" t="s">
        <v>212</v>
      </c>
      <c r="G165" s="207"/>
      <c r="H165" s="101"/>
      <c r="I165" s="20"/>
      <c r="J165" s="101"/>
      <c r="K165" s="101"/>
      <c r="L165" s="20"/>
      <c r="M165" s="101"/>
      <c r="N165" s="101"/>
      <c r="O165" s="20"/>
      <c r="P165" s="101"/>
      <c r="Q165" s="101"/>
      <c r="R165" s="101"/>
      <c r="S165" s="100"/>
      <c r="T165" s="102"/>
      <c r="U165" s="102"/>
      <c r="V165" s="124"/>
    </row>
    <row r="166" spans="2:24" ht="39.6" customHeight="1">
      <c r="B166" s="120" t="str">
        <f t="shared" ref="B166:B197" si="5">"2-"&amp;ROW()-107</f>
        <v>2-59</v>
      </c>
      <c r="C166" s="100" t="s">
        <v>161</v>
      </c>
      <c r="D166" s="100" t="s">
        <v>195</v>
      </c>
      <c r="E166" s="100" t="s">
        <v>127</v>
      </c>
      <c r="F166" s="206" t="s">
        <v>133</v>
      </c>
      <c r="G166" s="207"/>
      <c r="H166" s="101"/>
      <c r="I166" s="20"/>
      <c r="J166" s="101"/>
      <c r="K166" s="101"/>
      <c r="L166" s="20"/>
      <c r="M166" s="101"/>
      <c r="N166" s="101"/>
      <c r="O166" s="20"/>
      <c r="P166" s="101"/>
      <c r="Q166" s="101"/>
      <c r="R166" s="101"/>
      <c r="S166" s="100"/>
      <c r="T166" s="102"/>
      <c r="U166" s="102"/>
      <c r="V166" s="124"/>
    </row>
    <row r="167" spans="2:24" ht="39.6" customHeight="1">
      <c r="B167" s="120" t="str">
        <f t="shared" si="5"/>
        <v>2-60</v>
      </c>
      <c r="C167" s="100" t="s">
        <v>161</v>
      </c>
      <c r="D167" s="100" t="s">
        <v>210</v>
      </c>
      <c r="E167" s="100" t="s">
        <v>170</v>
      </c>
      <c r="F167" s="204" t="s">
        <v>555</v>
      </c>
      <c r="G167" s="205"/>
      <c r="H167" s="101"/>
      <c r="I167" s="20"/>
      <c r="J167" s="101"/>
      <c r="K167" s="101"/>
      <c r="L167" s="20"/>
      <c r="M167" s="101"/>
      <c r="N167" s="101"/>
      <c r="O167" s="20"/>
      <c r="P167" s="101"/>
      <c r="Q167" s="101"/>
      <c r="R167" s="101"/>
      <c r="S167" s="100"/>
      <c r="T167" s="102"/>
      <c r="U167" s="102"/>
      <c r="V167" s="124"/>
    </row>
    <row r="168" spans="2:24" ht="39.6" customHeight="1">
      <c r="B168" s="120" t="str">
        <f t="shared" si="5"/>
        <v>2-61</v>
      </c>
      <c r="C168" s="100" t="s">
        <v>209</v>
      </c>
      <c r="D168" s="100" t="s">
        <v>210</v>
      </c>
      <c r="E168" s="100" t="s">
        <v>195</v>
      </c>
      <c r="F168" s="204" t="s">
        <v>556</v>
      </c>
      <c r="G168" s="205"/>
      <c r="H168" s="101"/>
      <c r="I168" s="20"/>
      <c r="J168" s="101"/>
      <c r="K168" s="101"/>
      <c r="L168" s="20"/>
      <c r="M168" s="101"/>
      <c r="N168" s="101"/>
      <c r="O168" s="20"/>
      <c r="P168" s="101"/>
      <c r="Q168" s="101"/>
      <c r="R168" s="101"/>
      <c r="S168" s="100"/>
      <c r="T168" s="102"/>
      <c r="U168" s="102"/>
      <c r="V168" s="124"/>
    </row>
    <row r="169" spans="2:24" ht="48.95" customHeight="1">
      <c r="B169" s="120" t="str">
        <f t="shared" si="5"/>
        <v>2-62</v>
      </c>
      <c r="C169" s="100" t="s">
        <v>97</v>
      </c>
      <c r="D169" s="100" t="s">
        <v>99</v>
      </c>
      <c r="E169" s="100" t="s">
        <v>458</v>
      </c>
      <c r="F169" s="206" t="s">
        <v>481</v>
      </c>
      <c r="G169" s="207"/>
      <c r="H169" s="101"/>
      <c r="I169" s="20"/>
      <c r="J169" s="101"/>
      <c r="K169" s="101"/>
      <c r="L169" s="20"/>
      <c r="M169" s="101"/>
      <c r="N169" s="101"/>
      <c r="O169" s="20"/>
      <c r="P169" s="101"/>
      <c r="Q169" s="101"/>
      <c r="R169" s="101"/>
      <c r="S169" s="100"/>
      <c r="T169" s="102"/>
      <c r="U169" s="102"/>
      <c r="V169" s="139"/>
      <c r="W169" s="139"/>
      <c r="X169" s="139"/>
    </row>
    <row r="170" spans="2:24" ht="48.95" customHeight="1">
      <c r="B170" s="120" t="str">
        <f t="shared" si="5"/>
        <v>2-63</v>
      </c>
      <c r="C170" s="100" t="s">
        <v>97</v>
      </c>
      <c r="D170" s="100" t="s">
        <v>99</v>
      </c>
      <c r="E170" s="100" t="s">
        <v>99</v>
      </c>
      <c r="F170" s="206" t="s">
        <v>483</v>
      </c>
      <c r="G170" s="207"/>
      <c r="H170" s="101"/>
      <c r="I170" s="20"/>
      <c r="J170" s="101"/>
      <c r="K170" s="101"/>
      <c r="L170" s="20"/>
      <c r="M170" s="101"/>
      <c r="N170" s="101"/>
      <c r="O170" s="20"/>
      <c r="P170" s="101"/>
      <c r="Q170" s="101"/>
      <c r="R170" s="101"/>
      <c r="S170" s="100"/>
      <c r="T170" s="102"/>
      <c r="U170" s="102"/>
      <c r="V170" s="139"/>
      <c r="W170" s="139"/>
      <c r="X170" s="139"/>
    </row>
    <row r="171" spans="2:24" ht="39.6" customHeight="1">
      <c r="B171" s="120" t="str">
        <f t="shared" si="5"/>
        <v>2-64</v>
      </c>
      <c r="C171" s="100" t="s">
        <v>81</v>
      </c>
      <c r="D171" s="42" t="s">
        <v>111</v>
      </c>
      <c r="E171" s="100" t="s">
        <v>116</v>
      </c>
      <c r="F171" s="208" t="s">
        <v>103</v>
      </c>
      <c r="G171" s="209"/>
      <c r="H171" s="101"/>
      <c r="I171" s="20"/>
      <c r="J171" s="101"/>
      <c r="K171" s="101"/>
      <c r="L171" s="20"/>
      <c r="M171" s="101"/>
      <c r="N171" s="101"/>
      <c r="O171" s="20"/>
      <c r="P171" s="101"/>
      <c r="Q171" s="101"/>
      <c r="R171" s="101"/>
      <c r="S171" s="100"/>
      <c r="T171" s="102"/>
      <c r="U171" s="102"/>
      <c r="V171" s="117"/>
    </row>
    <row r="172" spans="2:24" ht="39.6" customHeight="1">
      <c r="B172" s="120" t="str">
        <f t="shared" si="5"/>
        <v>2-65</v>
      </c>
      <c r="C172" s="100" t="s">
        <v>81</v>
      </c>
      <c r="D172" s="100" t="s">
        <v>150</v>
      </c>
      <c r="E172" s="100" t="s">
        <v>99</v>
      </c>
      <c r="F172" s="206" t="s">
        <v>129</v>
      </c>
      <c r="G172" s="207"/>
      <c r="H172" s="101"/>
      <c r="I172" s="20"/>
      <c r="J172" s="101"/>
      <c r="K172" s="101"/>
      <c r="L172" s="20"/>
      <c r="M172" s="101"/>
      <c r="N172" s="101"/>
      <c r="O172" s="20"/>
      <c r="P172" s="101"/>
      <c r="Q172" s="101"/>
      <c r="R172" s="101"/>
      <c r="S172" s="100"/>
      <c r="T172" s="102"/>
      <c r="U172" s="102"/>
      <c r="V172" s="117"/>
    </row>
    <row r="173" spans="2:24" ht="39.6" customHeight="1">
      <c r="B173" s="120" t="str">
        <f t="shared" si="5"/>
        <v>2-66</v>
      </c>
      <c r="C173" s="100" t="s">
        <v>161</v>
      </c>
      <c r="D173" s="100" t="s">
        <v>195</v>
      </c>
      <c r="E173" s="100" t="s">
        <v>211</v>
      </c>
      <c r="F173" s="206" t="s">
        <v>212</v>
      </c>
      <c r="G173" s="207"/>
      <c r="H173" s="101"/>
      <c r="I173" s="20"/>
      <c r="J173" s="101"/>
      <c r="K173" s="101"/>
      <c r="L173" s="20"/>
      <c r="M173" s="101"/>
      <c r="N173" s="101"/>
      <c r="O173" s="20"/>
      <c r="P173" s="101"/>
      <c r="Q173" s="101"/>
      <c r="R173" s="101"/>
      <c r="S173" s="100"/>
      <c r="T173" s="102"/>
      <c r="U173" s="102"/>
      <c r="V173" s="124"/>
    </row>
    <row r="174" spans="2:24" ht="39.6" customHeight="1">
      <c r="B174" s="120" t="str">
        <f t="shared" si="5"/>
        <v>2-67</v>
      </c>
      <c r="C174" s="100" t="s">
        <v>161</v>
      </c>
      <c r="D174" s="100" t="s">
        <v>195</v>
      </c>
      <c r="E174" s="100" t="s">
        <v>127</v>
      </c>
      <c r="F174" s="206" t="s">
        <v>133</v>
      </c>
      <c r="G174" s="207"/>
      <c r="H174" s="101"/>
      <c r="I174" s="20"/>
      <c r="J174" s="101"/>
      <c r="K174" s="101"/>
      <c r="L174" s="20"/>
      <c r="M174" s="101"/>
      <c r="N174" s="101"/>
      <c r="O174" s="20"/>
      <c r="P174" s="101"/>
      <c r="Q174" s="101"/>
      <c r="R174" s="101"/>
      <c r="S174" s="100"/>
      <c r="T174" s="102"/>
      <c r="U174" s="102"/>
      <c r="V174" s="124"/>
    </row>
    <row r="175" spans="2:24" ht="39.6" customHeight="1">
      <c r="B175" s="120" t="str">
        <f t="shared" si="5"/>
        <v>2-68</v>
      </c>
      <c r="C175" s="100" t="s">
        <v>209</v>
      </c>
      <c r="D175" s="100" t="s">
        <v>210</v>
      </c>
      <c r="E175" s="100" t="s">
        <v>170</v>
      </c>
      <c r="F175" s="204" t="s">
        <v>489</v>
      </c>
      <c r="G175" s="205"/>
      <c r="H175" s="101"/>
      <c r="I175" s="20"/>
      <c r="J175" s="101"/>
      <c r="K175" s="101"/>
      <c r="L175" s="20"/>
      <c r="M175" s="101"/>
      <c r="N175" s="101"/>
      <c r="O175" s="20"/>
      <c r="P175" s="101"/>
      <c r="Q175" s="101"/>
      <c r="R175" s="101"/>
      <c r="S175" s="100"/>
      <c r="T175" s="102"/>
      <c r="U175" s="102"/>
      <c r="V175" s="124"/>
    </row>
    <row r="176" spans="2:24" ht="39.6" customHeight="1">
      <c r="B176" s="120" t="str">
        <f t="shared" si="5"/>
        <v>2-69</v>
      </c>
      <c r="C176" s="100" t="s">
        <v>219</v>
      </c>
      <c r="D176" s="42" t="s">
        <v>220</v>
      </c>
      <c r="E176" s="100" t="s">
        <v>116</v>
      </c>
      <c r="F176" s="208" t="s">
        <v>103</v>
      </c>
      <c r="G176" s="209"/>
      <c r="H176" s="101"/>
      <c r="I176" s="20"/>
      <c r="J176" s="101"/>
      <c r="K176" s="101"/>
      <c r="L176" s="20"/>
      <c r="M176" s="101"/>
      <c r="N176" s="101"/>
      <c r="O176" s="20"/>
      <c r="P176" s="101"/>
      <c r="Q176" s="101"/>
      <c r="R176" s="101"/>
      <c r="S176" s="100"/>
      <c r="T176" s="102"/>
      <c r="U176" s="102"/>
      <c r="V176" s="124"/>
    </row>
    <row r="177" spans="2:22" ht="39.6" customHeight="1">
      <c r="B177" s="120" t="str">
        <f t="shared" si="5"/>
        <v>2-70</v>
      </c>
      <c r="C177" s="100" t="s">
        <v>161</v>
      </c>
      <c r="D177" s="100" t="s">
        <v>99</v>
      </c>
      <c r="E177" s="100" t="s">
        <v>99</v>
      </c>
      <c r="F177" s="206" t="s">
        <v>129</v>
      </c>
      <c r="G177" s="207"/>
      <c r="H177" s="101"/>
      <c r="I177" s="20"/>
      <c r="J177" s="101"/>
      <c r="K177" s="101"/>
      <c r="L177" s="20"/>
      <c r="M177" s="101"/>
      <c r="N177" s="101"/>
      <c r="O177" s="20"/>
      <c r="P177" s="101"/>
      <c r="Q177" s="101"/>
      <c r="R177" s="101"/>
      <c r="S177" s="100"/>
      <c r="T177" s="102"/>
      <c r="U177" s="102"/>
      <c r="V177" s="124"/>
    </row>
    <row r="178" spans="2:22" ht="39.6" customHeight="1">
      <c r="B178" s="120" t="str">
        <f t="shared" si="5"/>
        <v>2-71</v>
      </c>
      <c r="C178" s="100" t="s">
        <v>172</v>
      </c>
      <c r="D178" s="100" t="s">
        <v>99</v>
      </c>
      <c r="E178" s="100" t="s">
        <v>211</v>
      </c>
      <c r="F178" s="206" t="s">
        <v>212</v>
      </c>
      <c r="G178" s="207"/>
      <c r="H178" s="101"/>
      <c r="I178" s="20"/>
      <c r="J178" s="101"/>
      <c r="K178" s="101"/>
      <c r="L178" s="20"/>
      <c r="M178" s="101"/>
      <c r="N178" s="101"/>
      <c r="O178" s="20"/>
      <c r="P178" s="101"/>
      <c r="Q178" s="101"/>
      <c r="R178" s="101"/>
      <c r="S178" s="100"/>
      <c r="T178" s="102"/>
      <c r="U178" s="102"/>
      <c r="V178" s="124"/>
    </row>
    <row r="179" spans="2:22" ht="39.6" customHeight="1">
      <c r="B179" s="120" t="str">
        <f t="shared" si="5"/>
        <v>2-72</v>
      </c>
      <c r="C179" s="100" t="s">
        <v>219</v>
      </c>
      <c r="D179" s="100" t="s">
        <v>172</v>
      </c>
      <c r="E179" s="100" t="s">
        <v>127</v>
      </c>
      <c r="F179" s="206" t="s">
        <v>134</v>
      </c>
      <c r="G179" s="207"/>
      <c r="H179" s="101"/>
      <c r="I179" s="20"/>
      <c r="J179" s="101"/>
      <c r="K179" s="101"/>
      <c r="L179" s="20"/>
      <c r="M179" s="101"/>
      <c r="N179" s="101"/>
      <c r="O179" s="20"/>
      <c r="P179" s="101"/>
      <c r="Q179" s="101"/>
      <c r="R179" s="101"/>
      <c r="S179" s="100"/>
      <c r="T179" s="102"/>
      <c r="U179" s="102"/>
      <c r="V179" s="124"/>
    </row>
    <row r="180" spans="2:22" ht="39.6" customHeight="1">
      <c r="B180" s="120" t="str">
        <f t="shared" si="5"/>
        <v>2-73</v>
      </c>
      <c r="C180" s="100" t="s">
        <v>219</v>
      </c>
      <c r="D180" s="100" t="s">
        <v>161</v>
      </c>
      <c r="E180" s="100" t="s">
        <v>137</v>
      </c>
      <c r="F180" s="204" t="s">
        <v>221</v>
      </c>
      <c r="G180" s="205"/>
      <c r="H180" s="101"/>
      <c r="I180" s="20"/>
      <c r="J180" s="101"/>
      <c r="K180" s="101"/>
      <c r="L180" s="20"/>
      <c r="M180" s="101"/>
      <c r="N180" s="101"/>
      <c r="O180" s="20"/>
      <c r="P180" s="101"/>
      <c r="Q180" s="146"/>
      <c r="R180" s="101"/>
      <c r="S180" s="100"/>
      <c r="T180" s="102"/>
      <c r="U180" s="102"/>
      <c r="V180" s="124"/>
    </row>
    <row r="181" spans="2:22" ht="39.6" customHeight="1">
      <c r="B181" s="120" t="str">
        <f t="shared" si="5"/>
        <v>2-74</v>
      </c>
      <c r="C181" s="100" t="s">
        <v>161</v>
      </c>
      <c r="D181" s="100" t="s">
        <v>182</v>
      </c>
      <c r="E181" s="100" t="s">
        <v>296</v>
      </c>
      <c r="F181" s="204" t="s">
        <v>222</v>
      </c>
      <c r="G181" s="205"/>
      <c r="H181" s="101"/>
      <c r="I181" s="20"/>
      <c r="J181" s="101"/>
      <c r="K181" s="101"/>
      <c r="L181" s="20"/>
      <c r="M181" s="101"/>
      <c r="N181" s="101"/>
      <c r="O181" s="20"/>
      <c r="P181" s="101"/>
      <c r="Q181" s="146"/>
      <c r="R181" s="101"/>
      <c r="S181" s="100"/>
      <c r="T181" s="102"/>
      <c r="U181" s="102"/>
      <c r="V181" s="124"/>
    </row>
    <row r="182" spans="2:22" ht="39.6" customHeight="1">
      <c r="B182" s="120" t="str">
        <f t="shared" si="5"/>
        <v>2-75</v>
      </c>
      <c r="C182" s="100" t="s">
        <v>219</v>
      </c>
      <c r="D182" s="100" t="s">
        <v>219</v>
      </c>
      <c r="E182" s="100" t="s">
        <v>136</v>
      </c>
      <c r="F182" s="204" t="s">
        <v>484</v>
      </c>
      <c r="G182" s="205"/>
      <c r="H182" s="101"/>
      <c r="I182" s="20"/>
      <c r="J182" s="101"/>
      <c r="K182" s="101"/>
      <c r="L182" s="20"/>
      <c r="M182" s="101"/>
      <c r="N182" s="101"/>
      <c r="O182" s="20"/>
      <c r="P182" s="101"/>
      <c r="Q182" s="101"/>
      <c r="R182" s="101"/>
      <c r="S182" s="100"/>
      <c r="T182" s="102"/>
      <c r="U182" s="102"/>
      <c r="V182" s="124"/>
    </row>
    <row r="183" spans="2:22" ht="39.6" customHeight="1">
      <c r="B183" s="120" t="str">
        <f t="shared" si="5"/>
        <v>2-76</v>
      </c>
      <c r="C183" s="100" t="s">
        <v>161</v>
      </c>
      <c r="D183" s="100" t="s">
        <v>172</v>
      </c>
      <c r="E183" s="100" t="s">
        <v>296</v>
      </c>
      <c r="F183" s="204" t="s">
        <v>485</v>
      </c>
      <c r="G183" s="205"/>
      <c r="H183" s="101"/>
      <c r="I183" s="20"/>
      <c r="J183" s="101"/>
      <c r="K183" s="101"/>
      <c r="L183" s="20"/>
      <c r="M183" s="101"/>
      <c r="N183" s="101"/>
      <c r="O183" s="20"/>
      <c r="P183" s="101"/>
      <c r="Q183" s="101"/>
      <c r="R183" s="101"/>
      <c r="S183" s="100"/>
      <c r="T183" s="102"/>
      <c r="U183" s="102"/>
      <c r="V183" s="124"/>
    </row>
    <row r="184" spans="2:22" ht="39.6" customHeight="1">
      <c r="B184" s="120" t="str">
        <f t="shared" si="5"/>
        <v>2-77</v>
      </c>
      <c r="C184" s="100" t="s">
        <v>219</v>
      </c>
      <c r="D184" s="100" t="s">
        <v>223</v>
      </c>
      <c r="E184" s="100" t="s">
        <v>170</v>
      </c>
      <c r="F184" s="204" t="s">
        <v>489</v>
      </c>
      <c r="G184" s="205"/>
      <c r="H184" s="101"/>
      <c r="I184" s="20"/>
      <c r="J184" s="101"/>
      <c r="K184" s="101"/>
      <c r="L184" s="20"/>
      <c r="M184" s="101"/>
      <c r="N184" s="101"/>
      <c r="O184" s="20"/>
      <c r="P184" s="101"/>
      <c r="Q184" s="101"/>
      <c r="R184" s="101"/>
      <c r="S184" s="100"/>
      <c r="T184" s="102"/>
      <c r="U184" s="102"/>
      <c r="V184" s="124"/>
    </row>
    <row r="185" spans="2:22" ht="39.6" customHeight="1">
      <c r="B185" s="120" t="str">
        <f t="shared" si="5"/>
        <v>2-78</v>
      </c>
      <c r="C185" s="100" t="s">
        <v>161</v>
      </c>
      <c r="D185" s="42" t="s">
        <v>224</v>
      </c>
      <c r="E185" s="100" t="s">
        <v>116</v>
      </c>
      <c r="F185" s="208" t="s">
        <v>103</v>
      </c>
      <c r="G185" s="209"/>
      <c r="H185" s="101"/>
      <c r="I185" s="20"/>
      <c r="J185" s="101"/>
      <c r="K185" s="101"/>
      <c r="L185" s="20"/>
      <c r="M185" s="101"/>
      <c r="N185" s="101"/>
      <c r="O185" s="20"/>
      <c r="P185" s="101"/>
      <c r="Q185" s="101"/>
      <c r="R185" s="101"/>
      <c r="S185" s="100"/>
      <c r="T185" s="102"/>
      <c r="U185" s="102"/>
      <c r="V185" s="124"/>
    </row>
    <row r="186" spans="2:22" ht="39.6" customHeight="1">
      <c r="B186" s="120" t="str">
        <f t="shared" si="5"/>
        <v>2-79</v>
      </c>
      <c r="C186" s="100" t="s">
        <v>161</v>
      </c>
      <c r="D186" s="100" t="s">
        <v>99</v>
      </c>
      <c r="E186" s="100" t="s">
        <v>225</v>
      </c>
      <c r="F186" s="206" t="s">
        <v>129</v>
      </c>
      <c r="G186" s="207"/>
      <c r="H186" s="101"/>
      <c r="I186" s="20"/>
      <c r="J186" s="101"/>
      <c r="K186" s="101"/>
      <c r="L186" s="20"/>
      <c r="M186" s="101"/>
      <c r="N186" s="101"/>
      <c r="O186" s="20"/>
      <c r="P186" s="101"/>
      <c r="Q186" s="101"/>
      <c r="R186" s="101"/>
      <c r="S186" s="100"/>
      <c r="T186" s="102"/>
      <c r="U186" s="102"/>
      <c r="V186" s="124"/>
    </row>
    <row r="187" spans="2:22" ht="39.6" customHeight="1">
      <c r="B187" s="120" t="str">
        <f t="shared" si="5"/>
        <v>2-80</v>
      </c>
      <c r="C187" s="100" t="s">
        <v>161</v>
      </c>
      <c r="D187" s="100" t="s">
        <v>99</v>
      </c>
      <c r="E187" s="100" t="s">
        <v>211</v>
      </c>
      <c r="F187" s="206" t="s">
        <v>212</v>
      </c>
      <c r="G187" s="207"/>
      <c r="H187" s="101"/>
      <c r="I187" s="20"/>
      <c r="J187" s="101"/>
      <c r="K187" s="101"/>
      <c r="L187" s="20"/>
      <c r="M187" s="101"/>
      <c r="N187" s="101"/>
      <c r="O187" s="20"/>
      <c r="P187" s="101"/>
      <c r="Q187" s="101"/>
      <c r="R187" s="101"/>
      <c r="S187" s="100"/>
      <c r="T187" s="102"/>
      <c r="U187" s="102"/>
      <c r="V187" s="124"/>
    </row>
    <row r="188" spans="2:22" ht="39.6" customHeight="1">
      <c r="B188" s="120" t="str">
        <f t="shared" si="5"/>
        <v>2-81</v>
      </c>
      <c r="C188" s="100" t="s">
        <v>182</v>
      </c>
      <c r="D188" s="100" t="s">
        <v>225</v>
      </c>
      <c r="E188" s="100" t="s">
        <v>127</v>
      </c>
      <c r="F188" s="206" t="s">
        <v>134</v>
      </c>
      <c r="G188" s="207"/>
      <c r="H188" s="101"/>
      <c r="I188" s="20"/>
      <c r="J188" s="101"/>
      <c r="K188" s="101"/>
      <c r="L188" s="20"/>
      <c r="M188" s="101"/>
      <c r="N188" s="101"/>
      <c r="O188" s="20"/>
      <c r="P188" s="101"/>
      <c r="Q188" s="101"/>
      <c r="R188" s="101"/>
      <c r="S188" s="100"/>
      <c r="T188" s="102"/>
      <c r="U188" s="102"/>
      <c r="V188" s="124"/>
    </row>
    <row r="189" spans="2:22" ht="39.6" customHeight="1">
      <c r="B189" s="120" t="str">
        <f t="shared" si="5"/>
        <v>2-82</v>
      </c>
      <c r="C189" s="100" t="s">
        <v>81</v>
      </c>
      <c r="D189" s="100" t="s">
        <v>81</v>
      </c>
      <c r="E189" s="100" t="s">
        <v>136</v>
      </c>
      <c r="F189" s="204" t="s">
        <v>572</v>
      </c>
      <c r="G189" s="205"/>
      <c r="H189" s="101"/>
      <c r="I189" s="20"/>
      <c r="J189" s="101"/>
      <c r="K189" s="101"/>
      <c r="L189" s="20"/>
      <c r="M189" s="101"/>
      <c r="N189" s="101"/>
      <c r="O189" s="20"/>
      <c r="P189" s="101"/>
      <c r="Q189" s="101"/>
      <c r="R189" s="101"/>
      <c r="S189" s="100"/>
      <c r="T189" s="102"/>
      <c r="U189" s="102"/>
      <c r="V189" s="141"/>
    </row>
    <row r="190" spans="2:22" ht="39.6" customHeight="1">
      <c r="B190" s="120" t="str">
        <f t="shared" si="5"/>
        <v>2-83</v>
      </c>
      <c r="C190" s="100" t="s">
        <v>226</v>
      </c>
      <c r="D190" s="100" t="s">
        <v>99</v>
      </c>
      <c r="E190" s="100" t="s">
        <v>170</v>
      </c>
      <c r="F190" s="204" t="s">
        <v>489</v>
      </c>
      <c r="G190" s="205"/>
      <c r="H190" s="101"/>
      <c r="I190" s="20"/>
      <c r="J190" s="101"/>
      <c r="K190" s="101"/>
      <c r="L190" s="20"/>
      <c r="M190" s="101"/>
      <c r="N190" s="101"/>
      <c r="O190" s="20"/>
      <c r="P190" s="101"/>
      <c r="Q190" s="101"/>
      <c r="R190" s="101"/>
      <c r="S190" s="100"/>
      <c r="T190" s="102"/>
      <c r="U190" s="102"/>
      <c r="V190" s="124"/>
    </row>
    <row r="191" spans="2:22" ht="39.6" customHeight="1">
      <c r="B191" s="120" t="str">
        <f t="shared" si="5"/>
        <v>2-84</v>
      </c>
      <c r="C191" s="100" t="s">
        <v>161</v>
      </c>
      <c r="D191" s="42" t="s">
        <v>227</v>
      </c>
      <c r="E191" s="100" t="s">
        <v>116</v>
      </c>
      <c r="F191" s="206" t="s">
        <v>129</v>
      </c>
      <c r="G191" s="207"/>
      <c r="H191" s="101"/>
      <c r="I191" s="20"/>
      <c r="J191" s="101"/>
      <c r="K191" s="101"/>
      <c r="L191" s="20"/>
      <c r="M191" s="101"/>
      <c r="N191" s="101"/>
      <c r="O191" s="20"/>
      <c r="P191" s="101"/>
      <c r="Q191" s="101"/>
      <c r="R191" s="101"/>
      <c r="S191" s="100"/>
      <c r="T191" s="102"/>
      <c r="U191" s="102"/>
      <c r="V191" s="124"/>
    </row>
    <row r="192" spans="2:22" ht="39.6" customHeight="1">
      <c r="B192" s="120" t="str">
        <f t="shared" si="5"/>
        <v>2-85</v>
      </c>
      <c r="C192" s="100" t="s">
        <v>161</v>
      </c>
      <c r="D192" s="100" t="s">
        <v>99</v>
      </c>
      <c r="E192" s="100" t="s">
        <v>188</v>
      </c>
      <c r="F192" s="208" t="s">
        <v>103</v>
      </c>
      <c r="G192" s="209"/>
      <c r="H192" s="101"/>
      <c r="I192" s="20"/>
      <c r="J192" s="101"/>
      <c r="K192" s="101"/>
      <c r="L192" s="20"/>
      <c r="M192" s="101"/>
      <c r="N192" s="101"/>
      <c r="O192" s="20"/>
      <c r="P192" s="101"/>
      <c r="Q192" s="101"/>
      <c r="R192" s="101"/>
      <c r="S192" s="100"/>
      <c r="T192" s="102"/>
      <c r="U192" s="102"/>
      <c r="V192" s="124"/>
    </row>
    <row r="193" spans="1:22" ht="39.6" customHeight="1">
      <c r="B193" s="120" t="str">
        <f t="shared" si="5"/>
        <v>2-86</v>
      </c>
      <c r="C193" s="100" t="s">
        <v>161</v>
      </c>
      <c r="D193" s="100" t="s">
        <v>195</v>
      </c>
      <c r="E193" s="100" t="s">
        <v>211</v>
      </c>
      <c r="F193" s="206" t="s">
        <v>212</v>
      </c>
      <c r="G193" s="207"/>
      <c r="H193" s="101"/>
      <c r="I193" s="20"/>
      <c r="J193" s="101"/>
      <c r="K193" s="101"/>
      <c r="L193" s="20"/>
      <c r="M193" s="101"/>
      <c r="N193" s="101"/>
      <c r="O193" s="20"/>
      <c r="P193" s="101"/>
      <c r="Q193" s="101"/>
      <c r="R193" s="101"/>
      <c r="S193" s="100"/>
      <c r="T193" s="102"/>
      <c r="U193" s="102"/>
      <c r="V193" s="124"/>
    </row>
    <row r="194" spans="1:22" ht="39.6" customHeight="1">
      <c r="B194" s="120" t="str">
        <f t="shared" si="5"/>
        <v>2-87</v>
      </c>
      <c r="C194" s="100" t="s">
        <v>226</v>
      </c>
      <c r="D194" s="42" t="s">
        <v>228</v>
      </c>
      <c r="E194" s="100" t="s">
        <v>116</v>
      </c>
      <c r="F194" s="208" t="s">
        <v>103</v>
      </c>
      <c r="G194" s="209"/>
      <c r="H194" s="101"/>
      <c r="I194" s="20"/>
      <c r="J194" s="101"/>
      <c r="K194" s="101"/>
      <c r="L194" s="20"/>
      <c r="M194" s="101"/>
      <c r="N194" s="101"/>
      <c r="O194" s="20"/>
      <c r="P194" s="101"/>
      <c r="Q194" s="101"/>
      <c r="R194" s="101"/>
      <c r="S194" s="100"/>
      <c r="T194" s="102"/>
      <c r="U194" s="102"/>
      <c r="V194" s="124"/>
    </row>
    <row r="195" spans="1:22" s="15" customFormat="1" ht="39" customHeight="1">
      <c r="A195" s="158"/>
      <c r="B195" s="157" t="str">
        <f t="shared" si="5"/>
        <v>2-88</v>
      </c>
      <c r="C195" s="100" t="s">
        <v>81</v>
      </c>
      <c r="D195" s="42" t="s">
        <v>503</v>
      </c>
      <c r="E195" s="42" t="s">
        <v>565</v>
      </c>
      <c r="F195" s="204" t="s">
        <v>174</v>
      </c>
      <c r="G195" s="205"/>
      <c r="H195" s="101"/>
      <c r="I195" s="20"/>
      <c r="J195" s="101"/>
      <c r="K195" s="101"/>
      <c r="L195" s="20"/>
      <c r="M195" s="101"/>
      <c r="N195" s="101"/>
      <c r="O195" s="20"/>
      <c r="P195" s="101"/>
      <c r="Q195" s="101"/>
      <c r="R195" s="101"/>
      <c r="S195" s="100"/>
      <c r="T195" s="102"/>
      <c r="U195" s="102"/>
      <c r="V195" s="141"/>
    </row>
    <row r="196" spans="1:22" s="15" customFormat="1" ht="39" customHeight="1">
      <c r="A196" s="158"/>
      <c r="B196" s="157" t="str">
        <f t="shared" si="5"/>
        <v>2-89</v>
      </c>
      <c r="C196" s="100" t="s">
        <v>81</v>
      </c>
      <c r="D196" s="100" t="s">
        <v>494</v>
      </c>
      <c r="E196" s="100" t="s">
        <v>177</v>
      </c>
      <c r="F196" s="204" t="s">
        <v>578</v>
      </c>
      <c r="G196" s="205"/>
      <c r="H196" s="101"/>
      <c r="I196" s="20"/>
      <c r="J196" s="101"/>
      <c r="K196" s="101"/>
      <c r="L196" s="20"/>
      <c r="M196" s="101"/>
      <c r="N196" s="101"/>
      <c r="O196" s="20"/>
      <c r="P196" s="101"/>
      <c r="Q196" s="160"/>
      <c r="R196" s="101"/>
      <c r="S196" s="100"/>
      <c r="T196" s="102"/>
      <c r="U196" s="102"/>
      <c r="V196" s="141"/>
    </row>
    <row r="197" spans="1:22" s="15" customFormat="1" ht="39" customHeight="1">
      <c r="A197" s="158"/>
      <c r="B197" s="157" t="str">
        <f t="shared" si="5"/>
        <v>2-90</v>
      </c>
      <c r="C197" s="100" t="s">
        <v>81</v>
      </c>
      <c r="D197" s="100" t="s">
        <v>81</v>
      </c>
      <c r="E197" s="100" t="s">
        <v>175</v>
      </c>
      <c r="F197" s="204" t="s">
        <v>178</v>
      </c>
      <c r="G197" s="205"/>
      <c r="H197" s="101"/>
      <c r="I197" s="20"/>
      <c r="J197" s="101"/>
      <c r="K197" s="101"/>
      <c r="L197" s="20"/>
      <c r="M197" s="101"/>
      <c r="N197" s="101"/>
      <c r="O197" s="20"/>
      <c r="P197" s="101"/>
      <c r="Q197" s="160"/>
      <c r="R197" s="101"/>
      <c r="S197" s="100"/>
      <c r="T197" s="102"/>
      <c r="U197" s="102"/>
      <c r="V197" s="141"/>
    </row>
    <row r="198" spans="1:22" ht="39" customHeight="1">
      <c r="A198" s="158"/>
      <c r="B198" s="157" t="str">
        <f t="shared" ref="B198:B245" si="6">"2-"&amp;ROW()-107</f>
        <v>2-91</v>
      </c>
      <c r="C198" s="100" t="s">
        <v>81</v>
      </c>
      <c r="D198" s="42" t="s">
        <v>508</v>
      </c>
      <c r="E198" s="42" t="s">
        <v>115</v>
      </c>
      <c r="F198" s="204" t="s">
        <v>117</v>
      </c>
      <c r="G198" s="205"/>
      <c r="H198" s="101"/>
      <c r="I198" s="20"/>
      <c r="J198" s="101"/>
      <c r="K198" s="101"/>
      <c r="L198" s="20"/>
      <c r="M198" s="101"/>
      <c r="N198" s="101"/>
      <c r="O198" s="20"/>
      <c r="P198" s="101"/>
      <c r="Q198" s="161"/>
      <c r="R198" s="101"/>
      <c r="S198" s="100"/>
      <c r="T198" s="102"/>
      <c r="U198" s="102"/>
      <c r="V198" s="142"/>
    </row>
    <row r="199" spans="1:22" ht="39" customHeight="1">
      <c r="B199" s="120" t="str">
        <f t="shared" si="6"/>
        <v>2-92</v>
      </c>
      <c r="C199" s="100" t="s">
        <v>81</v>
      </c>
      <c r="D199" s="100" t="s">
        <v>81</v>
      </c>
      <c r="E199" s="42" t="s">
        <v>181</v>
      </c>
      <c r="F199" s="204" t="s">
        <v>473</v>
      </c>
      <c r="G199" s="205"/>
      <c r="H199" s="101"/>
      <c r="I199" s="20"/>
      <c r="J199" s="101"/>
      <c r="K199" s="101"/>
      <c r="L199" s="20"/>
      <c r="M199" s="101"/>
      <c r="N199" s="101"/>
      <c r="O199" s="20"/>
      <c r="P199" s="101"/>
      <c r="Q199" s="161"/>
      <c r="R199" s="101"/>
      <c r="S199" s="100"/>
      <c r="T199" s="102"/>
      <c r="U199" s="102"/>
      <c r="V199" s="142"/>
    </row>
    <row r="200" spans="1:22" ht="39" customHeight="1">
      <c r="B200" s="120" t="str">
        <f t="shared" si="6"/>
        <v>2-93</v>
      </c>
      <c r="C200" s="100" t="s">
        <v>81</v>
      </c>
      <c r="D200" s="100" t="s">
        <v>529</v>
      </c>
      <c r="E200" s="100" t="s">
        <v>529</v>
      </c>
      <c r="F200" s="204" t="s">
        <v>180</v>
      </c>
      <c r="G200" s="205"/>
      <c r="H200" s="101"/>
      <c r="I200" s="20"/>
      <c r="J200" s="101"/>
      <c r="K200" s="101"/>
      <c r="L200" s="20"/>
      <c r="M200" s="101"/>
      <c r="N200" s="101"/>
      <c r="O200" s="20"/>
      <c r="P200" s="101"/>
      <c r="Q200" s="161"/>
      <c r="R200" s="101"/>
      <c r="S200" s="100"/>
      <c r="T200" s="102"/>
      <c r="U200" s="102"/>
      <c r="V200" s="142"/>
    </row>
    <row r="201" spans="1:22" s="15" customFormat="1" ht="39" customHeight="1">
      <c r="B201" s="120" t="str">
        <f t="shared" si="6"/>
        <v>2-94</v>
      </c>
      <c r="C201" s="100" t="s">
        <v>529</v>
      </c>
      <c r="D201" s="42" t="s">
        <v>511</v>
      </c>
      <c r="E201" s="42" t="s">
        <v>115</v>
      </c>
      <c r="F201" s="204" t="s">
        <v>486</v>
      </c>
      <c r="G201" s="205"/>
      <c r="H201" s="101"/>
      <c r="I201" s="20"/>
      <c r="J201" s="101"/>
      <c r="K201" s="101"/>
      <c r="L201" s="20"/>
      <c r="M201" s="101"/>
      <c r="N201" s="101"/>
      <c r="O201" s="20"/>
      <c r="P201" s="101"/>
      <c r="Q201" s="160"/>
      <c r="R201" s="101"/>
      <c r="S201" s="100"/>
      <c r="T201" s="102"/>
      <c r="U201" s="102"/>
      <c r="V201" s="142"/>
    </row>
    <row r="202" spans="1:22" s="15" customFormat="1" ht="39" customHeight="1">
      <c r="B202" s="120" t="str">
        <f t="shared" si="6"/>
        <v>2-95</v>
      </c>
      <c r="C202" s="100" t="s">
        <v>81</v>
      </c>
      <c r="D202" s="100" t="s">
        <v>530</v>
      </c>
      <c r="E202" s="42" t="s">
        <v>181</v>
      </c>
      <c r="F202" s="204" t="s">
        <v>473</v>
      </c>
      <c r="G202" s="205"/>
      <c r="H202" s="101"/>
      <c r="I202" s="20"/>
      <c r="J202" s="101"/>
      <c r="K202" s="101"/>
      <c r="L202" s="20"/>
      <c r="M202" s="101"/>
      <c r="N202" s="101"/>
      <c r="O202" s="20"/>
      <c r="P202" s="101"/>
      <c r="Q202" s="161"/>
      <c r="R202" s="101"/>
      <c r="S202" s="100"/>
      <c r="T202" s="102"/>
      <c r="U202" s="102"/>
      <c r="V202" s="142"/>
    </row>
    <row r="203" spans="1:22" s="15" customFormat="1" ht="39" customHeight="1">
      <c r="B203" s="120" t="str">
        <f t="shared" si="6"/>
        <v>2-96</v>
      </c>
      <c r="C203" s="100" t="s">
        <v>529</v>
      </c>
      <c r="D203" s="100" t="s">
        <v>530</v>
      </c>
      <c r="E203" s="42"/>
      <c r="F203" s="204" t="s">
        <v>564</v>
      </c>
      <c r="G203" s="205"/>
      <c r="H203" s="101"/>
      <c r="I203" s="20"/>
      <c r="J203" s="101"/>
      <c r="K203" s="101"/>
      <c r="L203" s="20"/>
      <c r="M203" s="101"/>
      <c r="N203" s="101"/>
      <c r="O203" s="20"/>
      <c r="P203" s="101"/>
      <c r="Q203" s="161"/>
      <c r="R203" s="101"/>
      <c r="S203" s="100"/>
      <c r="T203" s="102"/>
      <c r="U203" s="102"/>
      <c r="V203" s="142"/>
    </row>
    <row r="204" spans="1:22" s="15" customFormat="1" ht="39" customHeight="1">
      <c r="B204" s="120" t="str">
        <f t="shared" si="6"/>
        <v>2-97</v>
      </c>
      <c r="C204" s="100" t="s">
        <v>158</v>
      </c>
      <c r="D204" s="100" t="s">
        <v>567</v>
      </c>
      <c r="E204" s="42"/>
      <c r="F204" s="204" t="s">
        <v>568</v>
      </c>
      <c r="G204" s="205"/>
      <c r="H204" s="101"/>
      <c r="I204" s="20"/>
      <c r="J204" s="101"/>
      <c r="K204" s="101"/>
      <c r="L204" s="20"/>
      <c r="M204" s="101"/>
      <c r="N204" s="101"/>
      <c r="O204" s="20"/>
      <c r="P204" s="101"/>
      <c r="Q204" s="161"/>
      <c r="R204" s="101"/>
      <c r="S204" s="100"/>
      <c r="T204" s="102"/>
      <c r="U204" s="102"/>
      <c r="V204" s="147"/>
    </row>
    <row r="205" spans="1:22" s="15" customFormat="1" ht="38.450000000000003" customHeight="1">
      <c r="B205" s="120" t="str">
        <f t="shared" si="6"/>
        <v>2-98</v>
      </c>
      <c r="C205" s="100" t="s">
        <v>81</v>
      </c>
      <c r="D205" s="100" t="s">
        <v>530</v>
      </c>
      <c r="E205" s="100" t="s">
        <v>530</v>
      </c>
      <c r="F205" s="204" t="s">
        <v>513</v>
      </c>
      <c r="G205" s="205"/>
      <c r="H205" s="101"/>
      <c r="I205" s="20"/>
      <c r="J205" s="101"/>
      <c r="K205" s="101"/>
      <c r="L205" s="20"/>
      <c r="M205" s="101"/>
      <c r="N205" s="101"/>
      <c r="O205" s="20"/>
      <c r="P205" s="101"/>
      <c r="Q205" s="161"/>
      <c r="R205" s="101"/>
      <c r="S205" s="100"/>
      <c r="T205" s="102"/>
      <c r="U205" s="102"/>
      <c r="V205" s="142"/>
    </row>
    <row r="206" spans="1:22" ht="39.6" customHeight="1">
      <c r="B206" s="120" t="str">
        <f t="shared" si="6"/>
        <v>2-99</v>
      </c>
      <c r="C206" s="100" t="s">
        <v>161</v>
      </c>
      <c r="D206" s="100" t="s">
        <v>138</v>
      </c>
      <c r="E206" s="100" t="s">
        <v>116</v>
      </c>
      <c r="F206" s="208" t="s">
        <v>493</v>
      </c>
      <c r="G206" s="209"/>
      <c r="H206" s="101"/>
      <c r="I206" s="20"/>
      <c r="J206" s="101"/>
      <c r="K206" s="101"/>
      <c r="L206" s="20"/>
      <c r="M206" s="101"/>
      <c r="N206" s="101"/>
      <c r="O206" s="20"/>
      <c r="P206" s="101"/>
      <c r="Q206" s="160"/>
      <c r="R206" s="101"/>
      <c r="S206" s="100"/>
      <c r="T206" s="102"/>
      <c r="U206" s="102"/>
      <c r="V206" s="124"/>
    </row>
    <row r="207" spans="1:22" ht="39.6" customHeight="1">
      <c r="B207" s="120" t="str">
        <f t="shared" si="6"/>
        <v>2-100</v>
      </c>
      <c r="C207" s="100" t="s">
        <v>229</v>
      </c>
      <c r="D207" s="100" t="s">
        <v>99</v>
      </c>
      <c r="E207" s="100" t="s">
        <v>211</v>
      </c>
      <c r="F207" s="206" t="s">
        <v>212</v>
      </c>
      <c r="G207" s="207"/>
      <c r="H207" s="101"/>
      <c r="I207" s="20"/>
      <c r="J207" s="101"/>
      <c r="K207" s="101"/>
      <c r="L207" s="20"/>
      <c r="M207" s="101"/>
      <c r="N207" s="101"/>
      <c r="O207" s="20"/>
      <c r="P207" s="101"/>
      <c r="Q207" s="160"/>
      <c r="R207" s="101"/>
      <c r="S207" s="100"/>
      <c r="T207" s="102"/>
      <c r="U207" s="102"/>
      <c r="V207" s="124"/>
    </row>
    <row r="208" spans="1:22" ht="39.6" customHeight="1">
      <c r="B208" s="120" t="str">
        <f t="shared" si="6"/>
        <v>2-101</v>
      </c>
      <c r="C208" s="100" t="s">
        <v>182</v>
      </c>
      <c r="D208" s="100" t="s">
        <v>161</v>
      </c>
      <c r="E208" s="42" t="s">
        <v>121</v>
      </c>
      <c r="F208" s="204" t="s">
        <v>124</v>
      </c>
      <c r="G208" s="205"/>
      <c r="H208" s="101"/>
      <c r="I208" s="20"/>
      <c r="J208" s="101"/>
      <c r="K208" s="101"/>
      <c r="L208" s="20"/>
      <c r="M208" s="101"/>
      <c r="N208" s="101"/>
      <c r="O208" s="20"/>
      <c r="P208" s="101"/>
      <c r="Q208" s="161"/>
      <c r="R208" s="101"/>
      <c r="S208" s="100"/>
      <c r="T208" s="102"/>
      <c r="U208" s="102"/>
      <c r="V208" s="124"/>
    </row>
    <row r="209" spans="2:22" ht="39.6" customHeight="1">
      <c r="B209" s="120" t="str">
        <f t="shared" si="6"/>
        <v>2-102</v>
      </c>
      <c r="C209" s="100" t="s">
        <v>161</v>
      </c>
      <c r="D209" s="100" t="s">
        <v>172</v>
      </c>
      <c r="E209" s="42" t="s">
        <v>120</v>
      </c>
      <c r="F209" s="204" t="s">
        <v>125</v>
      </c>
      <c r="G209" s="205"/>
      <c r="H209" s="101"/>
      <c r="I209" s="20"/>
      <c r="J209" s="101"/>
      <c r="K209" s="101"/>
      <c r="L209" s="20"/>
      <c r="M209" s="101"/>
      <c r="N209" s="101"/>
      <c r="O209" s="20"/>
      <c r="P209" s="101"/>
      <c r="Q209" s="161"/>
      <c r="R209" s="101"/>
      <c r="S209" s="100"/>
      <c r="T209" s="102"/>
      <c r="U209" s="102"/>
      <c r="V209" s="124"/>
    </row>
    <row r="210" spans="2:22" ht="39.6" customHeight="1">
      <c r="B210" s="120" t="str">
        <f t="shared" si="6"/>
        <v>2-103</v>
      </c>
      <c r="C210" s="100" t="s">
        <v>226</v>
      </c>
      <c r="D210" s="100" t="s">
        <v>152</v>
      </c>
      <c r="E210" s="100" t="s">
        <v>549</v>
      </c>
      <c r="F210" s="206" t="s">
        <v>153</v>
      </c>
      <c r="G210" s="207"/>
      <c r="H210" s="101"/>
      <c r="I210" s="20"/>
      <c r="J210" s="101"/>
      <c r="K210" s="101"/>
      <c r="L210" s="20"/>
      <c r="M210" s="101"/>
      <c r="N210" s="101"/>
      <c r="O210" s="20"/>
      <c r="P210" s="101"/>
      <c r="Q210" s="160"/>
      <c r="R210" s="101"/>
      <c r="S210" s="100"/>
      <c r="T210" s="102"/>
      <c r="U210" s="102"/>
      <c r="V210" s="124"/>
    </row>
    <row r="211" spans="2:22" ht="39.950000000000003" customHeight="1">
      <c r="B211" s="120" t="str">
        <f t="shared" si="6"/>
        <v>2-104</v>
      </c>
      <c r="C211" s="100" t="s">
        <v>81</v>
      </c>
      <c r="D211" s="100" t="s">
        <v>550</v>
      </c>
      <c r="E211" s="100" t="s">
        <v>551</v>
      </c>
      <c r="F211" s="206" t="s">
        <v>552</v>
      </c>
      <c r="G211" s="207"/>
      <c r="H211" s="101"/>
      <c r="I211" s="20"/>
      <c r="J211" s="101"/>
      <c r="K211" s="101"/>
      <c r="L211" s="20"/>
      <c r="M211" s="101"/>
      <c r="N211" s="101"/>
      <c r="O211" s="20"/>
      <c r="P211" s="101"/>
      <c r="Q211" s="161"/>
      <c r="R211" s="101"/>
      <c r="S211" s="100"/>
      <c r="T211" s="102"/>
      <c r="U211" s="102"/>
      <c r="V211" s="145"/>
    </row>
    <row r="212" spans="2:22" ht="39.6" customHeight="1">
      <c r="B212" s="120" t="str">
        <f t="shared" si="6"/>
        <v>2-105</v>
      </c>
      <c r="C212" s="100" t="s">
        <v>161</v>
      </c>
      <c r="D212" s="100" t="s">
        <v>218</v>
      </c>
      <c r="E212" s="100" t="s">
        <v>211</v>
      </c>
      <c r="F212" s="206" t="s">
        <v>212</v>
      </c>
      <c r="G212" s="207"/>
      <c r="H212" s="101"/>
      <c r="I212" s="20"/>
      <c r="J212" s="101"/>
      <c r="K212" s="101"/>
      <c r="L212" s="20"/>
      <c r="M212" s="101"/>
      <c r="N212" s="101"/>
      <c r="O212" s="20"/>
      <c r="P212" s="101"/>
      <c r="Q212" s="160"/>
      <c r="R212" s="101"/>
      <c r="S212" s="100"/>
      <c r="T212" s="102"/>
      <c r="U212" s="102"/>
      <c r="V212" s="124"/>
    </row>
    <row r="213" spans="2:22" ht="39.6" customHeight="1">
      <c r="B213" s="120" t="str">
        <f t="shared" si="6"/>
        <v>2-106</v>
      </c>
      <c r="C213" s="100" t="s">
        <v>182</v>
      </c>
      <c r="D213" s="100" t="s">
        <v>161</v>
      </c>
      <c r="E213" s="42" t="s">
        <v>121</v>
      </c>
      <c r="F213" s="204" t="s">
        <v>119</v>
      </c>
      <c r="G213" s="205"/>
      <c r="H213" s="101"/>
      <c r="I213" s="20"/>
      <c r="J213" s="101"/>
      <c r="K213" s="101"/>
      <c r="L213" s="20"/>
      <c r="M213" s="101"/>
      <c r="N213" s="101"/>
      <c r="O213" s="20"/>
      <c r="P213" s="101"/>
      <c r="Q213" s="161"/>
      <c r="R213" s="101"/>
      <c r="S213" s="100"/>
      <c r="T213" s="102"/>
      <c r="U213" s="102"/>
      <c r="V213" s="124"/>
    </row>
    <row r="214" spans="2:22" ht="39.6" customHeight="1">
      <c r="B214" s="120" t="str">
        <f t="shared" si="6"/>
        <v>2-107</v>
      </c>
      <c r="C214" s="100" t="s">
        <v>161</v>
      </c>
      <c r="D214" s="100" t="s">
        <v>172</v>
      </c>
      <c r="E214" s="42" t="s">
        <v>218</v>
      </c>
      <c r="F214" s="204" t="s">
        <v>123</v>
      </c>
      <c r="G214" s="205"/>
      <c r="H214" s="101"/>
      <c r="I214" s="20"/>
      <c r="J214" s="101"/>
      <c r="K214" s="101"/>
      <c r="L214" s="20"/>
      <c r="M214" s="101"/>
      <c r="N214" s="101"/>
      <c r="O214" s="20"/>
      <c r="P214" s="101"/>
      <c r="Q214" s="161"/>
      <c r="R214" s="101"/>
      <c r="S214" s="100"/>
      <c r="T214" s="102"/>
      <c r="U214" s="102"/>
      <c r="V214" s="124"/>
    </row>
    <row r="215" spans="2:22" ht="39.6" customHeight="1">
      <c r="B215" s="120" t="str">
        <f t="shared" si="6"/>
        <v>2-108</v>
      </c>
      <c r="C215" s="100" t="s">
        <v>230</v>
      </c>
      <c r="D215" s="100" t="s">
        <v>182</v>
      </c>
      <c r="E215" s="42" t="s">
        <v>120</v>
      </c>
      <c r="F215" s="204" t="s">
        <v>118</v>
      </c>
      <c r="G215" s="205"/>
      <c r="H215" s="101"/>
      <c r="I215" s="20"/>
      <c r="J215" s="101"/>
      <c r="K215" s="101"/>
      <c r="L215" s="20"/>
      <c r="M215" s="101"/>
      <c r="N215" s="101"/>
      <c r="O215" s="20"/>
      <c r="P215" s="101"/>
      <c r="Q215" s="161"/>
      <c r="R215" s="101"/>
      <c r="S215" s="100"/>
      <c r="T215" s="102"/>
      <c r="U215" s="102"/>
      <c r="V215" s="124"/>
    </row>
    <row r="216" spans="2:22" ht="39.6" customHeight="1">
      <c r="B216" s="120" t="str">
        <f t="shared" si="6"/>
        <v>2-109</v>
      </c>
      <c r="C216" s="100" t="s">
        <v>161</v>
      </c>
      <c r="D216" s="100" t="s">
        <v>182</v>
      </c>
      <c r="E216" s="42" t="s">
        <v>218</v>
      </c>
      <c r="F216" s="204" t="s">
        <v>557</v>
      </c>
      <c r="G216" s="205"/>
      <c r="H216" s="101"/>
      <c r="I216" s="20"/>
      <c r="J216" s="101"/>
      <c r="K216" s="101"/>
      <c r="L216" s="20"/>
      <c r="M216" s="101"/>
      <c r="N216" s="101"/>
      <c r="O216" s="20"/>
      <c r="P216" s="101"/>
      <c r="Q216" s="161"/>
      <c r="R216" s="101"/>
      <c r="S216" s="100"/>
      <c r="T216" s="102"/>
      <c r="U216" s="102"/>
      <c r="V216" s="124"/>
    </row>
    <row r="217" spans="2:22" ht="39.6" customHeight="1">
      <c r="B217" s="120" t="str">
        <f t="shared" si="6"/>
        <v>2-110</v>
      </c>
      <c r="C217" s="100" t="s">
        <v>81</v>
      </c>
      <c r="D217" s="100" t="s">
        <v>140</v>
      </c>
      <c r="E217" s="100" t="s">
        <v>116</v>
      </c>
      <c r="F217" s="204" t="s">
        <v>187</v>
      </c>
      <c r="G217" s="205"/>
      <c r="H217" s="101"/>
      <c r="I217" s="20"/>
      <c r="J217" s="101"/>
      <c r="K217" s="101"/>
      <c r="L217" s="20"/>
      <c r="M217" s="101"/>
      <c r="N217" s="101"/>
      <c r="O217" s="20"/>
      <c r="P217" s="101"/>
      <c r="Q217" s="161"/>
      <c r="R217" s="101"/>
      <c r="S217" s="100"/>
      <c r="T217" s="102"/>
      <c r="U217" s="102"/>
      <c r="V217" s="117"/>
    </row>
    <row r="218" spans="2:22" ht="39.6" customHeight="1">
      <c r="B218" s="120" t="str">
        <f t="shared" si="6"/>
        <v>2-111</v>
      </c>
      <c r="C218" s="100" t="s">
        <v>81</v>
      </c>
      <c r="D218" s="100" t="s">
        <v>96</v>
      </c>
      <c r="E218" s="100" t="s">
        <v>151</v>
      </c>
      <c r="F218" s="208" t="s">
        <v>103</v>
      </c>
      <c r="G218" s="209"/>
      <c r="H218" s="101"/>
      <c r="I218" s="20"/>
      <c r="J218" s="101"/>
      <c r="K218" s="101"/>
      <c r="L218" s="20"/>
      <c r="M218" s="101"/>
      <c r="N218" s="101"/>
      <c r="O218" s="20"/>
      <c r="P218" s="101"/>
      <c r="Q218" s="160"/>
      <c r="R218" s="101"/>
      <c r="S218" s="100"/>
      <c r="T218" s="102"/>
      <c r="U218" s="102"/>
      <c r="V218" s="117"/>
    </row>
    <row r="219" spans="2:22" ht="39.6" customHeight="1">
      <c r="B219" s="120" t="str">
        <f t="shared" si="6"/>
        <v>2-112</v>
      </c>
      <c r="C219" s="100" t="s">
        <v>161</v>
      </c>
      <c r="D219" s="100" t="s">
        <v>114</v>
      </c>
      <c r="E219" s="100" t="s">
        <v>116</v>
      </c>
      <c r="F219" s="208" t="s">
        <v>103</v>
      </c>
      <c r="G219" s="209"/>
      <c r="H219" s="101"/>
      <c r="I219" s="20"/>
      <c r="J219" s="101"/>
      <c r="K219" s="101"/>
      <c r="L219" s="20"/>
      <c r="M219" s="101"/>
      <c r="N219" s="101"/>
      <c r="O219" s="20"/>
      <c r="P219" s="101"/>
      <c r="Q219" s="160"/>
      <c r="R219" s="101"/>
      <c r="S219" s="100"/>
      <c r="T219" s="102"/>
      <c r="U219" s="102"/>
      <c r="V219" s="124"/>
    </row>
    <row r="220" spans="2:22" ht="39.6" customHeight="1">
      <c r="B220" s="120" t="str">
        <f t="shared" si="6"/>
        <v>2-113</v>
      </c>
      <c r="C220" s="100" t="s">
        <v>231</v>
      </c>
      <c r="D220" s="100" t="s">
        <v>205</v>
      </c>
      <c r="E220" s="100" t="s">
        <v>99</v>
      </c>
      <c r="F220" s="206" t="s">
        <v>129</v>
      </c>
      <c r="G220" s="207"/>
      <c r="H220" s="101"/>
      <c r="I220" s="20"/>
      <c r="J220" s="101"/>
      <c r="K220" s="101"/>
      <c r="L220" s="20"/>
      <c r="M220" s="101"/>
      <c r="N220" s="101"/>
      <c r="O220" s="20"/>
      <c r="P220" s="101"/>
      <c r="Q220" s="160"/>
      <c r="R220" s="101"/>
      <c r="S220" s="100"/>
      <c r="T220" s="102"/>
      <c r="U220" s="102"/>
      <c r="V220" s="124"/>
    </row>
    <row r="221" spans="2:22" ht="39.6" customHeight="1">
      <c r="B221" s="120" t="str">
        <f t="shared" si="6"/>
        <v>2-114</v>
      </c>
      <c r="C221" s="100" t="s">
        <v>161</v>
      </c>
      <c r="D221" s="100" t="s">
        <v>232</v>
      </c>
      <c r="E221" s="100" t="s">
        <v>211</v>
      </c>
      <c r="F221" s="206" t="s">
        <v>212</v>
      </c>
      <c r="G221" s="207"/>
      <c r="H221" s="101"/>
      <c r="I221" s="20"/>
      <c r="J221" s="101"/>
      <c r="K221" s="101"/>
      <c r="L221" s="20"/>
      <c r="M221" s="101"/>
      <c r="N221" s="101"/>
      <c r="O221" s="20"/>
      <c r="P221" s="101"/>
      <c r="Q221" s="160"/>
      <c r="R221" s="101"/>
      <c r="S221" s="100"/>
      <c r="T221" s="102"/>
      <c r="U221" s="102"/>
      <c r="V221" s="124"/>
    </row>
    <row r="222" spans="2:22" ht="39.6" customHeight="1">
      <c r="B222" s="120" t="str">
        <f t="shared" si="6"/>
        <v>2-115</v>
      </c>
      <c r="C222" s="100" t="s">
        <v>182</v>
      </c>
      <c r="D222" s="100" t="s">
        <v>218</v>
      </c>
      <c r="E222" s="100" t="s">
        <v>132</v>
      </c>
      <c r="F222" s="206" t="s">
        <v>131</v>
      </c>
      <c r="G222" s="207"/>
      <c r="H222" s="101"/>
      <c r="I222" s="20"/>
      <c r="J222" s="101"/>
      <c r="K222" s="101"/>
      <c r="L222" s="20"/>
      <c r="M222" s="101"/>
      <c r="N222" s="101"/>
      <c r="O222" s="20"/>
      <c r="P222" s="101"/>
      <c r="Q222" s="160"/>
      <c r="R222" s="101"/>
      <c r="S222" s="100"/>
      <c r="T222" s="102"/>
      <c r="U222" s="102"/>
      <c r="V222" s="124"/>
    </row>
    <row r="223" spans="2:22" ht="39.6" customHeight="1">
      <c r="B223" s="120" t="str">
        <f t="shared" si="6"/>
        <v>2-116</v>
      </c>
      <c r="C223" s="100" t="s">
        <v>161</v>
      </c>
      <c r="D223" s="100" t="s">
        <v>172</v>
      </c>
      <c r="E223" s="100" t="s">
        <v>127</v>
      </c>
      <c r="F223" s="206" t="s">
        <v>133</v>
      </c>
      <c r="G223" s="207"/>
      <c r="H223" s="101"/>
      <c r="I223" s="20"/>
      <c r="J223" s="101"/>
      <c r="K223" s="101"/>
      <c r="L223" s="20"/>
      <c r="M223" s="101"/>
      <c r="N223" s="101"/>
      <c r="O223" s="20"/>
      <c r="P223" s="101"/>
      <c r="Q223" s="160"/>
      <c r="R223" s="101"/>
      <c r="S223" s="100"/>
      <c r="T223" s="102"/>
      <c r="U223" s="102"/>
      <c r="V223" s="124"/>
    </row>
    <row r="224" spans="2:22" ht="39.6" customHeight="1">
      <c r="B224" s="120" t="str">
        <f t="shared" si="6"/>
        <v>2-117</v>
      </c>
      <c r="C224" s="100" t="s">
        <v>209</v>
      </c>
      <c r="D224" s="100" t="s">
        <v>101</v>
      </c>
      <c r="E224" s="100" t="s">
        <v>116</v>
      </c>
      <c r="F224" s="208" t="s">
        <v>103</v>
      </c>
      <c r="G224" s="209"/>
      <c r="H224" s="101"/>
      <c r="I224" s="20"/>
      <c r="J224" s="101"/>
      <c r="K224" s="101"/>
      <c r="L224" s="20"/>
      <c r="M224" s="101"/>
      <c r="N224" s="101"/>
      <c r="O224" s="20"/>
      <c r="P224" s="101"/>
      <c r="Q224" s="160"/>
      <c r="R224" s="101"/>
      <c r="S224" s="100"/>
      <c r="T224" s="102"/>
      <c r="U224" s="102"/>
      <c r="V224" s="124"/>
    </row>
    <row r="225" spans="2:24" ht="39.6" customHeight="1">
      <c r="B225" s="120" t="str">
        <f t="shared" si="6"/>
        <v>2-118</v>
      </c>
      <c r="C225" s="100" t="s">
        <v>161</v>
      </c>
      <c r="D225" s="100" t="s">
        <v>99</v>
      </c>
      <c r="E225" s="100" t="s">
        <v>99</v>
      </c>
      <c r="F225" s="206" t="s">
        <v>129</v>
      </c>
      <c r="G225" s="207"/>
      <c r="H225" s="101"/>
      <c r="I225" s="20"/>
      <c r="J225" s="101"/>
      <c r="K225" s="101"/>
      <c r="L225" s="20"/>
      <c r="M225" s="101"/>
      <c r="N225" s="101"/>
      <c r="O225" s="20"/>
      <c r="P225" s="101"/>
      <c r="Q225" s="160"/>
      <c r="R225" s="101"/>
      <c r="S225" s="100"/>
      <c r="T225" s="102"/>
      <c r="U225" s="102"/>
      <c r="V225" s="124"/>
    </row>
    <row r="226" spans="2:24" ht="39.6" customHeight="1">
      <c r="B226" s="120" t="str">
        <f t="shared" si="6"/>
        <v>2-119</v>
      </c>
      <c r="C226" s="100" t="s">
        <v>81</v>
      </c>
      <c r="D226" s="100" t="s">
        <v>102</v>
      </c>
      <c r="E226" s="100" t="s">
        <v>151</v>
      </c>
      <c r="F226" s="206" t="s">
        <v>103</v>
      </c>
      <c r="G226" s="207"/>
      <c r="H226" s="101"/>
      <c r="I226" s="20"/>
      <c r="J226" s="101"/>
      <c r="K226" s="101"/>
      <c r="L226" s="20"/>
      <c r="M226" s="101"/>
      <c r="N226" s="101"/>
      <c r="O226" s="20"/>
      <c r="P226" s="101"/>
      <c r="Q226" s="160"/>
      <c r="R226" s="101"/>
      <c r="S226" s="100"/>
      <c r="T226" s="102"/>
      <c r="U226" s="102"/>
      <c r="V226" s="117"/>
      <c r="W226" s="117"/>
      <c r="X226" s="117"/>
    </row>
    <row r="227" spans="2:24" ht="39.6" customHeight="1">
      <c r="B227" s="120" t="str">
        <f t="shared" si="6"/>
        <v>2-120</v>
      </c>
      <c r="C227" s="100" t="s">
        <v>192</v>
      </c>
      <c r="D227" s="42" t="s">
        <v>516</v>
      </c>
      <c r="E227" s="100" t="s">
        <v>300</v>
      </c>
      <c r="F227" s="204" t="s">
        <v>261</v>
      </c>
      <c r="G227" s="205"/>
      <c r="H227" s="101"/>
      <c r="I227" s="20"/>
      <c r="J227" s="101"/>
      <c r="K227" s="101"/>
      <c r="L227" s="20"/>
      <c r="M227" s="101"/>
      <c r="N227" s="101"/>
      <c r="O227" s="20"/>
      <c r="P227" s="101"/>
      <c r="Q227" s="161"/>
      <c r="R227" s="101"/>
      <c r="S227" s="100"/>
      <c r="T227" s="102"/>
      <c r="U227" s="102"/>
      <c r="V227" s="124"/>
    </row>
    <row r="228" spans="2:24" ht="39.6" customHeight="1">
      <c r="B228" s="120" t="str">
        <f t="shared" si="6"/>
        <v>2-121</v>
      </c>
      <c r="C228" s="100" t="s">
        <v>179</v>
      </c>
      <c r="D228" s="100" t="s">
        <v>231</v>
      </c>
      <c r="E228" s="100" t="s">
        <v>145</v>
      </c>
      <c r="F228" s="204" t="s">
        <v>580</v>
      </c>
      <c r="G228" s="205"/>
      <c r="H228" s="101"/>
      <c r="I228" s="20"/>
      <c r="J228" s="101"/>
      <c r="K228" s="101"/>
      <c r="L228" s="20"/>
      <c r="M228" s="101"/>
      <c r="N228" s="101"/>
      <c r="O228" s="20"/>
      <c r="P228" s="101"/>
      <c r="Q228" s="160"/>
      <c r="R228" s="101"/>
      <c r="S228" s="100"/>
      <c r="T228" s="102"/>
      <c r="U228" s="102"/>
      <c r="V228" s="124"/>
    </row>
    <row r="229" spans="2:24" ht="39.6" customHeight="1">
      <c r="B229" s="120" t="str">
        <f t="shared" si="6"/>
        <v>2-122</v>
      </c>
      <c r="C229" s="100" t="s">
        <v>161</v>
      </c>
      <c r="D229" s="100" t="s">
        <v>161</v>
      </c>
      <c r="E229" s="42" t="s">
        <v>141</v>
      </c>
      <c r="F229" s="204" t="s">
        <v>582</v>
      </c>
      <c r="G229" s="205"/>
      <c r="H229" s="101"/>
      <c r="I229" s="20"/>
      <c r="J229" s="101"/>
      <c r="K229" s="101"/>
      <c r="L229" s="20"/>
      <c r="M229" s="101"/>
      <c r="N229" s="101"/>
      <c r="O229" s="20"/>
      <c r="P229" s="101"/>
      <c r="Q229" s="160"/>
      <c r="R229" s="101"/>
      <c r="S229" s="100"/>
      <c r="T229" s="102"/>
      <c r="U229" s="102"/>
      <c r="V229" s="124"/>
    </row>
    <row r="230" spans="2:24" ht="39.6" customHeight="1">
      <c r="B230" s="120" t="str">
        <f t="shared" si="6"/>
        <v>2-123</v>
      </c>
      <c r="C230" s="100" t="s">
        <v>231</v>
      </c>
      <c r="D230" s="100" t="s">
        <v>172</v>
      </c>
      <c r="E230" s="42" t="s">
        <v>146</v>
      </c>
      <c r="F230" s="204" t="s">
        <v>462</v>
      </c>
      <c r="G230" s="205"/>
      <c r="H230" s="101"/>
      <c r="I230" s="20"/>
      <c r="J230" s="101"/>
      <c r="K230" s="101"/>
      <c r="L230" s="20"/>
      <c r="M230" s="101"/>
      <c r="N230" s="101"/>
      <c r="O230" s="20"/>
      <c r="P230" s="101"/>
      <c r="Q230" s="161"/>
      <c r="R230" s="101"/>
      <c r="S230" s="100"/>
      <c r="T230" s="102"/>
      <c r="U230" s="102"/>
      <c r="V230" s="124"/>
    </row>
    <row r="231" spans="2:24" ht="39.6" customHeight="1">
      <c r="B231" s="120" t="str">
        <f t="shared" si="6"/>
        <v>2-124</v>
      </c>
      <c r="C231" s="100" t="s">
        <v>105</v>
      </c>
      <c r="D231" s="100" t="s">
        <v>184</v>
      </c>
      <c r="E231" s="100" t="s">
        <v>151</v>
      </c>
      <c r="F231" s="206" t="s">
        <v>103</v>
      </c>
      <c r="G231" s="207"/>
      <c r="H231" s="101"/>
      <c r="I231" s="20"/>
      <c r="J231" s="101"/>
      <c r="K231" s="101"/>
      <c r="L231" s="20"/>
      <c r="M231" s="101"/>
      <c r="N231" s="101"/>
      <c r="O231" s="20"/>
      <c r="P231" s="101"/>
      <c r="Q231" s="160"/>
      <c r="R231" s="101"/>
      <c r="S231" s="100"/>
      <c r="T231" s="102"/>
      <c r="U231" s="102"/>
      <c r="V231" s="124"/>
      <c r="W231" s="124"/>
      <c r="X231" s="124"/>
    </row>
    <row r="232" spans="2:24" ht="39.6" customHeight="1">
      <c r="B232" s="120" t="str">
        <f t="shared" si="6"/>
        <v>2-125</v>
      </c>
      <c r="C232" s="100" t="s">
        <v>233</v>
      </c>
      <c r="D232" s="42" t="s">
        <v>502</v>
      </c>
      <c r="E232" s="100" t="s">
        <v>297</v>
      </c>
      <c r="F232" s="204" t="s">
        <v>265</v>
      </c>
      <c r="G232" s="205"/>
      <c r="H232" s="101"/>
      <c r="I232" s="20"/>
      <c r="J232" s="101"/>
      <c r="K232" s="101"/>
      <c r="L232" s="20"/>
      <c r="M232" s="101"/>
      <c r="N232" s="101"/>
      <c r="O232" s="20"/>
      <c r="P232" s="101"/>
      <c r="Q232" s="160"/>
      <c r="R232" s="101"/>
      <c r="S232" s="100"/>
      <c r="T232" s="102"/>
      <c r="U232" s="102"/>
      <c r="V232" s="124"/>
    </row>
    <row r="233" spans="2:24" ht="39.6" customHeight="1">
      <c r="B233" s="120" t="str">
        <f t="shared" si="6"/>
        <v>2-126</v>
      </c>
      <c r="C233" s="100" t="s">
        <v>162</v>
      </c>
      <c r="D233" s="100" t="s">
        <v>494</v>
      </c>
      <c r="E233" s="100" t="s">
        <v>193</v>
      </c>
      <c r="F233" s="204" t="s">
        <v>582</v>
      </c>
      <c r="G233" s="205"/>
      <c r="H233" s="101"/>
      <c r="I233" s="20"/>
      <c r="J233" s="101"/>
      <c r="K233" s="101"/>
      <c r="L233" s="20"/>
      <c r="M233" s="101"/>
      <c r="N233" s="101"/>
      <c r="O233" s="20"/>
      <c r="P233" s="101"/>
      <c r="Q233" s="160"/>
      <c r="R233" s="101"/>
      <c r="S233" s="100"/>
      <c r="T233" s="102"/>
      <c r="U233" s="102"/>
      <c r="V233" s="124"/>
    </row>
    <row r="234" spans="2:24" ht="39.6" customHeight="1">
      <c r="B234" s="120" t="str">
        <f t="shared" si="6"/>
        <v>2-127</v>
      </c>
      <c r="C234" s="100" t="s">
        <v>179</v>
      </c>
      <c r="D234" s="100" t="s">
        <v>500</v>
      </c>
      <c r="E234" s="100" t="s">
        <v>193</v>
      </c>
      <c r="F234" s="204" t="s">
        <v>580</v>
      </c>
      <c r="G234" s="205"/>
      <c r="H234" s="101"/>
      <c r="I234" s="20"/>
      <c r="J234" s="101"/>
      <c r="K234" s="101"/>
      <c r="L234" s="20"/>
      <c r="M234" s="101"/>
      <c r="N234" s="101"/>
      <c r="O234" s="20"/>
      <c r="P234" s="101"/>
      <c r="Q234" s="160"/>
      <c r="R234" s="101"/>
      <c r="S234" s="100"/>
      <c r="T234" s="102"/>
      <c r="U234" s="102"/>
      <c r="V234" s="124"/>
    </row>
    <row r="235" spans="2:24" ht="39.6" customHeight="1">
      <c r="B235" s="120" t="str">
        <f t="shared" si="6"/>
        <v>2-128</v>
      </c>
      <c r="C235" s="100" t="s">
        <v>161</v>
      </c>
      <c r="D235" s="100" t="s">
        <v>161</v>
      </c>
      <c r="E235" s="100" t="s">
        <v>193</v>
      </c>
      <c r="F235" s="204" t="s">
        <v>461</v>
      </c>
      <c r="G235" s="205"/>
      <c r="H235" s="101"/>
      <c r="I235" s="20"/>
      <c r="J235" s="101"/>
      <c r="K235" s="101"/>
      <c r="L235" s="20"/>
      <c r="M235" s="101"/>
      <c r="N235" s="101"/>
      <c r="O235" s="20"/>
      <c r="P235" s="101"/>
      <c r="Q235" s="161"/>
      <c r="R235" s="101"/>
      <c r="S235" s="100"/>
      <c r="T235" s="102"/>
      <c r="U235" s="102"/>
      <c r="V235" s="124"/>
    </row>
    <row r="236" spans="2:24" ht="39.6" customHeight="1">
      <c r="B236" s="120" t="str">
        <f t="shared" si="6"/>
        <v>2-129</v>
      </c>
      <c r="C236" s="100" t="s">
        <v>162</v>
      </c>
      <c r="D236" s="100" t="s">
        <v>162</v>
      </c>
      <c r="E236" s="100" t="s">
        <v>490</v>
      </c>
      <c r="F236" s="204" t="s">
        <v>467</v>
      </c>
      <c r="G236" s="205"/>
      <c r="H236" s="101"/>
      <c r="I236" s="20"/>
      <c r="J236" s="101"/>
      <c r="K236" s="101"/>
      <c r="L236" s="20"/>
      <c r="M236" s="101"/>
      <c r="N236" s="101"/>
      <c r="O236" s="20"/>
      <c r="P236" s="101"/>
      <c r="Q236" s="161"/>
      <c r="R236" s="101"/>
      <c r="S236" s="100"/>
      <c r="T236" s="102"/>
      <c r="U236" s="102"/>
    </row>
    <row r="237" spans="2:24" ht="38.450000000000003" customHeight="1">
      <c r="B237" s="120" t="str">
        <f t="shared" si="6"/>
        <v>2-130</v>
      </c>
      <c r="C237" s="100" t="s">
        <v>463</v>
      </c>
      <c r="D237" s="100" t="s">
        <v>184</v>
      </c>
      <c r="E237" s="100" t="s">
        <v>137</v>
      </c>
      <c r="F237" s="206" t="s">
        <v>465</v>
      </c>
      <c r="G237" s="207"/>
      <c r="H237" s="101"/>
      <c r="I237" s="20"/>
      <c r="J237" s="101"/>
      <c r="K237" s="101"/>
      <c r="L237" s="20"/>
      <c r="M237" s="101"/>
      <c r="N237" s="101"/>
      <c r="O237" s="20"/>
      <c r="P237" s="101"/>
      <c r="Q237" s="160"/>
      <c r="R237" s="101"/>
      <c r="S237" s="100"/>
      <c r="T237" s="102"/>
      <c r="U237" s="102"/>
      <c r="V237" s="139"/>
    </row>
    <row r="238" spans="2:24" ht="38.450000000000003" customHeight="1">
      <c r="B238" s="120" t="str">
        <f t="shared" si="6"/>
        <v>2-131</v>
      </c>
      <c r="C238" s="100" t="s">
        <v>81</v>
      </c>
      <c r="D238" s="42" t="s">
        <v>517</v>
      </c>
      <c r="E238" s="100" t="s">
        <v>268</v>
      </c>
      <c r="F238" s="204" t="s">
        <v>467</v>
      </c>
      <c r="G238" s="205"/>
      <c r="H238" s="101"/>
      <c r="I238" s="20"/>
      <c r="J238" s="101"/>
      <c r="K238" s="101"/>
      <c r="L238" s="20"/>
      <c r="M238" s="101"/>
      <c r="N238" s="101"/>
      <c r="O238" s="20"/>
      <c r="P238" s="101"/>
      <c r="Q238" s="161"/>
      <c r="R238" s="101"/>
      <c r="S238" s="100"/>
      <c r="T238" s="102"/>
      <c r="U238" s="102"/>
      <c r="V238" s="139"/>
    </row>
    <row r="239" spans="2:24" ht="39.6" customHeight="1">
      <c r="B239" s="157" t="str">
        <f t="shared" si="6"/>
        <v>2-132</v>
      </c>
      <c r="C239" s="18" t="s">
        <v>266</v>
      </c>
      <c r="D239" s="18" t="s">
        <v>267</v>
      </c>
      <c r="E239" s="100" t="s">
        <v>268</v>
      </c>
      <c r="F239" s="206" t="s">
        <v>269</v>
      </c>
      <c r="G239" s="207"/>
      <c r="H239" s="101"/>
      <c r="I239" s="20"/>
      <c r="J239" s="101"/>
      <c r="K239" s="101"/>
      <c r="L239" s="20"/>
      <c r="M239" s="101"/>
      <c r="N239" s="101"/>
      <c r="O239" s="20"/>
      <c r="P239" s="101"/>
      <c r="Q239" s="160"/>
      <c r="R239" s="103"/>
      <c r="S239" s="100"/>
      <c r="T239" s="102"/>
      <c r="U239" s="102"/>
      <c r="V239" s="135"/>
    </row>
    <row r="240" spans="2:24" ht="39.6" customHeight="1">
      <c r="B240" s="157" t="str">
        <f t="shared" si="6"/>
        <v>2-133</v>
      </c>
      <c r="C240" s="18" t="s">
        <v>270</v>
      </c>
      <c r="D240" s="18" t="s">
        <v>270</v>
      </c>
      <c r="E240" s="100" t="s">
        <v>268</v>
      </c>
      <c r="F240" s="206" t="s">
        <v>271</v>
      </c>
      <c r="G240" s="207"/>
      <c r="H240" s="101"/>
      <c r="I240" s="20"/>
      <c r="J240" s="101"/>
      <c r="K240" s="101"/>
      <c r="L240" s="20"/>
      <c r="M240" s="101"/>
      <c r="N240" s="101"/>
      <c r="O240" s="20"/>
      <c r="P240" s="101"/>
      <c r="Q240" s="160"/>
      <c r="R240" s="103"/>
      <c r="S240" s="100"/>
      <c r="T240" s="102"/>
      <c r="U240" s="102"/>
      <c r="V240" s="135"/>
    </row>
    <row r="241" spans="1:22" ht="39.6" customHeight="1">
      <c r="B241" s="157" t="str">
        <f t="shared" si="6"/>
        <v>2-134</v>
      </c>
      <c r="C241" s="18" t="s">
        <v>270</v>
      </c>
      <c r="D241" s="18" t="s">
        <v>272</v>
      </c>
      <c r="E241" s="100" t="s">
        <v>268</v>
      </c>
      <c r="F241" s="206" t="s">
        <v>273</v>
      </c>
      <c r="G241" s="207"/>
      <c r="H241" s="101"/>
      <c r="I241" s="20"/>
      <c r="J241" s="101"/>
      <c r="K241" s="101"/>
      <c r="L241" s="20"/>
      <c r="M241" s="101"/>
      <c r="N241" s="101"/>
      <c r="O241" s="20"/>
      <c r="P241" s="101"/>
      <c r="Q241" s="160"/>
      <c r="R241" s="103"/>
      <c r="S241" s="100"/>
      <c r="T241" s="102"/>
      <c r="U241" s="102"/>
      <c r="V241" s="135"/>
    </row>
    <row r="242" spans="1:22" ht="39.6" customHeight="1">
      <c r="B242" s="157" t="str">
        <f t="shared" si="6"/>
        <v>2-135</v>
      </c>
      <c r="C242" s="18" t="s">
        <v>270</v>
      </c>
      <c r="D242" s="18" t="s">
        <v>270</v>
      </c>
      <c r="E242" s="100" t="s">
        <v>268</v>
      </c>
      <c r="F242" s="206" t="s">
        <v>271</v>
      </c>
      <c r="G242" s="207"/>
      <c r="H242" s="101"/>
      <c r="I242" s="20"/>
      <c r="J242" s="101"/>
      <c r="K242" s="101"/>
      <c r="L242" s="20"/>
      <c r="M242" s="101"/>
      <c r="N242" s="101"/>
      <c r="O242" s="20"/>
      <c r="P242" s="101"/>
      <c r="Q242" s="160"/>
      <c r="R242" s="103"/>
      <c r="S242" s="100"/>
      <c r="T242" s="102"/>
      <c r="U242" s="102"/>
      <c r="V242" s="135"/>
    </row>
    <row r="243" spans="1:22" ht="39.6" customHeight="1">
      <c r="B243" s="157" t="str">
        <f t="shared" si="6"/>
        <v>2-136</v>
      </c>
      <c r="C243" s="18" t="s">
        <v>270</v>
      </c>
      <c r="D243" s="18" t="s">
        <v>274</v>
      </c>
      <c r="E243" s="100" t="s">
        <v>268</v>
      </c>
      <c r="F243" s="206" t="s">
        <v>275</v>
      </c>
      <c r="G243" s="207"/>
      <c r="H243" s="101"/>
      <c r="I243" s="20"/>
      <c r="J243" s="101"/>
      <c r="K243" s="101"/>
      <c r="L243" s="20"/>
      <c r="M243" s="101"/>
      <c r="N243" s="101"/>
      <c r="O243" s="20"/>
      <c r="P243" s="101"/>
      <c r="Q243" s="160"/>
      <c r="R243" s="103"/>
      <c r="S243" s="100"/>
      <c r="T243" s="102"/>
      <c r="U243" s="102"/>
      <c r="V243" s="135"/>
    </row>
    <row r="244" spans="1:22" ht="39.6" customHeight="1">
      <c r="B244" s="157" t="str">
        <f t="shared" si="6"/>
        <v>2-137</v>
      </c>
      <c r="C244" s="18" t="s">
        <v>270</v>
      </c>
      <c r="D244" s="18" t="s">
        <v>270</v>
      </c>
      <c r="E244" s="100" t="s">
        <v>268</v>
      </c>
      <c r="F244" s="206" t="s">
        <v>271</v>
      </c>
      <c r="G244" s="207"/>
      <c r="H244" s="101"/>
      <c r="I244" s="20"/>
      <c r="J244" s="101"/>
      <c r="K244" s="101"/>
      <c r="L244" s="20"/>
      <c r="M244" s="101"/>
      <c r="N244" s="101"/>
      <c r="O244" s="20"/>
      <c r="P244" s="101"/>
      <c r="Q244" s="160"/>
      <c r="R244" s="103"/>
      <c r="S244" s="100"/>
      <c r="T244" s="102"/>
      <c r="U244" s="102"/>
      <c r="V244" s="135"/>
    </row>
    <row r="245" spans="1:22" ht="39.6" customHeight="1">
      <c r="B245" s="120" t="str">
        <f t="shared" si="6"/>
        <v>2-138</v>
      </c>
      <c r="C245" s="18" t="s">
        <v>98</v>
      </c>
      <c r="D245" s="18" t="s">
        <v>276</v>
      </c>
      <c r="E245" s="100" t="s">
        <v>105</v>
      </c>
      <c r="F245" s="206" t="s">
        <v>575</v>
      </c>
      <c r="G245" s="207"/>
      <c r="H245" s="101"/>
      <c r="I245" s="20"/>
      <c r="J245" s="101"/>
      <c r="K245" s="101"/>
      <c r="L245" s="20"/>
      <c r="M245" s="101"/>
      <c r="N245" s="101"/>
      <c r="O245" s="20"/>
      <c r="P245" s="101"/>
      <c r="Q245" s="162"/>
      <c r="R245" s="103"/>
      <c r="S245" s="100"/>
      <c r="T245" s="102"/>
      <c r="U245" s="102"/>
      <c r="V245" s="135"/>
    </row>
    <row r="246" spans="1:22" ht="39" customHeight="1">
      <c r="B246" s="99"/>
      <c r="F246" s="99"/>
      <c r="G246" s="99"/>
      <c r="H246" s="15"/>
      <c r="I246" s="15"/>
      <c r="J246" s="15"/>
      <c r="K246" s="15"/>
      <c r="L246" s="15"/>
      <c r="M246" s="15"/>
      <c r="N246" s="15"/>
      <c r="O246" s="15"/>
      <c r="P246" s="15"/>
      <c r="Q246" s="15"/>
      <c r="R246" s="15"/>
      <c r="S246" s="15"/>
      <c r="T246" s="15"/>
      <c r="U246" s="15"/>
      <c r="V246" s="117"/>
    </row>
    <row r="247" spans="1:22">
      <c r="B247" s="98" t="s">
        <v>157</v>
      </c>
      <c r="C247" s="97"/>
      <c r="D247" s="97"/>
      <c r="E247" s="119"/>
      <c r="F247" s="119"/>
      <c r="G247" s="119"/>
      <c r="H247" s="118"/>
      <c r="I247" s="26"/>
      <c r="J247" s="118"/>
      <c r="K247" s="118"/>
      <c r="L247" s="26"/>
      <c r="M247" s="118"/>
      <c r="N247" s="118"/>
      <c r="O247" s="26"/>
      <c r="P247" s="118"/>
      <c r="Q247" s="145"/>
      <c r="R247" s="118"/>
      <c r="S247" s="97"/>
      <c r="T247" s="118"/>
      <c r="U247" s="118"/>
      <c r="V247" s="118"/>
    </row>
    <row r="248" spans="1:22">
      <c r="A248" s="13"/>
      <c r="B248" s="99" t="s">
        <v>497</v>
      </c>
      <c r="L248" s="105"/>
      <c r="Q248" s="13"/>
      <c r="R248" s="13"/>
    </row>
    <row r="249" spans="1:22">
      <c r="A249" s="13"/>
      <c r="B249" s="99"/>
      <c r="L249" s="105"/>
      <c r="Q249" s="13"/>
      <c r="R249" s="13"/>
    </row>
    <row r="250" spans="1:22" ht="39" customHeight="1">
      <c r="B250" s="212" t="s">
        <v>4</v>
      </c>
      <c r="C250" s="214" t="s">
        <v>126</v>
      </c>
      <c r="D250" s="214" t="s">
        <v>78</v>
      </c>
      <c r="E250" s="214" t="s">
        <v>5</v>
      </c>
      <c r="F250" s="215" t="s">
        <v>6</v>
      </c>
      <c r="G250" s="216"/>
      <c r="H250" s="211" t="s">
        <v>89</v>
      </c>
      <c r="I250" s="211"/>
      <c r="J250" s="211"/>
      <c r="K250" s="211" t="s">
        <v>82</v>
      </c>
      <c r="L250" s="211"/>
      <c r="M250" s="211"/>
      <c r="N250" s="211" t="s">
        <v>83</v>
      </c>
      <c r="O250" s="211"/>
      <c r="P250" s="211"/>
      <c r="Q250" s="202" t="s">
        <v>538</v>
      </c>
      <c r="R250" s="202" t="s">
        <v>77</v>
      </c>
      <c r="S250" s="210" t="s">
        <v>13</v>
      </c>
      <c r="T250" s="210"/>
      <c r="U250" s="210"/>
      <c r="V250" s="117"/>
    </row>
    <row r="251" spans="1:22" ht="39" customHeight="1">
      <c r="B251" s="213"/>
      <c r="C251" s="203"/>
      <c r="D251" s="203"/>
      <c r="E251" s="203"/>
      <c r="F251" s="217"/>
      <c r="G251" s="218"/>
      <c r="H251" s="116" t="s">
        <v>7</v>
      </c>
      <c r="I251" s="116" t="s">
        <v>8</v>
      </c>
      <c r="J251" s="116" t="s">
        <v>9</v>
      </c>
      <c r="K251" s="116" t="s">
        <v>7</v>
      </c>
      <c r="L251" s="116" t="s">
        <v>8</v>
      </c>
      <c r="M251" s="116" t="s">
        <v>9</v>
      </c>
      <c r="N251" s="116" t="s">
        <v>7</v>
      </c>
      <c r="O251" s="116" t="s">
        <v>8</v>
      </c>
      <c r="P251" s="116" t="s">
        <v>9</v>
      </c>
      <c r="Q251" s="203"/>
      <c r="R251" s="203"/>
      <c r="S251" s="93"/>
      <c r="T251" s="94"/>
      <c r="U251" s="95"/>
      <c r="V251" s="117"/>
    </row>
    <row r="252" spans="1:22" ht="72.599999999999994" customHeight="1">
      <c r="B252" s="120" t="str">
        <f t="shared" ref="B252:B283" si="7">"3-"&amp;ROW()-258</f>
        <v>3--6</v>
      </c>
      <c r="C252" s="42" t="s">
        <v>491</v>
      </c>
      <c r="D252" s="100" t="s">
        <v>249</v>
      </c>
      <c r="E252" s="42" t="s">
        <v>522</v>
      </c>
      <c r="F252" s="204" t="s">
        <v>474</v>
      </c>
      <c r="G252" s="205"/>
      <c r="H252" s="101"/>
      <c r="I252" s="20"/>
      <c r="J252" s="101"/>
      <c r="K252" s="101"/>
      <c r="L252" s="20"/>
      <c r="M252" s="101"/>
      <c r="N252" s="101"/>
      <c r="O252" s="20"/>
      <c r="P252" s="101"/>
      <c r="Q252" s="160"/>
      <c r="R252" s="101"/>
      <c r="S252" s="100"/>
      <c r="T252" s="102"/>
      <c r="U252" s="102"/>
      <c r="V252" s="141"/>
    </row>
    <row r="253" spans="1:22" ht="39.950000000000003" customHeight="1">
      <c r="B253" s="157" t="str">
        <f t="shared" si="7"/>
        <v>3--5</v>
      </c>
      <c r="C253" s="100" t="s">
        <v>81</v>
      </c>
      <c r="D253" s="100" t="s">
        <v>498</v>
      </c>
      <c r="E253" s="42" t="s">
        <v>475</v>
      </c>
      <c r="F253" s="204" t="s">
        <v>583</v>
      </c>
      <c r="G253" s="205"/>
      <c r="H253" s="101"/>
      <c r="I253" s="20"/>
      <c r="J253" s="101"/>
      <c r="K253" s="101"/>
      <c r="L253" s="20"/>
      <c r="M253" s="101"/>
      <c r="N253" s="101"/>
      <c r="O253" s="20"/>
      <c r="P253" s="101"/>
      <c r="Q253" s="160"/>
      <c r="R253" s="101"/>
      <c r="S253" s="100"/>
      <c r="T253" s="102"/>
      <c r="U253" s="102"/>
      <c r="V253" s="141"/>
    </row>
    <row r="254" spans="1:22" ht="39.950000000000003" customHeight="1">
      <c r="B254" s="157" t="str">
        <f t="shared" si="7"/>
        <v>3--4</v>
      </c>
      <c r="C254" s="100" t="s">
        <v>476</v>
      </c>
      <c r="D254" s="100" t="s">
        <v>499</v>
      </c>
      <c r="E254" s="42" t="s">
        <v>475</v>
      </c>
      <c r="F254" s="204" t="s">
        <v>582</v>
      </c>
      <c r="G254" s="205"/>
      <c r="H254" s="101"/>
      <c r="I254" s="20"/>
      <c r="J254" s="101"/>
      <c r="K254" s="101"/>
      <c r="L254" s="20"/>
      <c r="M254" s="101"/>
      <c r="N254" s="101"/>
      <c r="O254" s="20"/>
      <c r="P254" s="101"/>
      <c r="Q254" s="160"/>
      <c r="R254" s="101"/>
      <c r="S254" s="100"/>
      <c r="T254" s="102"/>
      <c r="U254" s="102"/>
      <c r="V254" s="141"/>
    </row>
    <row r="255" spans="1:22" ht="74.45" customHeight="1">
      <c r="B255" s="120" t="str">
        <f t="shared" si="7"/>
        <v>3--3</v>
      </c>
      <c r="C255" s="100" t="s">
        <v>81</v>
      </c>
      <c r="D255" s="100" t="s">
        <v>81</v>
      </c>
      <c r="E255" s="100" t="s">
        <v>61</v>
      </c>
      <c r="F255" s="204" t="s">
        <v>478</v>
      </c>
      <c r="G255" s="205"/>
      <c r="H255" s="101"/>
      <c r="I255" s="20"/>
      <c r="J255" s="101"/>
      <c r="K255" s="101"/>
      <c r="L255" s="20"/>
      <c r="M255" s="101"/>
      <c r="N255" s="101"/>
      <c r="O255" s="20"/>
      <c r="P255" s="101"/>
      <c r="Q255" s="160"/>
      <c r="R255" s="101"/>
      <c r="S255" s="100"/>
      <c r="T255" s="102"/>
      <c r="U255" s="102"/>
      <c r="V255" s="117"/>
    </row>
    <row r="256" spans="1:22" ht="39.950000000000003" customHeight="1">
      <c r="B256" s="120" t="str">
        <f t="shared" si="7"/>
        <v>3--2</v>
      </c>
      <c r="C256" s="100" t="s">
        <v>81</v>
      </c>
      <c r="D256" s="100" t="s">
        <v>81</v>
      </c>
      <c r="E256" s="100" t="s">
        <v>147</v>
      </c>
      <c r="F256" s="204" t="s">
        <v>90</v>
      </c>
      <c r="G256" s="205"/>
      <c r="H256" s="101"/>
      <c r="I256" s="20"/>
      <c r="J256" s="101"/>
      <c r="K256" s="101"/>
      <c r="L256" s="20"/>
      <c r="M256" s="101"/>
      <c r="N256" s="101"/>
      <c r="O256" s="20"/>
      <c r="P256" s="101"/>
      <c r="Q256" s="160"/>
      <c r="R256" s="101"/>
      <c r="S256" s="100"/>
      <c r="T256" s="102"/>
      <c r="U256" s="102"/>
      <c r="V256" s="117"/>
    </row>
    <row r="257" spans="2:24" ht="39.950000000000003" customHeight="1">
      <c r="B257" s="120" t="str">
        <f t="shared" si="7"/>
        <v>3--1</v>
      </c>
      <c r="C257" s="100" t="s">
        <v>81</v>
      </c>
      <c r="D257" s="100" t="s">
        <v>81</v>
      </c>
      <c r="E257" s="100" t="s">
        <v>96</v>
      </c>
      <c r="F257" s="204" t="s">
        <v>91</v>
      </c>
      <c r="G257" s="205"/>
      <c r="H257" s="101"/>
      <c r="I257" s="20"/>
      <c r="J257" s="101"/>
      <c r="K257" s="101"/>
      <c r="L257" s="20"/>
      <c r="M257" s="101"/>
      <c r="N257" s="101"/>
      <c r="O257" s="20"/>
      <c r="P257" s="101"/>
      <c r="Q257" s="160"/>
      <c r="R257" s="101"/>
      <c r="S257" s="100"/>
      <c r="T257" s="102"/>
      <c r="U257" s="102"/>
      <c r="V257" s="117"/>
    </row>
    <row r="258" spans="2:24" ht="39.950000000000003" customHeight="1">
      <c r="B258" s="120" t="str">
        <f t="shared" si="7"/>
        <v>3-0</v>
      </c>
      <c r="C258" s="100"/>
      <c r="D258" s="100" t="s">
        <v>161</v>
      </c>
      <c r="E258" s="100" t="s">
        <v>164</v>
      </c>
      <c r="F258" s="204" t="s">
        <v>165</v>
      </c>
      <c r="G258" s="205"/>
      <c r="H258" s="101"/>
      <c r="I258" s="20"/>
      <c r="J258" s="101"/>
      <c r="K258" s="101"/>
      <c r="L258" s="20"/>
      <c r="M258" s="101"/>
      <c r="N258" s="101"/>
      <c r="O258" s="20"/>
      <c r="P258" s="101"/>
      <c r="Q258" s="160"/>
      <c r="R258" s="101"/>
      <c r="S258" s="100"/>
      <c r="T258" s="102"/>
      <c r="U258" s="102"/>
      <c r="V258" s="124"/>
      <c r="W258" s="124"/>
      <c r="X258" s="124"/>
    </row>
    <row r="259" spans="2:24" ht="39.950000000000003" customHeight="1">
      <c r="B259" s="120" t="str">
        <f t="shared" si="7"/>
        <v>3-1</v>
      </c>
      <c r="C259" s="100"/>
      <c r="D259" s="100" t="s">
        <v>161</v>
      </c>
      <c r="E259" s="100" t="s">
        <v>164</v>
      </c>
      <c r="F259" s="204" t="s">
        <v>90</v>
      </c>
      <c r="G259" s="205"/>
      <c r="H259" s="101"/>
      <c r="I259" s="20"/>
      <c r="J259" s="101"/>
      <c r="K259" s="101"/>
      <c r="L259" s="20"/>
      <c r="M259" s="101"/>
      <c r="N259" s="101"/>
      <c r="O259" s="20"/>
      <c r="P259" s="101"/>
      <c r="Q259" s="160"/>
      <c r="R259" s="101"/>
      <c r="S259" s="100"/>
      <c r="T259" s="102"/>
      <c r="U259" s="102"/>
      <c r="V259" s="124"/>
      <c r="W259" s="124"/>
      <c r="X259" s="124"/>
    </row>
    <row r="260" spans="2:24" ht="39.950000000000003" customHeight="1">
      <c r="B260" s="120" t="str">
        <f t="shared" si="7"/>
        <v>3-2</v>
      </c>
      <c r="C260" s="100"/>
      <c r="D260" s="100" t="s">
        <v>160</v>
      </c>
      <c r="E260" s="100" t="s">
        <v>168</v>
      </c>
      <c r="F260" s="204" t="s">
        <v>91</v>
      </c>
      <c r="G260" s="205"/>
      <c r="H260" s="101"/>
      <c r="I260" s="20"/>
      <c r="J260" s="101"/>
      <c r="K260" s="101"/>
      <c r="L260" s="20"/>
      <c r="M260" s="101"/>
      <c r="N260" s="101"/>
      <c r="O260" s="20"/>
      <c r="P260" s="101"/>
      <c r="Q260" s="161"/>
      <c r="R260" s="101"/>
      <c r="S260" s="100"/>
      <c r="T260" s="102"/>
      <c r="U260" s="102"/>
      <c r="V260" s="124"/>
      <c r="W260" s="124"/>
      <c r="X260" s="124"/>
    </row>
    <row r="261" spans="2:24" ht="39.950000000000003" customHeight="1">
      <c r="B261" s="120" t="str">
        <f t="shared" si="7"/>
        <v>3-3</v>
      </c>
      <c r="C261" s="100" t="s">
        <v>143</v>
      </c>
      <c r="D261" s="42" t="s">
        <v>186</v>
      </c>
      <c r="E261" s="100" t="s">
        <v>116</v>
      </c>
      <c r="F261" s="208" t="s">
        <v>187</v>
      </c>
      <c r="G261" s="209"/>
      <c r="H261" s="101"/>
      <c r="I261" s="20"/>
      <c r="J261" s="101"/>
      <c r="K261" s="101"/>
      <c r="L261" s="20"/>
      <c r="M261" s="101"/>
      <c r="N261" s="101"/>
      <c r="O261" s="20"/>
      <c r="P261" s="101"/>
      <c r="Q261" s="161"/>
      <c r="R261" s="101"/>
      <c r="S261" s="100"/>
      <c r="T261" s="102"/>
      <c r="U261" s="102"/>
      <c r="V261" s="124"/>
    </row>
    <row r="262" spans="2:24" ht="39.950000000000003" customHeight="1">
      <c r="B262" s="120" t="str">
        <f t="shared" si="7"/>
        <v>3-4</v>
      </c>
      <c r="C262" s="100" t="s">
        <v>161</v>
      </c>
      <c r="D262" s="100" t="s">
        <v>99</v>
      </c>
      <c r="E262" s="100" t="s">
        <v>189</v>
      </c>
      <c r="F262" s="206" t="s">
        <v>191</v>
      </c>
      <c r="G262" s="207"/>
      <c r="H262" s="101"/>
      <c r="I262" s="20"/>
      <c r="J262" s="101"/>
      <c r="K262" s="101"/>
      <c r="L262" s="20"/>
      <c r="M262" s="101"/>
      <c r="N262" s="101"/>
      <c r="O262" s="20"/>
      <c r="P262" s="101"/>
      <c r="Q262" s="161"/>
      <c r="R262" s="101"/>
      <c r="S262" s="100"/>
      <c r="T262" s="102"/>
      <c r="U262" s="102"/>
      <c r="V262" s="124"/>
    </row>
    <row r="263" spans="2:24" ht="39.950000000000003" customHeight="1">
      <c r="B263" s="120" t="str">
        <f t="shared" si="7"/>
        <v>3-5</v>
      </c>
      <c r="C263" s="100" t="s">
        <v>248</v>
      </c>
      <c r="D263" s="100" t="s">
        <v>472</v>
      </c>
      <c r="E263" s="100" t="s">
        <v>301</v>
      </c>
      <c r="F263" s="204" t="s">
        <v>259</v>
      </c>
      <c r="G263" s="205"/>
      <c r="H263" s="101"/>
      <c r="I263" s="20"/>
      <c r="J263" s="101"/>
      <c r="K263" s="101"/>
      <c r="L263" s="20"/>
      <c r="M263" s="101"/>
      <c r="N263" s="101"/>
      <c r="O263" s="20"/>
      <c r="P263" s="101"/>
      <c r="Q263" s="160"/>
      <c r="R263" s="101"/>
      <c r="S263" s="100"/>
      <c r="T263" s="102"/>
      <c r="U263" s="102"/>
      <c r="V263" s="124"/>
    </row>
    <row r="264" spans="2:24" ht="39.950000000000003" customHeight="1">
      <c r="B264" s="157" t="str">
        <f t="shared" si="7"/>
        <v>3-6</v>
      </c>
      <c r="C264" s="100" t="s">
        <v>161</v>
      </c>
      <c r="D264" s="100" t="s">
        <v>494</v>
      </c>
      <c r="E264" s="100" t="s">
        <v>193</v>
      </c>
      <c r="F264" s="204" t="s">
        <v>577</v>
      </c>
      <c r="G264" s="205"/>
      <c r="H264" s="101"/>
      <c r="I264" s="20"/>
      <c r="J264" s="101"/>
      <c r="K264" s="101"/>
      <c r="L264" s="101"/>
      <c r="M264" s="101"/>
      <c r="N264" s="101"/>
      <c r="O264" s="101"/>
      <c r="P264" s="101"/>
      <c r="Q264" s="160"/>
      <c r="R264" s="101"/>
      <c r="S264" s="100"/>
      <c r="T264" s="102"/>
      <c r="U264" s="102"/>
      <c r="V264" s="124"/>
    </row>
    <row r="265" spans="2:24" ht="39.950000000000003" customHeight="1">
      <c r="B265" s="120" t="str">
        <f t="shared" si="7"/>
        <v>3-7</v>
      </c>
      <c r="C265" s="100" t="s">
        <v>161</v>
      </c>
      <c r="D265" s="100" t="s">
        <v>501</v>
      </c>
      <c r="E265" s="100" t="s">
        <v>235</v>
      </c>
      <c r="F265" s="204" t="s">
        <v>471</v>
      </c>
      <c r="G265" s="205"/>
      <c r="H265" s="101"/>
      <c r="I265" s="20"/>
      <c r="J265" s="101"/>
      <c r="K265" s="101"/>
      <c r="L265" s="20"/>
      <c r="M265" s="101"/>
      <c r="N265" s="101"/>
      <c r="O265" s="20"/>
      <c r="P265" s="101"/>
      <c r="Q265" s="161"/>
      <c r="R265" s="101"/>
      <c r="S265" s="100"/>
      <c r="T265" s="102"/>
      <c r="U265" s="102"/>
      <c r="V265" s="124"/>
    </row>
    <row r="266" spans="2:24" ht="39.950000000000003" customHeight="1">
      <c r="B266" s="120" t="str">
        <f t="shared" si="7"/>
        <v>3-8</v>
      </c>
      <c r="C266" s="100" t="s">
        <v>161</v>
      </c>
      <c r="D266" s="100" t="s">
        <v>161</v>
      </c>
      <c r="E266" s="100" t="s">
        <v>237</v>
      </c>
      <c r="F266" s="204" t="s">
        <v>471</v>
      </c>
      <c r="G266" s="205"/>
      <c r="H266" s="101"/>
      <c r="I266" s="20"/>
      <c r="J266" s="101"/>
      <c r="K266" s="101"/>
      <c r="L266" s="20"/>
      <c r="M266" s="101"/>
      <c r="N266" s="101"/>
      <c r="O266" s="20"/>
      <c r="P266" s="101"/>
      <c r="Q266" s="161"/>
      <c r="R266" s="101"/>
      <c r="S266" s="100"/>
      <c r="T266" s="102"/>
      <c r="U266" s="102"/>
      <c r="V266" s="124"/>
    </row>
    <row r="267" spans="2:24" ht="39.950000000000003" customHeight="1">
      <c r="B267" s="120" t="str">
        <f t="shared" si="7"/>
        <v>3-9</v>
      </c>
      <c r="C267" s="100" t="s">
        <v>172</v>
      </c>
      <c r="D267" s="100" t="s">
        <v>195</v>
      </c>
      <c r="E267" s="100" t="s">
        <v>236</v>
      </c>
      <c r="F267" s="204" t="s">
        <v>471</v>
      </c>
      <c r="G267" s="205"/>
      <c r="H267" s="101"/>
      <c r="I267" s="20"/>
      <c r="J267" s="101"/>
      <c r="K267" s="101"/>
      <c r="L267" s="20"/>
      <c r="M267" s="101"/>
      <c r="N267" s="101"/>
      <c r="O267" s="20"/>
      <c r="P267" s="101"/>
      <c r="Q267" s="161"/>
      <c r="R267" s="101"/>
      <c r="S267" s="100"/>
      <c r="T267" s="102"/>
      <c r="U267" s="102"/>
      <c r="V267" s="124"/>
    </row>
    <row r="268" spans="2:24" ht="39.950000000000003" customHeight="1">
      <c r="B268" s="120" t="str">
        <f t="shared" si="7"/>
        <v>3-10</v>
      </c>
      <c r="C268" s="100" t="s">
        <v>161</v>
      </c>
      <c r="D268" s="100" t="s">
        <v>161</v>
      </c>
      <c r="E268" s="100" t="s">
        <v>238</v>
      </c>
      <c r="F268" s="204" t="s">
        <v>471</v>
      </c>
      <c r="G268" s="205"/>
      <c r="H268" s="101"/>
      <c r="I268" s="20"/>
      <c r="J268" s="101"/>
      <c r="K268" s="101"/>
      <c r="L268" s="20"/>
      <c r="M268" s="101"/>
      <c r="N268" s="101"/>
      <c r="O268" s="20"/>
      <c r="P268" s="101"/>
      <c r="Q268" s="161"/>
      <c r="R268" s="101"/>
      <c r="S268" s="100"/>
      <c r="T268" s="102"/>
      <c r="U268" s="102"/>
      <c r="V268" s="124"/>
    </row>
    <row r="269" spans="2:24" ht="39.950000000000003" customHeight="1">
      <c r="B269" s="120" t="str">
        <f t="shared" si="7"/>
        <v>3-11</v>
      </c>
      <c r="C269" s="100" t="s">
        <v>172</v>
      </c>
      <c r="D269" s="100" t="s">
        <v>195</v>
      </c>
      <c r="E269" s="100" t="s">
        <v>199</v>
      </c>
      <c r="F269" s="204" t="s">
        <v>471</v>
      </c>
      <c r="G269" s="205"/>
      <c r="H269" s="101"/>
      <c r="I269" s="20"/>
      <c r="J269" s="101"/>
      <c r="K269" s="101"/>
      <c r="L269" s="20"/>
      <c r="M269" s="101"/>
      <c r="N269" s="101"/>
      <c r="O269" s="20"/>
      <c r="P269" s="101"/>
      <c r="Q269" s="161"/>
      <c r="R269" s="101"/>
      <c r="S269" s="100"/>
      <c r="T269" s="102"/>
      <c r="U269" s="102"/>
      <c r="V269" s="124"/>
    </row>
    <row r="270" spans="2:24" ht="39.950000000000003" customHeight="1">
      <c r="B270" s="120" t="str">
        <f t="shared" si="7"/>
        <v>3-12</v>
      </c>
      <c r="C270" s="100" t="s">
        <v>161</v>
      </c>
      <c r="D270" s="100" t="s">
        <v>195</v>
      </c>
      <c r="E270" s="100" t="s">
        <v>200</v>
      </c>
      <c r="F270" s="204" t="s">
        <v>471</v>
      </c>
      <c r="G270" s="205"/>
      <c r="H270" s="101"/>
      <c r="I270" s="20"/>
      <c r="J270" s="101"/>
      <c r="K270" s="101"/>
      <c r="L270" s="20"/>
      <c r="M270" s="101"/>
      <c r="N270" s="101"/>
      <c r="O270" s="20"/>
      <c r="P270" s="101"/>
      <c r="Q270" s="161"/>
      <c r="R270" s="101"/>
      <c r="S270" s="100"/>
      <c r="T270" s="102"/>
      <c r="U270" s="102"/>
      <c r="V270" s="124"/>
    </row>
    <row r="271" spans="2:24" ht="39.950000000000003" customHeight="1">
      <c r="B271" s="120" t="str">
        <f t="shared" si="7"/>
        <v>3-13</v>
      </c>
      <c r="C271" s="100" t="s">
        <v>160</v>
      </c>
      <c r="D271" s="100" t="s">
        <v>195</v>
      </c>
      <c r="E271" s="100" t="s">
        <v>204</v>
      </c>
      <c r="F271" s="204" t="s">
        <v>250</v>
      </c>
      <c r="G271" s="205"/>
      <c r="H271" s="101"/>
      <c r="I271" s="20"/>
      <c r="J271" s="101"/>
      <c r="K271" s="101"/>
      <c r="L271" s="20"/>
      <c r="M271" s="101"/>
      <c r="N271" s="101"/>
      <c r="O271" s="20"/>
      <c r="P271" s="101"/>
      <c r="Q271" s="161"/>
      <c r="R271" s="101"/>
      <c r="S271" s="100"/>
      <c r="T271" s="102"/>
      <c r="U271" s="102"/>
      <c r="V271" s="124"/>
    </row>
    <row r="272" spans="2:24" ht="39.950000000000003" customHeight="1">
      <c r="B272" s="120" t="str">
        <f t="shared" si="7"/>
        <v>3-14</v>
      </c>
      <c r="C272" s="100" t="s">
        <v>160</v>
      </c>
      <c r="D272" s="100" t="s">
        <v>195</v>
      </c>
      <c r="E272" s="100" t="s">
        <v>195</v>
      </c>
      <c r="F272" s="204" t="s">
        <v>263</v>
      </c>
      <c r="G272" s="205"/>
      <c r="H272" s="101"/>
      <c r="I272" s="20"/>
      <c r="J272" s="101"/>
      <c r="K272" s="101"/>
      <c r="L272" s="20"/>
      <c r="M272" s="101"/>
      <c r="N272" s="101"/>
      <c r="O272" s="20"/>
      <c r="P272" s="101"/>
      <c r="Q272" s="161"/>
      <c r="R272" s="101"/>
      <c r="S272" s="100"/>
      <c r="T272" s="102"/>
      <c r="U272" s="102"/>
      <c r="V272" s="124"/>
    </row>
    <row r="273" spans="2:22" ht="39.950000000000003" customHeight="1">
      <c r="B273" s="120" t="str">
        <f t="shared" si="7"/>
        <v>3-15</v>
      </c>
      <c r="C273" s="100" t="s">
        <v>161</v>
      </c>
      <c r="D273" s="100" t="s">
        <v>195</v>
      </c>
      <c r="E273" s="100" t="s">
        <v>154</v>
      </c>
      <c r="F273" s="204" t="s">
        <v>148</v>
      </c>
      <c r="G273" s="205"/>
      <c r="H273" s="101"/>
      <c r="I273" s="20"/>
      <c r="J273" s="101"/>
      <c r="K273" s="101"/>
      <c r="L273" s="20"/>
      <c r="M273" s="101"/>
      <c r="N273" s="101"/>
      <c r="O273" s="20"/>
      <c r="P273" s="101"/>
      <c r="Q273" s="160"/>
      <c r="R273" s="101"/>
      <c r="S273" s="100"/>
      <c r="T273" s="102"/>
      <c r="U273" s="102"/>
      <c r="V273" s="124"/>
    </row>
    <row r="274" spans="2:22" ht="39.950000000000003" customHeight="1">
      <c r="B274" s="120" t="str">
        <f t="shared" si="7"/>
        <v>3-16</v>
      </c>
      <c r="C274" s="100" t="s">
        <v>234</v>
      </c>
      <c r="D274" s="42" t="s">
        <v>239</v>
      </c>
      <c r="E274" s="100" t="s">
        <v>116</v>
      </c>
      <c r="F274" s="208" t="s">
        <v>103</v>
      </c>
      <c r="G274" s="209"/>
      <c r="H274" s="101"/>
      <c r="I274" s="20"/>
      <c r="J274" s="101"/>
      <c r="K274" s="101"/>
      <c r="L274" s="20"/>
      <c r="M274" s="101"/>
      <c r="N274" s="101"/>
      <c r="O274" s="20"/>
      <c r="P274" s="101"/>
      <c r="Q274" s="160"/>
      <c r="R274" s="101"/>
      <c r="S274" s="100"/>
      <c r="T274" s="102"/>
      <c r="U274" s="102"/>
      <c r="V274" s="124"/>
    </row>
    <row r="275" spans="2:22" ht="39.950000000000003" customHeight="1">
      <c r="B275" s="120" t="str">
        <f t="shared" si="7"/>
        <v>3-17</v>
      </c>
      <c r="C275" s="100" t="s">
        <v>161</v>
      </c>
      <c r="D275" s="100" t="s">
        <v>99</v>
      </c>
      <c r="E275" s="100" t="s">
        <v>99</v>
      </c>
      <c r="F275" s="206" t="s">
        <v>129</v>
      </c>
      <c r="G275" s="207"/>
      <c r="H275" s="101"/>
      <c r="I275" s="20"/>
      <c r="J275" s="101"/>
      <c r="K275" s="101"/>
      <c r="L275" s="20"/>
      <c r="M275" s="101"/>
      <c r="N275" s="101"/>
      <c r="O275" s="20"/>
      <c r="P275" s="101"/>
      <c r="Q275" s="160"/>
      <c r="R275" s="101"/>
      <c r="S275" s="100"/>
      <c r="T275" s="102"/>
      <c r="U275" s="102"/>
      <c r="V275" s="124"/>
    </row>
    <row r="276" spans="2:22" ht="39.950000000000003" customHeight="1">
      <c r="B276" s="120" t="str">
        <f t="shared" si="7"/>
        <v>3-18</v>
      </c>
      <c r="C276" s="100" t="s">
        <v>161</v>
      </c>
      <c r="D276" s="100" t="s">
        <v>99</v>
      </c>
      <c r="E276" s="100" t="s">
        <v>211</v>
      </c>
      <c r="F276" s="206" t="s">
        <v>212</v>
      </c>
      <c r="G276" s="207"/>
      <c r="H276" s="101"/>
      <c r="I276" s="20"/>
      <c r="J276" s="101"/>
      <c r="K276" s="101"/>
      <c r="L276" s="20"/>
      <c r="M276" s="101"/>
      <c r="N276" s="101"/>
      <c r="O276" s="20"/>
      <c r="P276" s="101"/>
      <c r="Q276" s="160"/>
      <c r="R276" s="101"/>
      <c r="S276" s="100"/>
      <c r="T276" s="102"/>
      <c r="U276" s="102"/>
      <c r="V276" s="124"/>
    </row>
    <row r="277" spans="2:22" ht="39.950000000000003" customHeight="1">
      <c r="B277" s="120" t="str">
        <f t="shared" si="7"/>
        <v>3-19</v>
      </c>
      <c r="C277" s="100" t="s">
        <v>234</v>
      </c>
      <c r="D277" s="100" t="s">
        <v>237</v>
      </c>
      <c r="E277" s="100" t="s">
        <v>116</v>
      </c>
      <c r="F277" s="208" t="s">
        <v>103</v>
      </c>
      <c r="G277" s="209"/>
      <c r="H277" s="101"/>
      <c r="I277" s="20"/>
      <c r="J277" s="101"/>
      <c r="K277" s="101"/>
      <c r="L277" s="20"/>
      <c r="M277" s="101"/>
      <c r="N277" s="101"/>
      <c r="O277" s="20"/>
      <c r="P277" s="101"/>
      <c r="Q277" s="160"/>
      <c r="R277" s="101"/>
      <c r="S277" s="100"/>
      <c r="T277" s="102"/>
      <c r="U277" s="102"/>
      <c r="V277" s="124"/>
    </row>
    <row r="278" spans="2:22" ht="39.950000000000003" customHeight="1">
      <c r="B278" s="120" t="str">
        <f t="shared" si="7"/>
        <v>3-20</v>
      </c>
      <c r="C278" s="100" t="s">
        <v>161</v>
      </c>
      <c r="D278" s="100" t="s">
        <v>99</v>
      </c>
      <c r="E278" s="100" t="s">
        <v>99</v>
      </c>
      <c r="F278" s="206" t="s">
        <v>129</v>
      </c>
      <c r="G278" s="207"/>
      <c r="H278" s="101"/>
      <c r="I278" s="20"/>
      <c r="J278" s="101"/>
      <c r="K278" s="101"/>
      <c r="L278" s="20"/>
      <c r="M278" s="101"/>
      <c r="N278" s="101"/>
      <c r="O278" s="20"/>
      <c r="P278" s="101"/>
      <c r="Q278" s="160"/>
      <c r="R278" s="101"/>
      <c r="S278" s="100"/>
      <c r="T278" s="102"/>
      <c r="U278" s="102"/>
      <c r="V278" s="124"/>
    </row>
    <row r="279" spans="2:22" ht="39.950000000000003" customHeight="1">
      <c r="B279" s="120" t="str">
        <f t="shared" si="7"/>
        <v>3-21</v>
      </c>
      <c r="C279" s="100" t="s">
        <v>161</v>
      </c>
      <c r="D279" s="100" t="s">
        <v>99</v>
      </c>
      <c r="E279" s="100" t="s">
        <v>211</v>
      </c>
      <c r="F279" s="206" t="s">
        <v>212</v>
      </c>
      <c r="G279" s="207"/>
      <c r="H279" s="101"/>
      <c r="I279" s="20"/>
      <c r="J279" s="101"/>
      <c r="K279" s="101"/>
      <c r="L279" s="20"/>
      <c r="M279" s="101"/>
      <c r="N279" s="101"/>
      <c r="O279" s="20"/>
      <c r="P279" s="101"/>
      <c r="Q279" s="160"/>
      <c r="R279" s="101"/>
      <c r="S279" s="100"/>
      <c r="T279" s="102"/>
      <c r="U279" s="102"/>
      <c r="V279" s="124"/>
    </row>
    <row r="280" spans="2:22" ht="39.950000000000003" customHeight="1">
      <c r="B280" s="120" t="str">
        <f t="shared" si="7"/>
        <v>3-22</v>
      </c>
      <c r="C280" s="100" t="s">
        <v>161</v>
      </c>
      <c r="D280" s="42" t="s">
        <v>240</v>
      </c>
      <c r="E280" s="100" t="s">
        <v>116</v>
      </c>
      <c r="F280" s="208" t="s">
        <v>103</v>
      </c>
      <c r="G280" s="209"/>
      <c r="H280" s="101"/>
      <c r="I280" s="20"/>
      <c r="J280" s="101"/>
      <c r="K280" s="101"/>
      <c r="L280" s="20"/>
      <c r="M280" s="101"/>
      <c r="N280" s="101"/>
      <c r="O280" s="20"/>
      <c r="P280" s="101"/>
      <c r="Q280" s="160"/>
      <c r="R280" s="101"/>
      <c r="S280" s="100"/>
      <c r="T280" s="102"/>
      <c r="U280" s="102"/>
      <c r="V280" s="124"/>
    </row>
    <row r="281" spans="2:22" ht="39.950000000000003" customHeight="1">
      <c r="B281" s="120" t="str">
        <f t="shared" si="7"/>
        <v>3-23</v>
      </c>
      <c r="C281" s="100" t="s">
        <v>161</v>
      </c>
      <c r="D281" s="100" t="s">
        <v>241</v>
      </c>
      <c r="E281" s="100" t="s">
        <v>195</v>
      </c>
      <c r="F281" s="206" t="s">
        <v>129</v>
      </c>
      <c r="G281" s="207"/>
      <c r="H281" s="101"/>
      <c r="I281" s="20"/>
      <c r="J281" s="101"/>
      <c r="K281" s="101"/>
      <c r="L281" s="20"/>
      <c r="M281" s="101"/>
      <c r="N281" s="101"/>
      <c r="O281" s="20"/>
      <c r="P281" s="101"/>
      <c r="Q281" s="160"/>
      <c r="R281" s="101"/>
      <c r="S281" s="100"/>
      <c r="T281" s="102"/>
      <c r="U281" s="102"/>
      <c r="V281" s="124"/>
    </row>
    <row r="282" spans="2:22" ht="39.950000000000003" customHeight="1">
      <c r="B282" s="120" t="str">
        <f t="shared" si="7"/>
        <v>3-24</v>
      </c>
      <c r="C282" s="100" t="s">
        <v>161</v>
      </c>
      <c r="D282" s="100" t="s">
        <v>99</v>
      </c>
      <c r="E282" s="100" t="s">
        <v>211</v>
      </c>
      <c r="F282" s="206" t="s">
        <v>212</v>
      </c>
      <c r="G282" s="207"/>
      <c r="H282" s="101"/>
      <c r="I282" s="20"/>
      <c r="J282" s="101"/>
      <c r="K282" s="101"/>
      <c r="L282" s="20"/>
      <c r="M282" s="101"/>
      <c r="N282" s="101"/>
      <c r="O282" s="20"/>
      <c r="P282" s="101"/>
      <c r="Q282" s="160"/>
      <c r="R282" s="101"/>
      <c r="S282" s="100"/>
      <c r="T282" s="102"/>
      <c r="U282" s="102"/>
      <c r="V282" s="124"/>
    </row>
    <row r="283" spans="2:22" ht="39.950000000000003" customHeight="1">
      <c r="B283" s="120" t="str">
        <f t="shared" si="7"/>
        <v>3-25</v>
      </c>
      <c r="C283" s="100" t="s">
        <v>242</v>
      </c>
      <c r="D283" s="42" t="s">
        <v>243</v>
      </c>
      <c r="E283" s="100" t="s">
        <v>116</v>
      </c>
      <c r="F283" s="208" t="s">
        <v>103</v>
      </c>
      <c r="G283" s="209"/>
      <c r="H283" s="101"/>
      <c r="I283" s="20"/>
      <c r="J283" s="101"/>
      <c r="K283" s="101"/>
      <c r="L283" s="20"/>
      <c r="M283" s="101"/>
      <c r="N283" s="101"/>
      <c r="O283" s="20"/>
      <c r="P283" s="101"/>
      <c r="Q283" s="160"/>
      <c r="R283" s="101"/>
      <c r="S283" s="100"/>
      <c r="T283" s="102"/>
      <c r="U283" s="102"/>
      <c r="V283" s="124"/>
    </row>
    <row r="284" spans="2:22" ht="39.950000000000003" customHeight="1">
      <c r="B284" s="120" t="str">
        <f t="shared" ref="B284:B315" si="8">"3-"&amp;ROW()-258</f>
        <v>3-26</v>
      </c>
      <c r="C284" s="100" t="s">
        <v>172</v>
      </c>
      <c r="D284" s="100" t="s">
        <v>241</v>
      </c>
      <c r="E284" s="100" t="s">
        <v>99</v>
      </c>
      <c r="F284" s="206" t="s">
        <v>129</v>
      </c>
      <c r="G284" s="207"/>
      <c r="H284" s="101"/>
      <c r="I284" s="20"/>
      <c r="J284" s="101"/>
      <c r="K284" s="101"/>
      <c r="L284" s="20"/>
      <c r="M284" s="101"/>
      <c r="N284" s="101"/>
      <c r="O284" s="20"/>
      <c r="P284" s="101"/>
      <c r="Q284" s="160"/>
      <c r="R284" s="101"/>
      <c r="S284" s="100"/>
      <c r="T284" s="102"/>
      <c r="U284" s="102"/>
      <c r="V284" s="124"/>
    </row>
    <row r="285" spans="2:22" ht="39.950000000000003" customHeight="1">
      <c r="B285" s="120" t="str">
        <f t="shared" si="8"/>
        <v>3-27</v>
      </c>
      <c r="C285" s="100" t="s">
        <v>161</v>
      </c>
      <c r="D285" s="100" t="s">
        <v>99</v>
      </c>
      <c r="E285" s="100" t="s">
        <v>211</v>
      </c>
      <c r="F285" s="206" t="s">
        <v>212</v>
      </c>
      <c r="G285" s="207"/>
      <c r="H285" s="101"/>
      <c r="I285" s="20"/>
      <c r="J285" s="101"/>
      <c r="K285" s="101"/>
      <c r="L285" s="20"/>
      <c r="M285" s="101"/>
      <c r="N285" s="101"/>
      <c r="O285" s="20"/>
      <c r="P285" s="101"/>
      <c r="Q285" s="160"/>
      <c r="R285" s="101"/>
      <c r="S285" s="100"/>
      <c r="T285" s="102"/>
      <c r="U285" s="102"/>
      <c r="V285" s="124"/>
    </row>
    <row r="286" spans="2:22" ht="39.950000000000003" customHeight="1">
      <c r="B286" s="120" t="str">
        <f t="shared" si="8"/>
        <v>3-28</v>
      </c>
      <c r="C286" s="100" t="s">
        <v>234</v>
      </c>
      <c r="D286" s="100" t="s">
        <v>238</v>
      </c>
      <c r="E286" s="100" t="s">
        <v>116</v>
      </c>
      <c r="F286" s="208" t="s">
        <v>103</v>
      </c>
      <c r="G286" s="209"/>
      <c r="H286" s="101"/>
      <c r="I286" s="20"/>
      <c r="J286" s="101"/>
      <c r="K286" s="101"/>
      <c r="L286" s="20"/>
      <c r="M286" s="101"/>
      <c r="N286" s="101"/>
      <c r="O286" s="20"/>
      <c r="P286" s="101"/>
      <c r="Q286" s="160"/>
      <c r="R286" s="101"/>
      <c r="S286" s="100"/>
      <c r="T286" s="102"/>
      <c r="U286" s="102"/>
      <c r="V286" s="124"/>
    </row>
    <row r="287" spans="2:22" ht="39.950000000000003" customHeight="1">
      <c r="B287" s="120" t="str">
        <f t="shared" si="8"/>
        <v>3-29</v>
      </c>
      <c r="C287" s="100" t="s">
        <v>161</v>
      </c>
      <c r="D287" s="100" t="s">
        <v>99</v>
      </c>
      <c r="E287" s="100" t="s">
        <v>99</v>
      </c>
      <c r="F287" s="206" t="s">
        <v>129</v>
      </c>
      <c r="G287" s="207"/>
      <c r="H287" s="101"/>
      <c r="I287" s="20"/>
      <c r="J287" s="101"/>
      <c r="K287" s="101"/>
      <c r="L287" s="20"/>
      <c r="M287" s="101"/>
      <c r="N287" s="101"/>
      <c r="O287" s="20"/>
      <c r="P287" s="101"/>
      <c r="Q287" s="160"/>
      <c r="R287" s="101"/>
      <c r="S287" s="100"/>
      <c r="T287" s="102"/>
      <c r="U287" s="102"/>
      <c r="V287" s="124"/>
    </row>
    <row r="288" spans="2:22" ht="39.950000000000003" customHeight="1">
      <c r="B288" s="120" t="str">
        <f t="shared" si="8"/>
        <v>3-30</v>
      </c>
      <c r="C288" s="100" t="s">
        <v>161</v>
      </c>
      <c r="D288" s="100" t="s">
        <v>99</v>
      </c>
      <c r="E288" s="100" t="s">
        <v>211</v>
      </c>
      <c r="F288" s="206" t="s">
        <v>212</v>
      </c>
      <c r="G288" s="207"/>
      <c r="H288" s="101"/>
      <c r="I288" s="20"/>
      <c r="J288" s="101"/>
      <c r="K288" s="101"/>
      <c r="L288" s="20"/>
      <c r="M288" s="101"/>
      <c r="N288" s="101"/>
      <c r="O288" s="20"/>
      <c r="P288" s="101"/>
      <c r="Q288" s="101"/>
      <c r="R288" s="101"/>
      <c r="S288" s="100"/>
      <c r="T288" s="102"/>
      <c r="U288" s="102"/>
      <c r="V288" s="124"/>
    </row>
    <row r="289" spans="2:22" ht="39.950000000000003" customHeight="1">
      <c r="B289" s="120" t="str">
        <f t="shared" si="8"/>
        <v>3-31</v>
      </c>
      <c r="C289" s="100" t="s">
        <v>182</v>
      </c>
      <c r="D289" s="42" t="s">
        <v>244</v>
      </c>
      <c r="E289" s="100" t="s">
        <v>116</v>
      </c>
      <c r="F289" s="208" t="s">
        <v>103</v>
      </c>
      <c r="G289" s="209"/>
      <c r="H289" s="101"/>
      <c r="I289" s="20"/>
      <c r="J289" s="101"/>
      <c r="K289" s="101"/>
      <c r="L289" s="20"/>
      <c r="M289" s="101"/>
      <c r="N289" s="101"/>
      <c r="O289" s="20"/>
      <c r="P289" s="101"/>
      <c r="Q289" s="101"/>
      <c r="R289" s="101"/>
      <c r="S289" s="100"/>
      <c r="T289" s="102"/>
      <c r="U289" s="102"/>
      <c r="V289" s="124"/>
    </row>
    <row r="290" spans="2:22" ht="39.950000000000003" customHeight="1">
      <c r="B290" s="120" t="str">
        <f t="shared" si="8"/>
        <v>3-32</v>
      </c>
      <c r="C290" s="100" t="s">
        <v>234</v>
      </c>
      <c r="D290" s="100" t="s">
        <v>99</v>
      </c>
      <c r="E290" s="100" t="s">
        <v>241</v>
      </c>
      <c r="F290" s="206" t="s">
        <v>129</v>
      </c>
      <c r="G290" s="207"/>
      <c r="H290" s="101"/>
      <c r="I290" s="20"/>
      <c r="J290" s="101"/>
      <c r="K290" s="101"/>
      <c r="L290" s="20"/>
      <c r="M290" s="101"/>
      <c r="N290" s="101"/>
      <c r="O290" s="20"/>
      <c r="P290" s="101"/>
      <c r="Q290" s="101"/>
      <c r="R290" s="101"/>
      <c r="S290" s="100"/>
      <c r="T290" s="102"/>
      <c r="U290" s="102"/>
      <c r="V290" s="124"/>
    </row>
    <row r="291" spans="2:22" ht="39.950000000000003" customHeight="1">
      <c r="B291" s="120" t="str">
        <f t="shared" si="8"/>
        <v>3-33</v>
      </c>
      <c r="C291" s="100" t="s">
        <v>161</v>
      </c>
      <c r="D291" s="100" t="s">
        <v>99</v>
      </c>
      <c r="E291" s="100" t="s">
        <v>211</v>
      </c>
      <c r="F291" s="206" t="s">
        <v>212</v>
      </c>
      <c r="G291" s="207"/>
      <c r="H291" s="101"/>
      <c r="I291" s="20"/>
      <c r="J291" s="101"/>
      <c r="K291" s="101"/>
      <c r="L291" s="20"/>
      <c r="M291" s="101"/>
      <c r="N291" s="101"/>
      <c r="O291" s="20"/>
      <c r="P291" s="101"/>
      <c r="Q291" s="101"/>
      <c r="R291" s="101"/>
      <c r="S291" s="100"/>
      <c r="T291" s="102"/>
      <c r="U291" s="102"/>
      <c r="V291" s="124"/>
    </row>
    <row r="292" spans="2:22" ht="39.950000000000003" customHeight="1">
      <c r="B292" s="120" t="str">
        <f t="shared" si="8"/>
        <v>3-34</v>
      </c>
      <c r="C292" s="100" t="s">
        <v>161</v>
      </c>
      <c r="D292" s="42" t="s">
        <v>245</v>
      </c>
      <c r="E292" s="100" t="s">
        <v>116</v>
      </c>
      <c r="F292" s="208" t="s">
        <v>103</v>
      </c>
      <c r="G292" s="209"/>
      <c r="H292" s="101"/>
      <c r="I292" s="20"/>
      <c r="J292" s="101"/>
      <c r="K292" s="101"/>
      <c r="L292" s="20"/>
      <c r="M292" s="101"/>
      <c r="N292" s="101"/>
      <c r="O292" s="20"/>
      <c r="P292" s="101"/>
      <c r="Q292" s="101"/>
      <c r="R292" s="101"/>
      <c r="S292" s="100"/>
      <c r="T292" s="102"/>
      <c r="U292" s="102"/>
      <c r="V292" s="124"/>
    </row>
    <row r="293" spans="2:22" ht="39.950000000000003" customHeight="1">
      <c r="B293" s="120" t="str">
        <f t="shared" si="8"/>
        <v>3-35</v>
      </c>
      <c r="C293" s="100" t="s">
        <v>234</v>
      </c>
      <c r="D293" s="100" t="s">
        <v>99</v>
      </c>
      <c r="E293" s="100" t="s">
        <v>195</v>
      </c>
      <c r="F293" s="206" t="s">
        <v>129</v>
      </c>
      <c r="G293" s="207"/>
      <c r="H293" s="101"/>
      <c r="I293" s="20"/>
      <c r="J293" s="101"/>
      <c r="K293" s="101"/>
      <c r="L293" s="20"/>
      <c r="M293" s="101"/>
      <c r="N293" s="101"/>
      <c r="O293" s="20"/>
      <c r="P293" s="101"/>
      <c r="Q293" s="101"/>
      <c r="R293" s="101"/>
      <c r="S293" s="100"/>
      <c r="T293" s="102"/>
      <c r="U293" s="102"/>
      <c r="V293" s="124"/>
    </row>
    <row r="294" spans="2:22" ht="39.950000000000003" customHeight="1">
      <c r="B294" s="120" t="str">
        <f t="shared" si="8"/>
        <v>3-36</v>
      </c>
      <c r="C294" s="100" t="s">
        <v>172</v>
      </c>
      <c r="D294" s="100" t="s">
        <v>195</v>
      </c>
      <c r="E294" s="100" t="s">
        <v>211</v>
      </c>
      <c r="F294" s="206" t="s">
        <v>212</v>
      </c>
      <c r="G294" s="207"/>
      <c r="H294" s="101"/>
      <c r="I294" s="20"/>
      <c r="J294" s="101"/>
      <c r="K294" s="101"/>
      <c r="L294" s="20"/>
      <c r="M294" s="101"/>
      <c r="N294" s="101"/>
      <c r="O294" s="20"/>
      <c r="P294" s="101"/>
      <c r="Q294" s="101"/>
      <c r="R294" s="101"/>
      <c r="S294" s="100"/>
      <c r="T294" s="102"/>
      <c r="U294" s="102"/>
      <c r="V294" s="124"/>
    </row>
    <row r="295" spans="2:22" ht="39.950000000000003" customHeight="1">
      <c r="B295" s="120" t="str">
        <f t="shared" si="8"/>
        <v>3-37</v>
      </c>
      <c r="C295" s="100" t="s">
        <v>182</v>
      </c>
      <c r="D295" s="42" t="s">
        <v>227</v>
      </c>
      <c r="E295" s="100" t="s">
        <v>116</v>
      </c>
      <c r="F295" s="206" t="s">
        <v>129</v>
      </c>
      <c r="G295" s="207"/>
      <c r="H295" s="101"/>
      <c r="I295" s="20"/>
      <c r="J295" s="101"/>
      <c r="K295" s="101"/>
      <c r="L295" s="20"/>
      <c r="M295" s="101"/>
      <c r="N295" s="101"/>
      <c r="O295" s="20"/>
      <c r="P295" s="101"/>
      <c r="Q295" s="101"/>
      <c r="R295" s="101"/>
      <c r="S295" s="100"/>
      <c r="T295" s="102"/>
      <c r="U295" s="102"/>
      <c r="V295" s="124"/>
    </row>
    <row r="296" spans="2:22" ht="39.950000000000003" customHeight="1">
      <c r="B296" s="120" t="str">
        <f t="shared" si="8"/>
        <v>3-38</v>
      </c>
      <c r="C296" s="100" t="s">
        <v>161</v>
      </c>
      <c r="D296" s="100" t="s">
        <v>161</v>
      </c>
      <c r="E296" s="100" t="s">
        <v>296</v>
      </c>
      <c r="F296" s="208" t="s">
        <v>103</v>
      </c>
      <c r="G296" s="209"/>
      <c r="H296" s="101"/>
      <c r="I296" s="20"/>
      <c r="J296" s="101"/>
      <c r="K296" s="101"/>
      <c r="L296" s="20"/>
      <c r="M296" s="101"/>
      <c r="N296" s="101"/>
      <c r="O296" s="20"/>
      <c r="P296" s="101"/>
      <c r="Q296" s="101"/>
      <c r="R296" s="101"/>
      <c r="S296" s="100"/>
      <c r="T296" s="102"/>
      <c r="U296" s="102"/>
      <c r="V296" s="124"/>
    </row>
    <row r="297" spans="2:22" ht="39.950000000000003" customHeight="1">
      <c r="B297" s="120" t="str">
        <f t="shared" si="8"/>
        <v>3-39</v>
      </c>
      <c r="C297" s="100" t="s">
        <v>234</v>
      </c>
      <c r="D297" s="100" t="s">
        <v>99</v>
      </c>
      <c r="E297" s="100" t="s">
        <v>211</v>
      </c>
      <c r="F297" s="206" t="s">
        <v>212</v>
      </c>
      <c r="G297" s="207"/>
      <c r="H297" s="101"/>
      <c r="I297" s="20"/>
      <c r="J297" s="101"/>
      <c r="K297" s="101"/>
      <c r="L297" s="20"/>
      <c r="M297" s="101"/>
      <c r="N297" s="101"/>
      <c r="O297" s="20"/>
      <c r="P297" s="101"/>
      <c r="Q297" s="101"/>
      <c r="R297" s="101"/>
      <c r="S297" s="100"/>
      <c r="T297" s="102"/>
      <c r="U297" s="102"/>
      <c r="V297" s="124"/>
    </row>
    <row r="298" spans="2:22" ht="39.950000000000003" customHeight="1">
      <c r="B298" s="120" t="str">
        <f t="shared" si="8"/>
        <v>3-40</v>
      </c>
      <c r="C298" s="100" t="s">
        <v>172</v>
      </c>
      <c r="D298" s="42" t="s">
        <v>228</v>
      </c>
      <c r="E298" s="100" t="s">
        <v>116</v>
      </c>
      <c r="F298" s="208" t="s">
        <v>103</v>
      </c>
      <c r="G298" s="209"/>
      <c r="H298" s="101"/>
      <c r="I298" s="20"/>
      <c r="J298" s="101"/>
      <c r="K298" s="101"/>
      <c r="L298" s="20"/>
      <c r="M298" s="101"/>
      <c r="N298" s="101"/>
      <c r="O298" s="20"/>
      <c r="P298" s="101"/>
      <c r="Q298" s="101"/>
      <c r="R298" s="101"/>
      <c r="S298" s="100"/>
      <c r="T298" s="102"/>
      <c r="U298" s="102"/>
      <c r="V298" s="124"/>
    </row>
    <row r="299" spans="2:22" ht="39.950000000000003" customHeight="1">
      <c r="B299" s="120" t="str">
        <f t="shared" si="8"/>
        <v>3-41</v>
      </c>
      <c r="C299" s="100" t="s">
        <v>234</v>
      </c>
      <c r="D299" s="100" t="s">
        <v>138</v>
      </c>
      <c r="E299" s="100" t="s">
        <v>116</v>
      </c>
      <c r="F299" s="208" t="s">
        <v>103</v>
      </c>
      <c r="G299" s="209"/>
      <c r="H299" s="101"/>
      <c r="I299" s="20"/>
      <c r="J299" s="101"/>
      <c r="K299" s="101"/>
      <c r="L299" s="20"/>
      <c r="M299" s="101"/>
      <c r="N299" s="101"/>
      <c r="O299" s="20"/>
      <c r="P299" s="101"/>
      <c r="Q299" s="101"/>
      <c r="R299" s="101"/>
      <c r="S299" s="100"/>
      <c r="T299" s="102"/>
      <c r="U299" s="102"/>
      <c r="V299" s="124"/>
    </row>
    <row r="300" spans="2:22" ht="39.950000000000003" customHeight="1">
      <c r="B300" s="120" t="str">
        <f t="shared" si="8"/>
        <v>3-42</v>
      </c>
      <c r="C300" s="100" t="s">
        <v>172</v>
      </c>
      <c r="D300" s="100" t="s">
        <v>195</v>
      </c>
      <c r="E300" s="100" t="s">
        <v>211</v>
      </c>
      <c r="F300" s="206" t="s">
        <v>212</v>
      </c>
      <c r="G300" s="207"/>
      <c r="H300" s="101"/>
      <c r="I300" s="20"/>
      <c r="J300" s="101"/>
      <c r="K300" s="101"/>
      <c r="L300" s="20"/>
      <c r="M300" s="101"/>
      <c r="N300" s="101"/>
      <c r="O300" s="20"/>
      <c r="P300" s="101"/>
      <c r="Q300" s="101"/>
      <c r="R300" s="101"/>
      <c r="S300" s="100"/>
      <c r="T300" s="102"/>
      <c r="U300" s="102"/>
      <c r="V300" s="124"/>
    </row>
    <row r="301" spans="2:22" ht="38.450000000000003" customHeight="1">
      <c r="B301" s="120" t="str">
        <f t="shared" si="8"/>
        <v>3-43</v>
      </c>
      <c r="C301" s="100" t="s">
        <v>518</v>
      </c>
      <c r="D301" s="100" t="s">
        <v>152</v>
      </c>
      <c r="E301" s="100" t="s">
        <v>116</v>
      </c>
      <c r="F301" s="208" t="s">
        <v>103</v>
      </c>
      <c r="G301" s="209"/>
      <c r="H301" s="101"/>
      <c r="I301" s="20"/>
      <c r="J301" s="101"/>
      <c r="K301" s="101"/>
      <c r="L301" s="20"/>
      <c r="M301" s="101"/>
      <c r="N301" s="101"/>
      <c r="O301" s="20"/>
      <c r="P301" s="101"/>
      <c r="Q301" s="101"/>
      <c r="R301" s="101"/>
      <c r="S301" s="100"/>
      <c r="T301" s="102"/>
      <c r="U301" s="102"/>
      <c r="V301" s="141"/>
    </row>
    <row r="302" spans="2:22" ht="38.450000000000003" customHeight="1">
      <c r="B302" s="120" t="str">
        <f t="shared" si="8"/>
        <v>3-44</v>
      </c>
      <c r="C302" s="100" t="s">
        <v>518</v>
      </c>
      <c r="D302" s="100" t="s">
        <v>519</v>
      </c>
      <c r="E302" s="100" t="s">
        <v>519</v>
      </c>
      <c r="F302" s="204" t="s">
        <v>520</v>
      </c>
      <c r="G302" s="205"/>
      <c r="H302" s="101"/>
      <c r="I302" s="20"/>
      <c r="J302" s="101"/>
      <c r="K302" s="101"/>
      <c r="L302" s="20"/>
      <c r="M302" s="101"/>
      <c r="N302" s="101"/>
      <c r="O302" s="20"/>
      <c r="P302" s="101"/>
      <c r="Q302" s="146"/>
      <c r="R302" s="101"/>
      <c r="S302" s="100"/>
      <c r="T302" s="102"/>
      <c r="U302" s="102"/>
      <c r="V302" s="141"/>
    </row>
    <row r="303" spans="2:22" ht="39.950000000000003" customHeight="1">
      <c r="B303" s="120" t="str">
        <f t="shared" si="8"/>
        <v>3-45</v>
      </c>
      <c r="C303" s="100" t="s">
        <v>172</v>
      </c>
      <c r="D303" s="100" t="s">
        <v>140</v>
      </c>
      <c r="E303" s="100" t="s">
        <v>116</v>
      </c>
      <c r="F303" s="204" t="s">
        <v>187</v>
      </c>
      <c r="G303" s="205"/>
      <c r="H303" s="101"/>
      <c r="I303" s="20"/>
      <c r="J303" s="101"/>
      <c r="K303" s="101"/>
      <c r="L303" s="20"/>
      <c r="M303" s="101"/>
      <c r="N303" s="101"/>
      <c r="O303" s="20"/>
      <c r="P303" s="101"/>
      <c r="Q303" s="101"/>
      <c r="R303" s="101"/>
      <c r="S303" s="100"/>
      <c r="T303" s="102"/>
      <c r="U303" s="102"/>
      <c r="V303" s="124"/>
    </row>
    <row r="304" spans="2:22" ht="39.950000000000003" customHeight="1">
      <c r="B304" s="120" t="str">
        <f t="shared" si="8"/>
        <v>3-46</v>
      </c>
      <c r="C304" s="100" t="s">
        <v>172</v>
      </c>
      <c r="D304" s="100" t="s">
        <v>242</v>
      </c>
      <c r="E304" s="100" t="s">
        <v>296</v>
      </c>
      <c r="F304" s="208" t="s">
        <v>103</v>
      </c>
      <c r="G304" s="209"/>
      <c r="H304" s="101"/>
      <c r="I304" s="20"/>
      <c r="J304" s="101"/>
      <c r="K304" s="101"/>
      <c r="L304" s="20"/>
      <c r="M304" s="101"/>
      <c r="N304" s="101"/>
      <c r="O304" s="20"/>
      <c r="P304" s="101"/>
      <c r="Q304" s="101"/>
      <c r="R304" s="101"/>
      <c r="S304" s="100"/>
      <c r="T304" s="102"/>
      <c r="U304" s="102"/>
      <c r="V304" s="124"/>
    </row>
    <row r="305" spans="2:22" ht="39.950000000000003" customHeight="1">
      <c r="B305" s="120" t="str">
        <f t="shared" si="8"/>
        <v>3-47</v>
      </c>
      <c r="C305" s="100" t="s">
        <v>182</v>
      </c>
      <c r="D305" s="100" t="s">
        <v>114</v>
      </c>
      <c r="E305" s="100" t="s">
        <v>116</v>
      </c>
      <c r="F305" s="206" t="s">
        <v>129</v>
      </c>
      <c r="G305" s="207"/>
      <c r="H305" s="101"/>
      <c r="I305" s="20"/>
      <c r="J305" s="101"/>
      <c r="K305" s="101"/>
      <c r="L305" s="20"/>
      <c r="M305" s="101"/>
      <c r="N305" s="101"/>
      <c r="O305" s="20"/>
      <c r="P305" s="101"/>
      <c r="Q305" s="101"/>
      <c r="R305" s="101"/>
      <c r="S305" s="100"/>
      <c r="T305" s="102"/>
      <c r="U305" s="102"/>
      <c r="V305" s="124"/>
    </row>
    <row r="306" spans="2:22" ht="39.950000000000003" customHeight="1">
      <c r="B306" s="120" t="str">
        <f t="shared" si="8"/>
        <v>3-48</v>
      </c>
      <c r="C306" s="100" t="s">
        <v>207</v>
      </c>
      <c r="D306" s="100" t="s">
        <v>218</v>
      </c>
      <c r="E306" s="100" t="s">
        <v>296</v>
      </c>
      <c r="F306" s="208" t="s">
        <v>103</v>
      </c>
      <c r="G306" s="209"/>
      <c r="H306" s="101"/>
      <c r="I306" s="20"/>
      <c r="J306" s="101"/>
      <c r="K306" s="101"/>
      <c r="L306" s="20"/>
      <c r="M306" s="101"/>
      <c r="N306" s="101"/>
      <c r="O306" s="20"/>
      <c r="P306" s="101"/>
      <c r="Q306" s="101"/>
      <c r="R306" s="101"/>
      <c r="S306" s="100"/>
      <c r="T306" s="102"/>
      <c r="U306" s="102"/>
      <c r="V306" s="124"/>
    </row>
    <row r="307" spans="2:22" ht="39.950000000000003" customHeight="1">
      <c r="B307" s="120" t="str">
        <f t="shared" si="8"/>
        <v>3-49</v>
      </c>
      <c r="C307" s="100" t="s">
        <v>246</v>
      </c>
      <c r="D307" s="100" t="s">
        <v>195</v>
      </c>
      <c r="E307" s="100" t="s">
        <v>211</v>
      </c>
      <c r="F307" s="206" t="s">
        <v>212</v>
      </c>
      <c r="G307" s="207"/>
      <c r="H307" s="101"/>
      <c r="I307" s="20"/>
      <c r="J307" s="101"/>
      <c r="K307" s="101"/>
      <c r="L307" s="20"/>
      <c r="M307" s="101"/>
      <c r="N307" s="101"/>
      <c r="O307" s="20"/>
      <c r="P307" s="101"/>
      <c r="Q307" s="101"/>
      <c r="R307" s="101"/>
      <c r="S307" s="100"/>
      <c r="T307" s="102"/>
      <c r="U307" s="102"/>
      <c r="V307" s="124"/>
    </row>
    <row r="308" spans="2:22" ht="39.950000000000003" customHeight="1">
      <c r="B308" s="120" t="str">
        <f t="shared" si="8"/>
        <v>3-50</v>
      </c>
      <c r="C308" s="100" t="s">
        <v>172</v>
      </c>
      <c r="D308" s="100" t="s">
        <v>206</v>
      </c>
      <c r="E308" s="100" t="s">
        <v>149</v>
      </c>
      <c r="F308" s="208" t="s">
        <v>103</v>
      </c>
      <c r="G308" s="209"/>
      <c r="H308" s="101"/>
      <c r="I308" s="20"/>
      <c r="J308" s="101"/>
      <c r="K308" s="101"/>
      <c r="L308" s="20"/>
      <c r="M308" s="101"/>
      <c r="N308" s="101"/>
      <c r="O308" s="20"/>
      <c r="P308" s="101"/>
      <c r="Q308" s="101"/>
      <c r="R308" s="101"/>
      <c r="S308" s="100"/>
      <c r="T308" s="102"/>
      <c r="U308" s="102"/>
      <c r="V308" s="124"/>
    </row>
    <row r="309" spans="2:22" ht="39.950000000000003" customHeight="1">
      <c r="B309" s="120" t="str">
        <f t="shared" si="8"/>
        <v>3-51</v>
      </c>
      <c r="C309" s="100" t="s">
        <v>247</v>
      </c>
      <c r="D309" s="100" t="s">
        <v>195</v>
      </c>
      <c r="E309" s="100" t="s">
        <v>116</v>
      </c>
      <c r="F309" s="206" t="s">
        <v>129</v>
      </c>
      <c r="G309" s="207"/>
      <c r="H309" s="101"/>
      <c r="I309" s="20"/>
      <c r="J309" s="101"/>
      <c r="K309" s="101"/>
      <c r="L309" s="20"/>
      <c r="M309" s="101"/>
      <c r="N309" s="101"/>
      <c r="O309" s="20"/>
      <c r="P309" s="101"/>
      <c r="Q309" s="101"/>
      <c r="R309" s="101"/>
      <c r="S309" s="100"/>
      <c r="T309" s="102"/>
      <c r="U309" s="102"/>
      <c r="V309" s="124"/>
    </row>
    <row r="310" spans="2:22" ht="39.950000000000003" customHeight="1">
      <c r="B310" s="120" t="str">
        <f t="shared" si="8"/>
        <v>3-52</v>
      </c>
      <c r="C310" s="100" t="s">
        <v>161</v>
      </c>
      <c r="D310" s="100" t="s">
        <v>102</v>
      </c>
      <c r="E310" s="100" t="s">
        <v>151</v>
      </c>
      <c r="F310" s="206" t="s">
        <v>103</v>
      </c>
      <c r="G310" s="207"/>
      <c r="H310" s="101"/>
      <c r="I310" s="20"/>
      <c r="J310" s="101"/>
      <c r="K310" s="101"/>
      <c r="L310" s="20"/>
      <c r="M310" s="101"/>
      <c r="N310" s="101"/>
      <c r="O310" s="20"/>
      <c r="P310" s="101"/>
      <c r="Q310" s="101"/>
      <c r="R310" s="101"/>
      <c r="S310" s="100"/>
      <c r="T310" s="102"/>
      <c r="U310" s="102"/>
    </row>
    <row r="311" spans="2:22" ht="39.950000000000003" customHeight="1">
      <c r="B311" s="120" t="str">
        <f t="shared" si="8"/>
        <v>3-53</v>
      </c>
      <c r="C311" s="100" t="s">
        <v>154</v>
      </c>
      <c r="D311" s="100" t="s">
        <v>184</v>
      </c>
      <c r="E311" s="100" t="s">
        <v>151</v>
      </c>
      <c r="F311" s="206" t="s">
        <v>103</v>
      </c>
      <c r="G311" s="207"/>
      <c r="H311" s="101"/>
      <c r="I311" s="20"/>
      <c r="J311" s="101"/>
      <c r="K311" s="101"/>
      <c r="L311" s="20"/>
      <c r="M311" s="101"/>
      <c r="N311" s="101"/>
      <c r="O311" s="20"/>
      <c r="P311" s="101"/>
      <c r="Q311" s="101"/>
      <c r="R311" s="101"/>
      <c r="S311" s="100"/>
      <c r="T311" s="102"/>
      <c r="U311" s="102"/>
    </row>
    <row r="312" spans="2:22" ht="39.950000000000003" customHeight="1">
      <c r="B312" s="120" t="str">
        <f t="shared" si="8"/>
        <v>3-54</v>
      </c>
      <c r="C312" s="100" t="s">
        <v>247</v>
      </c>
      <c r="D312" s="42" t="s">
        <v>503</v>
      </c>
      <c r="E312" s="100" t="s">
        <v>298</v>
      </c>
      <c r="F312" s="204" t="s">
        <v>264</v>
      </c>
      <c r="G312" s="205"/>
      <c r="H312" s="101"/>
      <c r="I312" s="20"/>
      <c r="J312" s="101"/>
      <c r="K312" s="101"/>
      <c r="L312" s="20"/>
      <c r="M312" s="101"/>
      <c r="N312" s="101"/>
      <c r="O312" s="20"/>
      <c r="P312" s="101"/>
      <c r="Q312" s="160"/>
      <c r="R312" s="101"/>
      <c r="S312" s="100"/>
      <c r="T312" s="102"/>
      <c r="U312" s="102"/>
    </row>
    <row r="313" spans="2:22" ht="39.950000000000003" customHeight="1">
      <c r="B313" s="157" t="str">
        <f t="shared" si="8"/>
        <v>3-55</v>
      </c>
      <c r="C313" s="100" t="s">
        <v>179</v>
      </c>
      <c r="D313" s="100" t="s">
        <v>494</v>
      </c>
      <c r="E313" s="100" t="s">
        <v>193</v>
      </c>
      <c r="F313" s="204" t="s">
        <v>580</v>
      </c>
      <c r="G313" s="205"/>
      <c r="H313" s="101"/>
      <c r="I313" s="20"/>
      <c r="J313" s="101"/>
      <c r="K313" s="101"/>
      <c r="L313" s="20"/>
      <c r="M313" s="101"/>
      <c r="N313" s="101"/>
      <c r="O313" s="20"/>
      <c r="P313" s="101"/>
      <c r="Q313" s="160"/>
      <c r="R313" s="101"/>
      <c r="S313" s="100"/>
      <c r="T313" s="102"/>
      <c r="U313" s="102"/>
    </row>
    <row r="314" spans="2:22" ht="39.950000000000003" customHeight="1">
      <c r="B314" s="157" t="str">
        <f t="shared" si="8"/>
        <v>3-56</v>
      </c>
      <c r="C314" s="100" t="s">
        <v>172</v>
      </c>
      <c r="D314" s="100" t="s">
        <v>500</v>
      </c>
      <c r="E314" s="100" t="s">
        <v>193</v>
      </c>
      <c r="F314" s="204" t="s">
        <v>582</v>
      </c>
      <c r="G314" s="205"/>
      <c r="H314" s="101"/>
      <c r="I314" s="20"/>
      <c r="J314" s="101"/>
      <c r="K314" s="101"/>
      <c r="L314" s="20"/>
      <c r="M314" s="101"/>
      <c r="N314" s="101"/>
      <c r="O314" s="20"/>
      <c r="P314" s="101"/>
      <c r="Q314" s="160"/>
      <c r="R314" s="101"/>
      <c r="S314" s="100"/>
      <c r="T314" s="102"/>
      <c r="U314" s="102"/>
      <c r="V314" s="124"/>
    </row>
    <row r="315" spans="2:22" ht="39.950000000000003" customHeight="1">
      <c r="B315" s="157" t="str">
        <f t="shared" si="8"/>
        <v>3-57</v>
      </c>
      <c r="C315" s="100" t="s">
        <v>182</v>
      </c>
      <c r="D315" s="100" t="s">
        <v>172</v>
      </c>
      <c r="E315" s="100" t="s">
        <v>193</v>
      </c>
      <c r="F315" s="204" t="s">
        <v>460</v>
      </c>
      <c r="G315" s="205"/>
      <c r="H315" s="101"/>
      <c r="I315" s="20"/>
      <c r="J315" s="101"/>
      <c r="K315" s="101"/>
      <c r="L315" s="20"/>
      <c r="M315" s="101"/>
      <c r="N315" s="101"/>
      <c r="O315" s="20"/>
      <c r="P315" s="101"/>
      <c r="Q315" s="161"/>
      <c r="R315" s="101"/>
      <c r="S315" s="100"/>
      <c r="T315" s="102"/>
      <c r="U315" s="102"/>
    </row>
    <row r="316" spans="2:22" ht="39.950000000000003" customHeight="1">
      <c r="B316" s="157" t="str">
        <f t="shared" ref="B316:B325" si="9">"3-"&amp;ROW()-258</f>
        <v>3-58</v>
      </c>
      <c r="C316" s="100" t="s">
        <v>172</v>
      </c>
      <c r="D316" s="100" t="s">
        <v>172</v>
      </c>
      <c r="E316" s="100" t="s">
        <v>492</v>
      </c>
      <c r="F316" s="204" t="s">
        <v>468</v>
      </c>
      <c r="G316" s="205"/>
      <c r="H316" s="101"/>
      <c r="I316" s="20"/>
      <c r="J316" s="101"/>
      <c r="K316" s="101"/>
      <c r="L316" s="20"/>
      <c r="M316" s="101"/>
      <c r="N316" s="101"/>
      <c r="O316" s="20"/>
      <c r="P316" s="101"/>
      <c r="Q316" s="146"/>
      <c r="R316" s="101"/>
      <c r="S316" s="100"/>
      <c r="T316" s="102"/>
      <c r="U316" s="102"/>
    </row>
    <row r="317" spans="2:22" ht="38.450000000000003" customHeight="1">
      <c r="B317" s="157" t="str">
        <f t="shared" si="9"/>
        <v>3-59</v>
      </c>
      <c r="C317" s="100" t="s">
        <v>463</v>
      </c>
      <c r="D317" s="100" t="s">
        <v>184</v>
      </c>
      <c r="E317" s="100" t="s">
        <v>137</v>
      </c>
      <c r="F317" s="206" t="s">
        <v>465</v>
      </c>
      <c r="G317" s="207"/>
      <c r="H317" s="101"/>
      <c r="I317" s="20"/>
      <c r="J317" s="101"/>
      <c r="K317" s="101"/>
      <c r="L317" s="20"/>
      <c r="M317" s="101"/>
      <c r="N317" s="101"/>
      <c r="O317" s="20"/>
      <c r="P317" s="101"/>
      <c r="Q317" s="101"/>
      <c r="R317" s="101"/>
      <c r="S317" s="100"/>
      <c r="T317" s="102"/>
      <c r="U317" s="102"/>
      <c r="V317" s="139"/>
    </row>
    <row r="318" spans="2:22" ht="38.450000000000003" customHeight="1">
      <c r="B318" s="157" t="str">
        <f t="shared" si="9"/>
        <v>3-60</v>
      </c>
      <c r="C318" s="100" t="s">
        <v>81</v>
      </c>
      <c r="D318" s="42" t="s">
        <v>507</v>
      </c>
      <c r="E318" s="100" t="s">
        <v>268</v>
      </c>
      <c r="F318" s="204" t="s">
        <v>469</v>
      </c>
      <c r="G318" s="205"/>
      <c r="H318" s="101"/>
      <c r="I318" s="20"/>
      <c r="J318" s="101"/>
      <c r="K318" s="101"/>
      <c r="L318" s="20"/>
      <c r="M318" s="101"/>
      <c r="N318" s="101"/>
      <c r="O318" s="20"/>
      <c r="P318" s="101"/>
      <c r="Q318" s="146"/>
      <c r="R318" s="101"/>
      <c r="S318" s="100"/>
      <c r="T318" s="102"/>
      <c r="U318" s="102"/>
      <c r="V318" s="139"/>
    </row>
    <row r="319" spans="2:22" ht="39.950000000000003" customHeight="1">
      <c r="B319" s="157" t="str">
        <f t="shared" si="9"/>
        <v>3-61</v>
      </c>
      <c r="C319" s="18" t="s">
        <v>266</v>
      </c>
      <c r="D319" s="18" t="s">
        <v>267</v>
      </c>
      <c r="E319" s="100" t="s">
        <v>268</v>
      </c>
      <c r="F319" s="206" t="s">
        <v>269</v>
      </c>
      <c r="G319" s="207"/>
      <c r="H319" s="101"/>
      <c r="I319" s="20"/>
      <c r="J319" s="101"/>
      <c r="K319" s="101"/>
      <c r="L319" s="20"/>
      <c r="M319" s="101"/>
      <c r="N319" s="101"/>
      <c r="O319" s="20"/>
      <c r="P319" s="101"/>
      <c r="Q319" s="101"/>
      <c r="R319" s="103"/>
      <c r="S319" s="100"/>
      <c r="T319" s="102"/>
      <c r="U319" s="102"/>
      <c r="V319" s="135"/>
    </row>
    <row r="320" spans="2:22" ht="39.950000000000003" customHeight="1">
      <c r="B320" s="157" t="str">
        <f t="shared" si="9"/>
        <v>3-62</v>
      </c>
      <c r="C320" s="18" t="s">
        <v>270</v>
      </c>
      <c r="D320" s="18" t="s">
        <v>270</v>
      </c>
      <c r="E320" s="100" t="s">
        <v>268</v>
      </c>
      <c r="F320" s="206" t="s">
        <v>271</v>
      </c>
      <c r="G320" s="207"/>
      <c r="H320" s="101"/>
      <c r="I320" s="20"/>
      <c r="J320" s="101"/>
      <c r="K320" s="101"/>
      <c r="L320" s="20"/>
      <c r="M320" s="101"/>
      <c r="N320" s="101"/>
      <c r="O320" s="20"/>
      <c r="P320" s="101"/>
      <c r="Q320" s="101"/>
      <c r="R320" s="103"/>
      <c r="S320" s="100"/>
      <c r="T320" s="102"/>
      <c r="U320" s="102"/>
      <c r="V320" s="135"/>
    </row>
    <row r="321" spans="2:22" ht="39.950000000000003" customHeight="1">
      <c r="B321" s="157" t="str">
        <f t="shared" si="9"/>
        <v>3-63</v>
      </c>
      <c r="C321" s="18" t="s">
        <v>270</v>
      </c>
      <c r="D321" s="18" t="s">
        <v>272</v>
      </c>
      <c r="E321" s="100" t="s">
        <v>268</v>
      </c>
      <c r="F321" s="206" t="s">
        <v>273</v>
      </c>
      <c r="G321" s="207"/>
      <c r="H321" s="101"/>
      <c r="I321" s="20"/>
      <c r="J321" s="101"/>
      <c r="K321" s="101"/>
      <c r="L321" s="20"/>
      <c r="M321" s="101"/>
      <c r="N321" s="101"/>
      <c r="O321" s="20"/>
      <c r="P321" s="101"/>
      <c r="Q321" s="101"/>
      <c r="R321" s="103"/>
      <c r="S321" s="100"/>
      <c r="T321" s="102"/>
      <c r="U321" s="102"/>
      <c r="V321" s="135"/>
    </row>
    <row r="322" spans="2:22" ht="39.950000000000003" customHeight="1">
      <c r="B322" s="157" t="str">
        <f t="shared" si="9"/>
        <v>3-64</v>
      </c>
      <c r="C322" s="18" t="s">
        <v>270</v>
      </c>
      <c r="D322" s="18" t="s">
        <v>270</v>
      </c>
      <c r="E322" s="100" t="s">
        <v>268</v>
      </c>
      <c r="F322" s="206" t="s">
        <v>271</v>
      </c>
      <c r="G322" s="207"/>
      <c r="H322" s="101"/>
      <c r="I322" s="20"/>
      <c r="J322" s="101"/>
      <c r="K322" s="101"/>
      <c r="L322" s="20"/>
      <c r="M322" s="101"/>
      <c r="N322" s="101"/>
      <c r="O322" s="20"/>
      <c r="P322" s="101"/>
      <c r="Q322" s="101"/>
      <c r="R322" s="103"/>
      <c r="S322" s="100"/>
      <c r="T322" s="102"/>
      <c r="U322" s="102"/>
      <c r="V322" s="135"/>
    </row>
    <row r="323" spans="2:22" ht="39.950000000000003" customHeight="1">
      <c r="B323" s="157" t="str">
        <f t="shared" si="9"/>
        <v>3-65</v>
      </c>
      <c r="C323" s="18" t="s">
        <v>270</v>
      </c>
      <c r="D323" s="18" t="s">
        <v>274</v>
      </c>
      <c r="E323" s="100" t="s">
        <v>268</v>
      </c>
      <c r="F323" s="206" t="s">
        <v>275</v>
      </c>
      <c r="G323" s="207"/>
      <c r="H323" s="101"/>
      <c r="I323" s="20"/>
      <c r="J323" s="101"/>
      <c r="K323" s="101"/>
      <c r="L323" s="20"/>
      <c r="M323" s="101"/>
      <c r="N323" s="101"/>
      <c r="O323" s="20"/>
      <c r="P323" s="101"/>
      <c r="Q323" s="101"/>
      <c r="R323" s="103"/>
      <c r="S323" s="100"/>
      <c r="T323" s="102"/>
      <c r="U323" s="102"/>
      <c r="V323" s="135"/>
    </row>
    <row r="324" spans="2:22" ht="39.950000000000003" customHeight="1">
      <c r="B324" s="157" t="str">
        <f t="shared" si="9"/>
        <v>3-66</v>
      </c>
      <c r="C324" s="18" t="s">
        <v>270</v>
      </c>
      <c r="D324" s="18" t="s">
        <v>270</v>
      </c>
      <c r="E324" s="100" t="s">
        <v>268</v>
      </c>
      <c r="F324" s="206" t="s">
        <v>271</v>
      </c>
      <c r="G324" s="207"/>
      <c r="H324" s="101"/>
      <c r="I324" s="20"/>
      <c r="J324" s="101"/>
      <c r="K324" s="101"/>
      <c r="L324" s="20"/>
      <c r="M324" s="101"/>
      <c r="N324" s="101"/>
      <c r="O324" s="20"/>
      <c r="P324" s="101"/>
      <c r="Q324" s="101"/>
      <c r="R324" s="103"/>
      <c r="S324" s="100"/>
      <c r="T324" s="102"/>
      <c r="U324" s="102"/>
      <c r="V324" s="135"/>
    </row>
    <row r="325" spans="2:22" ht="39.950000000000003" customHeight="1">
      <c r="B325" s="157" t="str">
        <f t="shared" si="9"/>
        <v>3-67</v>
      </c>
      <c r="C325" s="18" t="s">
        <v>98</v>
      </c>
      <c r="D325" s="18" t="s">
        <v>276</v>
      </c>
      <c r="E325" s="100" t="s">
        <v>154</v>
      </c>
      <c r="F325" s="206" t="s">
        <v>575</v>
      </c>
      <c r="G325" s="207"/>
      <c r="H325" s="101"/>
      <c r="I325" s="20"/>
      <c r="J325" s="101"/>
      <c r="K325" s="101"/>
      <c r="L325" s="20"/>
      <c r="M325" s="101"/>
      <c r="N325" s="101"/>
      <c r="O325" s="20"/>
      <c r="P325" s="101"/>
      <c r="Q325" s="103"/>
      <c r="R325" s="103"/>
      <c r="S325" s="100"/>
      <c r="T325" s="102"/>
      <c r="U325" s="102"/>
      <c r="V325" s="135"/>
    </row>
  </sheetData>
  <autoFilter ref="B8:U325">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329">
    <mergeCell ref="F214:G214"/>
    <mergeCell ref="F215:G215"/>
    <mergeCell ref="F265:G265"/>
    <mergeCell ref="F261:G261"/>
    <mergeCell ref="R250:R251"/>
    <mergeCell ref="F269:G269"/>
    <mergeCell ref="F270:G270"/>
    <mergeCell ref="F272:G272"/>
    <mergeCell ref="F218:G218"/>
    <mergeCell ref="F268:G268"/>
    <mergeCell ref="F150:G150"/>
    <mergeCell ref="F164:G164"/>
    <mergeCell ref="F172:G172"/>
    <mergeCell ref="F186:G186"/>
    <mergeCell ref="F192:G192"/>
    <mergeCell ref="F225:G225"/>
    <mergeCell ref="F227:G227"/>
    <mergeCell ref="F233:G233"/>
    <mergeCell ref="F234:G234"/>
    <mergeCell ref="F226:G226"/>
    <mergeCell ref="F165:G165"/>
    <mergeCell ref="F166:G166"/>
    <mergeCell ref="F167:G167"/>
    <mergeCell ref="F232:G232"/>
    <mergeCell ref="F151:G151"/>
    <mergeCell ref="F176:G176"/>
    <mergeCell ref="F216:G216"/>
    <mergeCell ref="F219:G219"/>
    <mergeCell ref="F220:G220"/>
    <mergeCell ref="F221:G221"/>
    <mergeCell ref="F222:G222"/>
    <mergeCell ref="F223:G223"/>
    <mergeCell ref="F217:G217"/>
    <mergeCell ref="F224:G224"/>
    <mergeCell ref="B250:B251"/>
    <mergeCell ref="C250:C251"/>
    <mergeCell ref="D250:D251"/>
    <mergeCell ref="E250:E251"/>
    <mergeCell ref="F250:G251"/>
    <mergeCell ref="F260:G260"/>
    <mergeCell ref="F258:G258"/>
    <mergeCell ref="F259:G259"/>
    <mergeCell ref="F263:G263"/>
    <mergeCell ref="F262:G262"/>
    <mergeCell ref="N102:P102"/>
    <mergeCell ref="R102:R103"/>
    <mergeCell ref="F149:G149"/>
    <mergeCell ref="F163:G163"/>
    <mergeCell ref="F171:G171"/>
    <mergeCell ref="F185:G185"/>
    <mergeCell ref="F191:G191"/>
    <mergeCell ref="F109:G109"/>
    <mergeCell ref="F136:G136"/>
    <mergeCell ref="F137:G137"/>
    <mergeCell ref="F138:G138"/>
    <mergeCell ref="F114:G114"/>
    <mergeCell ref="F117:G117"/>
    <mergeCell ref="F119:G119"/>
    <mergeCell ref="F112:G112"/>
    <mergeCell ref="F128:G128"/>
    <mergeCell ref="F130:G130"/>
    <mergeCell ref="F132:G132"/>
    <mergeCell ref="F110:G110"/>
    <mergeCell ref="F111:G111"/>
    <mergeCell ref="F121:G121"/>
    <mergeCell ref="F180:G180"/>
    <mergeCell ref="F181:G181"/>
    <mergeCell ref="F182:G182"/>
    <mergeCell ref="S250:U250"/>
    <mergeCell ref="F255:G255"/>
    <mergeCell ref="F256:G256"/>
    <mergeCell ref="F257:G257"/>
    <mergeCell ref="H250:J250"/>
    <mergeCell ref="K250:M250"/>
    <mergeCell ref="N250:P250"/>
    <mergeCell ref="F113:G113"/>
    <mergeCell ref="F124:G124"/>
    <mergeCell ref="F126:G126"/>
    <mergeCell ref="F133:G133"/>
    <mergeCell ref="F135:G135"/>
    <mergeCell ref="F139:G139"/>
    <mergeCell ref="F140:G140"/>
    <mergeCell ref="F141:G141"/>
    <mergeCell ref="F142:G142"/>
    <mergeCell ref="F134:G134"/>
    <mergeCell ref="F143:G143"/>
    <mergeCell ref="F144:G144"/>
    <mergeCell ref="F145:G145"/>
    <mergeCell ref="F146:G146"/>
    <mergeCell ref="F131:G131"/>
    <mergeCell ref="F152:G152"/>
    <mergeCell ref="F231:G231"/>
    <mergeCell ref="B102:B103"/>
    <mergeCell ref="C102:C103"/>
    <mergeCell ref="D102:D103"/>
    <mergeCell ref="E102:E103"/>
    <mergeCell ref="F108:G108"/>
    <mergeCell ref="F21:G21"/>
    <mergeCell ref="F24:G24"/>
    <mergeCell ref="F29:G29"/>
    <mergeCell ref="F32:G32"/>
    <mergeCell ref="F67:G67"/>
    <mergeCell ref="F68:G68"/>
    <mergeCell ref="F64:G64"/>
    <mergeCell ref="F65:G65"/>
    <mergeCell ref="F23:G23"/>
    <mergeCell ref="F22:G22"/>
    <mergeCell ref="F107:G107"/>
    <mergeCell ref="F83:G83"/>
    <mergeCell ref="F84:G84"/>
    <mergeCell ref="F86:G86"/>
    <mergeCell ref="F87:G87"/>
    <mergeCell ref="F76:G76"/>
    <mergeCell ref="F85:G85"/>
    <mergeCell ref="F94:G94"/>
    <mergeCell ref="F102:G103"/>
    <mergeCell ref="B8:B9"/>
    <mergeCell ref="C8:C9"/>
    <mergeCell ref="E8:E9"/>
    <mergeCell ref="F8:G9"/>
    <mergeCell ref="D8:D9"/>
    <mergeCell ref="F75:G75"/>
    <mergeCell ref="F13:G13"/>
    <mergeCell ref="F10:G10"/>
    <mergeCell ref="F11:G11"/>
    <mergeCell ref="F12:G12"/>
    <mergeCell ref="F63:G63"/>
    <mergeCell ref="F37:G37"/>
    <mergeCell ref="F74:G74"/>
    <mergeCell ref="F42:G42"/>
    <mergeCell ref="F44:G44"/>
    <mergeCell ref="F45:G45"/>
    <mergeCell ref="F72:G72"/>
    <mergeCell ref="F36:G36"/>
    <mergeCell ref="F41:G41"/>
    <mergeCell ref="F43:G43"/>
    <mergeCell ref="F48:G48"/>
    <mergeCell ref="F49:G49"/>
    <mergeCell ref="F71:G71"/>
    <mergeCell ref="F73:G73"/>
    <mergeCell ref="S8:U8"/>
    <mergeCell ref="R8:R9"/>
    <mergeCell ref="K8:M8"/>
    <mergeCell ref="N8:P8"/>
    <mergeCell ref="H8:J8"/>
    <mergeCell ref="F69:G69"/>
    <mergeCell ref="F70:G70"/>
    <mergeCell ref="F15:G15"/>
    <mergeCell ref="F16:G16"/>
    <mergeCell ref="F17:G17"/>
    <mergeCell ref="F14:G14"/>
    <mergeCell ref="F18:G18"/>
    <mergeCell ref="F19:G19"/>
    <mergeCell ref="F25:G25"/>
    <mergeCell ref="F33:G33"/>
    <mergeCell ref="F38:G38"/>
    <mergeCell ref="F46:G46"/>
    <mergeCell ref="F47:G47"/>
    <mergeCell ref="F20:G20"/>
    <mergeCell ref="F28:G28"/>
    <mergeCell ref="F26:G26"/>
    <mergeCell ref="F27:G27"/>
    <mergeCell ref="F34:G34"/>
    <mergeCell ref="F35:G35"/>
    <mergeCell ref="S102:U102"/>
    <mergeCell ref="F30:G30"/>
    <mergeCell ref="F31:G31"/>
    <mergeCell ref="F184:G184"/>
    <mergeCell ref="F189:G189"/>
    <mergeCell ref="F105:G105"/>
    <mergeCell ref="F106:G106"/>
    <mergeCell ref="F52:G52"/>
    <mergeCell ref="F53:G53"/>
    <mergeCell ref="F54:G54"/>
    <mergeCell ref="F55:G55"/>
    <mergeCell ref="F56:G56"/>
    <mergeCell ref="F57:G57"/>
    <mergeCell ref="F58:G58"/>
    <mergeCell ref="F60:G60"/>
    <mergeCell ref="F62:G62"/>
    <mergeCell ref="F91:G91"/>
    <mergeCell ref="F92:G92"/>
    <mergeCell ref="F93:G93"/>
    <mergeCell ref="F95:G95"/>
    <mergeCell ref="F115:G115"/>
    <mergeCell ref="F116:G116"/>
    <mergeCell ref="H102:J102"/>
    <mergeCell ref="K102:M102"/>
    <mergeCell ref="F153:G153"/>
    <mergeCell ref="F155:G155"/>
    <mergeCell ref="F156:G156"/>
    <mergeCell ref="F157:G157"/>
    <mergeCell ref="F158:G158"/>
    <mergeCell ref="F159:G159"/>
    <mergeCell ref="F160:G160"/>
    <mergeCell ref="F174:G174"/>
    <mergeCell ref="F175:G175"/>
    <mergeCell ref="F154:G154"/>
    <mergeCell ref="F161:G161"/>
    <mergeCell ref="F162:G162"/>
    <mergeCell ref="F169:G169"/>
    <mergeCell ref="F170:G170"/>
    <mergeCell ref="F168:G168"/>
    <mergeCell ref="F173:G173"/>
    <mergeCell ref="F314:G314"/>
    <mergeCell ref="F317:G317"/>
    <mergeCell ref="F318:G318"/>
    <mergeCell ref="F309:G309"/>
    <mergeCell ref="F305:G305"/>
    <mergeCell ref="F306:G306"/>
    <mergeCell ref="F307:G307"/>
    <mergeCell ref="F301:G301"/>
    <mergeCell ref="F302:G302"/>
    <mergeCell ref="F325:G325"/>
    <mergeCell ref="F319:G319"/>
    <mergeCell ref="F320:G320"/>
    <mergeCell ref="F321:G321"/>
    <mergeCell ref="F322:G322"/>
    <mergeCell ref="F323:G323"/>
    <mergeCell ref="F271:G271"/>
    <mergeCell ref="F315:G315"/>
    <mergeCell ref="F316:G316"/>
    <mergeCell ref="F278:G278"/>
    <mergeCell ref="F279:G279"/>
    <mergeCell ref="F286:G286"/>
    <mergeCell ref="F287:G287"/>
    <mergeCell ref="F288:G288"/>
    <mergeCell ref="F291:G291"/>
    <mergeCell ref="F292:G292"/>
    <mergeCell ref="F303:G303"/>
    <mergeCell ref="F304:G304"/>
    <mergeCell ref="F324:G324"/>
    <mergeCell ref="F308:G308"/>
    <mergeCell ref="F310:G310"/>
    <mergeCell ref="F311:G311"/>
    <mergeCell ref="F312:G312"/>
    <mergeCell ref="F313:G313"/>
    <mergeCell ref="F39:G39"/>
    <mergeCell ref="F40:G40"/>
    <mergeCell ref="F89:G89"/>
    <mergeCell ref="F90:G90"/>
    <mergeCell ref="F104:G104"/>
    <mergeCell ref="F97:G97"/>
    <mergeCell ref="F88:G88"/>
    <mergeCell ref="F81:G81"/>
    <mergeCell ref="F82:G82"/>
    <mergeCell ref="F77:G77"/>
    <mergeCell ref="F78:G78"/>
    <mergeCell ref="F80:G80"/>
    <mergeCell ref="F79:G79"/>
    <mergeCell ref="F96:G96"/>
    <mergeCell ref="F51:G51"/>
    <mergeCell ref="F66:G66"/>
    <mergeCell ref="F300:G300"/>
    <mergeCell ref="F281:G281"/>
    <mergeCell ref="F282:G282"/>
    <mergeCell ref="F283:G283"/>
    <mergeCell ref="F284:G284"/>
    <mergeCell ref="F285:G285"/>
    <mergeCell ref="F289:G289"/>
    <mergeCell ref="F252:G252"/>
    <mergeCell ref="F253:G253"/>
    <mergeCell ref="F254:G254"/>
    <mergeCell ref="F290:G290"/>
    <mergeCell ref="F266:G266"/>
    <mergeCell ref="F293:G293"/>
    <mergeCell ref="F294:G294"/>
    <mergeCell ref="F295:G295"/>
    <mergeCell ref="F296:G296"/>
    <mergeCell ref="F297:G297"/>
    <mergeCell ref="F298:G298"/>
    <mergeCell ref="F299:G299"/>
    <mergeCell ref="F267:G267"/>
    <mergeCell ref="F280:G280"/>
    <mergeCell ref="F273:G273"/>
    <mergeCell ref="F274:G274"/>
    <mergeCell ref="F275:G275"/>
    <mergeCell ref="F277:G277"/>
    <mergeCell ref="F237:G237"/>
    <mergeCell ref="F238:G238"/>
    <mergeCell ref="F228:G228"/>
    <mergeCell ref="F230:G230"/>
    <mergeCell ref="F229:G229"/>
    <mergeCell ref="F235:G235"/>
    <mergeCell ref="F239:G239"/>
    <mergeCell ref="F240:G240"/>
    <mergeCell ref="F241:G241"/>
    <mergeCell ref="F242:G242"/>
    <mergeCell ref="F243:G243"/>
    <mergeCell ref="F244:G244"/>
    <mergeCell ref="F245:G245"/>
    <mergeCell ref="F276:G276"/>
    <mergeCell ref="F264:G264"/>
    <mergeCell ref="F236:G236"/>
    <mergeCell ref="F183:G183"/>
    <mergeCell ref="F195:G195"/>
    <mergeCell ref="F196:G196"/>
    <mergeCell ref="F209:G209"/>
    <mergeCell ref="F212:G212"/>
    <mergeCell ref="F213:G213"/>
    <mergeCell ref="F194:G194"/>
    <mergeCell ref="F210:G210"/>
    <mergeCell ref="F204:G204"/>
    <mergeCell ref="F197:G197"/>
    <mergeCell ref="F198:G198"/>
    <mergeCell ref="Q8:Q9"/>
    <mergeCell ref="Q102:Q103"/>
    <mergeCell ref="Q250:Q251"/>
    <mergeCell ref="F59:G59"/>
    <mergeCell ref="F61:G61"/>
    <mergeCell ref="F211:G211"/>
    <mergeCell ref="F199:G199"/>
    <mergeCell ref="F200:G200"/>
    <mergeCell ref="F201:G201"/>
    <mergeCell ref="F202:G202"/>
    <mergeCell ref="F203:G203"/>
    <mergeCell ref="F205:G205"/>
    <mergeCell ref="F208:G208"/>
    <mergeCell ref="F147:G147"/>
    <mergeCell ref="F148:G148"/>
    <mergeCell ref="F187:G187"/>
    <mergeCell ref="F188:G188"/>
    <mergeCell ref="F190:G190"/>
    <mergeCell ref="F193:G193"/>
    <mergeCell ref="F206:G206"/>
    <mergeCell ref="F207:G207"/>
    <mergeCell ref="F177:G177"/>
    <mergeCell ref="F178:G178"/>
    <mergeCell ref="F179:G179"/>
  </mergeCells>
  <phoneticPr fontId="28"/>
  <dataValidations count="1">
    <dataValidation type="list" allowBlank="1" showInputMessage="1" showErrorMessage="1" sqref="K10:K97 N10:N97 H10:H97 N252:N325 K252:K325 H252:H325 H104:H245 K104:K245 N104:N245">
      <formula1>"OK,NG,NG（済）,－,未実施"</formula1>
    </dataValidation>
  </dataValidations>
  <pageMargins left="0.55118110236220474" right="0.35433070866141736" top="0.70866141732283472" bottom="0.70866141732283472" header="0.39370078740157483" footer="0.35433070866141736"/>
  <pageSetup paperSize="9" scale="62"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8"/>
  <sheetViews>
    <sheetView workbookViewId="0">
      <selection activeCell="J24" sqref="J24"/>
    </sheetView>
  </sheetViews>
  <sheetFormatPr defaultRowHeight="13.5"/>
  <cols>
    <col min="1" max="1" width="2.5" customWidth="1"/>
    <col min="2" max="2" width="19.5" customWidth="1"/>
    <col min="3" max="3" width="30.5" customWidth="1"/>
    <col min="4" max="4" width="28.375" bestFit="1" customWidth="1"/>
    <col min="5" max="9" width="13.625" bestFit="1" customWidth="1"/>
  </cols>
  <sheetData>
    <row r="1" spans="1:9">
      <c r="A1" t="s">
        <v>302</v>
      </c>
    </row>
    <row r="3" spans="1:9">
      <c r="A3" s="106" t="s">
        <v>535</v>
      </c>
    </row>
    <row r="4" spans="1:9">
      <c r="B4" t="s">
        <v>303</v>
      </c>
    </row>
    <row r="5" spans="1:9">
      <c r="B5" s="136" t="s">
        <v>92</v>
      </c>
      <c r="C5" s="136" t="s">
        <v>93</v>
      </c>
      <c r="D5" s="136" t="s">
        <v>94</v>
      </c>
      <c r="E5" s="137" t="s">
        <v>523</v>
      </c>
      <c r="F5" s="137" t="s">
        <v>305</v>
      </c>
      <c r="G5" s="140" t="s">
        <v>524</v>
      </c>
      <c r="H5" s="140" t="s">
        <v>525</v>
      </c>
      <c r="I5" s="140" t="s">
        <v>526</v>
      </c>
    </row>
    <row r="6" spans="1:9">
      <c r="A6" s="108"/>
      <c r="B6" s="109" t="s">
        <v>307</v>
      </c>
      <c r="C6" s="125" t="s">
        <v>308</v>
      </c>
      <c r="D6" s="110"/>
      <c r="E6" s="151"/>
      <c r="F6" s="151"/>
      <c r="G6" s="151"/>
      <c r="H6" s="151"/>
      <c r="I6" s="143"/>
    </row>
    <row r="7" spans="1:9">
      <c r="A7" s="108"/>
      <c r="B7" s="109" t="s">
        <v>309</v>
      </c>
      <c r="C7" s="125" t="s">
        <v>310</v>
      </c>
      <c r="D7" s="110"/>
      <c r="E7" s="151"/>
      <c r="F7" s="151"/>
      <c r="G7" s="151"/>
      <c r="H7" s="151"/>
      <c r="I7" s="143"/>
    </row>
    <row r="8" spans="1:9">
      <c r="A8" s="108"/>
      <c r="B8" s="109" t="s">
        <v>280</v>
      </c>
      <c r="C8" s="125" t="s">
        <v>289</v>
      </c>
      <c r="D8" s="110"/>
      <c r="E8" s="151"/>
      <c r="F8" s="151"/>
      <c r="G8" s="151"/>
      <c r="H8" s="151"/>
      <c r="I8" s="143"/>
    </row>
    <row r="9" spans="1:9">
      <c r="A9" s="108"/>
      <c r="B9" s="109" t="s">
        <v>584</v>
      </c>
      <c r="C9" s="125" t="s">
        <v>311</v>
      </c>
      <c r="D9" s="110"/>
      <c r="E9" s="151"/>
      <c r="F9" s="151"/>
      <c r="G9" s="151"/>
      <c r="H9" s="151"/>
      <c r="I9" s="143"/>
    </row>
    <row r="10" spans="1:9">
      <c r="A10" s="108"/>
      <c r="B10" s="109" t="s">
        <v>312</v>
      </c>
      <c r="C10" s="125" t="s">
        <v>281</v>
      </c>
      <c r="D10" s="110"/>
      <c r="E10" s="151"/>
      <c r="F10" s="151"/>
      <c r="G10" s="151"/>
      <c r="H10" s="151"/>
      <c r="I10" s="143"/>
    </row>
    <row r="11" spans="1:9">
      <c r="A11" s="108"/>
      <c r="B11" s="109" t="s">
        <v>560</v>
      </c>
      <c r="C11" s="125" t="s">
        <v>313</v>
      </c>
      <c r="D11" s="110"/>
      <c r="E11" s="151"/>
      <c r="F11" s="151"/>
      <c r="G11" s="151"/>
      <c r="H11" s="151"/>
      <c r="I11" s="143"/>
    </row>
    <row r="12" spans="1:9">
      <c r="A12" s="108"/>
      <c r="B12" s="109" t="s">
        <v>283</v>
      </c>
      <c r="C12" s="125" t="s">
        <v>314</v>
      </c>
      <c r="D12" s="110"/>
      <c r="E12" s="151"/>
      <c r="F12" s="151"/>
      <c r="G12" s="151"/>
      <c r="H12" s="151"/>
      <c r="I12" s="143"/>
    </row>
    <row r="13" spans="1:9">
      <c r="A13" s="108"/>
      <c r="B13" s="109" t="s">
        <v>315</v>
      </c>
      <c r="C13" s="125" t="s">
        <v>316</v>
      </c>
      <c r="D13" s="110"/>
      <c r="E13" s="151"/>
      <c r="F13" s="151"/>
      <c r="G13" s="151"/>
      <c r="H13" s="151"/>
      <c r="I13" s="143"/>
    </row>
    <row r="14" spans="1:9">
      <c r="A14" s="108"/>
      <c r="B14" s="109" t="s">
        <v>317</v>
      </c>
      <c r="C14" s="125" t="s">
        <v>318</v>
      </c>
      <c r="D14" s="110"/>
      <c r="E14" s="151"/>
      <c r="F14" s="151"/>
      <c r="G14" s="151"/>
      <c r="H14" s="151"/>
      <c r="I14" s="143"/>
    </row>
    <row r="15" spans="1:9">
      <c r="A15" s="108"/>
      <c r="B15" s="148" t="s">
        <v>291</v>
      </c>
      <c r="C15" s="148" t="s">
        <v>292</v>
      </c>
      <c r="D15" s="149"/>
      <c r="E15" s="154"/>
      <c r="F15" s="154"/>
      <c r="G15" s="154"/>
      <c r="H15" s="154"/>
      <c r="I15" s="163"/>
    </row>
    <row r="16" spans="1:9">
      <c r="A16" s="108"/>
      <c r="B16" s="125" t="s">
        <v>561</v>
      </c>
      <c r="C16" s="125" t="s">
        <v>285</v>
      </c>
      <c r="D16" s="110"/>
      <c r="E16" s="151"/>
      <c r="F16" s="151"/>
      <c r="G16" s="151"/>
      <c r="H16" s="151"/>
      <c r="I16" s="143"/>
    </row>
    <row r="17" spans="1:9">
      <c r="A17" s="108"/>
      <c r="B17" s="148" t="s">
        <v>320</v>
      </c>
      <c r="C17" s="148" t="s">
        <v>286</v>
      </c>
      <c r="D17" s="149"/>
      <c r="E17" s="150"/>
      <c r="F17" s="150"/>
      <c r="G17" s="149"/>
      <c r="H17" s="149"/>
      <c r="I17" s="149"/>
    </row>
    <row r="18" spans="1:9">
      <c r="A18" s="108"/>
      <c r="B18" s="148" t="s">
        <v>321</v>
      </c>
      <c r="C18" s="148" t="s">
        <v>287</v>
      </c>
      <c r="D18" s="149"/>
      <c r="E18" s="150"/>
      <c r="F18" s="150"/>
      <c r="G18" s="149"/>
      <c r="H18" s="149"/>
      <c r="I18" s="149"/>
    </row>
    <row r="19" spans="1:9">
      <c r="A19" s="108"/>
      <c r="B19" s="148" t="s">
        <v>322</v>
      </c>
      <c r="C19" s="148" t="s">
        <v>288</v>
      </c>
      <c r="D19" s="149"/>
      <c r="E19" s="150"/>
      <c r="F19" s="150"/>
      <c r="G19" s="149"/>
      <c r="H19" s="149"/>
      <c r="I19" s="149"/>
    </row>
    <row r="20" spans="1:9">
      <c r="B20" s="126"/>
      <c r="C20" s="126"/>
      <c r="E20" s="126"/>
    </row>
    <row r="21" spans="1:9">
      <c r="A21" s="127"/>
      <c r="B21" s="128" t="s">
        <v>252</v>
      </c>
      <c r="C21" s="129"/>
      <c r="D21" s="131"/>
      <c r="E21" s="130"/>
    </row>
    <row r="22" spans="1:9">
      <c r="B22" s="136" t="s">
        <v>92</v>
      </c>
      <c r="C22" s="136" t="s">
        <v>93</v>
      </c>
      <c r="D22" s="136" t="s">
        <v>94</v>
      </c>
      <c r="E22" s="137" t="s">
        <v>304</v>
      </c>
      <c r="F22" s="137" t="s">
        <v>323</v>
      </c>
      <c r="G22" s="140" t="s">
        <v>324</v>
      </c>
      <c r="H22" s="140" t="s">
        <v>525</v>
      </c>
      <c r="I22" s="140" t="s">
        <v>526</v>
      </c>
    </row>
    <row r="23" spans="1:9">
      <c r="A23" s="108"/>
      <c r="B23" s="132" t="s">
        <v>325</v>
      </c>
      <c r="C23" s="132" t="s">
        <v>326</v>
      </c>
      <c r="D23" s="133" t="s">
        <v>253</v>
      </c>
      <c r="E23" s="151"/>
      <c r="F23" s="151"/>
      <c r="G23" s="151"/>
      <c r="H23" s="151"/>
      <c r="I23" s="143"/>
    </row>
    <row r="24" spans="1:9">
      <c r="A24" s="108"/>
      <c r="B24" s="132" t="s">
        <v>327</v>
      </c>
      <c r="C24" s="132"/>
      <c r="D24" s="133"/>
      <c r="E24" s="151"/>
      <c r="F24" s="151"/>
      <c r="G24" s="151"/>
      <c r="H24" s="151"/>
      <c r="I24" s="143"/>
    </row>
    <row r="25" spans="1:9">
      <c r="A25" s="127"/>
      <c r="B25" s="134" t="s">
        <v>328</v>
      </c>
      <c r="C25" s="132" t="s">
        <v>329</v>
      </c>
      <c r="D25" s="133" t="s">
        <v>253</v>
      </c>
      <c r="E25" s="151"/>
      <c r="F25" s="151"/>
      <c r="G25" s="151"/>
      <c r="H25" s="151"/>
      <c r="I25" s="143"/>
    </row>
    <row r="26" spans="1:9">
      <c r="A26" s="127"/>
      <c r="B26" s="134" t="s">
        <v>330</v>
      </c>
      <c r="C26" s="132" t="s">
        <v>254</v>
      </c>
      <c r="D26" s="133" t="s">
        <v>255</v>
      </c>
      <c r="E26" s="151"/>
      <c r="F26" s="151"/>
      <c r="G26" s="151"/>
      <c r="H26" s="151"/>
      <c r="I26" s="143"/>
    </row>
    <row r="27" spans="1:9">
      <c r="A27" s="127"/>
      <c r="B27" s="134" t="s">
        <v>331</v>
      </c>
      <c r="C27" s="132" t="s">
        <v>532</v>
      </c>
      <c r="D27" s="133" t="s">
        <v>255</v>
      </c>
      <c r="E27" s="151"/>
      <c r="F27" s="151"/>
      <c r="G27" s="151"/>
      <c r="H27" s="151"/>
      <c r="I27" s="143"/>
    </row>
    <row r="28" spans="1:9" ht="27">
      <c r="A28" s="127"/>
      <c r="B28" s="134" t="s">
        <v>531</v>
      </c>
      <c r="C28" s="132" t="s">
        <v>256</v>
      </c>
      <c r="D28" s="144" t="s">
        <v>558</v>
      </c>
      <c r="E28" s="151"/>
      <c r="F28" s="151"/>
      <c r="G28" s="151"/>
      <c r="H28" s="151"/>
      <c r="I28" s="143"/>
    </row>
    <row r="29" spans="1:9" ht="40.5">
      <c r="A29" s="127"/>
      <c r="B29" s="134" t="s">
        <v>533</v>
      </c>
      <c r="C29" s="132" t="s">
        <v>534</v>
      </c>
      <c r="D29" s="144" t="s">
        <v>559</v>
      </c>
      <c r="E29" s="151"/>
      <c r="F29" s="151"/>
      <c r="G29" s="151"/>
      <c r="H29" s="151"/>
      <c r="I29" s="143"/>
    </row>
    <row r="31" spans="1:9">
      <c r="A31" s="106" t="s">
        <v>332</v>
      </c>
    </row>
    <row r="32" spans="1:9">
      <c r="B32" t="s">
        <v>333</v>
      </c>
    </row>
    <row r="33" spans="1:6">
      <c r="B33" s="136" t="s">
        <v>92</v>
      </c>
      <c r="C33" s="136" t="s">
        <v>93</v>
      </c>
      <c r="D33" s="136" t="s">
        <v>94</v>
      </c>
      <c r="E33" s="137" t="s">
        <v>334</v>
      </c>
      <c r="F33" s="140" t="s">
        <v>306</v>
      </c>
    </row>
    <row r="34" spans="1:6">
      <c r="A34" s="108"/>
      <c r="B34" s="109" t="s">
        <v>307</v>
      </c>
      <c r="C34" s="125" t="s">
        <v>335</v>
      </c>
      <c r="D34" s="110"/>
      <c r="E34" s="151"/>
      <c r="F34" s="143"/>
    </row>
    <row r="35" spans="1:6">
      <c r="A35" s="108"/>
      <c r="B35" s="109" t="s">
        <v>309</v>
      </c>
      <c r="C35" s="125" t="s">
        <v>336</v>
      </c>
      <c r="D35" s="110"/>
      <c r="E35" s="151"/>
      <c r="F35" s="143"/>
    </row>
    <row r="36" spans="1:6">
      <c r="A36" s="108"/>
      <c r="B36" s="109" t="s">
        <v>337</v>
      </c>
      <c r="C36" s="125" t="s">
        <v>338</v>
      </c>
      <c r="D36" s="110"/>
      <c r="E36" s="151"/>
      <c r="F36" s="143"/>
    </row>
    <row r="37" spans="1:6">
      <c r="A37" s="108"/>
      <c r="B37" s="109" t="s">
        <v>584</v>
      </c>
      <c r="C37" s="125" t="s">
        <v>339</v>
      </c>
      <c r="D37" s="110"/>
      <c r="E37" s="151"/>
      <c r="F37" s="143"/>
    </row>
    <row r="38" spans="1:6">
      <c r="A38" s="108"/>
      <c r="B38" s="109" t="s">
        <v>312</v>
      </c>
      <c r="C38" s="125" t="s">
        <v>340</v>
      </c>
      <c r="D38" s="110"/>
      <c r="E38" s="151"/>
      <c r="F38" s="143"/>
    </row>
    <row r="39" spans="1:6">
      <c r="A39" s="108"/>
      <c r="B39" s="109" t="s">
        <v>560</v>
      </c>
      <c r="C39" s="125" t="s">
        <v>341</v>
      </c>
      <c r="D39" s="110"/>
      <c r="E39" s="151"/>
      <c r="F39" s="143"/>
    </row>
    <row r="40" spans="1:6">
      <c r="A40" s="108"/>
      <c r="B40" s="109" t="s">
        <v>342</v>
      </c>
      <c r="C40" s="125" t="s">
        <v>343</v>
      </c>
      <c r="D40" s="110"/>
      <c r="E40" s="151"/>
      <c r="F40" s="143"/>
    </row>
    <row r="41" spans="1:6">
      <c r="A41" s="108"/>
      <c r="B41" s="109" t="s">
        <v>284</v>
      </c>
      <c r="C41" s="125" t="s">
        <v>316</v>
      </c>
      <c r="D41" s="110"/>
      <c r="E41" s="151"/>
      <c r="F41" s="143"/>
    </row>
    <row r="42" spans="1:6">
      <c r="A42" s="108"/>
      <c r="B42" s="109" t="s">
        <v>290</v>
      </c>
      <c r="C42" s="125" t="s">
        <v>344</v>
      </c>
      <c r="D42" s="110"/>
      <c r="E42" s="151"/>
      <c r="F42" s="143"/>
    </row>
    <row r="43" spans="1:6">
      <c r="A43" s="108"/>
      <c r="B43" s="148" t="s">
        <v>291</v>
      </c>
      <c r="C43" s="148" t="s">
        <v>345</v>
      </c>
      <c r="D43" s="149"/>
      <c r="E43" s="152"/>
      <c r="F43" s="153"/>
    </row>
    <row r="44" spans="1:6">
      <c r="A44" s="108"/>
      <c r="B44" s="125" t="s">
        <v>562</v>
      </c>
      <c r="C44" s="125" t="s">
        <v>285</v>
      </c>
      <c r="D44" s="110"/>
      <c r="E44" s="151"/>
      <c r="F44" s="143"/>
    </row>
    <row r="45" spans="1:6">
      <c r="A45" s="108"/>
      <c r="B45" s="148" t="s">
        <v>346</v>
      </c>
      <c r="C45" s="148" t="s">
        <v>286</v>
      </c>
      <c r="D45" s="149"/>
      <c r="E45" s="152"/>
      <c r="F45" s="153"/>
    </row>
    <row r="46" spans="1:6">
      <c r="A46" s="108"/>
      <c r="B46" s="148" t="s">
        <v>347</v>
      </c>
      <c r="C46" s="148" t="s">
        <v>287</v>
      </c>
      <c r="D46" s="149"/>
      <c r="E46" s="152"/>
      <c r="F46" s="153"/>
    </row>
    <row r="47" spans="1:6">
      <c r="A47" s="108"/>
      <c r="B47" s="148" t="s">
        <v>348</v>
      </c>
      <c r="C47" s="148" t="s">
        <v>288</v>
      </c>
      <c r="D47" s="149"/>
      <c r="E47" s="152"/>
      <c r="F47" s="153"/>
    </row>
    <row r="48" spans="1:6">
      <c r="B48" s="126" t="s">
        <v>349</v>
      </c>
      <c r="C48" s="126"/>
      <c r="E48" s="126"/>
    </row>
    <row r="49" spans="1:6">
      <c r="A49" s="108"/>
      <c r="B49" s="136" t="s">
        <v>92</v>
      </c>
      <c r="C49" s="136" t="s">
        <v>93</v>
      </c>
      <c r="D49" s="136" t="s">
        <v>94</v>
      </c>
      <c r="E49" s="137" t="s">
        <v>350</v>
      </c>
      <c r="F49" s="140" t="s">
        <v>305</v>
      </c>
    </row>
    <row r="50" spans="1:6">
      <c r="B50" s="109" t="s">
        <v>351</v>
      </c>
      <c r="C50" s="109" t="s">
        <v>352</v>
      </c>
      <c r="D50" s="110"/>
      <c r="E50" s="151"/>
      <c r="F50" s="143"/>
    </row>
    <row r="51" spans="1:6">
      <c r="B51" s="109" t="s">
        <v>353</v>
      </c>
      <c r="C51" s="109" t="s">
        <v>354</v>
      </c>
      <c r="D51" s="110"/>
      <c r="E51" s="151"/>
      <c r="F51" s="143"/>
    </row>
    <row r="52" spans="1:6">
      <c r="B52" s="109" t="s">
        <v>355</v>
      </c>
      <c r="C52" s="109" t="s">
        <v>356</v>
      </c>
      <c r="D52" s="110"/>
      <c r="E52" s="151"/>
      <c r="F52" s="143"/>
    </row>
    <row r="53" spans="1:6">
      <c r="B53" s="109" t="s">
        <v>357</v>
      </c>
      <c r="C53" s="109" t="s">
        <v>358</v>
      </c>
      <c r="D53" s="110"/>
      <c r="E53" s="151"/>
      <c r="F53" s="143"/>
    </row>
    <row r="54" spans="1:6">
      <c r="B54" s="109" t="s">
        <v>585</v>
      </c>
      <c r="C54" s="109" t="s">
        <v>359</v>
      </c>
      <c r="D54" s="110"/>
      <c r="E54" s="151"/>
      <c r="F54" s="143"/>
    </row>
    <row r="55" spans="1:6">
      <c r="B55" s="109" t="s">
        <v>569</v>
      </c>
      <c r="C55" s="109" t="s">
        <v>570</v>
      </c>
      <c r="D55" s="110"/>
      <c r="E55" s="151"/>
      <c r="F55" s="143"/>
    </row>
    <row r="56" spans="1:6">
      <c r="B56" s="109" t="s">
        <v>360</v>
      </c>
      <c r="C56" s="109" t="s">
        <v>257</v>
      </c>
      <c r="D56" s="110"/>
      <c r="E56" s="151"/>
      <c r="F56" s="143"/>
    </row>
    <row r="57" spans="1:6">
      <c r="B57" s="109" t="s">
        <v>361</v>
      </c>
      <c r="C57" s="109" t="s">
        <v>362</v>
      </c>
      <c r="D57" s="110"/>
      <c r="E57" s="151"/>
      <c r="F57" s="143"/>
    </row>
    <row r="58" spans="1:6">
      <c r="B58" s="109" t="s">
        <v>363</v>
      </c>
      <c r="C58" s="109" t="s">
        <v>364</v>
      </c>
      <c r="D58" s="110"/>
      <c r="E58" s="151"/>
      <c r="F58" s="143"/>
    </row>
    <row r="59" spans="1:6">
      <c r="B59" s="109" t="s">
        <v>365</v>
      </c>
      <c r="C59" s="109" t="s">
        <v>293</v>
      </c>
      <c r="D59" s="110"/>
      <c r="E59" s="151"/>
      <c r="F59" s="143"/>
    </row>
    <row r="60" spans="1:6" ht="13.5" customHeight="1"/>
    <row r="62" spans="1:6">
      <c r="A62" s="111" t="s">
        <v>586</v>
      </c>
      <c r="C62" s="112"/>
      <c r="E62" s="112"/>
    </row>
    <row r="63" spans="1:6">
      <c r="B63" t="s">
        <v>251</v>
      </c>
    </row>
    <row r="64" spans="1:6">
      <c r="B64" s="136" t="s">
        <v>92</v>
      </c>
      <c r="C64" s="136" t="s">
        <v>93</v>
      </c>
      <c r="D64" s="136" t="s">
        <v>94</v>
      </c>
      <c r="E64" s="140" t="s">
        <v>366</v>
      </c>
    </row>
    <row r="65" spans="1:5">
      <c r="A65" s="108"/>
      <c r="B65" s="109" t="s">
        <v>367</v>
      </c>
      <c r="C65" s="125" t="s">
        <v>368</v>
      </c>
      <c r="D65" s="110"/>
      <c r="E65" s="143"/>
    </row>
    <row r="66" spans="1:5">
      <c r="A66" s="108"/>
      <c r="B66" s="109" t="s">
        <v>369</v>
      </c>
      <c r="C66" s="125" t="s">
        <v>370</v>
      </c>
      <c r="D66" s="110"/>
      <c r="E66" s="143"/>
    </row>
    <row r="67" spans="1:5">
      <c r="A67" s="108"/>
      <c r="B67" s="109" t="s">
        <v>371</v>
      </c>
      <c r="C67" s="125" t="s">
        <v>372</v>
      </c>
      <c r="D67" s="110"/>
      <c r="E67" s="143"/>
    </row>
    <row r="68" spans="1:5">
      <c r="A68" s="108"/>
      <c r="B68" s="109" t="s">
        <v>584</v>
      </c>
      <c r="C68" s="125" t="s">
        <v>311</v>
      </c>
      <c r="D68" s="110"/>
      <c r="E68" s="143"/>
    </row>
    <row r="69" spans="1:5">
      <c r="A69" s="108"/>
      <c r="B69" s="109" t="s">
        <v>373</v>
      </c>
      <c r="C69" s="125" t="s">
        <v>374</v>
      </c>
      <c r="D69" s="110"/>
      <c r="E69" s="143"/>
    </row>
    <row r="70" spans="1:5">
      <c r="A70" s="108"/>
      <c r="B70" s="109" t="s">
        <v>560</v>
      </c>
      <c r="C70" s="125" t="s">
        <v>313</v>
      </c>
      <c r="D70" s="110"/>
      <c r="E70" s="143"/>
    </row>
    <row r="71" spans="1:5">
      <c r="A71" s="108"/>
      <c r="B71" s="109" t="s">
        <v>342</v>
      </c>
      <c r="C71" s="125" t="s">
        <v>375</v>
      </c>
      <c r="D71" s="110"/>
      <c r="E71" s="143"/>
    </row>
    <row r="72" spans="1:5">
      <c r="A72" s="108"/>
      <c r="B72" s="109" t="s">
        <v>376</v>
      </c>
      <c r="C72" s="125" t="s">
        <v>377</v>
      </c>
      <c r="D72" s="110"/>
      <c r="E72" s="143"/>
    </row>
    <row r="73" spans="1:5">
      <c r="A73" s="108"/>
      <c r="B73" s="109" t="s">
        <v>378</v>
      </c>
      <c r="C73" s="125" t="s">
        <v>344</v>
      </c>
      <c r="D73" s="110"/>
      <c r="E73" s="143"/>
    </row>
    <row r="74" spans="1:5">
      <c r="A74" s="108"/>
      <c r="B74" s="148" t="s">
        <v>319</v>
      </c>
      <c r="C74" s="148" t="s">
        <v>379</v>
      </c>
      <c r="D74" s="149"/>
      <c r="E74" s="148"/>
    </row>
    <row r="75" spans="1:5">
      <c r="A75" s="108"/>
      <c r="B75" s="125" t="s">
        <v>561</v>
      </c>
      <c r="C75" s="125" t="s">
        <v>285</v>
      </c>
      <c r="D75" s="110"/>
      <c r="E75" s="143"/>
    </row>
    <row r="76" spans="1:5">
      <c r="A76" s="108"/>
      <c r="B76" s="148" t="s">
        <v>380</v>
      </c>
      <c r="C76" s="148" t="s">
        <v>286</v>
      </c>
      <c r="D76" s="149"/>
      <c r="E76" s="148"/>
    </row>
    <row r="77" spans="1:5">
      <c r="A77" s="108"/>
      <c r="B77" s="148" t="s">
        <v>381</v>
      </c>
      <c r="C77" s="148" t="s">
        <v>287</v>
      </c>
      <c r="D77" s="149"/>
      <c r="E77" s="148"/>
    </row>
    <row r="78" spans="1:5">
      <c r="A78" s="108"/>
      <c r="B78" s="148" t="s">
        <v>382</v>
      </c>
      <c r="C78" s="148" t="s">
        <v>288</v>
      </c>
      <c r="D78" s="149"/>
      <c r="E78" s="148"/>
    </row>
    <row r="79" spans="1:5">
      <c r="B79" t="s">
        <v>252</v>
      </c>
    </row>
    <row r="80" spans="1:5">
      <c r="B80" s="136" t="s">
        <v>92</v>
      </c>
      <c r="C80" s="136" t="s">
        <v>93</v>
      </c>
      <c r="D80" s="136" t="s">
        <v>94</v>
      </c>
      <c r="E80" s="140" t="s">
        <v>383</v>
      </c>
    </row>
    <row r="81" spans="1:5">
      <c r="B81" s="109" t="s">
        <v>587</v>
      </c>
      <c r="C81" s="109" t="s">
        <v>384</v>
      </c>
      <c r="D81" s="110"/>
      <c r="E81" s="143"/>
    </row>
    <row r="82" spans="1:5">
      <c r="B82" s="109" t="s">
        <v>563</v>
      </c>
      <c r="C82" s="109" t="s">
        <v>385</v>
      </c>
      <c r="D82" s="110"/>
      <c r="E82" s="143"/>
    </row>
    <row r="83" spans="1:5">
      <c r="B83" s="109" t="s">
        <v>386</v>
      </c>
      <c r="C83" s="109" t="s">
        <v>387</v>
      </c>
      <c r="D83" s="110"/>
      <c r="E83" s="143"/>
    </row>
    <row r="84" spans="1:5">
      <c r="B84" s="109" t="s">
        <v>388</v>
      </c>
      <c r="C84" s="109" t="s">
        <v>389</v>
      </c>
      <c r="D84" s="110"/>
      <c r="E84" s="143"/>
    </row>
    <row r="85" spans="1:5">
      <c r="B85" s="109" t="s">
        <v>390</v>
      </c>
      <c r="C85" s="109" t="s">
        <v>391</v>
      </c>
      <c r="D85" s="110"/>
      <c r="E85" s="143"/>
    </row>
    <row r="86" spans="1:5">
      <c r="B86" s="109" t="s">
        <v>392</v>
      </c>
      <c r="C86" s="109" t="s">
        <v>393</v>
      </c>
      <c r="D86" s="110"/>
      <c r="E86" s="143"/>
    </row>
    <row r="87" spans="1:5">
      <c r="B87" s="109" t="s">
        <v>394</v>
      </c>
      <c r="C87" s="109" t="s">
        <v>395</v>
      </c>
      <c r="D87" s="110"/>
      <c r="E87" s="143"/>
    </row>
    <row r="88" spans="1:5">
      <c r="B88" s="109" t="s">
        <v>396</v>
      </c>
      <c r="C88" s="109" t="s">
        <v>397</v>
      </c>
      <c r="D88" s="110"/>
      <c r="E88" s="143"/>
    </row>
    <row r="89" spans="1:5">
      <c r="B89" s="109" t="s">
        <v>398</v>
      </c>
      <c r="C89" s="109" t="s">
        <v>399</v>
      </c>
      <c r="D89" s="110"/>
      <c r="E89" s="143"/>
    </row>
    <row r="90" spans="1:5">
      <c r="B90" s="109" t="s">
        <v>400</v>
      </c>
      <c r="C90" s="109" t="s">
        <v>401</v>
      </c>
      <c r="D90" s="110"/>
      <c r="E90" s="143"/>
    </row>
    <row r="91" spans="1:5">
      <c r="B91" s="109" t="s">
        <v>402</v>
      </c>
      <c r="C91" s="109" t="s">
        <v>282</v>
      </c>
      <c r="D91" s="110"/>
      <c r="E91" s="143"/>
    </row>
    <row r="93" spans="1:5">
      <c r="A93" s="111" t="s">
        <v>588</v>
      </c>
      <c r="C93" s="112"/>
      <c r="E93" s="112"/>
    </row>
    <row r="94" spans="1:5">
      <c r="B94" t="s">
        <v>403</v>
      </c>
    </row>
    <row r="95" spans="1:5">
      <c r="B95" s="136" t="s">
        <v>92</v>
      </c>
      <c r="C95" s="136" t="s">
        <v>93</v>
      </c>
      <c r="D95" s="136" t="s">
        <v>94</v>
      </c>
      <c r="E95" s="137" t="s">
        <v>278</v>
      </c>
    </row>
    <row r="96" spans="1:5">
      <c r="A96" s="108"/>
      <c r="B96" s="109" t="s">
        <v>367</v>
      </c>
      <c r="C96" s="125" t="s">
        <v>335</v>
      </c>
      <c r="D96" s="110"/>
      <c r="E96" s="143"/>
    </row>
    <row r="97" spans="1:5">
      <c r="A97" s="108"/>
      <c r="B97" s="109" t="s">
        <v>404</v>
      </c>
      <c r="C97" s="125" t="s">
        <v>279</v>
      </c>
      <c r="D97" s="110"/>
      <c r="E97" s="143"/>
    </row>
    <row r="98" spans="1:5">
      <c r="A98" s="108"/>
      <c r="B98" s="109" t="s">
        <v>371</v>
      </c>
      <c r="C98" s="125" t="s">
        <v>372</v>
      </c>
      <c r="D98" s="110"/>
      <c r="E98" s="143"/>
    </row>
    <row r="99" spans="1:5">
      <c r="A99" s="108"/>
      <c r="B99" s="109" t="s">
        <v>584</v>
      </c>
      <c r="C99" s="125" t="s">
        <v>311</v>
      </c>
      <c r="D99" s="110"/>
      <c r="E99" s="143"/>
    </row>
    <row r="100" spans="1:5">
      <c r="A100" s="108"/>
      <c r="B100" s="109" t="s">
        <v>373</v>
      </c>
      <c r="C100" s="125" t="s">
        <v>405</v>
      </c>
      <c r="D100" s="110"/>
      <c r="E100" s="143"/>
    </row>
    <row r="101" spans="1:5">
      <c r="A101" s="108"/>
      <c r="B101" s="109" t="s">
        <v>560</v>
      </c>
      <c r="C101" s="125" t="s">
        <v>406</v>
      </c>
      <c r="D101" s="110"/>
      <c r="E101" s="143"/>
    </row>
    <row r="102" spans="1:5">
      <c r="A102" s="108"/>
      <c r="B102" s="109" t="s">
        <v>407</v>
      </c>
      <c r="C102" s="125" t="s">
        <v>408</v>
      </c>
      <c r="D102" s="110"/>
      <c r="E102" s="143"/>
    </row>
    <row r="103" spans="1:5">
      <c r="A103" s="108"/>
      <c r="B103" s="109" t="s">
        <v>376</v>
      </c>
      <c r="C103" s="125" t="s">
        <v>316</v>
      </c>
      <c r="D103" s="110"/>
      <c r="E103" s="143"/>
    </row>
    <row r="104" spans="1:5">
      <c r="A104" s="108"/>
      <c r="B104" s="109" t="s">
        <v>409</v>
      </c>
      <c r="C104" s="125" t="s">
        <v>318</v>
      </c>
      <c r="D104" s="110"/>
      <c r="E104" s="143"/>
    </row>
    <row r="105" spans="1:5">
      <c r="A105" s="108"/>
      <c r="B105" s="148" t="s">
        <v>410</v>
      </c>
      <c r="C105" s="148" t="s">
        <v>411</v>
      </c>
      <c r="D105" s="149"/>
      <c r="E105" s="148"/>
    </row>
    <row r="106" spans="1:5">
      <c r="A106" s="108"/>
      <c r="B106" s="125" t="s">
        <v>561</v>
      </c>
      <c r="C106" s="125" t="s">
        <v>285</v>
      </c>
      <c r="D106" s="110"/>
      <c r="E106" s="143"/>
    </row>
    <row r="107" spans="1:5">
      <c r="A107" s="108"/>
      <c r="B107" s="148" t="s">
        <v>412</v>
      </c>
      <c r="C107" s="148" t="s">
        <v>286</v>
      </c>
      <c r="D107" s="149"/>
      <c r="E107" s="148"/>
    </row>
    <row r="108" spans="1:5">
      <c r="A108" s="108"/>
      <c r="B108" s="148" t="s">
        <v>413</v>
      </c>
      <c r="C108" s="148" t="s">
        <v>287</v>
      </c>
      <c r="D108" s="149"/>
      <c r="E108" s="148"/>
    </row>
    <row r="109" spans="1:5">
      <c r="A109" s="108"/>
      <c r="B109" s="148" t="s">
        <v>414</v>
      </c>
      <c r="C109" s="148" t="s">
        <v>288</v>
      </c>
      <c r="D109" s="149"/>
      <c r="E109" s="148"/>
    </row>
    <row r="110" spans="1:5">
      <c r="B110" t="s">
        <v>415</v>
      </c>
    </row>
    <row r="111" spans="1:5">
      <c r="B111" s="136" t="s">
        <v>92</v>
      </c>
      <c r="C111" s="136" t="s">
        <v>93</v>
      </c>
      <c r="D111" s="136" t="s">
        <v>94</v>
      </c>
      <c r="E111" s="137" t="s">
        <v>383</v>
      </c>
    </row>
    <row r="112" spans="1:5">
      <c r="B112" s="109" t="s">
        <v>589</v>
      </c>
      <c r="C112" s="109" t="s">
        <v>416</v>
      </c>
      <c r="D112" s="110" t="s">
        <v>417</v>
      </c>
      <c r="E112" s="143"/>
    </row>
    <row r="113" spans="1:5">
      <c r="B113" t="s">
        <v>418</v>
      </c>
    </row>
    <row r="114" spans="1:5">
      <c r="B114" s="136" t="s">
        <v>92</v>
      </c>
      <c r="C114" s="136" t="s">
        <v>93</v>
      </c>
      <c r="D114" s="136" t="s">
        <v>94</v>
      </c>
      <c r="E114" s="137" t="s">
        <v>419</v>
      </c>
    </row>
    <row r="115" spans="1:5">
      <c r="B115" s="109" t="s">
        <v>587</v>
      </c>
      <c r="C115" s="109" t="s">
        <v>359</v>
      </c>
      <c r="D115" s="110"/>
      <c r="E115" s="143"/>
    </row>
    <row r="116" spans="1:5">
      <c r="B116" s="109" t="s">
        <v>563</v>
      </c>
      <c r="C116" s="109" t="s">
        <v>420</v>
      </c>
      <c r="D116" s="110"/>
      <c r="E116" s="143"/>
    </row>
    <row r="117" spans="1:5">
      <c r="B117" s="109" t="s">
        <v>421</v>
      </c>
      <c r="C117" s="109" t="s">
        <v>422</v>
      </c>
      <c r="D117" s="110"/>
      <c r="E117" s="143"/>
    </row>
    <row r="118" spans="1:5">
      <c r="B118" s="109" t="s">
        <v>423</v>
      </c>
      <c r="C118" s="109" t="s">
        <v>424</v>
      </c>
      <c r="D118" s="110"/>
      <c r="E118" s="143"/>
    </row>
    <row r="119" spans="1:5">
      <c r="B119" s="109" t="s">
        <v>390</v>
      </c>
      <c r="C119" s="109" t="s">
        <v>425</v>
      </c>
      <c r="D119" s="110"/>
      <c r="E119" s="143"/>
    </row>
    <row r="120" spans="1:5">
      <c r="B120" s="109" t="s">
        <v>392</v>
      </c>
      <c r="C120" s="109" t="s">
        <v>393</v>
      </c>
      <c r="D120" s="110"/>
      <c r="E120" s="143"/>
    </row>
    <row r="121" spans="1:5">
      <c r="B121" s="109" t="s">
        <v>426</v>
      </c>
      <c r="C121" s="109" t="s">
        <v>427</v>
      </c>
      <c r="D121" s="110"/>
      <c r="E121" s="143"/>
    </row>
    <row r="122" spans="1:5">
      <c r="B122" s="109" t="s">
        <v>428</v>
      </c>
      <c r="C122" s="109" t="s">
        <v>397</v>
      </c>
      <c r="D122" s="110"/>
      <c r="E122" s="143"/>
    </row>
    <row r="123" spans="1:5">
      <c r="B123" s="109" t="s">
        <v>429</v>
      </c>
      <c r="C123" s="109" t="s">
        <v>430</v>
      </c>
      <c r="D123" s="110"/>
      <c r="E123" s="143"/>
    </row>
    <row r="124" spans="1:5">
      <c r="B124" s="109" t="s">
        <v>431</v>
      </c>
      <c r="C124" s="109" t="s">
        <v>432</v>
      </c>
      <c r="D124" s="110"/>
      <c r="E124" s="143"/>
    </row>
    <row r="125" spans="1:5">
      <c r="B125" s="109" t="s">
        <v>433</v>
      </c>
      <c r="C125" s="109" t="s">
        <v>434</v>
      </c>
      <c r="D125" s="110"/>
      <c r="E125" s="143"/>
    </row>
    <row r="126" spans="1:5">
      <c r="B126" s="109" t="s">
        <v>435</v>
      </c>
      <c r="C126" s="109" t="s">
        <v>436</v>
      </c>
      <c r="D126" s="110"/>
      <c r="E126" s="143"/>
    </row>
    <row r="128" spans="1:5" ht="405">
      <c r="A128" s="112" t="s">
        <v>590</v>
      </c>
      <c r="C128" s="112"/>
      <c r="E128" s="112"/>
    </row>
    <row r="129" spans="1:5">
      <c r="B129" t="s">
        <v>333</v>
      </c>
    </row>
    <row r="130" spans="1:5">
      <c r="B130" s="136" t="s">
        <v>92</v>
      </c>
      <c r="C130" s="136" t="s">
        <v>93</v>
      </c>
      <c r="D130" s="136" t="s">
        <v>94</v>
      </c>
      <c r="E130" s="137" t="s">
        <v>383</v>
      </c>
    </row>
    <row r="131" spans="1:5">
      <c r="A131" s="108"/>
      <c r="B131" s="109" t="s">
        <v>307</v>
      </c>
      <c r="C131" s="125" t="s">
        <v>368</v>
      </c>
      <c r="D131" s="110"/>
      <c r="E131" s="143"/>
    </row>
    <row r="132" spans="1:5">
      <c r="A132" s="108"/>
      <c r="B132" s="109" t="s">
        <v>404</v>
      </c>
      <c r="C132" s="125" t="s">
        <v>336</v>
      </c>
      <c r="D132" s="110"/>
      <c r="E132" s="143"/>
    </row>
    <row r="133" spans="1:5">
      <c r="A133" s="108"/>
      <c r="B133" s="109" t="s">
        <v>371</v>
      </c>
      <c r="C133" s="125" t="s">
        <v>437</v>
      </c>
      <c r="D133" s="110"/>
      <c r="E133" s="143"/>
    </row>
    <row r="134" spans="1:5">
      <c r="A134" s="108"/>
      <c r="B134" s="109" t="s">
        <v>584</v>
      </c>
      <c r="C134" s="125" t="s">
        <v>438</v>
      </c>
      <c r="D134" s="110"/>
      <c r="E134" s="143"/>
    </row>
    <row r="135" spans="1:5">
      <c r="A135" s="108"/>
      <c r="B135" s="109" t="s">
        <v>439</v>
      </c>
      <c r="C135" s="125" t="s">
        <v>340</v>
      </c>
      <c r="D135" s="110"/>
      <c r="E135" s="143"/>
    </row>
    <row r="136" spans="1:5">
      <c r="A136" s="108"/>
      <c r="B136" s="109" t="s">
        <v>560</v>
      </c>
      <c r="C136" s="125" t="s">
        <v>440</v>
      </c>
      <c r="D136" s="110"/>
      <c r="E136" s="143"/>
    </row>
    <row r="137" spans="1:5">
      <c r="A137" s="108"/>
      <c r="B137" s="109" t="s">
        <v>441</v>
      </c>
      <c r="C137" s="125" t="s">
        <v>408</v>
      </c>
      <c r="D137" s="110"/>
      <c r="E137" s="143"/>
    </row>
    <row r="138" spans="1:5">
      <c r="A138" s="108"/>
      <c r="B138" s="109" t="s">
        <v>442</v>
      </c>
      <c r="C138" s="125" t="s">
        <v>316</v>
      </c>
      <c r="D138" s="110"/>
      <c r="E138" s="143"/>
    </row>
    <row r="139" spans="1:5">
      <c r="A139" s="108"/>
      <c r="B139" s="109" t="s">
        <v>443</v>
      </c>
      <c r="C139" s="125" t="s">
        <v>444</v>
      </c>
      <c r="D139" s="110"/>
      <c r="E139" s="143"/>
    </row>
    <row r="140" spans="1:5">
      <c r="A140" s="108"/>
      <c r="B140" s="148" t="s">
        <v>445</v>
      </c>
      <c r="C140" s="148" t="s">
        <v>446</v>
      </c>
      <c r="D140" s="149"/>
      <c r="E140" s="148"/>
    </row>
    <row r="141" spans="1:5">
      <c r="A141" s="108"/>
      <c r="B141" s="125" t="s">
        <v>561</v>
      </c>
      <c r="C141" s="125" t="s">
        <v>285</v>
      </c>
      <c r="D141" s="110"/>
      <c r="E141" s="143"/>
    </row>
    <row r="142" spans="1:5">
      <c r="A142" s="108"/>
      <c r="B142" s="148" t="s">
        <v>412</v>
      </c>
      <c r="C142" s="148" t="s">
        <v>286</v>
      </c>
      <c r="D142" s="149"/>
      <c r="E142" s="148"/>
    </row>
    <row r="143" spans="1:5">
      <c r="A143" s="108"/>
      <c r="B143" s="148" t="s">
        <v>321</v>
      </c>
      <c r="C143" s="148" t="s">
        <v>287</v>
      </c>
      <c r="D143" s="149"/>
      <c r="E143" s="148"/>
    </row>
    <row r="144" spans="1:5">
      <c r="A144" s="108"/>
      <c r="B144" s="148" t="s">
        <v>447</v>
      </c>
      <c r="C144" s="148" t="s">
        <v>288</v>
      </c>
      <c r="D144" s="149"/>
      <c r="E144" s="148"/>
    </row>
    <row r="145" spans="1:6">
      <c r="B145" t="s">
        <v>448</v>
      </c>
    </row>
    <row r="146" spans="1:6">
      <c r="B146" s="136" t="s">
        <v>92</v>
      </c>
      <c r="C146" s="136" t="s">
        <v>93</v>
      </c>
      <c r="D146" s="136" t="s">
        <v>94</v>
      </c>
      <c r="E146" s="137" t="s">
        <v>383</v>
      </c>
    </row>
    <row r="147" spans="1:6" ht="27">
      <c r="B147" s="109" t="s">
        <v>587</v>
      </c>
      <c r="C147" s="109" t="s">
        <v>449</v>
      </c>
      <c r="D147" s="155" t="s">
        <v>566</v>
      </c>
      <c r="E147" s="143"/>
    </row>
    <row r="149" spans="1:6">
      <c r="A149" s="111" t="s">
        <v>591</v>
      </c>
      <c r="C149" s="112"/>
      <c r="E149" s="112"/>
    </row>
    <row r="150" spans="1:6">
      <c r="B150" t="s">
        <v>251</v>
      </c>
    </row>
    <row r="151" spans="1:6">
      <c r="B151" s="107" t="s">
        <v>92</v>
      </c>
      <c r="C151" s="107" t="s">
        <v>93</v>
      </c>
      <c r="D151" s="107" t="s">
        <v>94</v>
      </c>
      <c r="E151" s="137" t="s">
        <v>334</v>
      </c>
      <c r="F151" s="137" t="s">
        <v>306</v>
      </c>
    </row>
    <row r="152" spans="1:6">
      <c r="A152" s="108"/>
      <c r="B152" s="109" t="s">
        <v>294</v>
      </c>
      <c r="C152" s="125" t="s">
        <v>335</v>
      </c>
      <c r="D152" s="110"/>
      <c r="E152" s="143"/>
      <c r="F152" s="143"/>
    </row>
    <row r="153" spans="1:6">
      <c r="A153" s="108"/>
      <c r="B153" s="109" t="s">
        <v>369</v>
      </c>
      <c r="C153" s="125" t="s">
        <v>310</v>
      </c>
      <c r="D153" s="110"/>
      <c r="E153" s="143"/>
      <c r="F153" s="143"/>
    </row>
    <row r="154" spans="1:6">
      <c r="A154" s="108"/>
      <c r="B154" s="109" t="s">
        <v>371</v>
      </c>
      <c r="C154" s="125" t="s">
        <v>372</v>
      </c>
      <c r="D154" s="110"/>
      <c r="E154" s="143"/>
      <c r="F154" s="143"/>
    </row>
    <row r="155" spans="1:6">
      <c r="A155" s="108"/>
      <c r="B155" s="109" t="s">
        <v>584</v>
      </c>
      <c r="C155" s="125" t="s">
        <v>450</v>
      </c>
      <c r="D155" s="110"/>
      <c r="E155" s="143"/>
      <c r="F155" s="143"/>
    </row>
    <row r="156" spans="1:6">
      <c r="A156" s="108"/>
      <c r="B156" s="109" t="s">
        <v>439</v>
      </c>
      <c r="C156" s="125" t="s">
        <v>340</v>
      </c>
      <c r="D156" s="110"/>
      <c r="E156" s="143"/>
      <c r="F156" s="143"/>
    </row>
    <row r="157" spans="1:6">
      <c r="A157" s="108"/>
      <c r="B157" s="109" t="s">
        <v>560</v>
      </c>
      <c r="C157" s="125" t="s">
        <v>440</v>
      </c>
      <c r="D157" s="110"/>
      <c r="E157" s="143"/>
      <c r="F157" s="143"/>
    </row>
    <row r="158" spans="1:6">
      <c r="A158" s="108"/>
      <c r="B158" s="109" t="s">
        <v>451</v>
      </c>
      <c r="C158" s="125" t="s">
        <v>408</v>
      </c>
      <c r="D158" s="110"/>
      <c r="E158" s="143"/>
      <c r="F158" s="143"/>
    </row>
    <row r="159" spans="1:6">
      <c r="A159" s="108"/>
      <c r="B159" s="109" t="s">
        <v>284</v>
      </c>
      <c r="C159" s="125" t="s">
        <v>452</v>
      </c>
      <c r="D159" s="110"/>
      <c r="E159" s="143"/>
      <c r="F159" s="143"/>
    </row>
    <row r="160" spans="1:6">
      <c r="A160" s="108"/>
      <c r="B160" s="109" t="s">
        <v>409</v>
      </c>
      <c r="C160" s="125" t="s">
        <v>295</v>
      </c>
      <c r="D160" s="110"/>
      <c r="E160" s="143"/>
      <c r="F160" s="143"/>
    </row>
    <row r="161" spans="1:6">
      <c r="A161" s="108"/>
      <c r="B161" s="148" t="s">
        <v>445</v>
      </c>
      <c r="C161" s="148" t="s">
        <v>446</v>
      </c>
      <c r="D161" s="149"/>
      <c r="E161" s="148"/>
      <c r="F161" s="148"/>
    </row>
    <row r="162" spans="1:6">
      <c r="A162" s="108"/>
      <c r="B162" s="125" t="s">
        <v>561</v>
      </c>
      <c r="C162" s="125" t="s">
        <v>285</v>
      </c>
      <c r="D162" s="110"/>
      <c r="E162" s="143"/>
      <c r="F162" s="143"/>
    </row>
    <row r="163" spans="1:6">
      <c r="A163" s="108"/>
      <c r="B163" s="148" t="s">
        <v>453</v>
      </c>
      <c r="C163" s="148" t="s">
        <v>286</v>
      </c>
      <c r="D163" s="149"/>
      <c r="E163" s="148"/>
      <c r="F163" s="148"/>
    </row>
    <row r="164" spans="1:6">
      <c r="A164" s="108"/>
      <c r="B164" s="148" t="s">
        <v>413</v>
      </c>
      <c r="C164" s="148" t="s">
        <v>287</v>
      </c>
      <c r="D164" s="149"/>
      <c r="E164" s="148"/>
      <c r="F164" s="148"/>
    </row>
    <row r="165" spans="1:6">
      <c r="A165" s="108"/>
      <c r="B165" s="148" t="s">
        <v>447</v>
      </c>
      <c r="C165" s="148" t="s">
        <v>288</v>
      </c>
      <c r="D165" s="149"/>
      <c r="E165" s="148"/>
      <c r="F165" s="148"/>
    </row>
    <row r="166" spans="1:6">
      <c r="B166" t="s">
        <v>454</v>
      </c>
    </row>
    <row r="167" spans="1:6">
      <c r="B167" s="136" t="s">
        <v>92</v>
      </c>
      <c r="C167" s="136" t="s">
        <v>93</v>
      </c>
      <c r="D167" s="136" t="s">
        <v>94</v>
      </c>
      <c r="E167" s="137" t="s">
        <v>334</v>
      </c>
      <c r="F167" s="137" t="s">
        <v>306</v>
      </c>
    </row>
    <row r="168" spans="1:6">
      <c r="B168" s="109" t="s">
        <v>589</v>
      </c>
      <c r="C168" s="109" t="s">
        <v>455</v>
      </c>
      <c r="D168" s="110" t="s">
        <v>456</v>
      </c>
      <c r="E168" s="143"/>
      <c r="F168" s="143"/>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16</v>
      </c>
      <c r="J2" s="7" t="s">
        <v>20</v>
      </c>
    </row>
    <row r="3" spans="1:17">
      <c r="A3" s="1" t="s">
        <v>2</v>
      </c>
      <c r="B3" s="9" t="s">
        <v>10</v>
      </c>
      <c r="G3" s="10">
        <f>K3</f>
        <v>5</v>
      </c>
      <c r="H3" s="11">
        <f>L3</f>
        <v>0</v>
      </c>
      <c r="I3" s="11">
        <f>M3</f>
        <v>0</v>
      </c>
      <c r="J3" s="11">
        <f>N3</f>
        <v>0</v>
      </c>
      <c r="K3" s="12">
        <f>SUM(K4:K19)</f>
        <v>5</v>
      </c>
      <c r="L3" s="12">
        <f>SUM(L4:L19)</f>
        <v>0</v>
      </c>
      <c r="M3" s="12">
        <f>SUM(M4:M19)</f>
        <v>0</v>
      </c>
      <c r="N3" s="12">
        <f>SUM(N4:N18)</f>
        <v>0</v>
      </c>
    </row>
    <row r="4" spans="1:17">
      <c r="A4" s="13" t="s">
        <v>3</v>
      </c>
      <c r="B4" s="1" t="s">
        <v>12</v>
      </c>
      <c r="C4" s="5" t="s">
        <v>21</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25" t="s">
        <v>4</v>
      </c>
      <c r="C6" s="221" t="s">
        <v>29</v>
      </c>
      <c r="D6" s="221" t="s">
        <v>55</v>
      </c>
      <c r="E6" s="57"/>
      <c r="F6" s="226" t="s">
        <v>6</v>
      </c>
      <c r="G6" s="227"/>
      <c r="H6" s="211" t="s">
        <v>11</v>
      </c>
      <c r="I6" s="211"/>
      <c r="J6" s="211"/>
      <c r="K6" s="210" t="s">
        <v>13</v>
      </c>
      <c r="L6" s="210"/>
      <c r="M6" s="210"/>
      <c r="N6" s="228"/>
      <c r="O6" s="228"/>
      <c r="P6" s="228"/>
    </row>
    <row r="7" spans="1:17">
      <c r="B7" s="213"/>
      <c r="C7" s="203"/>
      <c r="D7" s="203"/>
      <c r="E7" s="58"/>
      <c r="F7" s="217"/>
      <c r="G7" s="218"/>
      <c r="H7" s="45" t="s">
        <v>7</v>
      </c>
      <c r="I7" s="45" t="s">
        <v>8</v>
      </c>
      <c r="J7" s="45" t="s">
        <v>9</v>
      </c>
      <c r="K7" s="30"/>
      <c r="L7" s="32"/>
      <c r="M7" s="33"/>
      <c r="N7" s="44"/>
      <c r="O7" s="44"/>
      <c r="P7" s="44"/>
      <c r="Q7" s="3" t="s">
        <v>22</v>
      </c>
    </row>
    <row r="8" spans="1:17">
      <c r="B8" s="38" t="s">
        <v>14</v>
      </c>
      <c r="C8" s="29" t="s">
        <v>30</v>
      </c>
      <c r="D8" s="28" t="s">
        <v>32</v>
      </c>
      <c r="E8" s="39"/>
      <c r="F8" s="204" t="s">
        <v>27</v>
      </c>
      <c r="G8" s="205"/>
      <c r="H8" s="53"/>
      <c r="I8" s="54"/>
      <c r="J8" s="53"/>
      <c r="K8" s="39"/>
      <c r="L8" s="34"/>
      <c r="M8" s="35"/>
      <c r="N8" s="44"/>
      <c r="O8" s="44"/>
      <c r="P8" s="44"/>
      <c r="Q8" s="3" t="s">
        <v>23</v>
      </c>
    </row>
    <row r="9" spans="1:17">
      <c r="B9" s="16"/>
      <c r="C9" s="40"/>
      <c r="D9" s="29" t="s">
        <v>32</v>
      </c>
      <c r="E9" s="49"/>
      <c r="F9" s="229" t="s">
        <v>28</v>
      </c>
      <c r="G9" s="230"/>
      <c r="H9" s="47"/>
      <c r="I9" s="48"/>
      <c r="J9" s="47"/>
      <c r="K9" s="49"/>
      <c r="L9" s="55"/>
      <c r="M9" s="56"/>
      <c r="N9" s="44"/>
      <c r="O9" s="44"/>
      <c r="P9" s="44"/>
      <c r="Q9" s="3" t="s">
        <v>24</v>
      </c>
    </row>
    <row r="10" spans="1:17" s="15" customFormat="1">
      <c r="B10" s="38" t="s">
        <v>15</v>
      </c>
      <c r="C10" s="46" t="s">
        <v>31</v>
      </c>
      <c r="D10" s="18" t="s">
        <v>34</v>
      </c>
      <c r="E10" s="59"/>
      <c r="F10" s="204" t="s">
        <v>35</v>
      </c>
      <c r="G10" s="222"/>
      <c r="H10" s="53"/>
      <c r="I10" s="54"/>
      <c r="J10" s="53"/>
      <c r="K10" s="31"/>
      <c r="L10" s="36"/>
      <c r="M10" s="37"/>
      <c r="N10" s="1"/>
      <c r="O10" s="1"/>
      <c r="P10" s="1"/>
      <c r="Q10" s="3" t="s">
        <v>25</v>
      </c>
    </row>
    <row r="11" spans="1:17" s="15" customFormat="1">
      <c r="B11" s="16"/>
      <c r="C11" s="17"/>
      <c r="D11" s="18" t="s">
        <v>36</v>
      </c>
      <c r="E11" s="59"/>
      <c r="F11" s="204" t="s">
        <v>37</v>
      </c>
      <c r="G11" s="222"/>
      <c r="H11" s="19"/>
      <c r="I11" s="20"/>
      <c r="J11" s="19"/>
      <c r="K11" s="31"/>
      <c r="L11" s="36"/>
      <c r="M11" s="37"/>
      <c r="N11" s="1"/>
      <c r="O11" s="1"/>
      <c r="P11" s="1"/>
      <c r="Q11" s="3" t="s">
        <v>26</v>
      </c>
    </row>
    <row r="12" spans="1:17" s="15" customFormat="1" ht="27" customHeight="1">
      <c r="B12" s="16"/>
      <c r="C12" s="17"/>
      <c r="D12" s="18" t="s">
        <v>38</v>
      </c>
      <c r="E12" s="59"/>
      <c r="F12" s="204" t="s">
        <v>39</v>
      </c>
      <c r="G12" s="205"/>
      <c r="H12" s="19"/>
      <c r="I12" s="20"/>
      <c r="J12" s="19"/>
      <c r="K12" s="31"/>
      <c r="L12" s="36"/>
      <c r="M12" s="37"/>
      <c r="N12" s="1"/>
      <c r="O12" s="1"/>
      <c r="P12" s="1"/>
      <c r="Q12" s="15" t="s">
        <v>60</v>
      </c>
    </row>
    <row r="13" spans="1:17" s="15" customFormat="1" ht="27" customHeight="1">
      <c r="B13" s="16"/>
      <c r="C13" s="17"/>
      <c r="D13" s="18" t="s">
        <v>40</v>
      </c>
      <c r="E13" s="59"/>
      <c r="F13" s="204" t="s">
        <v>43</v>
      </c>
      <c r="G13" s="205"/>
      <c r="H13" s="19"/>
      <c r="I13" s="20"/>
      <c r="J13" s="19"/>
      <c r="K13" s="39"/>
      <c r="L13" s="36"/>
      <c r="M13" s="37"/>
      <c r="N13" s="1"/>
      <c r="O13" s="1"/>
      <c r="P13" s="1"/>
    </row>
    <row r="14" spans="1:17" s="15" customFormat="1" ht="27" customHeight="1">
      <c r="B14" s="21"/>
      <c r="C14" s="22"/>
      <c r="D14" s="18" t="s">
        <v>41</v>
      </c>
      <c r="E14" s="59"/>
      <c r="F14" s="204" t="s">
        <v>42</v>
      </c>
      <c r="G14" s="205"/>
      <c r="H14" s="19"/>
      <c r="I14" s="20"/>
      <c r="J14" s="19"/>
      <c r="K14" s="31"/>
      <c r="L14" s="36"/>
      <c r="M14" s="37"/>
      <c r="N14" s="1"/>
      <c r="O14" s="1"/>
      <c r="P14" s="1"/>
    </row>
    <row r="15" spans="1:17" s="15" customFormat="1" ht="27" customHeight="1">
      <c r="B15" s="41" t="s">
        <v>17</v>
      </c>
      <c r="C15" s="18" t="s">
        <v>44</v>
      </c>
      <c r="D15" s="18" t="s">
        <v>45</v>
      </c>
      <c r="E15" s="59"/>
      <c r="F15" s="204" t="s">
        <v>46</v>
      </c>
      <c r="G15" s="222"/>
      <c r="H15" s="53"/>
      <c r="I15" s="54"/>
      <c r="J15" s="53"/>
      <c r="K15" s="31"/>
      <c r="L15" s="36"/>
      <c r="M15" s="37"/>
      <c r="N15" s="1"/>
      <c r="O15" s="1"/>
      <c r="P15" s="1"/>
    </row>
    <row r="16" spans="1:17" s="15" customFormat="1" ht="27" customHeight="1">
      <c r="B16" s="41" t="s">
        <v>18</v>
      </c>
      <c r="C16" s="18" t="s">
        <v>47</v>
      </c>
      <c r="D16" s="18" t="s">
        <v>48</v>
      </c>
      <c r="E16" s="59"/>
      <c r="F16" s="204" t="s">
        <v>49</v>
      </c>
      <c r="G16" s="222"/>
      <c r="H16" s="54"/>
      <c r="I16" s="54"/>
      <c r="J16" s="53"/>
      <c r="K16" s="31"/>
      <c r="L16" s="36"/>
      <c r="M16" s="37"/>
      <c r="N16" s="1"/>
      <c r="O16" s="1"/>
      <c r="P16" s="1"/>
    </row>
    <row r="17" spans="2:16" s="15" customFormat="1" ht="27" customHeight="1">
      <c r="B17" s="21" t="s">
        <v>19</v>
      </c>
      <c r="C17" s="18" t="s">
        <v>50</v>
      </c>
      <c r="D17" s="18" t="s">
        <v>51</v>
      </c>
      <c r="E17" s="60"/>
      <c r="F17" s="223" t="s">
        <v>52</v>
      </c>
      <c r="G17" s="224"/>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12</v>
      </c>
      <c r="C20" s="5" t="s">
        <v>53</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25" t="s">
        <v>4</v>
      </c>
      <c r="C22" s="221" t="s">
        <v>29</v>
      </c>
      <c r="D22" s="221" t="s">
        <v>33</v>
      </c>
      <c r="E22" s="221" t="s">
        <v>57</v>
      </c>
      <c r="F22" s="226" t="s">
        <v>6</v>
      </c>
      <c r="G22" s="227"/>
      <c r="H22" s="211" t="s">
        <v>11</v>
      </c>
      <c r="I22" s="211"/>
      <c r="J22" s="211"/>
      <c r="K22" s="210" t="s">
        <v>13</v>
      </c>
      <c r="L22" s="210"/>
      <c r="M22" s="210"/>
    </row>
    <row r="23" spans="2:16">
      <c r="B23" s="213"/>
      <c r="C23" s="203"/>
      <c r="D23" s="203"/>
      <c r="E23" s="203"/>
      <c r="F23" s="217"/>
      <c r="G23" s="218"/>
      <c r="H23" s="45" t="s">
        <v>7</v>
      </c>
      <c r="I23" s="45" t="s">
        <v>8</v>
      </c>
      <c r="J23" s="45" t="s">
        <v>9</v>
      </c>
      <c r="K23" s="30"/>
      <c r="L23" s="32"/>
      <c r="M23" s="33"/>
    </row>
    <row r="24" spans="2:16" ht="40.5">
      <c r="B24" s="38" t="s">
        <v>14</v>
      </c>
      <c r="C24" s="29" t="s">
        <v>54</v>
      </c>
      <c r="D24" s="42" t="s">
        <v>56</v>
      </c>
      <c r="E24" s="43" t="s">
        <v>58</v>
      </c>
      <c r="F24" s="204" t="s">
        <v>59</v>
      </c>
      <c r="G24" s="205"/>
      <c r="H24" s="53"/>
      <c r="I24" s="54"/>
      <c r="J24" s="53"/>
      <c r="K24" s="39"/>
      <c r="L24" s="34"/>
      <c r="M24" s="35"/>
    </row>
    <row r="25" spans="2:16">
      <c r="B25" s="41" t="s">
        <v>15</v>
      </c>
      <c r="C25" s="18"/>
      <c r="D25" s="18"/>
      <c r="E25" s="59"/>
      <c r="F25" s="204"/>
      <c r="G25" s="222"/>
      <c r="H25" s="53"/>
      <c r="I25" s="54"/>
      <c r="J25" s="53"/>
      <c r="K25" s="31"/>
      <c r="L25" s="36"/>
      <c r="M25" s="37"/>
    </row>
    <row r="26" spans="2:16">
      <c r="B26" s="41"/>
      <c r="C26" s="18"/>
      <c r="D26" s="18"/>
      <c r="E26" s="59"/>
      <c r="F26" s="204"/>
      <c r="G26" s="222"/>
      <c r="H26" s="19"/>
      <c r="I26" s="20"/>
      <c r="J26" s="19"/>
      <c r="K26" s="31"/>
      <c r="L26" s="36"/>
      <c r="M26" s="37"/>
    </row>
    <row r="27" spans="2:16">
      <c r="B27" s="41"/>
      <c r="C27" s="18"/>
      <c r="D27" s="18"/>
      <c r="E27" s="59"/>
      <c r="F27" s="204"/>
      <c r="G27" s="205"/>
      <c r="H27" s="19"/>
      <c r="I27" s="20"/>
      <c r="J27" s="19"/>
      <c r="K27" s="31"/>
      <c r="L27" s="36"/>
      <c r="M27" s="37"/>
    </row>
    <row r="28" spans="2:16">
      <c r="B28" s="41"/>
      <c r="C28" s="18"/>
      <c r="D28" s="18"/>
      <c r="E28" s="59"/>
      <c r="F28" s="204"/>
      <c r="G28" s="205"/>
      <c r="H28" s="19"/>
      <c r="I28" s="20"/>
      <c r="J28" s="19"/>
      <c r="K28" s="39"/>
      <c r="L28" s="36"/>
      <c r="M28" s="37"/>
    </row>
    <row r="29" spans="2:16">
      <c r="B29" s="41"/>
      <c r="C29" s="18"/>
      <c r="D29" s="18"/>
      <c r="E29" s="59"/>
      <c r="F29" s="204"/>
      <c r="G29" s="205"/>
      <c r="H29" s="19"/>
      <c r="I29" s="20"/>
      <c r="J29" s="19"/>
      <c r="K29" s="31"/>
      <c r="L29" s="36"/>
      <c r="M29" s="37"/>
    </row>
    <row r="30" spans="2:16">
      <c r="B30" s="41" t="s">
        <v>17</v>
      </c>
      <c r="C30" s="18"/>
      <c r="D30" s="18"/>
      <c r="E30" s="59"/>
      <c r="F30" s="204"/>
      <c r="G30" s="222"/>
      <c r="H30" s="53"/>
      <c r="I30" s="54"/>
      <c r="J30" s="53"/>
      <c r="K30" s="31"/>
      <c r="L30" s="36"/>
      <c r="M30" s="37"/>
    </row>
    <row r="31" spans="2:16">
      <c r="B31" s="41" t="s">
        <v>18</v>
      </c>
      <c r="C31" s="18"/>
      <c r="D31" s="18"/>
      <c r="E31" s="59"/>
      <c r="F31" s="204"/>
      <c r="G31" s="222"/>
      <c r="H31" s="54"/>
      <c r="I31" s="54"/>
      <c r="J31" s="53"/>
      <c r="K31" s="31"/>
      <c r="L31" s="36"/>
      <c r="M31" s="37"/>
    </row>
    <row r="32" spans="2:16">
      <c r="B32" s="21" t="s">
        <v>19</v>
      </c>
      <c r="C32" s="18"/>
      <c r="D32" s="18"/>
      <c r="E32" s="60"/>
      <c r="F32" s="223"/>
      <c r="G32" s="224"/>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2018-10-25T08:05:57Z</cp:lastPrinted>
  <dcterms:created xsi:type="dcterms:W3CDTF">2007-07-02T06:58:50Z</dcterms:created>
  <dcterms:modified xsi:type="dcterms:W3CDTF">2019-01-09T07:17:59Z</dcterms:modified>
</cp:coreProperties>
</file>