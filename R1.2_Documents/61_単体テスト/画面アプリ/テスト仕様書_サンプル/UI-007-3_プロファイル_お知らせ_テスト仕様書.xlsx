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9845" windowHeight="7845" tabRatio="920"/>
  </bookViews>
  <sheets>
    <sheet name="表紙" sheetId="15" r:id="rId1"/>
    <sheet name="変更履歴" sheetId="16" r:id="rId2"/>
    <sheet name="テスト項目" sheetId="19" r:id="rId3"/>
    <sheet name="画面項目マトリクス" sheetId="24" r:id="rId4"/>
    <sheet name="ヘッダ項目クリック_マトリクス" sheetId="27" r:id="rId5"/>
    <sheet name="リクエストパラメータチェックシート" sheetId="21" r:id="rId6"/>
    <sheet name="IT、ST（案）テスト項目" sheetId="14"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6"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6" hidden="1">[2]FEM92SIM!#REF!</definedName>
    <definedName name="_Fill" localSheetId="3" hidden="1">[2]FEM92SIM!#REF!</definedName>
    <definedName name="_Fill" hidden="1">[2]FEM92SIM!#REF!</definedName>
    <definedName name="_xlnm._FilterDatabase" localSheetId="6" hidden="1">'IT、ST（案）テスト項目'!#REF!</definedName>
    <definedName name="_xlnm._FilterDatabase" localSheetId="2" hidden="1">テスト項目!$B$7:$U$561</definedName>
    <definedName name="_xlnm._FilterDatabase" localSheetId="3" hidden="1">画面項目マトリクス!$C$5:$H$47</definedName>
    <definedName name="_Key1" localSheetId="6" hidden="1">#REF!</definedName>
    <definedName name="_Key1" localSheetId="2" hidden="1">#REF!</definedName>
    <definedName name="_Key1" localSheetId="3" hidden="1">#REF!</definedName>
    <definedName name="_Key1" hidden="1">#REF!</definedName>
    <definedName name="_Order1" hidden="1">0</definedName>
    <definedName name="_Order2" hidden="1">0</definedName>
    <definedName name="_Sort" localSheetId="6" hidden="1">#REF!</definedName>
    <definedName name="_Sort" localSheetId="2" hidden="1">#REF!</definedName>
    <definedName name="_Sort" localSheetId="3" hidden="1">#REF!</definedName>
    <definedName name="_Sort" hidden="1">#REF!</definedName>
    <definedName name="_Table1_In1" localSheetId="6" hidden="1">#REF!</definedName>
    <definedName name="_Table1_In1" localSheetId="2" hidden="1">#REF!</definedName>
    <definedName name="_Table1_In1" localSheetId="3" hidden="1">#REF!</definedName>
    <definedName name="_Table1_In1" hidden="1">#REF!</definedName>
    <definedName name="_Table1_Out" localSheetId="6" hidden="1">#REF!</definedName>
    <definedName name="_Table1_Out" localSheetId="2" hidden="1">#REF!</definedName>
    <definedName name="_Table1_Out" localSheetId="3" hidden="1">#REF!</definedName>
    <definedName name="_Table1_Out" hidden="1">#REF!</definedName>
    <definedName name="_ZA1" localSheetId="6">#REF!</definedName>
    <definedName name="_ZA1" localSheetId="3">#REF!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6">[3]ﾃﾞｰﾀﾍﾞｰｽ変更点!#REF!</definedName>
    <definedName name="A_ACT_DATA" localSheetId="3">[3]ﾃﾞｰﾀﾍﾞｰｽ変更点!#REF!</definedName>
    <definedName name="A_ACT_DATA">[3]ﾃﾞｰﾀﾍﾞｰｽ変更点!#REF!</definedName>
    <definedName name="A_ACTUAL_OPERATION" localSheetId="6">[4]TableDesign!#REF!</definedName>
    <definedName name="A_ACTUAL_OPERATION" localSheetId="3">[4]TableDesign!#REF!</definedName>
    <definedName name="A_ACTUAL_OPERATION">[4]TableDesign!#REF!</definedName>
    <definedName name="A_AREA" localSheetId="6">[3]ﾃﾞｰﾀﾍﾞｰｽ変更点!#REF!</definedName>
    <definedName name="A_AREA" localSheetId="3">[3]ﾃﾞｰﾀﾍﾞｰｽ変更点!#REF!</definedName>
    <definedName name="A_AREA">[3]ﾃﾞｰﾀﾍﾞｰｽ変更点!#REF!</definedName>
    <definedName name="A_AREA_DEFINE" localSheetId="6">[3]ﾃﾞｰﾀﾍﾞｰｽ変更点!#REF!</definedName>
    <definedName name="A_AREA_DEFINE" localSheetId="3">[3]ﾃﾞｰﾀﾍﾞｰｽ変更点!#REF!</definedName>
    <definedName name="A_AREA_DEFINE">[3]ﾃﾞｰﾀﾍﾞｰｽ変更点!#REF!</definedName>
    <definedName name="A_AREA_INIT" localSheetId="6">[3]ﾃﾞｰﾀﾍﾞｰｽ変更点!#REF!</definedName>
    <definedName name="A_AREA_INIT" localSheetId="3">[3]ﾃﾞｰﾀﾍﾞｰｽ変更点!#REF!</definedName>
    <definedName name="A_AREA_INIT">[3]ﾃﾞｰﾀﾍﾞｰｽ変更点!#REF!</definedName>
    <definedName name="A_AREA_MASTER" localSheetId="6">[3]ﾃﾞｰﾀﾍﾞｰｽ変更点!#REF!</definedName>
    <definedName name="A_AREA_MASTER" localSheetId="3">[3]ﾃﾞｰﾀﾍﾞｰｽ変更点!#REF!</definedName>
    <definedName name="A_AREA_MASTER">[3]ﾃﾞｰﾀﾍﾞｰｽ変更点!#REF!</definedName>
    <definedName name="A_ASK" localSheetId="6">[3]ﾃﾞｰﾀﾍﾞｰｽ変更点!#REF!</definedName>
    <definedName name="A_ASK" localSheetId="3">[3]ﾃﾞｰﾀﾍﾞｰｽ変更点!#REF!</definedName>
    <definedName name="A_ASK">[3]ﾃﾞｰﾀﾍﾞｰｽ変更点!#REF!</definedName>
    <definedName name="A_ASK_LOG" localSheetId="6">[5]テーブル設計!#REF!</definedName>
    <definedName name="A_ASK_LOG" localSheetId="3">[5]テーブル設計!#REF!</definedName>
    <definedName name="A_ASK_LOG">[5]テーブル設計!#REF!</definedName>
    <definedName name="A_ASK_SYSTEM" localSheetId="6">[3]ﾃﾞｰﾀﾍﾞｰｽ変更点!#REF!</definedName>
    <definedName name="A_ASK_SYSTEM" localSheetId="3">[3]ﾃﾞｰﾀﾍﾞｰｽ変更点!#REF!</definedName>
    <definedName name="A_ASK_SYSTEM">[3]ﾃﾞｰﾀﾍﾞｰｽ変更点!#REF!</definedName>
    <definedName name="A_ATC_ERROR" localSheetId="6">[5]テーブル設計!#REF!</definedName>
    <definedName name="A_ATC_ERROR" localSheetId="3">[5]テーブル設計!#REF!</definedName>
    <definedName name="A_ATC_ERROR">[5]テーブル設計!#REF!</definedName>
    <definedName name="A_AUTHORITY_GROUP" localSheetId="6">[3]ﾃﾞｰﾀﾍﾞｰｽ変更点!#REF!</definedName>
    <definedName name="A_AUTHORITY_GROUP" localSheetId="3">[3]ﾃﾞｰﾀﾍﾞｰｽ変更点!#REF!</definedName>
    <definedName name="A_AUTHORITY_GROUP">[3]ﾃﾞｰﾀﾍﾞｰｽ変更点!#REF!</definedName>
    <definedName name="A_AUTHORITY_GROUP_DATA" localSheetId="6">[3]ﾃﾞｰﾀﾍﾞｰｽ変更点!#REF!</definedName>
    <definedName name="A_AUTHORITY_GROUP_DATA" localSheetId="3">[3]ﾃﾞｰﾀﾍﾞｰｽ変更点!#REF!</definedName>
    <definedName name="A_AUTHORITY_GROUP_DATA">[3]ﾃﾞｰﾀﾍﾞｰｽ変更点!#REF!</definedName>
    <definedName name="A_AUTHORITY_MASTER" localSheetId="6">[5]テーブル設計!#REF!</definedName>
    <definedName name="A_AUTHORITY_MASTER" localSheetId="3">[5]テーブル設計!#REF!</definedName>
    <definedName name="A_AUTHORITY_MASTER">[5]テーブル設計!#REF!</definedName>
    <definedName name="A_BONDED_STORE" localSheetId="6">[5]テーブル設計!#REF!</definedName>
    <definedName name="A_BONDED_STORE" localSheetId="3">[5]テーブル設計!#REF!</definedName>
    <definedName name="A_BONDED_STORE">[5]テーブル設計!#REF!</definedName>
    <definedName name="A_CAR_DATA" localSheetId="6">[3]ﾃﾞｰﾀﾍﾞｰｽ変更点!#REF!</definedName>
    <definedName name="A_CAR_DATA" localSheetId="3">[3]ﾃﾞｰﾀﾍﾞｰｽ変更点!#REF!</definedName>
    <definedName name="A_CAR_DATA">[3]ﾃﾞｰﾀﾍﾞｰｽ変更点!#REF!</definedName>
    <definedName name="A_CAR_MASTER" localSheetId="6">[3]ﾃﾞｰﾀﾍﾞｰｽ変更点!#REF!</definedName>
    <definedName name="A_CAR_MASTER" localSheetId="3">[3]ﾃﾞｰﾀﾍﾞｰｽ変更点!#REF!</definedName>
    <definedName name="A_CAR_MASTER">[3]ﾃﾞｰﾀﾍﾞｰｽ変更点!#REF!</definedName>
    <definedName name="A_CAR_MONTHLY_DATA" localSheetId="6">[3]ﾃﾞｰﾀﾍﾞｰｽ変更点!#REF!</definedName>
    <definedName name="A_CAR_MONTHLY_DATA" localSheetId="3">[3]ﾃﾞｰﾀﾍﾞｰｽ変更点!#REF!</definedName>
    <definedName name="A_CAR_MONTHLY_DATA">[3]ﾃﾞｰﾀﾍﾞｰｽ変更点!#REF!</definedName>
    <definedName name="A_CAR_OWNER_HISTORY" localSheetId="6">[3]ﾃﾞｰﾀﾍﾞｰｽ変更点!#REF!</definedName>
    <definedName name="A_CAR_OWNER_HISTORY" localSheetId="3">[3]ﾃﾞｰﾀﾍﾞｰｽ変更点!#REF!</definedName>
    <definedName name="A_CAR_OWNER_HISTORY">[3]ﾃﾞｰﾀﾍﾞｰｽ変更点!#REF!</definedName>
    <definedName name="A_CAUTION" localSheetId="6">[4]TableDesign!#REF!</definedName>
    <definedName name="A_CAUTION" localSheetId="3">[4]TableDesign!#REF!</definedName>
    <definedName name="A_CAUTION">[4]TableDesign!#REF!</definedName>
    <definedName name="A_CAUTION_DATA" localSheetId="6">[3]ﾃﾞｰﾀﾍﾞｰｽ変更点!#REF!</definedName>
    <definedName name="A_CAUTION_DATA" localSheetId="3">[3]ﾃﾞｰﾀﾍﾞｰｽ変更点!#REF!</definedName>
    <definedName name="A_CAUTION_DATA">[3]ﾃﾞｰﾀﾍﾞｰｽ変更点!#REF!</definedName>
    <definedName name="A_CAUTION_ENABLED" localSheetId="6">[3]ﾃﾞｰﾀﾍﾞｰｽ変更点!#REF!</definedName>
    <definedName name="A_CAUTION_ENABLED" localSheetId="3">[3]ﾃﾞｰﾀﾍﾞｰｽ変更点!#REF!</definedName>
    <definedName name="A_CAUTION_ENABLED">[3]ﾃﾞｰﾀﾍﾞｰｽ変更点!#REF!</definedName>
    <definedName name="A_CAUTION_ICON" localSheetId="6">[3]ﾃﾞｰﾀﾍﾞｰｽ変更点!#REF!</definedName>
    <definedName name="A_CAUTION_ICON" localSheetId="3">[3]ﾃﾞｰﾀﾍﾞｰｽ変更点!#REF!</definedName>
    <definedName name="A_CAUTION_ICON">[3]ﾃﾞｰﾀﾍﾞｰｽ変更点!#REF!</definedName>
    <definedName name="A_CAUTION_INIT" localSheetId="6">[3]ﾃﾞｰﾀﾍﾞｰｽ変更点!#REF!</definedName>
    <definedName name="A_CAUTION_INIT" localSheetId="3">[3]ﾃﾞｰﾀﾍﾞｰｽ変更点!#REF!</definedName>
    <definedName name="A_CAUTION_INIT">[3]ﾃﾞｰﾀﾍﾞｰｽ変更点!#REF!</definedName>
    <definedName name="A_CAUTION_MASTER" localSheetId="6">[3]ﾃﾞｰﾀﾍﾞｰｽ変更点!#REF!</definedName>
    <definedName name="A_CAUTION_MASTER" localSheetId="3">[3]ﾃﾞｰﾀﾍﾞｰｽ変更点!#REF!</definedName>
    <definedName name="A_CAUTION_MASTER">[3]ﾃﾞｰﾀﾍﾞｰｽ変更点!#REF!</definedName>
    <definedName name="A_CLASS1_MASTER" localSheetId="6">[3]ﾃﾞｰﾀﾍﾞｰｽ変更点!#REF!</definedName>
    <definedName name="A_CLASS1_MASTER" localSheetId="3">[3]ﾃﾞｰﾀﾍﾞｰｽ変更点!#REF!</definedName>
    <definedName name="A_CLASS1_MASTER">[3]ﾃﾞｰﾀﾍﾞｰｽ変更点!#REF!</definedName>
    <definedName name="A_CLASS2_MASTER" localSheetId="6">[3]ﾃﾞｰﾀﾍﾞｰｽ変更点!#REF!</definedName>
    <definedName name="A_CLASS2_MASTER" localSheetId="3">[3]ﾃﾞｰﾀﾍﾞｰｽ変更点!#REF!</definedName>
    <definedName name="A_CLASS2_MASTER">[3]ﾃﾞｰﾀﾍﾞｰｽ変更点!#REF!</definedName>
    <definedName name="A_COMM_DATA" localSheetId="6">[3]ﾃﾞｰﾀﾍﾞｰｽ変更点!#REF!</definedName>
    <definedName name="A_COMM_DATA" localSheetId="3">[3]ﾃﾞｰﾀﾍﾞｰｽ変更点!#REF!</definedName>
    <definedName name="A_COMM_DATA">[3]ﾃﾞｰﾀﾍﾞｰｽ変更点!#REF!</definedName>
    <definedName name="A_COMM_STATUS_MASTER" localSheetId="6">[3]ﾃﾞｰﾀﾍﾞｰｽ変更点!#REF!</definedName>
    <definedName name="A_COMM_STATUS_MASTER" localSheetId="3">[3]ﾃﾞｰﾀﾍﾞｰｽ変更点!#REF!</definedName>
    <definedName name="A_COMM_STATUS_MASTER">[3]ﾃﾞｰﾀﾍﾞｰｽ変更点!#REF!</definedName>
    <definedName name="A_CONFIG_DEFINE" localSheetId="6">[3]ﾃﾞｰﾀﾍﾞｰｽ変更点!#REF!</definedName>
    <definedName name="A_CONFIG_DEFINE" localSheetId="3">[3]ﾃﾞｰﾀﾍﾞｰｽ変更点!#REF!</definedName>
    <definedName name="A_CONFIG_DEFINE">[3]ﾃﾞｰﾀﾍﾞｰｽ変更点!#REF!</definedName>
    <definedName name="A_CONFIG_FLAG" localSheetId="6">[5]テーブル設計!#REF!</definedName>
    <definedName name="A_CONFIG_FLAG" localSheetId="3">[5]テーブル設計!#REF!</definedName>
    <definedName name="A_CONFIG_FLAG">[5]テーブル設計!#REF!</definedName>
    <definedName name="A_CONFIG_INIT" localSheetId="6">[3]ﾃﾞｰﾀﾍﾞｰｽ変更点!#REF!</definedName>
    <definedName name="A_CONFIG_INIT" localSheetId="3">[3]ﾃﾞｰﾀﾍﾞｰｽ変更点!#REF!</definedName>
    <definedName name="A_CONFIG_INIT">[3]ﾃﾞｰﾀﾍﾞｰｽ変更点!#REF!</definedName>
    <definedName name="A_CONFIG_PATTERN" localSheetId="6">[3]ﾃﾞｰﾀﾍﾞｰｽ変更点!#REF!</definedName>
    <definedName name="A_CONFIG_PATTERN" localSheetId="3">[3]ﾃﾞｰﾀﾍﾞｰｽ変更点!#REF!</definedName>
    <definedName name="A_CONFIG_PATTERN">[3]ﾃﾞｰﾀﾍﾞｰｽ変更点!#REF!</definedName>
    <definedName name="A_CONFIG_PATTERN_DATA" localSheetId="6">[3]ﾃﾞｰﾀﾍﾞｰｽ変更点!#REF!</definedName>
    <definedName name="A_CONFIG_PATTERN_DATA" localSheetId="3">[3]ﾃﾞｰﾀﾍﾞｰｽ変更点!#REF!</definedName>
    <definedName name="A_CONFIG_PATTERN_DATA">[3]ﾃﾞｰﾀﾍﾞｰｽ変更点!#REF!</definedName>
    <definedName name="A_CONFIG_USER_FLAG" localSheetId="6">[5]テーブル設計!#REF!</definedName>
    <definedName name="A_CONFIG_USER_FLAG" localSheetId="3">[5]テーブル設計!#REF!</definedName>
    <definedName name="A_CONFIG_USER_FLAG">[5]テーブル設計!#REF!</definedName>
    <definedName name="A_CONTRACT" localSheetId="6">[5]テーブル設計!#REF!</definedName>
    <definedName name="A_CONTRACT" localSheetId="3">[5]テーブル設計!#REF!</definedName>
    <definedName name="A_CONTRACT">[5]テーブル設計!#REF!</definedName>
    <definedName name="A_CUSTOMER" localSheetId="6">[3]ﾃﾞｰﾀﾍﾞｰｽ変更点!#REF!</definedName>
    <definedName name="A_CUSTOMER" localSheetId="3">[3]ﾃﾞｰﾀﾍﾞｰｽ変更点!#REF!</definedName>
    <definedName name="A_CUSTOMER">[3]ﾃﾞｰﾀﾍﾞｰｽ変更点!#REF!</definedName>
    <definedName name="A_CUSTOMER_CAR" localSheetId="6">[3]ﾃﾞｰﾀﾍﾞｰｽ変更点!#REF!</definedName>
    <definedName name="A_CUSTOMER_CAR" localSheetId="3">[3]ﾃﾞｰﾀﾍﾞｰｽ変更点!#REF!</definedName>
    <definedName name="A_CUSTOMER_CAR">[3]ﾃﾞｰﾀﾍﾞｰｽ変更点!#REF!</definedName>
    <definedName name="A_CUSTOMER_MASTER" localSheetId="6">[4]TableDesign!#REF!</definedName>
    <definedName name="A_CUSTOMER_MASTER" localSheetId="3">[4]TableDesign!#REF!</definedName>
    <definedName name="A_CUSTOMER_MASTER">[4]TableDesign!#REF!</definedName>
    <definedName name="A_DIVISION_MASTER" localSheetId="6">[3]ﾃﾞｰﾀﾍﾞｰｽ変更点!#REF!</definedName>
    <definedName name="A_DIVISION_MASTER" localSheetId="3">[3]ﾃﾞｰﾀﾍﾞｰｽ変更点!#REF!</definedName>
    <definedName name="A_DIVISION_MASTER">[3]ﾃﾞｰﾀﾍﾞｰｽ変更点!#REF!</definedName>
    <definedName name="A_DOPA" localSheetId="6">[3]ﾃﾞｰﾀﾍﾞｰｽ変更点!#REF!</definedName>
    <definedName name="A_DOPA" localSheetId="3">[3]ﾃﾞｰﾀﾍﾞｰｽ変更点!#REF!</definedName>
    <definedName name="A_DOPA">[3]ﾃﾞｰﾀﾍﾞｰｽ変更点!#REF!</definedName>
    <definedName name="A_DOPA_OWNER_HISTORY" localSheetId="6">[3]ﾃﾞｰﾀﾍﾞｰｽ変更点!#REF!</definedName>
    <definedName name="A_DOPA_OWNER_HISTORY" localSheetId="3">[3]ﾃﾞｰﾀﾍﾞｰｽ変更点!#REF!</definedName>
    <definedName name="A_DOPA_OWNER_HISTORY">[3]ﾃﾞｰﾀﾍﾞｰｽ変更点!#REF!</definedName>
    <definedName name="A_DOPA_SERVER" localSheetId="6">[3]ﾃﾞｰﾀﾍﾞｰｽ変更点!#REF!</definedName>
    <definedName name="A_DOPA_SERVER" localSheetId="3">[3]ﾃﾞｰﾀﾍﾞｰｽ変更点!#REF!</definedName>
    <definedName name="A_DOPA_SERVER">[3]ﾃﾞｰﾀﾍﾞｰｽ変更点!#REF!</definedName>
    <definedName name="A_EQUIPMENT_HISTORY" localSheetId="6">[3]ﾃﾞｰﾀﾍﾞｰｽ変更点!#REF!</definedName>
    <definedName name="A_EQUIPMENT_HISTORY" localSheetId="3">[3]ﾃﾞｰﾀﾍﾞｰｽ変更点!#REF!</definedName>
    <definedName name="A_EQUIPMENT_HISTORY">[3]ﾃﾞｰﾀﾍﾞｰｽ変更点!#REF!</definedName>
    <definedName name="A_ERROR" localSheetId="6">[3]ﾃﾞｰﾀﾍﾞｰｽ変更点!#REF!</definedName>
    <definedName name="A_ERROR" localSheetId="3">[3]ﾃﾞｰﾀﾍﾞｰｽ変更点!#REF!</definedName>
    <definedName name="A_ERROR">[3]ﾃﾞｰﾀﾍﾞｰｽ変更点!#REF!</definedName>
    <definedName name="A_ERROR_ENABLED" localSheetId="6">[3]ﾃﾞｰﾀﾍﾞｰｽ変更点!#REF!</definedName>
    <definedName name="A_ERROR_ENABLED" localSheetId="3">[3]ﾃﾞｰﾀﾍﾞｰｽ変更点!#REF!</definedName>
    <definedName name="A_ERROR_ENABLED">[3]ﾃﾞｰﾀﾍﾞｰｽ変更点!#REF!</definedName>
    <definedName name="A_ERROR_MASTER" localSheetId="6">[3]ﾃﾞｰﾀﾍﾞｰｽ変更点!#REF!</definedName>
    <definedName name="A_ERROR_MASTER" localSheetId="3">[3]ﾃﾞｰﾀﾍﾞｰｽ変更点!#REF!</definedName>
    <definedName name="A_ERROR_MASTER">[3]ﾃﾞｰﾀﾍﾞｰｽ変更点!#REF!</definedName>
    <definedName name="A_EVENT_CATEGORY" localSheetId="6">[4]TableDesign!#REF!</definedName>
    <definedName name="A_EVENT_CATEGORY" localSheetId="3">[4]TableDesign!#REF!</definedName>
    <definedName name="A_EVENT_CATEGORY">[4]TableDesign!#REF!</definedName>
    <definedName name="A_EVENT_DIVISION" localSheetId="6">[3]ﾃﾞｰﾀﾍﾞｰｽ変更点!#REF!</definedName>
    <definedName name="A_EVENT_DIVISION" localSheetId="3">[3]ﾃﾞｰﾀﾍﾞｰｽ変更点!#REF!</definedName>
    <definedName name="A_EVENT_DIVISION">[3]ﾃﾞｰﾀﾍﾞｰｽ変更点!#REF!</definedName>
    <definedName name="A_EVENT_MASTER" localSheetId="6">[3]ﾃﾞｰﾀﾍﾞｰｽ変更点!#REF!</definedName>
    <definedName name="A_EVENT_MASTER" localSheetId="3">[3]ﾃﾞｰﾀﾍﾞｰｽ変更点!#REF!</definedName>
    <definedName name="A_EVENT_MASTER">[3]ﾃﾞｰﾀﾍﾞｰｽ変更点!#REF!</definedName>
    <definedName name="A_EVENT_NOTICE" localSheetId="6">[3]ﾃﾞｰﾀﾍﾞｰｽ変更点!#REF!</definedName>
    <definedName name="A_EVENT_NOTICE" localSheetId="3">[3]ﾃﾞｰﾀﾍﾞｰｽ変更点!#REF!</definedName>
    <definedName name="A_EVENT_NOTICE">[3]ﾃﾞｰﾀﾍﾞｰｽ変更点!#REF!</definedName>
    <definedName name="A_FUEL_GAUGE" localSheetId="6">[4]TableDesign!#REF!</definedName>
    <definedName name="A_FUEL_GAUGE" localSheetId="3">[4]TableDesign!#REF!</definedName>
    <definedName name="A_FUEL_GAUGE">[4]TableDesign!#REF!</definedName>
    <definedName name="A_GAUGE_FUEL_WTTEMP" localSheetId="6">[3]ﾃﾞｰﾀﾍﾞｰｽ変更点!#REF!</definedName>
    <definedName name="A_GAUGE_FUEL_WTTEMP" localSheetId="3">[3]ﾃﾞｰﾀﾍﾞｰｽ変更点!#REF!</definedName>
    <definedName name="A_GAUGE_FUEL_WTTEMP">[3]ﾃﾞｰﾀﾍﾞｰｽ変更点!#REF!</definedName>
    <definedName name="A_GIS_DEFINE" localSheetId="6">[4]TableDesign!#REF!</definedName>
    <definedName name="A_GIS_DEFINE" localSheetId="3">[4]TableDesign!#REF!</definedName>
    <definedName name="A_GIS_DEFINE">[4]TableDesign!#REF!</definedName>
    <definedName name="A_GPS" localSheetId="6">[3]ﾃﾞｰﾀﾍﾞｰｽ変更点!#REF!</definedName>
    <definedName name="A_GPS" localSheetId="3">[3]ﾃﾞｰﾀﾍﾞｰｽ変更点!#REF!</definedName>
    <definedName name="A_GPS">[3]ﾃﾞｰﾀﾍﾞｰｽ変更点!#REF!</definedName>
    <definedName name="A_GRANT_AUTHORITY" localSheetId="6">[3]ﾃﾞｰﾀﾍﾞｰｽ変更点!#REF!</definedName>
    <definedName name="A_GRANT_AUTHORITY" localSheetId="3">[3]ﾃﾞｰﾀﾍﾞｰｽ変更点!#REF!</definedName>
    <definedName name="A_GRANT_AUTHORITY">[3]ﾃﾞｰﾀﾍﾞｰｽ変更点!#REF!</definedName>
    <definedName name="A_GROUP_MASTER" localSheetId="6">[3]ﾃﾞｰﾀﾍﾞｰｽ変更点!#REF!</definedName>
    <definedName name="A_GROUP_MASTER" localSheetId="3">[3]ﾃﾞｰﾀﾍﾞｰｽ変更点!#REF!</definedName>
    <definedName name="A_GROUP_MASTER">[3]ﾃﾞｰﾀﾍﾞｰｽ変更点!#REF!</definedName>
    <definedName name="A_IGNORE_CAUTION" localSheetId="6">[5]テーブル設計!#REF!</definedName>
    <definedName name="A_IGNORE_CAUTION" localSheetId="3">[5]テーブル設計!#REF!</definedName>
    <definedName name="A_IGNORE_CAUTION">[5]テーブル設計!#REF!</definedName>
    <definedName name="A_IGNORE_ERROR" localSheetId="6">[5]テーブル設計!#REF!</definedName>
    <definedName name="A_IGNORE_ERROR" localSheetId="3">[5]テーブル設計!#REF!</definedName>
    <definedName name="A_IGNORE_ERROR">[5]テーブル設計!#REF!</definedName>
    <definedName name="A_INFORM_MASTER" localSheetId="6">[3]ﾃﾞｰﾀﾍﾞｰｽ変更点!#REF!</definedName>
    <definedName name="A_INFORM_MASTER" localSheetId="3">[3]ﾃﾞｰﾀﾍﾞｰｽ変更点!#REF!</definedName>
    <definedName name="A_INFORM_MASTER">[3]ﾃﾞｰﾀﾍﾞｰｽ変更点!#REF!</definedName>
    <definedName name="A_INFORMATION" localSheetId="6">[3]ﾃﾞｰﾀﾍﾞｰｽ変更点!#REF!</definedName>
    <definedName name="A_INFORMATION" localSheetId="3">[3]ﾃﾞｰﾀﾍﾞｰｽ変更点!#REF!</definedName>
    <definedName name="A_INFORMATION">[3]ﾃﾞｰﾀﾍﾞｰｽ変更点!#REF!</definedName>
    <definedName name="A_INFORMATION_READED" localSheetId="6">[3]ﾃﾞｰﾀﾍﾞｰｽ変更点!#REF!</definedName>
    <definedName name="A_INFORMATION_READED" localSheetId="3">[3]ﾃﾞｰﾀﾍﾞｰｽ変更点!#REF!</definedName>
    <definedName name="A_INFORMATION_READED">[3]ﾃﾞｰﾀﾍﾞｰｽ変更点!#REF!</definedName>
    <definedName name="A_INVALID_PART_TERMINAL" localSheetId="6">[5]テーブル設計!#REF!</definedName>
    <definedName name="A_INVALID_PART_TERMINAL" localSheetId="3">[5]テーブル設計!#REF!</definedName>
    <definedName name="A_INVALID_PART_TERMINAL">[5]テーブル設計!#REF!</definedName>
    <definedName name="A_KIND_MASTER" localSheetId="6">[3]ﾃﾞｰﾀﾍﾞｰｽ変更点!#REF!</definedName>
    <definedName name="A_KIND_MASTER" localSheetId="3">[3]ﾃﾞｰﾀﾍﾞｰｽ変更点!#REF!</definedName>
    <definedName name="A_KIND_MASTER">[3]ﾃﾞｰﾀﾍﾞｰｽ変更点!#REF!</definedName>
    <definedName name="A_KRO_APPLICATION" localSheetId="6">[3]ﾃﾞｰﾀﾍﾞｰｽ変更点!#REF!</definedName>
    <definedName name="A_KRO_APPLICATION" localSheetId="3">[3]ﾃﾞｰﾀﾍﾞｰｽ変更点!#REF!</definedName>
    <definedName name="A_KRO_APPLICATION">[3]ﾃﾞｰﾀﾍﾞｰｽ変更点!#REF!</definedName>
    <definedName name="A_KRO_APPLICATION_DATA" localSheetId="6">[3]ﾃﾞｰﾀﾍﾞｰｽ変更点!#REF!</definedName>
    <definedName name="A_KRO_APPLICATION_DATA" localSheetId="3">[3]ﾃﾞｰﾀﾍﾞｰｽ変更点!#REF!</definedName>
    <definedName name="A_KRO_APPLICATION_DATA">[3]ﾃﾞｰﾀﾍﾞｰｽ変更点!#REF!</definedName>
    <definedName name="A_KRO_COMPLETION" localSheetId="6">[3]ﾃﾞｰﾀﾍﾞｰｽ変更点!#REF!</definedName>
    <definedName name="A_KRO_COMPLETION" localSheetId="3">[3]ﾃﾞｰﾀﾍﾞｰｽ変更点!#REF!</definedName>
    <definedName name="A_KRO_COMPLETION">[3]ﾃﾞｰﾀﾍﾞｰｽ変更点!#REF!</definedName>
    <definedName name="A_KRO_COMPLETION_DATA" localSheetId="6">[3]ﾃﾞｰﾀﾍﾞｰｽ変更点!#REF!</definedName>
    <definedName name="A_KRO_COMPLETION_DATA" localSheetId="3">[3]ﾃﾞｰﾀﾍﾞｰｽ変更点!#REF!</definedName>
    <definedName name="A_KRO_COMPLETION_DATA">[3]ﾃﾞｰﾀﾍﾞｰｽ変更点!#REF!</definedName>
    <definedName name="A_KRO_EMERGENCY" localSheetId="6">[5]テーブル設計!#REF!</definedName>
    <definedName name="A_KRO_EMERGENCY" localSheetId="3">[5]テーブル設計!#REF!</definedName>
    <definedName name="A_KRO_EMERGENCY">[5]テーブル設計!#REF!</definedName>
    <definedName name="A_KRO_REPORT" localSheetId="6">[3]ﾃﾞｰﾀﾍﾞｰｽ変更点!#REF!</definedName>
    <definedName name="A_KRO_REPORT" localSheetId="3">[3]ﾃﾞｰﾀﾍﾞｰｽ変更点!#REF!</definedName>
    <definedName name="A_KRO_REPORT">[3]ﾃﾞｰﾀﾍﾞｰｽ変更点!#REF!</definedName>
    <definedName name="A_LANDMARK" localSheetId="6">[3]ﾃﾞｰﾀﾍﾞｰｽ変更点!#REF!</definedName>
    <definedName name="A_LANDMARK" localSheetId="3">[3]ﾃﾞｰﾀﾍﾞｰｽ変更点!#REF!</definedName>
    <definedName name="A_LANDMARK">[3]ﾃﾞｰﾀﾍﾞｰｽ変更点!#REF!</definedName>
    <definedName name="A_LANDMARK_CLASS" localSheetId="6">[3]ﾃﾞｰﾀﾍﾞｰｽ変更点!#REF!</definedName>
    <definedName name="A_LANDMARK_CLASS" localSheetId="3">[3]ﾃﾞｰﾀﾍﾞｰｽ変更点!#REF!</definedName>
    <definedName name="A_LANDMARK_CLASS">[3]ﾃﾞｰﾀﾍﾞｰｽ変更点!#REF!</definedName>
    <definedName name="A_LOGON_HISTORY" localSheetId="6">[3]ﾃﾞｰﾀﾍﾞｰｽ変更点!#REF!</definedName>
    <definedName name="A_LOGON_HISTORY" localSheetId="3">[3]ﾃﾞｰﾀﾍﾞｰｽ変更点!#REF!</definedName>
    <definedName name="A_LOGON_HISTORY">[3]ﾃﾞｰﾀﾍﾞｰｽ変更点!#REF!</definedName>
    <definedName name="A_MACHINE_ERROR" localSheetId="6">[4]TableDesign!#REF!</definedName>
    <definedName name="A_MACHINE_ERROR" localSheetId="3">[4]TableDesign!#REF!</definedName>
    <definedName name="A_MACHINE_ERROR">[4]TableDesign!#REF!</definedName>
    <definedName name="A_MACHINE_STATUS_MASTER" localSheetId="6">[3]ﾃﾞｰﾀﾍﾞｰｽ変更点!#REF!</definedName>
    <definedName name="A_MACHINE_STATUS_MASTER" localSheetId="3">[3]ﾃﾞｰﾀﾍﾞｰｽ変更点!#REF!</definedName>
    <definedName name="A_MACHINE_STATUS_MASTER">[3]ﾃﾞｰﾀﾍﾞｰｽ変更点!#REF!</definedName>
    <definedName name="A_MAINTENANCE_DATA" localSheetId="6">[3]ﾃﾞｰﾀﾍﾞｰｽ変更点!#REF!</definedName>
    <definedName name="A_MAINTENANCE_DATA" localSheetId="3">[3]ﾃﾞｰﾀﾍﾞｰｽ変更点!#REF!</definedName>
    <definedName name="A_MAINTENANCE_DATA">[3]ﾃﾞｰﾀﾍﾞｰｽ変更点!#REF!</definedName>
    <definedName name="A_MAINTENANCE_INFORM" localSheetId="6">[3]ﾃﾞｰﾀﾍﾞｰｽ変更点!#REF!</definedName>
    <definedName name="A_MAINTENANCE_INFORM" localSheetId="3">[3]ﾃﾞｰﾀﾍﾞｰｽ変更点!#REF!</definedName>
    <definedName name="A_MAINTENANCE_INFORM">[3]ﾃﾞｰﾀﾍﾞｰｽ変更点!#REF!</definedName>
    <definedName name="A_MAINTENANCE_MASTER" localSheetId="6">[3]ﾃﾞｰﾀﾍﾞｰｽ変更点!#REF!</definedName>
    <definedName name="A_MAINTENANCE_MASTER" localSheetId="3">[3]ﾃﾞｰﾀﾍﾞｰｽ変更点!#REF!</definedName>
    <definedName name="A_MAINTENANCE_MASTER">[3]ﾃﾞｰﾀﾍﾞｰｽ変更点!#REF!</definedName>
    <definedName name="A_MAINTENANCE_TIME" localSheetId="6">[4]TableDesign!#REF!</definedName>
    <definedName name="A_MAINTENANCE_TIME" localSheetId="3">[4]TableDesign!#REF!</definedName>
    <definedName name="A_MAINTENANCE_TIME">[4]TableDesign!#REF!</definedName>
    <definedName name="A_MAKER_MASTER" localSheetId="6">[3]ﾃﾞｰﾀﾍﾞｰｽ変更点!#REF!</definedName>
    <definedName name="A_MAKER_MASTER" localSheetId="3">[3]ﾃﾞｰﾀﾍﾞｰｽ変更点!#REF!</definedName>
    <definedName name="A_MAKER_MASTER">[3]ﾃﾞｰﾀﾍﾞｰｽ変更点!#REF!</definedName>
    <definedName name="A_MARK_MACHINE" localSheetId="6">[4]TableDesign!#REF!</definedName>
    <definedName name="A_MARK_MACHINE" localSheetId="3">[4]TableDesign!#REF!</definedName>
    <definedName name="A_MARK_MACHINE">[4]TableDesign!#REF!</definedName>
    <definedName name="A_MARK_NOTIFICATION" localSheetId="6">[4]TableDesign!#REF!</definedName>
    <definedName name="A_MARK_NOTIFICATION" localSheetId="3">[4]TableDesign!#REF!</definedName>
    <definedName name="A_MARK_NOTIFICATION">[4]TableDesign!#REF!</definedName>
    <definedName name="A_MARK_NOTIFICATION_DETAIL" localSheetId="6">[4]TableDesign!#REF!</definedName>
    <definedName name="A_MARK_NOTIFICATION_DETAIL" localSheetId="3">[4]TableDesign!#REF!</definedName>
    <definedName name="A_MARK_NOTIFICATION_DETAIL">[4]TableDesign!#REF!</definedName>
    <definedName name="A_MEMO" localSheetId="6">[3]ﾃﾞｰﾀﾍﾞｰｽ変更点!#REF!</definedName>
    <definedName name="A_MEMO" localSheetId="3">[3]ﾃﾞｰﾀﾍﾞｰｽ変更点!#REF!</definedName>
    <definedName name="A_MEMO">[3]ﾃﾞｰﾀﾍﾞｰｽ変更点!#REF!</definedName>
    <definedName name="A_MEMORY_MODIFY" localSheetId="6">[3]ﾃﾞｰﾀﾍﾞｰｽ変更点!#REF!</definedName>
    <definedName name="A_MEMORY_MODIFY" localSheetId="3">[3]ﾃﾞｰﾀﾍﾞｰｽ変更点!#REF!</definedName>
    <definedName name="A_MEMORY_MODIFY">[3]ﾃﾞｰﾀﾍﾞｰｽ変更点!#REF!</definedName>
    <definedName name="A_MEMORY_MODIFY_DATA" localSheetId="6">[3]ﾃﾞｰﾀﾍﾞｰｽ変更点!#REF!</definedName>
    <definedName name="A_MEMORY_MODIFY_DATA" localSheetId="3">[3]ﾃﾞｰﾀﾍﾞｰｽ変更点!#REF!</definedName>
    <definedName name="A_MEMORY_MODIFY_DATA">[3]ﾃﾞｰﾀﾍﾞｰｽ変更点!#REF!</definedName>
    <definedName name="A_MESSAGE" localSheetId="6">[3]ﾃﾞｰﾀﾍﾞｰｽ変更点!#REF!</definedName>
    <definedName name="A_MESSAGE" localSheetId="3">[3]ﾃﾞｰﾀﾍﾞｰｽ変更点!#REF!</definedName>
    <definedName name="A_MESSAGE">[3]ﾃﾞｰﾀﾍﾞｰｽ変更点!#REF!</definedName>
    <definedName name="A_MESSAGE_MASTER" localSheetId="6">[3]ﾃﾞｰﾀﾍﾞｰｽ変更点!#REF!</definedName>
    <definedName name="A_MESSAGE_MASTER" localSheetId="3">[3]ﾃﾞｰﾀﾍﾞｰｽ変更点!#REF!</definedName>
    <definedName name="A_MESSAGE_MASTER">[3]ﾃﾞｰﾀﾍﾞｰｽ変更点!#REF!</definedName>
    <definedName name="A_MONTHLY_ATT_SMR" localSheetId="6">[4]TableDesign!#REF!</definedName>
    <definedName name="A_MONTHLY_ATT_SMR" localSheetId="3">[4]TableDesign!#REF!</definedName>
    <definedName name="A_MONTHLY_ATT_SMR">[4]TableDesign!#REF!</definedName>
    <definedName name="A_MONTHLY_ERROR" localSheetId="6">[4]TableDesign!#REF!</definedName>
    <definedName name="A_MONTHLY_ERROR" localSheetId="3">[4]TableDesign!#REF!</definedName>
    <definedName name="A_MONTHLY_ERROR">[4]TableDesign!#REF!</definedName>
    <definedName name="A_MONTHLY_LOAD" localSheetId="6">[4]TableDesign!#REF!</definedName>
    <definedName name="A_MONTHLY_LOAD" localSheetId="3">[4]TableDesign!#REF!</definedName>
    <definedName name="A_MONTHLY_LOAD">[4]TableDesign!#REF!</definedName>
    <definedName name="A_MONTHLY_MOVEMENT" localSheetId="6">[4]TableDesign!#REF!</definedName>
    <definedName name="A_MONTHLY_MOVEMENT" localSheetId="3">[4]TableDesign!#REF!</definedName>
    <definedName name="A_MONTHLY_MOVEMENT">[4]TableDesign!#REF!</definedName>
    <definedName name="A_MONTHLY_OPERATION" localSheetId="6">[4]TableDesign!#REF!</definedName>
    <definedName name="A_MONTHLY_OPERATION" localSheetId="3">[4]TableDesign!#REF!</definedName>
    <definedName name="A_MONTHLY_OPERATION">[4]TableDesign!#REF!</definedName>
    <definedName name="A_MONTHLY_SMR" localSheetId="6">[4]TableDesign!#REF!</definedName>
    <definedName name="A_MONTHLY_SMR" localSheetId="3">[4]TableDesign!#REF!</definedName>
    <definedName name="A_MONTHLY_SMR">[4]TableDesign!#REF!</definedName>
    <definedName name="A_MONTHLY_WORKING_SMR" localSheetId="6">[4]TableDesign!#REF!</definedName>
    <definedName name="A_MONTHLY_WORKING_SMR" localSheetId="3">[4]TableDesign!#REF!</definedName>
    <definedName name="A_MONTHLY_WORKING_SMR">[4]TableDesign!#REF!</definedName>
    <definedName name="A_MONTLY_LOAD" localSheetId="6">[4]TableDesign!#REF!</definedName>
    <definedName name="A_MONTLY_LOAD" localSheetId="3">[4]TableDesign!#REF!</definedName>
    <definedName name="A_MONTLY_LOAD">[4]TableDesign!#REF!</definedName>
    <definedName name="A_MULTI_OPE" localSheetId="6">[3]ﾃﾞｰﾀﾍﾞｰｽ変更点!#REF!</definedName>
    <definedName name="A_MULTI_OPE" localSheetId="3">[3]ﾃﾞｰﾀﾍﾞｰｽ変更点!#REF!</definedName>
    <definedName name="A_MULTI_OPE">[3]ﾃﾞｰﾀﾍﾞｰｽ変更点!#REF!</definedName>
    <definedName name="A_MULTI_OPE_DATA" localSheetId="6">[5]テーブル設計!#REF!</definedName>
    <definedName name="A_MULTI_OPE_DATA" localSheetId="3">[5]テーブル設計!#REF!</definedName>
    <definedName name="A_MULTI_OPE_DATA">[5]テーブル設計!#REF!</definedName>
    <definedName name="A_NLS_DB_RESOURCE" localSheetId="6">[4]TableDesign!#REF!</definedName>
    <definedName name="A_NLS_DB_RESOURCE" localSheetId="3">[4]TableDesign!#REF!</definedName>
    <definedName name="A_NLS_DB_RESOURCE">[4]TableDesign!#REF!</definedName>
    <definedName name="A_NLS_LANG" localSheetId="6">[4]TableDesign!#REF!</definedName>
    <definedName name="A_NLS_LANG" localSheetId="3">[4]TableDesign!#REF!</definedName>
    <definedName name="A_NLS_LANG">[4]TableDesign!#REF!</definedName>
    <definedName name="A_NLS_RESOURCE" localSheetId="6">[4]TableDesign!#REF!</definedName>
    <definedName name="A_NLS_RESOURCE" localSheetId="3">[4]TableDesign!#REF!</definedName>
    <definedName name="A_NLS_RESOURCE">[4]TableDesign!#REF!</definedName>
    <definedName name="A_NOT_ACTIVE" localSheetId="6">[3]ﾃﾞｰﾀﾍﾞｰｽ変更点!#REF!</definedName>
    <definedName name="A_NOT_ACTIVE" localSheetId="3">[3]ﾃﾞｰﾀﾍﾞｰｽ変更点!#REF!</definedName>
    <definedName name="A_NOT_ACTIVE">[3]ﾃﾞｰﾀﾍﾞｰｽ変更点!#REF!</definedName>
    <definedName name="A_OPERATION_CATEGORY" localSheetId="6">[4]TableDesign!#REF!</definedName>
    <definedName name="A_OPERATION_CATEGORY" localSheetId="3">[4]TableDesign!#REF!</definedName>
    <definedName name="A_OPERATION_CATEGORY">[4]TableDesign!#REF!</definedName>
    <definedName name="A_OPERATION_CLASS" localSheetId="6">[5]テーブル設計!#REF!</definedName>
    <definedName name="A_OPERATION_CLASS" localSheetId="3">[5]テーブル設計!#REF!</definedName>
    <definedName name="A_OPERATION_CLASS">[5]テーブル設計!#REF!</definedName>
    <definedName name="A_OPERATION_LOG" localSheetId="6">[3]ﾃﾞｰﾀﾍﾞｰｽ変更点!#REF!</definedName>
    <definedName name="A_OPERATION_LOG" localSheetId="3">[3]ﾃﾞｰﾀﾍﾞｰｽ変更点!#REF!</definedName>
    <definedName name="A_OPERATION_LOG">[3]ﾃﾞｰﾀﾍﾞｰｽ変更点!#REF!</definedName>
    <definedName name="A_OPERATION_LOG2" localSheetId="6">[5]テーブル設計!#REF!</definedName>
    <definedName name="A_OPERATION_LOG2" localSheetId="3">[5]テーブル設計!#REF!</definedName>
    <definedName name="A_OPERATION_LOG2">[5]テーブル設計!#REF!</definedName>
    <definedName name="A_OPERATION_MAP" localSheetId="6">[4]TableDesign!#REF!</definedName>
    <definedName name="A_OPERATION_MAP" localSheetId="3">[4]TableDesign!#REF!</definedName>
    <definedName name="A_OPERATION_MAP">[4]TableDesign!#REF!</definedName>
    <definedName name="A_OPERATION_MASTER" localSheetId="6">[5]テーブル設計!#REF!</definedName>
    <definedName name="A_OPERATION_MASTER" localSheetId="3">[5]テーブル設計!#REF!</definedName>
    <definedName name="A_OPERATION_MASTER">[5]テーブル設計!#REF!</definedName>
    <definedName name="A_ORBCOMM" localSheetId="6">[3]ﾃﾞｰﾀﾍﾞｰｽ変更点!#REF!</definedName>
    <definedName name="A_ORBCOMM" localSheetId="3">[3]ﾃﾞｰﾀﾍﾞｰｽ変更点!#REF!</definedName>
    <definedName name="A_ORBCOMM">[3]ﾃﾞｰﾀﾍﾞｰｽ変更点!#REF!</definedName>
    <definedName name="A_ORBCOMM_OWNER_HISTORY" localSheetId="6">[3]ﾃﾞｰﾀﾍﾞｰｽ変更点!#REF!</definedName>
    <definedName name="A_ORBCOMM_OWNER_HISTORY" localSheetId="3">[3]ﾃﾞｰﾀﾍﾞｰｽ変更点!#REF!</definedName>
    <definedName name="A_ORBCOMM_OWNER_HISTORY">[3]ﾃﾞｰﾀﾍﾞｰｽ変更点!#REF!</definedName>
    <definedName name="A_PLANT_CAR" localSheetId="6">[5]テーブル設計!#REF!</definedName>
    <definedName name="A_PLANT_CAR" localSheetId="3">[5]テーブル設計!#REF!</definedName>
    <definedName name="A_PLANT_CAR">[5]テーブル設計!#REF!</definedName>
    <definedName name="A_PLANT_ERROR" localSheetId="6">[5]テーブル設計!#REF!</definedName>
    <definedName name="A_PLANT_ERROR" localSheetId="3">[5]テーブル設計!#REF!</definedName>
    <definedName name="A_PLANT_ERROR">[5]テーブル設計!#REF!</definedName>
    <definedName name="A_PLANT_GPS" localSheetId="6">[5]テーブル設計!#REF!</definedName>
    <definedName name="A_PLANT_GPS" localSheetId="3">[5]テーブル設計!#REF!</definedName>
    <definedName name="A_PLANT_GPS">[5]テーブル設計!#REF!</definedName>
    <definedName name="A_PREVENT_THEFT_KEY" localSheetId="6">[3]ﾃﾞｰﾀﾍﾞｰｽ変更点!#REF!</definedName>
    <definedName name="A_PREVENT_THEFT_KEY" localSheetId="3">[3]ﾃﾞｰﾀﾍﾞｰｽ変更点!#REF!</definedName>
    <definedName name="A_PREVENT_THEFT_KEY">[3]ﾃﾞｰﾀﾍﾞｰｽ変更点!#REF!</definedName>
    <definedName name="A_PRIVATE_TARGET_CAR" localSheetId="6">[3]ﾃﾞｰﾀﾍﾞｰｽ変更点!#REF!</definedName>
    <definedName name="A_PRIVATE_TARGET_CAR" localSheetId="3">[3]ﾃﾞｰﾀﾍﾞｰｽ変更点!#REF!</definedName>
    <definedName name="A_PRIVATE_TARGET_CAR">[3]ﾃﾞｰﾀﾍﾞｰｽ変更点!#REF!</definedName>
    <definedName name="A_RECEIVE_LIST" localSheetId="6">[5]テーブル設計!#REF!</definedName>
    <definedName name="A_RECEIVE_LIST" localSheetId="3">[5]テーブル設計!#REF!</definedName>
    <definedName name="A_RECEIVE_LIST">[5]テーブル設計!#REF!</definedName>
    <definedName name="A_RECEIVE_LOG" localSheetId="6">[3]ﾃﾞｰﾀﾍﾞｰｽ変更点!#REF!</definedName>
    <definedName name="A_RECEIVE_LOG" localSheetId="3">[3]ﾃﾞｰﾀﾍﾞｰｽ変更点!#REF!</definedName>
    <definedName name="A_RECEIVE_LOG">[3]ﾃﾞｰﾀﾍﾞｰｽ変更点!#REF!</definedName>
    <definedName name="A_REGION_DATA" localSheetId="6">[4]TableDesign!#REF!</definedName>
    <definedName name="A_REGION_DATA" localSheetId="3">[4]TableDesign!#REF!</definedName>
    <definedName name="A_REGION_DATA">[4]TableDesign!#REF!</definedName>
    <definedName name="A_REGION_MASTER" localSheetId="6">[4]TableDesign!#REF!</definedName>
    <definedName name="A_REGION_MASTER" localSheetId="3">[4]TableDesign!#REF!</definedName>
    <definedName name="A_REGION_MASTER">[4]TableDesign!#REF!</definedName>
    <definedName name="A_RENTAL_TERMINAL" localSheetId="6">[5]テーブル設計!#REF!</definedName>
    <definedName name="A_RENTAL_TERMINAL" localSheetId="3">[5]テーブル設計!#REF!</definedName>
    <definedName name="A_RENTAL_TERMINAL">[5]テーブル設計!#REF!</definedName>
    <definedName name="A_REQUEST" localSheetId="6">[3]ﾃﾞｰﾀﾍﾞｰｽ変更点!#REF!</definedName>
    <definedName name="A_REQUEST" localSheetId="3">[3]ﾃﾞｰﾀﾍﾞｰｽ変更点!#REF!</definedName>
    <definedName name="A_REQUEST">[3]ﾃﾞｰﾀﾍﾞｰｽ変更点!#REF!</definedName>
    <definedName name="A_REQUEST_COUNT" localSheetId="6">[3]ﾃﾞｰﾀﾍﾞｰｽ変更点!#REF!</definedName>
    <definedName name="A_REQUEST_COUNT" localSheetId="3">[3]ﾃﾞｰﾀﾍﾞｰｽ変更点!#REF!</definedName>
    <definedName name="A_REQUEST_COUNT">[3]ﾃﾞｰﾀﾍﾞｰｽ変更点!#REF!</definedName>
    <definedName name="A_REQUEST_LOG" localSheetId="6">[3]ﾃﾞｰﾀﾍﾞｰｽ変更点!#REF!</definedName>
    <definedName name="A_REQUEST_LOG" localSheetId="3">[3]ﾃﾞｰﾀﾍﾞｰｽ変更点!#REF!</definedName>
    <definedName name="A_REQUEST_LOG">[3]ﾃﾞｰﾀﾍﾞｰｽ変更点!#REF!</definedName>
    <definedName name="A_RIVATE_TARGET_CAR" localSheetId="6">[4]TableDesign!#REF!</definedName>
    <definedName name="A_RIVATE_TARGET_CAR" localSheetId="3">[4]TableDesign!#REF!</definedName>
    <definedName name="A_RIVATE_TARGET_CAR">[4]TableDesign!#REF!</definedName>
    <definedName name="A_RUNNING_LOG" localSheetId="6">[3]ﾃﾞｰﾀﾍﾞｰｽ変更点!#REF!</definedName>
    <definedName name="A_RUNNING_LOG" localSheetId="3">[3]ﾃﾞｰﾀﾍﾞｰｽ変更点!#REF!</definedName>
    <definedName name="A_RUNNING_LOG">[3]ﾃﾞｰﾀﾍﾞｰｽ変更点!#REF!</definedName>
    <definedName name="A_SAVE_INFORMATION" localSheetId="6">[5]テーブル設計!#REF!</definedName>
    <definedName name="A_SAVE_INFORMATION" localSheetId="3">[5]テーブル設計!#REF!</definedName>
    <definedName name="A_SAVE_INFORMATION">[5]テーブル設計!#REF!</definedName>
    <definedName name="A_SELFCARINSPECTION" localSheetId="6">[3]ﾃﾞｰﾀﾍﾞｰｽ変更点!#REF!</definedName>
    <definedName name="A_SELFCARINSPECTION" localSheetId="3">[3]ﾃﾞｰﾀﾍﾞｰｽ変更点!#REF!</definedName>
    <definedName name="A_SELFCARINSPECTION">[3]ﾃﾞｰﾀﾍﾞｰｽ変更点!#REF!</definedName>
    <definedName name="A_SEND_LIST" localSheetId="6">[5]テーブル設計!#REF!</definedName>
    <definedName name="A_SEND_LIST" localSheetId="3">[5]テーブル設計!#REF!</definedName>
    <definedName name="A_SEND_LIST">[5]テーブル設計!#REF!</definedName>
    <definedName name="A_SEND_LOG" localSheetId="6">[5]テーブル設計!#REF!</definedName>
    <definedName name="A_SEND_LOG" localSheetId="3">[5]テーブル設計!#REF!</definedName>
    <definedName name="A_SEND_LOG">[5]テーブル設計!#REF!</definedName>
    <definedName name="A_SERVER_COMMUNICATION" localSheetId="6">[4]TableDesign!#REF!</definedName>
    <definedName name="A_SERVER_COMMUNICATION" localSheetId="3">[4]TableDesign!#REF!</definedName>
    <definedName name="A_SERVER_COMMUNICATION">[4]TableDesign!#REF!</definedName>
    <definedName name="A_SERVER_INFORMATION" localSheetId="6">[3]ﾃﾞｰﾀﾍﾞｰｽ変更点!#REF!</definedName>
    <definedName name="A_SERVER_INFORMATION" localSheetId="3">[3]ﾃﾞｰﾀﾍﾞｰｽ変更点!#REF!</definedName>
    <definedName name="A_SERVER_INFORMATION">[3]ﾃﾞｰﾀﾍﾞｰｽ変更点!#REF!</definedName>
    <definedName name="A_SERVICE_METER" localSheetId="6">[3]ﾃﾞｰﾀﾍﾞｰｽ変更点!#REF!</definedName>
    <definedName name="A_SERVICE_METER" localSheetId="3">[3]ﾃﾞｰﾀﾍﾞｰｽ変更点!#REF!</definedName>
    <definedName name="A_SERVICE_METER">[3]ﾃﾞｰﾀﾍﾞｰｽ変更点!#REF!</definedName>
    <definedName name="A_SERVICE_METER2" localSheetId="6">[5]テーブル設計!#REF!</definedName>
    <definedName name="A_SERVICE_METER2" localSheetId="3">[5]テーブル設計!#REF!</definedName>
    <definedName name="A_SERVICE_METER2">[5]テーブル設計!#REF!</definedName>
    <definedName name="A_SERVICEMAN" localSheetId="6">[5]テーブル設計!#REF!</definedName>
    <definedName name="A_SERVICEMAN" localSheetId="3">[5]テーブル設計!#REF!</definedName>
    <definedName name="A_SERVICEMAN">[5]テーブル設計!#REF!</definedName>
    <definedName name="A_SERVICEMAN_CHARGE" localSheetId="6">[5]テーブル設計!#REF!</definedName>
    <definedName name="A_SERVICEMAN_CHARGE" localSheetId="3">[5]テーブル設計!#REF!</definedName>
    <definedName name="A_SERVICEMAN_CHARGE">[5]テーブル設計!#REF!</definedName>
    <definedName name="A_SHIPMENT" localSheetId="6">[3]ﾃﾞｰﾀﾍﾞｰｽ変更点!#REF!</definedName>
    <definedName name="A_SHIPMENT" localSheetId="3">[3]ﾃﾞｰﾀﾍﾞｰｽ変更点!#REF!</definedName>
    <definedName name="A_SHIPMENT">[3]ﾃﾞｰﾀﾍﾞｰｽ変更点!#REF!</definedName>
    <definedName name="A_SHOW" localSheetId="6">[3]ﾃﾞｰﾀﾍﾞｰｽ変更点!#REF!</definedName>
    <definedName name="A_SHOW" localSheetId="3">[3]ﾃﾞｰﾀﾍﾞｰｽ変更点!#REF!</definedName>
    <definedName name="A_SHOW">[3]ﾃﾞｰﾀﾍﾞｰｽ変更点!#REF!</definedName>
    <definedName name="A_SHOW_GROUP" localSheetId="6">[3]ﾃﾞｰﾀﾍﾞｰｽ変更点!#REF!</definedName>
    <definedName name="A_SHOW_GROUP" localSheetId="3">[3]ﾃﾞｰﾀﾍﾞｰｽ変更点!#REF!</definedName>
    <definedName name="A_SHOW_GROUP">[3]ﾃﾞｰﾀﾍﾞｰｽ変更点!#REF!</definedName>
    <definedName name="A_SPECIAL_AREA" localSheetId="6">[3]ﾃﾞｰﾀﾍﾞｰｽ変更点!#REF!</definedName>
    <definedName name="A_SPECIAL_AREA" localSheetId="3">[3]ﾃﾞｰﾀﾍﾞｰｽ変更点!#REF!</definedName>
    <definedName name="A_SPECIAL_AREA">[3]ﾃﾞｰﾀﾍﾞｰｽ変更点!#REF!</definedName>
    <definedName name="A_SUB_GROUP" localSheetId="6">[4]TableDesign!#REF!</definedName>
    <definedName name="A_SUB_GROUP" localSheetId="3">[4]TableDesign!#REF!</definedName>
    <definedName name="A_SUB_GROUP">[4]TableDesign!#REF!</definedName>
    <definedName name="A_SUB_GROUP_CAR" localSheetId="6">[4]TableDesign!#REF!</definedName>
    <definedName name="A_SUB_GROUP_CAR" localSheetId="3">[4]TableDesign!#REF!</definedName>
    <definedName name="A_SUB_GROUP_CAR">[4]TableDesign!#REF!</definedName>
    <definedName name="A_SYSTEM_COMMTERM_INFO" localSheetId="6">[3]ﾃﾞｰﾀﾍﾞｰｽ変更点!#REF!</definedName>
    <definedName name="A_SYSTEM_COMMTERM_INFO" localSheetId="3">[3]ﾃﾞｰﾀﾍﾞｰｽ変更点!#REF!</definedName>
    <definedName name="A_SYSTEM_COMMTERM_INFO">[3]ﾃﾞｰﾀﾍﾞｰｽ変更点!#REF!</definedName>
    <definedName name="A_SYSTEM_LOG" localSheetId="6">[3]ﾃﾞｰﾀﾍﾞｰｽ変更点!#REF!</definedName>
    <definedName name="A_SYSTEM_LOG" localSheetId="3">[3]ﾃﾞｰﾀﾍﾞｰｽ変更点!#REF!</definedName>
    <definedName name="A_SYSTEM_LOG">[3]ﾃﾞｰﾀﾍﾞｰｽ変更点!#REF!</definedName>
    <definedName name="A_SYSTEM_NOTICE" localSheetId="6">[3]ﾃﾞｰﾀﾍﾞｰｽ変更点!#REF!</definedName>
    <definedName name="A_SYSTEM_NOTICE" localSheetId="3">[3]ﾃﾞｰﾀﾍﾞｰｽ変更点!#REF!</definedName>
    <definedName name="A_SYSTEM_NOTICE">[3]ﾃﾞｰﾀﾍﾞｰｽ変更点!#REF!</definedName>
    <definedName name="A_TARGET" localSheetId="6">[3]ﾃﾞｰﾀﾍﾞｰｽ変更点!#REF!</definedName>
    <definedName name="A_TARGET" localSheetId="3">[3]ﾃﾞｰﾀﾍﾞｰｽ変更点!#REF!</definedName>
    <definedName name="A_TARGET">[3]ﾃﾞｰﾀﾍﾞｰｽ変更点!#REF!</definedName>
    <definedName name="A_TARGET_CAR" localSheetId="6">[3]ﾃﾞｰﾀﾍﾞｰｽ変更点!#REF!</definedName>
    <definedName name="A_TARGET_CAR" localSheetId="3">[3]ﾃﾞｰﾀﾍﾞｰｽ変更点!#REF!</definedName>
    <definedName name="A_TARGET_CAR">[3]ﾃﾞｰﾀﾍﾞｰｽ変更点!#REF!</definedName>
    <definedName name="A_TERMINAL_AREA" localSheetId="6">[3]ﾃﾞｰﾀﾍﾞｰｽ変更点!#REF!</definedName>
    <definedName name="A_TERMINAL_AREA" localSheetId="3">[3]ﾃﾞｰﾀﾍﾞｰｽ変更点!#REF!</definedName>
    <definedName name="A_TERMINAL_AREA">[3]ﾃﾞｰﾀﾍﾞｰｽ変更点!#REF!</definedName>
    <definedName name="A_TERMINAL_CAUTION" localSheetId="6">[3]ﾃﾞｰﾀﾍﾞｰｽ変更点!#REF!</definedName>
    <definedName name="A_TERMINAL_CAUTION" localSheetId="3">[3]ﾃﾞｰﾀﾍﾞｰｽ変更点!#REF!</definedName>
    <definedName name="A_TERMINAL_CAUTION">[3]ﾃﾞｰﾀﾍﾞｰｽ変更点!#REF!</definedName>
    <definedName name="A_TERMINAL_ERROR" localSheetId="6">[3]ﾃﾞｰﾀﾍﾞｰｽ変更点!#REF!</definedName>
    <definedName name="A_TERMINAL_ERROR" localSheetId="3">[3]ﾃﾞｰﾀﾍﾞｰｽ変更点!#REF!</definedName>
    <definedName name="A_TERMINAL_ERROR">[3]ﾃﾞｰﾀﾍﾞｰｽ変更点!#REF!</definedName>
    <definedName name="A_TERMINAL_KIND" localSheetId="6">[3]ﾃﾞｰﾀﾍﾞｰｽ変更点!#REF!</definedName>
    <definedName name="A_TERMINAL_KIND" localSheetId="3">[3]ﾃﾞｰﾀﾍﾞｰｽ変更点!#REF!</definedName>
    <definedName name="A_TERMINAL_KIND">[3]ﾃﾞｰﾀﾍﾞｰｽ変更点!#REF!</definedName>
    <definedName name="A_TERMINAL_MASTER" localSheetId="6">[3]ﾃﾞｰﾀﾍﾞｰｽ変更点!#REF!</definedName>
    <definedName name="A_TERMINAL_MASTER" localSheetId="3">[3]ﾃﾞｰﾀﾍﾞｰｽ変更点!#REF!</definedName>
    <definedName name="A_TERMINAL_MASTER">[3]ﾃﾞｰﾀﾍﾞｰｽ変更点!#REF!</definedName>
    <definedName name="A_TERMINAL_PART_MASTER" localSheetId="6">[3]ﾃﾞｰﾀﾍﾞｰｽ変更点!#REF!</definedName>
    <definedName name="A_TERMINAL_PART_MASTER" localSheetId="3">[3]ﾃﾞｰﾀﾍﾞｰｽ変更点!#REF!</definedName>
    <definedName name="A_TERMINAL_PART_MASTER">[3]ﾃﾞｰﾀﾍﾞｰｽ変更点!#REF!</definedName>
    <definedName name="A_TYPE_MASTER" localSheetId="6">[3]ﾃﾞｰﾀﾍﾞｰｽ変更点!#REF!</definedName>
    <definedName name="A_TYPE_MASTER" localSheetId="3">[3]ﾃﾞｰﾀﾍﾞｰｽ変更点!#REF!</definedName>
    <definedName name="A_TYPE_MASTER">[3]ﾃﾞｰﾀﾍﾞｰｽ変更点!#REF!</definedName>
    <definedName name="A_UFO" localSheetId="6">[3]ﾃﾞｰﾀﾍﾞｰｽ変更点!#REF!</definedName>
    <definedName name="A_UFO" localSheetId="3">[3]ﾃﾞｰﾀﾍﾞｰｽ変更点!#REF!</definedName>
    <definedName name="A_UFO">[3]ﾃﾞｰﾀﾍﾞｰｽ変更点!#REF!</definedName>
    <definedName name="A_UNRELIABLE_RECEIVE" localSheetId="6">[3]ﾃﾞｰﾀﾍﾞｰｽ変更点!#REF!</definedName>
    <definedName name="A_UNRELIABLE_RECEIVE" localSheetId="3">[3]ﾃﾞｰﾀﾍﾞｰｽ変更点!#REF!</definedName>
    <definedName name="A_UNRELIABLE_RECEIVE">[3]ﾃﾞｰﾀﾍﾞｰｽ変更点!#REF!</definedName>
    <definedName name="A_USER_MASTER" localSheetId="6">[3]ﾃﾞｰﾀﾍﾞｰｽ変更点!#REF!</definedName>
    <definedName name="A_USER_MASTER" localSheetId="3">[3]ﾃﾞｰﾀﾍﾞｰｽ変更点!#REF!</definedName>
    <definedName name="A_USER_MASTER">[3]ﾃﾞｰﾀﾍﾞｰｽ変更点!#REF!</definedName>
    <definedName name="A_USER_TEMP" localSheetId="6">[3]ﾃﾞｰﾀﾍﾞｰｽ変更点!#REF!</definedName>
    <definedName name="A_USER_TEMP" localSheetId="3">[3]ﾃﾞｰﾀﾍﾞｰｽ変更点!#REF!</definedName>
    <definedName name="A_USER_TEMP">[3]ﾃﾞｰﾀﾍﾞｰｽ変更点!#REF!</definedName>
    <definedName name="A_WATER_TEMP_GAUGE" localSheetId="6">[4]TableDesign!#REF!</definedName>
    <definedName name="A_WATER_TEMP_GAUGE" localSheetId="3">[4]TableDesign!#REF!</definedName>
    <definedName name="A_WATER_TEMP_GAUGE">[4]TableDesign!#REF!</definedName>
    <definedName name="AA" localSheetId="6">'[6]DATA-COMMUNICATION-FORMAT'!#REF!</definedName>
    <definedName name="AA" localSheetId="3">'[6]DATA-COMMUNICATION-FORMAT'!#REF!</definedName>
    <definedName name="AA">'[6]DATA-COMMUNICATION-FORMAT'!#REF!</definedName>
    <definedName name="AAA" localSheetId="6">#REF!</definedName>
    <definedName name="AAA" localSheetId="3">#REF!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6" hidden="1">[7]基本仕様１!#REF!</definedName>
    <definedName name="abc" localSheetId="3"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6">[3]ﾃﾞｰﾀﾍﾞｰｽ変更点!#REF!</definedName>
    <definedName name="B__PREVENT_THEFT_KEY" localSheetId="3">[3]ﾃﾞｰﾀﾍﾞｰｽ変更点!#REF!</definedName>
    <definedName name="B__PREVENT_THEFT_KEY">[3]ﾃﾞｰﾀﾍﾞｰｽ変更点!#REF!</definedName>
    <definedName name="B_ACT_DATA" localSheetId="6">[3]ﾃﾞｰﾀﾍﾞｰｽ変更点!#REF!</definedName>
    <definedName name="B_ACT_DATA" localSheetId="3">[3]ﾃﾞｰﾀﾍﾞｰｽ変更点!#REF!</definedName>
    <definedName name="B_ACT_DATA">[3]ﾃﾞｰﾀﾍﾞｰｽ変更点!#REF!</definedName>
    <definedName name="B_ACTUAL_OPERATION" localSheetId="6">[4]TableDesign!#REF!</definedName>
    <definedName name="B_ACTUAL_OPERATION" localSheetId="3">[4]TableDesign!#REF!</definedName>
    <definedName name="B_ACTUAL_OPERATION">[4]TableDesign!#REF!</definedName>
    <definedName name="B_AREA" localSheetId="6">[3]ﾃﾞｰﾀﾍﾞｰｽ変更点!#REF!</definedName>
    <definedName name="B_AREA" localSheetId="3">[3]ﾃﾞｰﾀﾍﾞｰｽ変更点!#REF!</definedName>
    <definedName name="B_AREA">[3]ﾃﾞｰﾀﾍﾞｰｽ変更点!#REF!</definedName>
    <definedName name="B_AREA_DEFINE" localSheetId="6">[3]ﾃﾞｰﾀﾍﾞｰｽ変更点!#REF!</definedName>
    <definedName name="B_AREA_DEFINE" localSheetId="3">[3]ﾃﾞｰﾀﾍﾞｰｽ変更点!#REF!</definedName>
    <definedName name="B_AREA_DEFINE">[3]ﾃﾞｰﾀﾍﾞｰｽ変更点!#REF!</definedName>
    <definedName name="B_AREA_INIT" localSheetId="6">[3]ﾃﾞｰﾀﾍﾞｰｽ変更点!#REF!</definedName>
    <definedName name="B_AREA_INIT" localSheetId="3">[3]ﾃﾞｰﾀﾍﾞｰｽ変更点!#REF!</definedName>
    <definedName name="B_AREA_INIT">[3]ﾃﾞｰﾀﾍﾞｰｽ変更点!#REF!</definedName>
    <definedName name="B_AREA_MASTER" localSheetId="6">[3]ﾃﾞｰﾀﾍﾞｰｽ変更点!#REF!</definedName>
    <definedName name="B_AREA_MASTER" localSheetId="3">[3]ﾃﾞｰﾀﾍﾞｰｽ変更点!#REF!</definedName>
    <definedName name="B_AREA_MASTER">[3]ﾃﾞｰﾀﾍﾞｰｽ変更点!#REF!</definedName>
    <definedName name="B_ASK" localSheetId="6">[3]ﾃﾞｰﾀﾍﾞｰｽ変更点!#REF!</definedName>
    <definedName name="B_ASK" localSheetId="3">[3]ﾃﾞｰﾀﾍﾞｰｽ変更点!#REF!</definedName>
    <definedName name="B_ASK">[3]ﾃﾞｰﾀﾍﾞｰｽ変更点!#REF!</definedName>
    <definedName name="B_ASK_LOG" localSheetId="6">[5]テーブル設計!#REF!</definedName>
    <definedName name="B_ASK_LOG" localSheetId="3">[5]テーブル設計!#REF!</definedName>
    <definedName name="B_ASK_LOG">[5]テーブル設計!#REF!</definedName>
    <definedName name="B_ASK_SYSTEM" localSheetId="6">[3]ﾃﾞｰﾀﾍﾞｰｽ変更点!#REF!</definedName>
    <definedName name="B_ASK_SYSTEM" localSheetId="3">[3]ﾃﾞｰﾀﾍﾞｰｽ変更点!#REF!</definedName>
    <definedName name="B_ASK_SYSTEM">[3]ﾃﾞｰﾀﾍﾞｰｽ変更点!#REF!</definedName>
    <definedName name="B_ATC_ERROR" localSheetId="6">[5]テーブル設計!#REF!</definedName>
    <definedName name="B_ATC_ERROR" localSheetId="3">[5]テーブル設計!#REF!</definedName>
    <definedName name="B_ATC_ERROR">[5]テーブル設計!#REF!</definedName>
    <definedName name="B_AUTHORITY_GROUP" localSheetId="6">[3]ﾃﾞｰﾀﾍﾞｰｽ変更点!#REF!</definedName>
    <definedName name="B_AUTHORITY_GROUP" localSheetId="3">[3]ﾃﾞｰﾀﾍﾞｰｽ変更点!#REF!</definedName>
    <definedName name="B_AUTHORITY_GROUP">[3]ﾃﾞｰﾀﾍﾞｰｽ変更点!#REF!</definedName>
    <definedName name="B_AUTHORITY_GROUP_DATA" localSheetId="6">[3]ﾃﾞｰﾀﾍﾞｰｽ変更点!#REF!</definedName>
    <definedName name="B_AUTHORITY_GROUP_DATA" localSheetId="3">[3]ﾃﾞｰﾀﾍﾞｰｽ変更点!#REF!</definedName>
    <definedName name="B_AUTHORITY_GROUP_DATA">[3]ﾃﾞｰﾀﾍﾞｰｽ変更点!#REF!</definedName>
    <definedName name="B_AUTHORITY_MASTER" localSheetId="6">[5]テーブル設計!#REF!</definedName>
    <definedName name="B_AUTHORITY_MASTER" localSheetId="3">[5]テーブル設計!#REF!</definedName>
    <definedName name="B_AUTHORITY_MASTER">[5]テーブル設計!#REF!</definedName>
    <definedName name="B_BONDED_STORE" localSheetId="6">[5]テーブル設計!#REF!</definedName>
    <definedName name="B_BONDED_STORE" localSheetId="3">[5]テーブル設計!#REF!</definedName>
    <definedName name="B_BONDED_STORE">[5]テーブル設計!#REF!</definedName>
    <definedName name="B_CAR_DATA" localSheetId="6">[3]ﾃﾞｰﾀﾍﾞｰｽ変更点!#REF!</definedName>
    <definedName name="B_CAR_DATA" localSheetId="3">[3]ﾃﾞｰﾀﾍﾞｰｽ変更点!#REF!</definedName>
    <definedName name="B_CAR_DATA">[3]ﾃﾞｰﾀﾍﾞｰｽ変更点!#REF!</definedName>
    <definedName name="B_CAR_MASTER" localSheetId="6">[3]ﾃﾞｰﾀﾍﾞｰｽ変更点!#REF!</definedName>
    <definedName name="B_CAR_MASTER" localSheetId="3">[3]ﾃﾞｰﾀﾍﾞｰｽ変更点!#REF!</definedName>
    <definedName name="B_CAR_MASTER">[3]ﾃﾞｰﾀﾍﾞｰｽ変更点!#REF!</definedName>
    <definedName name="B_CAR_MONTHLY_DATA" localSheetId="6">[3]ﾃﾞｰﾀﾍﾞｰｽ変更点!#REF!</definedName>
    <definedName name="B_CAR_MONTHLY_DATA" localSheetId="3">[3]ﾃﾞｰﾀﾍﾞｰｽ変更点!#REF!</definedName>
    <definedName name="B_CAR_MONTHLY_DATA">[3]ﾃﾞｰﾀﾍﾞｰｽ変更点!#REF!</definedName>
    <definedName name="B_CAR_OWNER_HISTORY" localSheetId="6">[3]ﾃﾞｰﾀﾍﾞｰｽ変更点!#REF!</definedName>
    <definedName name="B_CAR_OWNER_HISTORY" localSheetId="3">[3]ﾃﾞｰﾀﾍﾞｰｽ変更点!#REF!</definedName>
    <definedName name="B_CAR_OWNER_HISTORY">[3]ﾃﾞｰﾀﾍﾞｰｽ変更点!#REF!</definedName>
    <definedName name="B_CAUTION" localSheetId="6">[4]TableDesign!#REF!</definedName>
    <definedName name="B_CAUTION" localSheetId="3">[4]TableDesign!#REF!</definedName>
    <definedName name="B_CAUTION">[4]TableDesign!#REF!</definedName>
    <definedName name="B_CAUTION_DATA" localSheetId="6">[3]ﾃﾞｰﾀﾍﾞｰｽ変更点!#REF!</definedName>
    <definedName name="B_CAUTION_DATA" localSheetId="3">[3]ﾃﾞｰﾀﾍﾞｰｽ変更点!#REF!</definedName>
    <definedName name="B_CAUTION_DATA">[3]ﾃﾞｰﾀﾍﾞｰｽ変更点!#REF!</definedName>
    <definedName name="B_CAUTION_ENABLED" localSheetId="6">[3]ﾃﾞｰﾀﾍﾞｰｽ変更点!#REF!</definedName>
    <definedName name="B_CAUTION_ENABLED" localSheetId="3">[3]ﾃﾞｰﾀﾍﾞｰｽ変更点!#REF!</definedName>
    <definedName name="B_CAUTION_ENABLED">[3]ﾃﾞｰﾀﾍﾞｰｽ変更点!#REF!</definedName>
    <definedName name="B_CAUTION_ICON" localSheetId="6">[3]ﾃﾞｰﾀﾍﾞｰｽ変更点!#REF!</definedName>
    <definedName name="B_CAUTION_ICON" localSheetId="3">[3]ﾃﾞｰﾀﾍﾞｰｽ変更点!#REF!</definedName>
    <definedName name="B_CAUTION_ICON">[3]ﾃﾞｰﾀﾍﾞｰｽ変更点!#REF!</definedName>
    <definedName name="B_CAUTION_INIT" localSheetId="6">[3]ﾃﾞｰﾀﾍﾞｰｽ変更点!#REF!</definedName>
    <definedName name="B_CAUTION_INIT" localSheetId="3">[3]ﾃﾞｰﾀﾍﾞｰｽ変更点!#REF!</definedName>
    <definedName name="B_CAUTION_INIT">[3]ﾃﾞｰﾀﾍﾞｰｽ変更点!#REF!</definedName>
    <definedName name="B_CAUTION_MASTER" localSheetId="6">[3]ﾃﾞｰﾀﾍﾞｰｽ変更点!#REF!</definedName>
    <definedName name="B_CAUTION_MASTER" localSheetId="3">[3]ﾃﾞｰﾀﾍﾞｰｽ変更点!#REF!</definedName>
    <definedName name="B_CAUTION_MASTER">[3]ﾃﾞｰﾀﾍﾞｰｽ変更点!#REF!</definedName>
    <definedName name="B_CLASS1_MASTER" localSheetId="6">[3]ﾃﾞｰﾀﾍﾞｰｽ変更点!#REF!</definedName>
    <definedName name="B_CLASS1_MASTER" localSheetId="3">[3]ﾃﾞｰﾀﾍﾞｰｽ変更点!#REF!</definedName>
    <definedName name="B_CLASS1_MASTER">[3]ﾃﾞｰﾀﾍﾞｰｽ変更点!#REF!</definedName>
    <definedName name="B_CLASS2_MASTER" localSheetId="6">[3]ﾃﾞｰﾀﾍﾞｰｽ変更点!#REF!</definedName>
    <definedName name="B_CLASS2_MASTER" localSheetId="3">[3]ﾃﾞｰﾀﾍﾞｰｽ変更点!#REF!</definedName>
    <definedName name="B_CLASS2_MASTER">[3]ﾃﾞｰﾀﾍﾞｰｽ変更点!#REF!</definedName>
    <definedName name="B_COMM_DATA" localSheetId="6">[3]ﾃﾞｰﾀﾍﾞｰｽ変更点!#REF!</definedName>
    <definedName name="B_COMM_DATA" localSheetId="3">[3]ﾃﾞｰﾀﾍﾞｰｽ変更点!#REF!</definedName>
    <definedName name="B_COMM_DATA">[3]ﾃﾞｰﾀﾍﾞｰｽ変更点!#REF!</definedName>
    <definedName name="B_COMM_STATUS_MASTER" localSheetId="6">[3]ﾃﾞｰﾀﾍﾞｰｽ変更点!#REF!</definedName>
    <definedName name="B_COMM_STATUS_MASTER" localSheetId="3">[3]ﾃﾞｰﾀﾍﾞｰｽ変更点!#REF!</definedName>
    <definedName name="B_COMM_STATUS_MASTER">[3]ﾃﾞｰﾀﾍﾞｰｽ変更点!#REF!</definedName>
    <definedName name="B_CONFIG_DEFINE" localSheetId="6">[3]ﾃﾞｰﾀﾍﾞｰｽ変更点!#REF!</definedName>
    <definedName name="B_CONFIG_DEFINE" localSheetId="3">[3]ﾃﾞｰﾀﾍﾞｰｽ変更点!#REF!</definedName>
    <definedName name="B_CONFIG_DEFINE">[3]ﾃﾞｰﾀﾍﾞｰｽ変更点!#REF!</definedName>
    <definedName name="B_CONFIG_FLAG" localSheetId="6">[5]テーブル設計!#REF!</definedName>
    <definedName name="B_CONFIG_FLAG" localSheetId="3">[5]テーブル設計!#REF!</definedName>
    <definedName name="B_CONFIG_FLAG">[5]テーブル設計!#REF!</definedName>
    <definedName name="B_CONFIG_INIT" localSheetId="6">[3]ﾃﾞｰﾀﾍﾞｰｽ変更点!#REF!</definedName>
    <definedName name="B_CONFIG_INIT" localSheetId="3">[3]ﾃﾞｰﾀﾍﾞｰｽ変更点!#REF!</definedName>
    <definedName name="B_CONFIG_INIT">[3]ﾃﾞｰﾀﾍﾞｰｽ変更点!#REF!</definedName>
    <definedName name="B_CONFIG_PATTERN" localSheetId="6">[3]ﾃﾞｰﾀﾍﾞｰｽ変更点!#REF!</definedName>
    <definedName name="B_CONFIG_PATTERN" localSheetId="3">[3]ﾃﾞｰﾀﾍﾞｰｽ変更点!#REF!</definedName>
    <definedName name="B_CONFIG_PATTERN">[3]ﾃﾞｰﾀﾍﾞｰｽ変更点!#REF!</definedName>
    <definedName name="B_CONFIG_PATTERN_DATA" localSheetId="6">[3]ﾃﾞｰﾀﾍﾞｰｽ変更点!#REF!</definedName>
    <definedName name="B_CONFIG_PATTERN_DATA" localSheetId="3">[3]ﾃﾞｰﾀﾍﾞｰｽ変更点!#REF!</definedName>
    <definedName name="B_CONFIG_PATTERN_DATA">[3]ﾃﾞｰﾀﾍﾞｰｽ変更点!#REF!</definedName>
    <definedName name="B_CONFIG_USER_FLAG" localSheetId="6">[5]テーブル設計!#REF!</definedName>
    <definedName name="B_CONFIG_USER_FLAG" localSheetId="3">[5]テーブル設計!#REF!</definedName>
    <definedName name="B_CONFIG_USER_FLAG">[5]テーブル設計!#REF!</definedName>
    <definedName name="B_CONTRACT" localSheetId="6">[5]テーブル設計!#REF!</definedName>
    <definedName name="B_CONTRACT" localSheetId="3">[5]テーブル設計!#REF!</definedName>
    <definedName name="B_CONTRACT">[5]テーブル設計!#REF!</definedName>
    <definedName name="B_CUSTOMER" localSheetId="6">[3]ﾃﾞｰﾀﾍﾞｰｽ変更点!#REF!</definedName>
    <definedName name="B_CUSTOMER" localSheetId="3">[3]ﾃﾞｰﾀﾍﾞｰｽ変更点!#REF!</definedName>
    <definedName name="B_CUSTOMER">[3]ﾃﾞｰﾀﾍﾞｰｽ変更点!#REF!</definedName>
    <definedName name="B_CUSTOMER_CAR" localSheetId="6">[3]ﾃﾞｰﾀﾍﾞｰｽ変更点!#REF!</definedName>
    <definedName name="B_CUSTOMER_CAR" localSheetId="3">[3]ﾃﾞｰﾀﾍﾞｰｽ変更点!#REF!</definedName>
    <definedName name="B_CUSTOMER_CAR">[3]ﾃﾞｰﾀﾍﾞｰｽ変更点!#REF!</definedName>
    <definedName name="B_CUSTOMER_MASTER" localSheetId="6">[4]TableDesign!#REF!</definedName>
    <definedName name="B_CUSTOMER_MASTER" localSheetId="3">[4]TableDesign!#REF!</definedName>
    <definedName name="B_CUSTOMER_MASTER">[4]TableDesign!#REF!</definedName>
    <definedName name="B_DIVISION_MASTER" localSheetId="6">[3]ﾃﾞｰﾀﾍﾞｰｽ変更点!#REF!</definedName>
    <definedName name="B_DIVISION_MASTER" localSheetId="3">[3]ﾃﾞｰﾀﾍﾞｰｽ変更点!#REF!</definedName>
    <definedName name="B_DIVISION_MASTER">[3]ﾃﾞｰﾀﾍﾞｰｽ変更点!#REF!</definedName>
    <definedName name="B_DOPA" localSheetId="6">[3]ﾃﾞｰﾀﾍﾞｰｽ変更点!#REF!</definedName>
    <definedName name="B_DOPA" localSheetId="3">[3]ﾃﾞｰﾀﾍﾞｰｽ変更点!#REF!</definedName>
    <definedName name="B_DOPA">[3]ﾃﾞｰﾀﾍﾞｰｽ変更点!#REF!</definedName>
    <definedName name="B_DOPA_OWNER_HISTORY" localSheetId="6">[3]ﾃﾞｰﾀﾍﾞｰｽ変更点!#REF!</definedName>
    <definedName name="B_DOPA_OWNER_HISTORY" localSheetId="3">[3]ﾃﾞｰﾀﾍﾞｰｽ変更点!#REF!</definedName>
    <definedName name="B_DOPA_OWNER_HISTORY">[3]ﾃﾞｰﾀﾍﾞｰｽ変更点!#REF!</definedName>
    <definedName name="B_DOPA_SERVER" localSheetId="6">[3]ﾃﾞｰﾀﾍﾞｰｽ変更点!#REF!</definedName>
    <definedName name="B_DOPA_SERVER" localSheetId="3">[3]ﾃﾞｰﾀﾍﾞｰｽ変更点!#REF!</definedName>
    <definedName name="B_DOPA_SERVER">[3]ﾃﾞｰﾀﾍﾞｰｽ変更点!#REF!</definedName>
    <definedName name="B_EQUIPMENT_HISTORY" localSheetId="6">[3]ﾃﾞｰﾀﾍﾞｰｽ変更点!#REF!</definedName>
    <definedName name="B_EQUIPMENT_HISTORY" localSheetId="3">[3]ﾃﾞｰﾀﾍﾞｰｽ変更点!#REF!</definedName>
    <definedName name="B_EQUIPMENT_HISTORY">[3]ﾃﾞｰﾀﾍﾞｰｽ変更点!#REF!</definedName>
    <definedName name="B_ERROR" localSheetId="6">[3]ﾃﾞｰﾀﾍﾞｰｽ変更点!#REF!</definedName>
    <definedName name="B_ERROR" localSheetId="3">[3]ﾃﾞｰﾀﾍﾞｰｽ変更点!#REF!</definedName>
    <definedName name="B_ERROR">[3]ﾃﾞｰﾀﾍﾞｰｽ変更点!#REF!</definedName>
    <definedName name="B_ERROR_ENABLED" localSheetId="6">[3]ﾃﾞｰﾀﾍﾞｰｽ変更点!#REF!</definedName>
    <definedName name="B_ERROR_ENABLED" localSheetId="3">[3]ﾃﾞｰﾀﾍﾞｰｽ変更点!#REF!</definedName>
    <definedName name="B_ERROR_ENABLED">[3]ﾃﾞｰﾀﾍﾞｰｽ変更点!#REF!</definedName>
    <definedName name="B_ERROR_MASTER" localSheetId="6">[3]ﾃﾞｰﾀﾍﾞｰｽ変更点!#REF!</definedName>
    <definedName name="B_ERROR_MASTER" localSheetId="3">[3]ﾃﾞｰﾀﾍﾞｰｽ変更点!#REF!</definedName>
    <definedName name="B_ERROR_MASTER">[3]ﾃﾞｰﾀﾍﾞｰｽ変更点!#REF!</definedName>
    <definedName name="B_EVENT_CATEGORY" localSheetId="6">[4]TableDesign!#REF!</definedName>
    <definedName name="B_EVENT_CATEGORY" localSheetId="3">[4]TableDesign!#REF!</definedName>
    <definedName name="B_EVENT_CATEGORY">[4]TableDesign!#REF!</definedName>
    <definedName name="B_EVENT_DIVISION" localSheetId="6">[3]ﾃﾞｰﾀﾍﾞｰｽ変更点!#REF!</definedName>
    <definedName name="B_EVENT_DIVISION" localSheetId="3">[3]ﾃﾞｰﾀﾍﾞｰｽ変更点!#REF!</definedName>
    <definedName name="B_EVENT_DIVISION">[3]ﾃﾞｰﾀﾍﾞｰｽ変更点!#REF!</definedName>
    <definedName name="B_EVENT_MASTER" localSheetId="6">[3]ﾃﾞｰﾀﾍﾞｰｽ変更点!#REF!</definedName>
    <definedName name="B_EVENT_MASTER" localSheetId="3">[3]ﾃﾞｰﾀﾍﾞｰｽ変更点!#REF!</definedName>
    <definedName name="B_EVENT_MASTER">[3]ﾃﾞｰﾀﾍﾞｰｽ変更点!#REF!</definedName>
    <definedName name="B_EVENT_NOTICE" localSheetId="6">[3]ﾃﾞｰﾀﾍﾞｰｽ変更点!#REF!</definedName>
    <definedName name="B_EVENT_NOTICE" localSheetId="3">[3]ﾃﾞｰﾀﾍﾞｰｽ変更点!#REF!</definedName>
    <definedName name="B_EVENT_NOTICE">[3]ﾃﾞｰﾀﾍﾞｰｽ変更点!#REF!</definedName>
    <definedName name="B_FUEL_GAUGE" localSheetId="6">[4]TableDesign!#REF!</definedName>
    <definedName name="B_FUEL_GAUGE" localSheetId="3">[4]TableDesign!#REF!</definedName>
    <definedName name="B_FUEL_GAUGE">[4]TableDesign!#REF!</definedName>
    <definedName name="B_GAUGE_FUEL_WTTEMP" localSheetId="6">[3]ﾃﾞｰﾀﾍﾞｰｽ変更点!#REF!</definedName>
    <definedName name="B_GAUGE_FUEL_WTTEMP" localSheetId="3">[3]ﾃﾞｰﾀﾍﾞｰｽ変更点!#REF!</definedName>
    <definedName name="B_GAUGE_FUEL_WTTEMP">[3]ﾃﾞｰﾀﾍﾞｰｽ変更点!#REF!</definedName>
    <definedName name="B_GIS_DEFINE" localSheetId="6">[4]TableDesign!#REF!</definedName>
    <definedName name="B_GIS_DEFINE" localSheetId="3">[4]TableDesign!#REF!</definedName>
    <definedName name="B_GIS_DEFINE">[4]TableDesign!#REF!</definedName>
    <definedName name="B_GPS" localSheetId="6">[3]ﾃﾞｰﾀﾍﾞｰｽ変更点!#REF!</definedName>
    <definedName name="B_GPS" localSheetId="3">[3]ﾃﾞｰﾀﾍﾞｰｽ変更点!#REF!</definedName>
    <definedName name="B_GPS">[3]ﾃﾞｰﾀﾍﾞｰｽ変更点!#REF!</definedName>
    <definedName name="B_GRANT_AUTHORITY" localSheetId="6">[3]ﾃﾞｰﾀﾍﾞｰｽ変更点!#REF!</definedName>
    <definedName name="B_GRANT_AUTHORITY" localSheetId="3">[3]ﾃﾞｰﾀﾍﾞｰｽ変更点!#REF!</definedName>
    <definedName name="B_GRANT_AUTHORITY">[3]ﾃﾞｰﾀﾍﾞｰｽ変更点!#REF!</definedName>
    <definedName name="B_GROUP_MASTER" localSheetId="6">[3]ﾃﾞｰﾀﾍﾞｰｽ変更点!#REF!</definedName>
    <definedName name="B_GROUP_MASTER" localSheetId="3">[3]ﾃﾞｰﾀﾍﾞｰｽ変更点!#REF!</definedName>
    <definedName name="B_GROUP_MASTER">[3]ﾃﾞｰﾀﾍﾞｰｽ変更点!#REF!</definedName>
    <definedName name="B_IGNORE_CAUTION" localSheetId="6">[5]テーブル設計!#REF!</definedName>
    <definedName name="B_IGNORE_CAUTION" localSheetId="3">[5]テーブル設計!#REF!</definedName>
    <definedName name="B_IGNORE_CAUTION">[5]テーブル設計!#REF!</definedName>
    <definedName name="B_IGNORE_ERROR" localSheetId="6">[5]テーブル設計!#REF!</definedName>
    <definedName name="B_IGNORE_ERROR" localSheetId="3">[5]テーブル設計!#REF!</definedName>
    <definedName name="B_IGNORE_ERROR">[5]テーブル設計!#REF!</definedName>
    <definedName name="B_INFORM_MASTER" localSheetId="6">[3]ﾃﾞｰﾀﾍﾞｰｽ変更点!#REF!</definedName>
    <definedName name="B_INFORM_MASTER" localSheetId="3">[3]ﾃﾞｰﾀﾍﾞｰｽ変更点!#REF!</definedName>
    <definedName name="B_INFORM_MASTER">[3]ﾃﾞｰﾀﾍﾞｰｽ変更点!#REF!</definedName>
    <definedName name="B_INFORMATION" localSheetId="6">[3]ﾃﾞｰﾀﾍﾞｰｽ変更点!#REF!</definedName>
    <definedName name="B_INFORMATION" localSheetId="3">[3]ﾃﾞｰﾀﾍﾞｰｽ変更点!#REF!</definedName>
    <definedName name="B_INFORMATION">[3]ﾃﾞｰﾀﾍﾞｰｽ変更点!#REF!</definedName>
    <definedName name="B_INFORMATION_READED" localSheetId="6">[3]ﾃﾞｰﾀﾍﾞｰｽ変更点!#REF!</definedName>
    <definedName name="B_INFORMATION_READED" localSheetId="3">[3]ﾃﾞｰﾀﾍﾞｰｽ変更点!#REF!</definedName>
    <definedName name="B_INFORMATION_READED">[3]ﾃﾞｰﾀﾍﾞｰｽ変更点!#REF!</definedName>
    <definedName name="B_INVALID_PART_TERMINAL" localSheetId="6">[5]テーブル設計!#REF!</definedName>
    <definedName name="B_INVALID_PART_TERMINAL" localSheetId="3">[5]テーブル設計!#REF!</definedName>
    <definedName name="B_INVALID_PART_TERMINAL">[5]テーブル設計!#REF!</definedName>
    <definedName name="B_KIND_MASTER" localSheetId="6">[3]ﾃﾞｰﾀﾍﾞｰｽ変更点!#REF!</definedName>
    <definedName name="B_KIND_MASTER" localSheetId="3">[3]ﾃﾞｰﾀﾍﾞｰｽ変更点!#REF!</definedName>
    <definedName name="B_KIND_MASTER">[3]ﾃﾞｰﾀﾍﾞｰｽ変更点!#REF!</definedName>
    <definedName name="B_KRO_APPLICATION" localSheetId="6">[3]ﾃﾞｰﾀﾍﾞｰｽ変更点!#REF!</definedName>
    <definedName name="B_KRO_APPLICATION" localSheetId="3">[3]ﾃﾞｰﾀﾍﾞｰｽ変更点!#REF!</definedName>
    <definedName name="B_KRO_APPLICATION">[3]ﾃﾞｰﾀﾍﾞｰｽ変更点!#REF!</definedName>
    <definedName name="B_KRO_APPLICATION_DATA" localSheetId="6">[3]ﾃﾞｰﾀﾍﾞｰｽ変更点!#REF!</definedName>
    <definedName name="B_KRO_APPLICATION_DATA" localSheetId="3">[3]ﾃﾞｰﾀﾍﾞｰｽ変更点!#REF!</definedName>
    <definedName name="B_KRO_APPLICATION_DATA">[3]ﾃﾞｰﾀﾍﾞｰｽ変更点!#REF!</definedName>
    <definedName name="B_KRO_COMPLETION" localSheetId="6">[3]ﾃﾞｰﾀﾍﾞｰｽ変更点!#REF!</definedName>
    <definedName name="B_KRO_COMPLETION" localSheetId="3">[3]ﾃﾞｰﾀﾍﾞｰｽ変更点!#REF!</definedName>
    <definedName name="B_KRO_COMPLETION">[3]ﾃﾞｰﾀﾍﾞｰｽ変更点!#REF!</definedName>
    <definedName name="B_KRO_COMPLETION_DATA" localSheetId="6">[3]ﾃﾞｰﾀﾍﾞｰｽ変更点!#REF!</definedName>
    <definedName name="B_KRO_COMPLETION_DATA" localSheetId="3">[3]ﾃﾞｰﾀﾍﾞｰｽ変更点!#REF!</definedName>
    <definedName name="B_KRO_COMPLETION_DATA">[3]ﾃﾞｰﾀﾍﾞｰｽ変更点!#REF!</definedName>
    <definedName name="B_KRO_EMERGENCY" localSheetId="6">[5]テーブル設計!#REF!</definedName>
    <definedName name="B_KRO_EMERGENCY" localSheetId="3">[5]テーブル設計!#REF!</definedName>
    <definedName name="B_KRO_EMERGENCY">[5]テーブル設計!#REF!</definedName>
    <definedName name="B_KRO_REPORT" localSheetId="6">[3]ﾃﾞｰﾀﾍﾞｰｽ変更点!#REF!</definedName>
    <definedName name="B_KRO_REPORT" localSheetId="3">[3]ﾃﾞｰﾀﾍﾞｰｽ変更点!#REF!</definedName>
    <definedName name="B_KRO_REPORT">[3]ﾃﾞｰﾀﾍﾞｰｽ変更点!#REF!</definedName>
    <definedName name="B_LANDMARK" localSheetId="6">[3]ﾃﾞｰﾀﾍﾞｰｽ変更点!#REF!</definedName>
    <definedName name="B_LANDMARK" localSheetId="3">[3]ﾃﾞｰﾀﾍﾞｰｽ変更点!#REF!</definedName>
    <definedName name="B_LANDMARK">[3]ﾃﾞｰﾀﾍﾞｰｽ変更点!#REF!</definedName>
    <definedName name="B_LANDMARK_CLASS" localSheetId="6">[3]ﾃﾞｰﾀﾍﾞｰｽ変更点!#REF!</definedName>
    <definedName name="B_LANDMARK_CLASS" localSheetId="3">[3]ﾃﾞｰﾀﾍﾞｰｽ変更点!#REF!</definedName>
    <definedName name="B_LANDMARK_CLASS">[3]ﾃﾞｰﾀﾍﾞｰｽ変更点!#REF!</definedName>
    <definedName name="B_LOGON_HISTORY" localSheetId="6">[3]ﾃﾞｰﾀﾍﾞｰｽ変更点!#REF!</definedName>
    <definedName name="B_LOGON_HISTORY" localSheetId="3">[3]ﾃﾞｰﾀﾍﾞｰｽ変更点!#REF!</definedName>
    <definedName name="B_LOGON_HISTORY">[3]ﾃﾞｰﾀﾍﾞｰｽ変更点!#REF!</definedName>
    <definedName name="B_MACHINE_ERROR" localSheetId="6">[4]TableDesign!#REF!</definedName>
    <definedName name="B_MACHINE_ERROR" localSheetId="3">[4]TableDesign!#REF!</definedName>
    <definedName name="B_MACHINE_ERROR">[4]TableDesign!#REF!</definedName>
    <definedName name="B_MACHINE_STATUS_MASTER" localSheetId="6">[3]ﾃﾞｰﾀﾍﾞｰｽ変更点!#REF!</definedName>
    <definedName name="B_MACHINE_STATUS_MASTER" localSheetId="3">[3]ﾃﾞｰﾀﾍﾞｰｽ変更点!#REF!</definedName>
    <definedName name="B_MACHINE_STATUS_MASTER">[3]ﾃﾞｰﾀﾍﾞｰｽ変更点!#REF!</definedName>
    <definedName name="B_MAINTENANCE_DATA" localSheetId="6">[3]ﾃﾞｰﾀﾍﾞｰｽ変更点!#REF!</definedName>
    <definedName name="B_MAINTENANCE_DATA" localSheetId="3">[3]ﾃﾞｰﾀﾍﾞｰｽ変更点!#REF!</definedName>
    <definedName name="B_MAINTENANCE_DATA">[3]ﾃﾞｰﾀﾍﾞｰｽ変更点!#REF!</definedName>
    <definedName name="B_MAINTENANCE_INFORM" localSheetId="6">[3]ﾃﾞｰﾀﾍﾞｰｽ変更点!#REF!</definedName>
    <definedName name="B_MAINTENANCE_INFORM" localSheetId="3">[3]ﾃﾞｰﾀﾍﾞｰｽ変更点!#REF!</definedName>
    <definedName name="B_MAINTENANCE_INFORM">[3]ﾃﾞｰﾀﾍﾞｰｽ変更点!#REF!</definedName>
    <definedName name="B_MAINTENANCE_MASTER" localSheetId="6">[3]ﾃﾞｰﾀﾍﾞｰｽ変更点!#REF!</definedName>
    <definedName name="B_MAINTENANCE_MASTER" localSheetId="3">[3]ﾃﾞｰﾀﾍﾞｰｽ変更点!#REF!</definedName>
    <definedName name="B_MAINTENANCE_MASTER">[3]ﾃﾞｰﾀﾍﾞｰｽ変更点!#REF!</definedName>
    <definedName name="B_MAINTENANCE_TIME" localSheetId="6">[4]TableDesign!#REF!</definedName>
    <definedName name="B_MAINTENANCE_TIME" localSheetId="3">[4]TableDesign!#REF!</definedName>
    <definedName name="B_MAINTENANCE_TIME">[4]TableDesign!#REF!</definedName>
    <definedName name="B_MAKER_MASTER" localSheetId="6">[3]ﾃﾞｰﾀﾍﾞｰｽ変更点!#REF!</definedName>
    <definedName name="B_MAKER_MASTER" localSheetId="3">[3]ﾃﾞｰﾀﾍﾞｰｽ変更点!#REF!</definedName>
    <definedName name="B_MAKER_MASTER">[3]ﾃﾞｰﾀﾍﾞｰｽ変更点!#REF!</definedName>
    <definedName name="B_MARK_MACHINE" localSheetId="6">[4]TableDesign!#REF!</definedName>
    <definedName name="B_MARK_MACHINE" localSheetId="3">[4]TableDesign!#REF!</definedName>
    <definedName name="B_MARK_MACHINE">[4]TableDesign!#REF!</definedName>
    <definedName name="B_MARK_NOTIFICATION" localSheetId="6">[4]TableDesign!#REF!</definedName>
    <definedName name="B_MARK_NOTIFICATION" localSheetId="3">[4]TableDesign!#REF!</definedName>
    <definedName name="B_MARK_NOTIFICATION">[4]TableDesign!#REF!</definedName>
    <definedName name="B_MARK_NOTIFICATION_DETAIL" localSheetId="6">[4]TableDesign!#REF!</definedName>
    <definedName name="B_MARK_NOTIFICATION_DETAIL" localSheetId="3">[4]TableDesign!#REF!</definedName>
    <definedName name="B_MARK_NOTIFICATION_DETAIL">[4]TableDesign!#REF!</definedName>
    <definedName name="B_MEMO" localSheetId="6">[3]ﾃﾞｰﾀﾍﾞｰｽ変更点!#REF!</definedName>
    <definedName name="B_MEMO" localSheetId="3">[3]ﾃﾞｰﾀﾍﾞｰｽ変更点!#REF!</definedName>
    <definedName name="B_MEMO">[3]ﾃﾞｰﾀﾍﾞｰｽ変更点!#REF!</definedName>
    <definedName name="B_MEMORY_MODIFY" localSheetId="6">[3]ﾃﾞｰﾀﾍﾞｰｽ変更点!#REF!</definedName>
    <definedName name="B_MEMORY_MODIFY" localSheetId="3">[3]ﾃﾞｰﾀﾍﾞｰｽ変更点!#REF!</definedName>
    <definedName name="B_MEMORY_MODIFY">[3]ﾃﾞｰﾀﾍﾞｰｽ変更点!#REF!</definedName>
    <definedName name="B_MEMORY_MODIFY_DATA" localSheetId="6">[3]ﾃﾞｰﾀﾍﾞｰｽ変更点!#REF!</definedName>
    <definedName name="B_MEMORY_MODIFY_DATA" localSheetId="3">[3]ﾃﾞｰﾀﾍﾞｰｽ変更点!#REF!</definedName>
    <definedName name="B_MEMORY_MODIFY_DATA">[3]ﾃﾞｰﾀﾍﾞｰｽ変更点!#REF!</definedName>
    <definedName name="B_MESSAGE" localSheetId="6">[3]ﾃﾞｰﾀﾍﾞｰｽ変更点!#REF!</definedName>
    <definedName name="B_MESSAGE" localSheetId="3">[3]ﾃﾞｰﾀﾍﾞｰｽ変更点!#REF!</definedName>
    <definedName name="B_MESSAGE">[3]ﾃﾞｰﾀﾍﾞｰｽ変更点!#REF!</definedName>
    <definedName name="B_MESSAGE_MASTER" localSheetId="6">[3]ﾃﾞｰﾀﾍﾞｰｽ変更点!#REF!</definedName>
    <definedName name="B_MESSAGE_MASTER" localSheetId="3">[3]ﾃﾞｰﾀﾍﾞｰｽ変更点!#REF!</definedName>
    <definedName name="B_MESSAGE_MASTER">[3]ﾃﾞｰﾀﾍﾞｰｽ変更点!#REF!</definedName>
    <definedName name="B_MONTHLY_ATT_SMR" localSheetId="6">[4]TableDesign!#REF!</definedName>
    <definedName name="B_MONTHLY_ATT_SMR" localSheetId="3">[4]TableDesign!#REF!</definedName>
    <definedName name="B_MONTHLY_ATT_SMR">[4]TableDesign!#REF!</definedName>
    <definedName name="B_MONTHLY_ERROR" localSheetId="6">[4]TableDesign!#REF!</definedName>
    <definedName name="B_MONTHLY_ERROR" localSheetId="3">[4]TableDesign!#REF!</definedName>
    <definedName name="B_MONTHLY_ERROR">[4]TableDesign!#REF!</definedName>
    <definedName name="B_MONTHLY_LOAD" localSheetId="6">[4]TableDesign!#REF!</definedName>
    <definedName name="B_MONTHLY_LOAD" localSheetId="3">[4]TableDesign!#REF!</definedName>
    <definedName name="B_MONTHLY_LOAD">[4]TableDesign!#REF!</definedName>
    <definedName name="B_MONTHLY_MOVEMENT" localSheetId="6">[4]TableDesign!#REF!</definedName>
    <definedName name="B_MONTHLY_MOVEMENT" localSheetId="3">[4]TableDesign!#REF!</definedName>
    <definedName name="B_MONTHLY_MOVEMENT">[4]TableDesign!#REF!</definedName>
    <definedName name="B_MONTHLY_OPERATION" localSheetId="6">[4]TableDesign!#REF!</definedName>
    <definedName name="B_MONTHLY_OPERATION" localSheetId="3">[4]TableDesign!#REF!</definedName>
    <definedName name="B_MONTHLY_OPERATION">[4]TableDesign!#REF!</definedName>
    <definedName name="B_MONTHLY_SMR" localSheetId="6">[4]TableDesign!#REF!</definedName>
    <definedName name="B_MONTHLY_SMR" localSheetId="3">[4]TableDesign!#REF!</definedName>
    <definedName name="B_MONTHLY_SMR">[4]TableDesign!#REF!</definedName>
    <definedName name="B_MONTHLY_WORKING_SMR" localSheetId="6">[4]TableDesign!#REF!</definedName>
    <definedName name="B_MONTHLY_WORKING_SMR" localSheetId="3">[4]TableDesign!#REF!</definedName>
    <definedName name="B_MONTHLY_WORKING_SMR">[4]TableDesign!#REF!</definedName>
    <definedName name="B_MONTLY_LOAD" localSheetId="6">[4]TableDesign!#REF!</definedName>
    <definedName name="B_MONTLY_LOAD" localSheetId="3">[4]TableDesign!#REF!</definedName>
    <definedName name="B_MONTLY_LOAD">[4]TableDesign!#REF!</definedName>
    <definedName name="B_MULTI_OPE" localSheetId="6">[3]ﾃﾞｰﾀﾍﾞｰｽ変更点!#REF!</definedName>
    <definedName name="B_MULTI_OPE" localSheetId="3">[3]ﾃﾞｰﾀﾍﾞｰｽ変更点!#REF!</definedName>
    <definedName name="B_MULTI_OPE">[3]ﾃﾞｰﾀﾍﾞｰｽ変更点!#REF!</definedName>
    <definedName name="B_MULTI_OPE_DATA" localSheetId="6">[5]テーブル設計!#REF!</definedName>
    <definedName name="B_MULTI_OPE_DATA" localSheetId="3">[5]テーブル設計!#REF!</definedName>
    <definedName name="B_MULTI_OPE_DATA">[5]テーブル設計!#REF!</definedName>
    <definedName name="B_NLS_DB_RESOURCE" localSheetId="6">[4]TableDesign!#REF!</definedName>
    <definedName name="B_NLS_DB_RESOURCE" localSheetId="3">[4]TableDesign!#REF!</definedName>
    <definedName name="B_NLS_DB_RESOURCE">[4]TableDesign!#REF!</definedName>
    <definedName name="B_NLS_LANG" localSheetId="6">[4]TableDesign!#REF!</definedName>
    <definedName name="B_NLS_LANG" localSheetId="3">[4]TableDesign!#REF!</definedName>
    <definedName name="B_NLS_LANG">[4]TableDesign!#REF!</definedName>
    <definedName name="B_NLS_RESOURCE" localSheetId="6">[4]TableDesign!#REF!</definedName>
    <definedName name="B_NLS_RESOURCE" localSheetId="3">[4]TableDesign!#REF!</definedName>
    <definedName name="B_NLS_RESOURCE">[4]TableDesign!#REF!</definedName>
    <definedName name="B_NOT_ACTIVE" localSheetId="6">[3]ﾃﾞｰﾀﾍﾞｰｽ変更点!#REF!</definedName>
    <definedName name="B_NOT_ACTIVE" localSheetId="3">[3]ﾃﾞｰﾀﾍﾞｰｽ変更点!#REF!</definedName>
    <definedName name="B_NOT_ACTIVE">[3]ﾃﾞｰﾀﾍﾞｰｽ変更点!#REF!</definedName>
    <definedName name="B_OPERATION_CATEGORY" localSheetId="6">[4]TableDesign!#REF!</definedName>
    <definedName name="B_OPERATION_CATEGORY" localSheetId="3">[4]TableDesign!#REF!</definedName>
    <definedName name="B_OPERATION_CATEGORY">[4]TableDesign!#REF!</definedName>
    <definedName name="B_OPERATION_CLASS" localSheetId="6">[5]テーブル設計!#REF!</definedName>
    <definedName name="B_OPERATION_CLASS" localSheetId="3">[5]テーブル設計!#REF!</definedName>
    <definedName name="B_OPERATION_CLASS">[5]テーブル設計!#REF!</definedName>
    <definedName name="B_OPERATION_LOG" localSheetId="6">[3]ﾃﾞｰﾀﾍﾞｰｽ変更点!#REF!</definedName>
    <definedName name="B_OPERATION_LOG" localSheetId="3">[3]ﾃﾞｰﾀﾍﾞｰｽ変更点!#REF!</definedName>
    <definedName name="B_OPERATION_LOG">[3]ﾃﾞｰﾀﾍﾞｰｽ変更点!#REF!</definedName>
    <definedName name="B_OPERATION_LOG2" localSheetId="6">[5]テーブル設計!#REF!</definedName>
    <definedName name="B_OPERATION_LOG2" localSheetId="3">[5]テーブル設計!#REF!</definedName>
    <definedName name="B_OPERATION_LOG2">[5]テーブル設計!#REF!</definedName>
    <definedName name="B_OPERATION_MAP" localSheetId="6">[4]TableDesign!#REF!</definedName>
    <definedName name="B_OPERATION_MAP" localSheetId="3">[4]TableDesign!#REF!</definedName>
    <definedName name="B_OPERATION_MAP">[4]TableDesign!#REF!</definedName>
    <definedName name="B_OPERATION_MASTER" localSheetId="6">[5]テーブル設計!#REF!</definedName>
    <definedName name="B_OPERATION_MASTER" localSheetId="3">[5]テーブル設計!#REF!</definedName>
    <definedName name="B_OPERATION_MASTER">[5]テーブル設計!#REF!</definedName>
    <definedName name="B_ORBCOMM" localSheetId="6">[3]ﾃﾞｰﾀﾍﾞｰｽ変更点!#REF!</definedName>
    <definedName name="B_ORBCOMM" localSheetId="3">[3]ﾃﾞｰﾀﾍﾞｰｽ変更点!#REF!</definedName>
    <definedName name="B_ORBCOMM">[3]ﾃﾞｰﾀﾍﾞｰｽ変更点!#REF!</definedName>
    <definedName name="B_ORBCOMM_OWNER_HISTORY" localSheetId="6">[3]ﾃﾞｰﾀﾍﾞｰｽ変更点!#REF!</definedName>
    <definedName name="B_ORBCOMM_OWNER_HISTORY" localSheetId="3">[3]ﾃﾞｰﾀﾍﾞｰｽ変更点!#REF!</definedName>
    <definedName name="B_ORBCOMM_OWNER_HISTORY">[3]ﾃﾞｰﾀﾍﾞｰｽ変更点!#REF!</definedName>
    <definedName name="B_PLANT_CAR" localSheetId="6">[5]テーブル設計!#REF!</definedName>
    <definedName name="B_PLANT_CAR" localSheetId="3">[5]テーブル設計!#REF!</definedName>
    <definedName name="B_PLANT_CAR">[5]テーブル設計!#REF!</definedName>
    <definedName name="B_PLANT_ERROR" localSheetId="6">[5]テーブル設計!#REF!</definedName>
    <definedName name="B_PLANT_ERROR" localSheetId="3">[5]テーブル設計!#REF!</definedName>
    <definedName name="B_PLANT_ERROR">[5]テーブル設計!#REF!</definedName>
    <definedName name="B_PLANT_GPS" localSheetId="6">[5]テーブル設計!#REF!</definedName>
    <definedName name="B_PLANT_GPS" localSheetId="3">[5]テーブル設計!#REF!</definedName>
    <definedName name="B_PLANT_GPS">[5]テーブル設計!#REF!</definedName>
    <definedName name="B_PREVENT_THEFT_KEY" localSheetId="6">[3]ﾃﾞｰﾀﾍﾞｰｽ変更点!#REF!</definedName>
    <definedName name="B_PREVENT_THEFT_KEY" localSheetId="3">[3]ﾃﾞｰﾀﾍﾞｰｽ変更点!#REF!</definedName>
    <definedName name="B_PREVENT_THEFT_KEY">[3]ﾃﾞｰﾀﾍﾞｰｽ変更点!#REF!</definedName>
    <definedName name="B_PRIVATE_TARGET_CAR" localSheetId="6">[3]ﾃﾞｰﾀﾍﾞｰｽ変更点!#REF!</definedName>
    <definedName name="B_PRIVATE_TARGET_CAR" localSheetId="3">[3]ﾃﾞｰﾀﾍﾞｰｽ変更点!#REF!</definedName>
    <definedName name="B_PRIVATE_TARGET_CAR">[3]ﾃﾞｰﾀﾍﾞｰｽ変更点!#REF!</definedName>
    <definedName name="B_RECEIVE_LIST" localSheetId="6">[5]テーブル設計!#REF!</definedName>
    <definedName name="B_RECEIVE_LIST" localSheetId="3">[5]テーブル設計!#REF!</definedName>
    <definedName name="B_RECEIVE_LIST">[5]テーブル設計!#REF!</definedName>
    <definedName name="B_RECEIVE_LOG" localSheetId="6">[3]ﾃﾞｰﾀﾍﾞｰｽ変更点!#REF!</definedName>
    <definedName name="B_RECEIVE_LOG" localSheetId="3">[3]ﾃﾞｰﾀﾍﾞｰｽ変更点!#REF!</definedName>
    <definedName name="B_RECEIVE_LOG">[3]ﾃﾞｰﾀﾍﾞｰｽ変更点!#REF!</definedName>
    <definedName name="B_REGION_DATA" localSheetId="6">[4]TableDesign!#REF!</definedName>
    <definedName name="B_REGION_DATA" localSheetId="3">[4]TableDesign!#REF!</definedName>
    <definedName name="B_REGION_DATA">[4]TableDesign!#REF!</definedName>
    <definedName name="B_REGION_MASTER" localSheetId="6">[4]TableDesign!#REF!</definedName>
    <definedName name="B_REGION_MASTER" localSheetId="3">[4]TableDesign!#REF!</definedName>
    <definedName name="B_REGION_MASTER">[4]TableDesign!#REF!</definedName>
    <definedName name="B_RENTAL_TERMINAL" localSheetId="6">[5]テーブル設計!#REF!</definedName>
    <definedName name="B_RENTAL_TERMINAL" localSheetId="3">[5]テーブル設計!#REF!</definedName>
    <definedName name="B_RENTAL_TERMINAL">[5]テーブル設計!#REF!</definedName>
    <definedName name="B_REQUEST" localSheetId="6">[3]ﾃﾞｰﾀﾍﾞｰｽ変更点!#REF!</definedName>
    <definedName name="B_REQUEST" localSheetId="3">[3]ﾃﾞｰﾀﾍﾞｰｽ変更点!#REF!</definedName>
    <definedName name="B_REQUEST">[3]ﾃﾞｰﾀﾍﾞｰｽ変更点!#REF!</definedName>
    <definedName name="B_REQUEST_COUNT" localSheetId="6">[3]ﾃﾞｰﾀﾍﾞｰｽ変更点!#REF!</definedName>
    <definedName name="B_REQUEST_COUNT" localSheetId="3">[3]ﾃﾞｰﾀﾍﾞｰｽ変更点!#REF!</definedName>
    <definedName name="B_REQUEST_COUNT">[3]ﾃﾞｰﾀﾍﾞｰｽ変更点!#REF!</definedName>
    <definedName name="B_REQUEST_LOG" localSheetId="6">[3]ﾃﾞｰﾀﾍﾞｰｽ変更点!#REF!</definedName>
    <definedName name="B_REQUEST_LOG" localSheetId="3">[3]ﾃﾞｰﾀﾍﾞｰｽ変更点!#REF!</definedName>
    <definedName name="B_REQUEST_LOG">[3]ﾃﾞｰﾀﾍﾞｰｽ変更点!#REF!</definedName>
    <definedName name="B_RIVATE_TARGET_CAR" localSheetId="6">[4]TableDesign!#REF!</definedName>
    <definedName name="B_RIVATE_TARGET_CAR" localSheetId="3">[4]TableDesign!#REF!</definedName>
    <definedName name="B_RIVATE_TARGET_CAR">[4]TableDesign!#REF!</definedName>
    <definedName name="B_RUNNING_LOG" localSheetId="6">[3]ﾃﾞｰﾀﾍﾞｰｽ変更点!#REF!</definedName>
    <definedName name="B_RUNNING_LOG" localSheetId="3">[3]ﾃﾞｰﾀﾍﾞｰｽ変更点!#REF!</definedName>
    <definedName name="B_RUNNING_LOG">[3]ﾃﾞｰﾀﾍﾞｰｽ変更点!#REF!</definedName>
    <definedName name="B_SAVE_INFORMATION" localSheetId="6">[5]テーブル設計!#REF!</definedName>
    <definedName name="B_SAVE_INFORMATION" localSheetId="3">[5]テーブル設計!#REF!</definedName>
    <definedName name="B_SAVE_INFORMATION">[5]テーブル設計!#REF!</definedName>
    <definedName name="B_SELFCARINSPECTION" localSheetId="6">[3]ﾃﾞｰﾀﾍﾞｰｽ変更点!#REF!</definedName>
    <definedName name="B_SELFCARINSPECTION" localSheetId="3">[3]ﾃﾞｰﾀﾍﾞｰｽ変更点!#REF!</definedName>
    <definedName name="B_SELFCARINSPECTION">[3]ﾃﾞｰﾀﾍﾞｰｽ変更点!#REF!</definedName>
    <definedName name="B_SEND_LIST" localSheetId="6">[5]テーブル設計!#REF!</definedName>
    <definedName name="B_SEND_LIST" localSheetId="3">[5]テーブル設計!#REF!</definedName>
    <definedName name="B_SEND_LIST">[5]テーブル設計!#REF!</definedName>
    <definedName name="B_SEND_LOG" localSheetId="6">[5]テーブル設計!#REF!</definedName>
    <definedName name="B_SEND_LOG" localSheetId="3">[5]テーブル設計!#REF!</definedName>
    <definedName name="B_SEND_LOG">[5]テーブル設計!#REF!</definedName>
    <definedName name="B_SERVER_COMMUNICATION" localSheetId="6">[4]TableDesign!#REF!</definedName>
    <definedName name="B_SERVER_COMMUNICATION" localSheetId="3">[4]TableDesign!#REF!</definedName>
    <definedName name="B_SERVER_COMMUNICATION">[4]TableDesign!#REF!</definedName>
    <definedName name="B_SERVER_INFORMATION" localSheetId="6">[3]ﾃﾞｰﾀﾍﾞｰｽ変更点!#REF!</definedName>
    <definedName name="B_SERVER_INFORMATION" localSheetId="3">[3]ﾃﾞｰﾀﾍﾞｰｽ変更点!#REF!</definedName>
    <definedName name="B_SERVER_INFORMATION">[3]ﾃﾞｰﾀﾍﾞｰｽ変更点!#REF!</definedName>
    <definedName name="B_SERVICE_METER" localSheetId="6">[3]ﾃﾞｰﾀﾍﾞｰｽ変更点!#REF!</definedName>
    <definedName name="B_SERVICE_METER" localSheetId="3">[3]ﾃﾞｰﾀﾍﾞｰｽ変更点!#REF!</definedName>
    <definedName name="B_SERVICE_METER">[3]ﾃﾞｰﾀﾍﾞｰｽ変更点!#REF!</definedName>
    <definedName name="B_SERVICE_METER2" localSheetId="6">[5]テーブル設計!#REF!</definedName>
    <definedName name="B_SERVICE_METER2" localSheetId="3">[5]テーブル設計!#REF!</definedName>
    <definedName name="B_SERVICE_METER2">[5]テーブル設計!#REF!</definedName>
    <definedName name="B_SERVICEMAN" localSheetId="6">[5]テーブル設計!#REF!</definedName>
    <definedName name="B_SERVICEMAN" localSheetId="3">[5]テーブル設計!#REF!</definedName>
    <definedName name="B_SERVICEMAN">[5]テーブル設計!#REF!</definedName>
    <definedName name="B_SERVICEMAN_CHARGE" localSheetId="6">[5]テーブル設計!#REF!</definedName>
    <definedName name="B_SERVICEMAN_CHARGE" localSheetId="3">[5]テーブル設計!#REF!</definedName>
    <definedName name="B_SERVICEMAN_CHARGE">[5]テーブル設計!#REF!</definedName>
    <definedName name="B_SHIPMENT" localSheetId="6">[3]ﾃﾞｰﾀﾍﾞｰｽ変更点!#REF!</definedName>
    <definedName name="B_SHIPMENT" localSheetId="3">[3]ﾃﾞｰﾀﾍﾞｰｽ変更点!#REF!</definedName>
    <definedName name="B_SHIPMENT">[3]ﾃﾞｰﾀﾍﾞｰｽ変更点!#REF!</definedName>
    <definedName name="B_SHOW" localSheetId="6">[3]ﾃﾞｰﾀﾍﾞｰｽ変更点!#REF!</definedName>
    <definedName name="B_SHOW" localSheetId="3">[3]ﾃﾞｰﾀﾍﾞｰｽ変更点!#REF!</definedName>
    <definedName name="B_SHOW">[3]ﾃﾞｰﾀﾍﾞｰｽ変更点!#REF!</definedName>
    <definedName name="B_SHOW_GROUP" localSheetId="6">[3]ﾃﾞｰﾀﾍﾞｰｽ変更点!#REF!</definedName>
    <definedName name="B_SHOW_GROUP" localSheetId="3">[3]ﾃﾞｰﾀﾍﾞｰｽ変更点!#REF!</definedName>
    <definedName name="B_SHOW_GROUP">[3]ﾃﾞｰﾀﾍﾞｰｽ変更点!#REF!</definedName>
    <definedName name="B_SPECIAL_AREA" localSheetId="6">[3]ﾃﾞｰﾀﾍﾞｰｽ変更点!#REF!</definedName>
    <definedName name="B_SPECIAL_AREA" localSheetId="3">[3]ﾃﾞｰﾀﾍﾞｰｽ変更点!#REF!</definedName>
    <definedName name="B_SPECIAL_AREA">[3]ﾃﾞｰﾀﾍﾞｰｽ変更点!#REF!</definedName>
    <definedName name="B_SUB_GROUP" localSheetId="6">[4]TableDesign!#REF!</definedName>
    <definedName name="B_SUB_GROUP" localSheetId="3">[4]TableDesign!#REF!</definedName>
    <definedName name="B_SUB_GROUP">[4]TableDesign!#REF!</definedName>
    <definedName name="B_SUB_GROUP_CAR" localSheetId="6">[4]TableDesign!#REF!</definedName>
    <definedName name="B_SUB_GROUP_CAR" localSheetId="3">[4]TableDesign!#REF!</definedName>
    <definedName name="B_SUB_GROUP_CAR">[4]TableDesign!#REF!</definedName>
    <definedName name="B_SYSTEM_COMMTERM_INFO" localSheetId="6">[3]ﾃﾞｰﾀﾍﾞｰｽ変更点!#REF!</definedName>
    <definedName name="B_SYSTEM_COMMTERM_INFO" localSheetId="3">[3]ﾃﾞｰﾀﾍﾞｰｽ変更点!#REF!</definedName>
    <definedName name="B_SYSTEM_COMMTERM_INFO">[3]ﾃﾞｰﾀﾍﾞｰｽ変更点!#REF!</definedName>
    <definedName name="B_SYSTEM_LOG" localSheetId="6">[3]ﾃﾞｰﾀﾍﾞｰｽ変更点!#REF!</definedName>
    <definedName name="B_SYSTEM_LOG" localSheetId="3">[3]ﾃﾞｰﾀﾍﾞｰｽ変更点!#REF!</definedName>
    <definedName name="B_SYSTEM_LOG">[3]ﾃﾞｰﾀﾍﾞｰｽ変更点!#REF!</definedName>
    <definedName name="B_SYSTEM_NOTICE" localSheetId="6">[3]ﾃﾞｰﾀﾍﾞｰｽ変更点!#REF!</definedName>
    <definedName name="B_SYSTEM_NOTICE" localSheetId="3">[3]ﾃﾞｰﾀﾍﾞｰｽ変更点!#REF!</definedName>
    <definedName name="B_SYSTEM_NOTICE">[3]ﾃﾞｰﾀﾍﾞｰｽ変更点!#REF!</definedName>
    <definedName name="B_TARGET" localSheetId="6">[3]ﾃﾞｰﾀﾍﾞｰｽ変更点!#REF!</definedName>
    <definedName name="B_TARGET" localSheetId="3">[3]ﾃﾞｰﾀﾍﾞｰｽ変更点!#REF!</definedName>
    <definedName name="B_TARGET">[3]ﾃﾞｰﾀﾍﾞｰｽ変更点!#REF!</definedName>
    <definedName name="B_TARGET_CAR" localSheetId="6">[3]ﾃﾞｰﾀﾍﾞｰｽ変更点!#REF!</definedName>
    <definedName name="B_TARGET_CAR" localSheetId="3">[3]ﾃﾞｰﾀﾍﾞｰｽ変更点!#REF!</definedName>
    <definedName name="B_TARGET_CAR">[3]ﾃﾞｰﾀﾍﾞｰｽ変更点!#REF!</definedName>
    <definedName name="B_TERMINAL_AREA" localSheetId="6">[3]ﾃﾞｰﾀﾍﾞｰｽ変更点!#REF!</definedName>
    <definedName name="B_TERMINAL_AREA" localSheetId="3">[3]ﾃﾞｰﾀﾍﾞｰｽ変更点!#REF!</definedName>
    <definedName name="B_TERMINAL_AREA">[3]ﾃﾞｰﾀﾍﾞｰｽ変更点!#REF!</definedName>
    <definedName name="B_TERMINAL_CAUTION" localSheetId="6">[3]ﾃﾞｰﾀﾍﾞｰｽ変更点!#REF!</definedName>
    <definedName name="B_TERMINAL_CAUTION" localSheetId="3">[3]ﾃﾞｰﾀﾍﾞｰｽ変更点!#REF!</definedName>
    <definedName name="B_TERMINAL_CAUTION">[3]ﾃﾞｰﾀﾍﾞｰｽ変更点!#REF!</definedName>
    <definedName name="B_TERMINAL_ERROR" localSheetId="6">[3]ﾃﾞｰﾀﾍﾞｰｽ変更点!#REF!</definedName>
    <definedName name="B_TERMINAL_ERROR" localSheetId="3">[3]ﾃﾞｰﾀﾍﾞｰｽ変更点!#REF!</definedName>
    <definedName name="B_TERMINAL_ERROR">[3]ﾃﾞｰﾀﾍﾞｰｽ変更点!#REF!</definedName>
    <definedName name="B_TERMINAL_KIND" localSheetId="6">[3]ﾃﾞｰﾀﾍﾞｰｽ変更点!#REF!</definedName>
    <definedName name="B_TERMINAL_KIND" localSheetId="3">[3]ﾃﾞｰﾀﾍﾞｰｽ変更点!#REF!</definedName>
    <definedName name="B_TERMINAL_KIND">[3]ﾃﾞｰﾀﾍﾞｰｽ変更点!#REF!</definedName>
    <definedName name="B_TERMINAL_MASTER" localSheetId="6">[3]ﾃﾞｰﾀﾍﾞｰｽ変更点!#REF!</definedName>
    <definedName name="B_TERMINAL_MASTER" localSheetId="3">[3]ﾃﾞｰﾀﾍﾞｰｽ変更点!#REF!</definedName>
    <definedName name="B_TERMINAL_MASTER">[3]ﾃﾞｰﾀﾍﾞｰｽ変更点!#REF!</definedName>
    <definedName name="B_TERMINAL_PART_MASTER" localSheetId="6">[3]ﾃﾞｰﾀﾍﾞｰｽ変更点!#REF!</definedName>
    <definedName name="B_TERMINAL_PART_MASTER" localSheetId="3">[3]ﾃﾞｰﾀﾍﾞｰｽ変更点!#REF!</definedName>
    <definedName name="B_TERMINAL_PART_MASTER">[3]ﾃﾞｰﾀﾍﾞｰｽ変更点!#REF!</definedName>
    <definedName name="B_TYPE_MASTER" localSheetId="6">[3]ﾃﾞｰﾀﾍﾞｰｽ変更点!#REF!</definedName>
    <definedName name="B_TYPE_MASTER" localSheetId="3">[3]ﾃﾞｰﾀﾍﾞｰｽ変更点!#REF!</definedName>
    <definedName name="B_TYPE_MASTER">[3]ﾃﾞｰﾀﾍﾞｰｽ変更点!#REF!</definedName>
    <definedName name="B_UFO" localSheetId="6">[3]ﾃﾞｰﾀﾍﾞｰｽ変更点!#REF!</definedName>
    <definedName name="B_UFO" localSheetId="3">[3]ﾃﾞｰﾀﾍﾞｰｽ変更点!#REF!</definedName>
    <definedName name="B_UFO">[3]ﾃﾞｰﾀﾍﾞｰｽ変更点!#REF!</definedName>
    <definedName name="B_UNRELIABLE_RECEIVE" localSheetId="6">[3]ﾃﾞｰﾀﾍﾞｰｽ変更点!#REF!</definedName>
    <definedName name="B_UNRELIABLE_RECEIVE" localSheetId="3">[3]ﾃﾞｰﾀﾍﾞｰｽ変更点!#REF!</definedName>
    <definedName name="B_UNRELIABLE_RECEIVE">[3]ﾃﾞｰﾀﾍﾞｰｽ変更点!#REF!</definedName>
    <definedName name="B_USER_MASTER" localSheetId="6">[3]ﾃﾞｰﾀﾍﾞｰｽ変更点!#REF!</definedName>
    <definedName name="B_USER_MASTER" localSheetId="3">[3]ﾃﾞｰﾀﾍﾞｰｽ変更点!#REF!</definedName>
    <definedName name="B_USER_MASTER">[3]ﾃﾞｰﾀﾍﾞｰｽ変更点!#REF!</definedName>
    <definedName name="B_USER_TEMP" localSheetId="6">[3]ﾃﾞｰﾀﾍﾞｰｽ変更点!#REF!</definedName>
    <definedName name="B_USER_TEMP" localSheetId="3">[3]ﾃﾞｰﾀﾍﾞｰｽ変更点!#REF!</definedName>
    <definedName name="B_USER_TEMP">[3]ﾃﾞｰﾀﾍﾞｰｽ変更点!#REF!</definedName>
    <definedName name="B_WATER_TEMP_GAUGE" localSheetId="6">[4]TableDesign!#REF!</definedName>
    <definedName name="B_WATER_TEMP_GAUGE" localSheetId="3">[4]TableDesign!#REF!</definedName>
    <definedName name="B_WATER_TEMP_GAUGE">[4]TableDesign!#REF!</definedName>
    <definedName name="BB" localSheetId="6">'[8]DATA-COMMUNICATION-FORMAT'!#REF!</definedName>
    <definedName name="BB" localSheetId="3">'[8]DATA-COMMUNICATION-FORMAT'!#REF!</definedName>
    <definedName name="BB">'[8]DATA-COMMUNICATION-FORMAT'!#REF!</definedName>
    <definedName name="bbb" localSheetId="6" hidden="1">#REF!</definedName>
    <definedName name="bbb" localSheetId="2" hidden="1">#REF!</definedName>
    <definedName name="bbb" localSheetId="3"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6">[5]テーブル設計!#REF!</definedName>
    <definedName name="BINVALID_PART_TERMINAL" localSheetId="3">[5]テーブル設計!#REF!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6">[3]ﾃﾞｰﾀﾍﾞｰｽ変更点!#REF!</definedName>
    <definedName name="C_ACT_DATA" localSheetId="3">[3]ﾃﾞｰﾀﾍﾞｰｽ変更点!#REF!</definedName>
    <definedName name="C_ACT_DATA">[3]ﾃﾞｰﾀﾍﾞｰｽ変更点!#REF!</definedName>
    <definedName name="C_ACTUAL_OPERATION" localSheetId="6">[4]TableDesign!#REF!</definedName>
    <definedName name="C_ACTUAL_OPERATION" localSheetId="3">[4]TableDesign!#REF!</definedName>
    <definedName name="C_ACTUAL_OPERATION">[4]TableDesign!#REF!</definedName>
    <definedName name="C_AREA" localSheetId="6">[3]ﾃﾞｰﾀﾍﾞｰｽ変更点!#REF!</definedName>
    <definedName name="C_AREA" localSheetId="3">[3]ﾃﾞｰﾀﾍﾞｰｽ変更点!#REF!</definedName>
    <definedName name="C_AREA">[3]ﾃﾞｰﾀﾍﾞｰｽ変更点!#REF!</definedName>
    <definedName name="C_AREA_DEFINE" localSheetId="6">[3]ﾃﾞｰﾀﾍﾞｰｽ変更点!#REF!</definedName>
    <definedName name="C_AREA_DEFINE" localSheetId="3">[3]ﾃﾞｰﾀﾍﾞｰｽ変更点!#REF!</definedName>
    <definedName name="C_AREA_DEFINE">[3]ﾃﾞｰﾀﾍﾞｰｽ変更点!#REF!</definedName>
    <definedName name="C_AREA_INIT" localSheetId="6">[3]ﾃﾞｰﾀﾍﾞｰｽ変更点!#REF!</definedName>
    <definedName name="C_AREA_INIT" localSheetId="3">[3]ﾃﾞｰﾀﾍﾞｰｽ変更点!#REF!</definedName>
    <definedName name="C_AREA_INIT">[3]ﾃﾞｰﾀﾍﾞｰｽ変更点!#REF!</definedName>
    <definedName name="C_AREA_MASTER" localSheetId="6">[3]ﾃﾞｰﾀﾍﾞｰｽ変更点!#REF!</definedName>
    <definedName name="C_AREA_MASTER" localSheetId="3">[3]ﾃﾞｰﾀﾍﾞｰｽ変更点!#REF!</definedName>
    <definedName name="C_AREA_MASTER">[3]ﾃﾞｰﾀﾍﾞｰｽ変更点!#REF!</definedName>
    <definedName name="C_ASK" localSheetId="6">[3]ﾃﾞｰﾀﾍﾞｰｽ変更点!#REF!</definedName>
    <definedName name="C_ASK" localSheetId="3">[3]ﾃﾞｰﾀﾍﾞｰｽ変更点!#REF!</definedName>
    <definedName name="C_ASK">[3]ﾃﾞｰﾀﾍﾞｰｽ変更点!#REF!</definedName>
    <definedName name="C_ASK_LOG" localSheetId="6">[5]テーブル設計!#REF!</definedName>
    <definedName name="C_ASK_LOG" localSheetId="3">[5]テーブル設計!#REF!</definedName>
    <definedName name="C_ASK_LOG">[5]テーブル設計!#REF!</definedName>
    <definedName name="C_ASK_SYSTEM" localSheetId="6">[3]ﾃﾞｰﾀﾍﾞｰｽ変更点!#REF!</definedName>
    <definedName name="C_ASK_SYSTEM" localSheetId="3">[3]ﾃﾞｰﾀﾍﾞｰｽ変更点!#REF!</definedName>
    <definedName name="C_ASK_SYSTEM">[3]ﾃﾞｰﾀﾍﾞｰｽ変更点!#REF!</definedName>
    <definedName name="C_ATC_ERROR" localSheetId="6">[5]テーブル設計!#REF!</definedName>
    <definedName name="C_ATC_ERROR" localSheetId="3">[5]テーブル設計!#REF!</definedName>
    <definedName name="C_ATC_ERROR">[5]テーブル設計!#REF!</definedName>
    <definedName name="C_AUTHORITY_GROUP" localSheetId="6">[3]ﾃﾞｰﾀﾍﾞｰｽ変更点!#REF!</definedName>
    <definedName name="C_AUTHORITY_GROUP" localSheetId="3">[3]ﾃﾞｰﾀﾍﾞｰｽ変更点!#REF!</definedName>
    <definedName name="C_AUTHORITY_GROUP">[3]ﾃﾞｰﾀﾍﾞｰｽ変更点!#REF!</definedName>
    <definedName name="C_AUTHORITY_GROUP_DATA" localSheetId="6">[3]ﾃﾞｰﾀﾍﾞｰｽ変更点!#REF!</definedName>
    <definedName name="C_AUTHORITY_GROUP_DATA" localSheetId="3">[3]ﾃﾞｰﾀﾍﾞｰｽ変更点!#REF!</definedName>
    <definedName name="C_AUTHORITY_GROUP_DATA">[3]ﾃﾞｰﾀﾍﾞｰｽ変更点!#REF!</definedName>
    <definedName name="C_AUTHORITY_MASTER" localSheetId="6">[5]テーブル設計!#REF!</definedName>
    <definedName name="C_AUTHORITY_MASTER" localSheetId="3">[5]テーブル設計!#REF!</definedName>
    <definedName name="C_AUTHORITY_MASTER">[5]テーブル設計!#REF!</definedName>
    <definedName name="C_BONDED_STORE" localSheetId="6">[5]テーブル設計!#REF!</definedName>
    <definedName name="C_BONDED_STORE" localSheetId="3">[5]テーブル設計!#REF!</definedName>
    <definedName name="C_BONDED_STORE">[5]テーブル設計!#REF!</definedName>
    <definedName name="C_CAR_DATA" localSheetId="6">[3]ﾃﾞｰﾀﾍﾞｰｽ変更点!#REF!</definedName>
    <definedName name="C_CAR_DATA" localSheetId="3">[3]ﾃﾞｰﾀﾍﾞｰｽ変更点!#REF!</definedName>
    <definedName name="C_CAR_DATA">[3]ﾃﾞｰﾀﾍﾞｰｽ変更点!#REF!</definedName>
    <definedName name="C_CAR_MASTER" localSheetId="6">[3]ﾃﾞｰﾀﾍﾞｰｽ変更点!#REF!</definedName>
    <definedName name="C_CAR_MASTER" localSheetId="3">[3]ﾃﾞｰﾀﾍﾞｰｽ変更点!#REF!</definedName>
    <definedName name="C_CAR_MASTER">[3]ﾃﾞｰﾀﾍﾞｰｽ変更点!#REF!</definedName>
    <definedName name="C_CAR_MONTHLY_DATA" localSheetId="6">[3]ﾃﾞｰﾀﾍﾞｰｽ変更点!#REF!</definedName>
    <definedName name="C_CAR_MONTHLY_DATA" localSheetId="3">[3]ﾃﾞｰﾀﾍﾞｰｽ変更点!#REF!</definedName>
    <definedName name="C_CAR_MONTHLY_DATA">[3]ﾃﾞｰﾀﾍﾞｰｽ変更点!#REF!</definedName>
    <definedName name="C_CAR_OWNER_HISTORY" localSheetId="6">[3]ﾃﾞｰﾀﾍﾞｰｽ変更点!#REF!</definedName>
    <definedName name="C_CAR_OWNER_HISTORY" localSheetId="3">[3]ﾃﾞｰﾀﾍﾞｰｽ変更点!#REF!</definedName>
    <definedName name="C_CAR_OWNER_HISTORY">[3]ﾃﾞｰﾀﾍﾞｰｽ変更点!#REF!</definedName>
    <definedName name="C_CAUTION" localSheetId="6">[4]TableDesign!#REF!</definedName>
    <definedName name="C_CAUTION" localSheetId="3">[4]TableDesign!#REF!</definedName>
    <definedName name="C_CAUTION">[4]TableDesign!#REF!</definedName>
    <definedName name="C_CAUTION_DATA" localSheetId="6">[3]ﾃﾞｰﾀﾍﾞｰｽ変更点!#REF!</definedName>
    <definedName name="C_CAUTION_DATA" localSheetId="3">[3]ﾃﾞｰﾀﾍﾞｰｽ変更点!#REF!</definedName>
    <definedName name="C_CAUTION_DATA">[3]ﾃﾞｰﾀﾍﾞｰｽ変更点!#REF!</definedName>
    <definedName name="C_CAUTION_ENABLED" localSheetId="6">[3]ﾃﾞｰﾀﾍﾞｰｽ変更点!#REF!</definedName>
    <definedName name="C_CAUTION_ENABLED" localSheetId="3">[3]ﾃﾞｰﾀﾍﾞｰｽ変更点!#REF!</definedName>
    <definedName name="C_CAUTION_ENABLED">[3]ﾃﾞｰﾀﾍﾞｰｽ変更点!#REF!</definedName>
    <definedName name="C_CAUTION_ICON" localSheetId="6">[3]ﾃﾞｰﾀﾍﾞｰｽ変更点!#REF!</definedName>
    <definedName name="C_CAUTION_ICON" localSheetId="3">[3]ﾃﾞｰﾀﾍﾞｰｽ変更点!#REF!</definedName>
    <definedName name="C_CAUTION_ICON">[3]ﾃﾞｰﾀﾍﾞｰｽ変更点!#REF!</definedName>
    <definedName name="C_CAUTION_INIT" localSheetId="6">[3]ﾃﾞｰﾀﾍﾞｰｽ変更点!#REF!</definedName>
    <definedName name="C_CAUTION_INIT" localSheetId="3">[3]ﾃﾞｰﾀﾍﾞｰｽ変更点!#REF!</definedName>
    <definedName name="C_CAUTION_INIT">[3]ﾃﾞｰﾀﾍﾞｰｽ変更点!#REF!</definedName>
    <definedName name="C_CAUTION_MASTER" localSheetId="6">[3]ﾃﾞｰﾀﾍﾞｰｽ変更点!#REF!</definedName>
    <definedName name="C_CAUTION_MASTER" localSheetId="3">[3]ﾃﾞｰﾀﾍﾞｰｽ変更点!#REF!</definedName>
    <definedName name="C_CAUTION_MASTER">[3]ﾃﾞｰﾀﾍﾞｰｽ変更点!#REF!</definedName>
    <definedName name="C_CLASS1_MASTER" localSheetId="6">[3]ﾃﾞｰﾀﾍﾞｰｽ変更点!#REF!</definedName>
    <definedName name="C_CLASS1_MASTER" localSheetId="3">[3]ﾃﾞｰﾀﾍﾞｰｽ変更点!#REF!</definedName>
    <definedName name="C_CLASS1_MASTER">[3]ﾃﾞｰﾀﾍﾞｰｽ変更点!#REF!</definedName>
    <definedName name="C_CLASS2_MASTER" localSheetId="6">[3]ﾃﾞｰﾀﾍﾞｰｽ変更点!#REF!</definedName>
    <definedName name="C_CLASS2_MASTER" localSheetId="3">[3]ﾃﾞｰﾀﾍﾞｰｽ変更点!#REF!</definedName>
    <definedName name="C_CLASS2_MASTER">[3]ﾃﾞｰﾀﾍﾞｰｽ変更点!#REF!</definedName>
    <definedName name="C_COMM_DATA" localSheetId="6">[3]ﾃﾞｰﾀﾍﾞｰｽ変更点!#REF!</definedName>
    <definedName name="C_COMM_DATA" localSheetId="3">[3]ﾃﾞｰﾀﾍﾞｰｽ変更点!#REF!</definedName>
    <definedName name="C_COMM_DATA">[3]ﾃﾞｰﾀﾍﾞｰｽ変更点!#REF!</definedName>
    <definedName name="C_COMM_STATUS_MASTER" localSheetId="6">[3]ﾃﾞｰﾀﾍﾞｰｽ変更点!#REF!</definedName>
    <definedName name="C_COMM_STATUS_MASTER" localSheetId="3">[3]ﾃﾞｰﾀﾍﾞｰｽ変更点!#REF!</definedName>
    <definedName name="C_COMM_STATUS_MASTER">[3]ﾃﾞｰﾀﾍﾞｰｽ変更点!#REF!</definedName>
    <definedName name="C_CONFIG_DEFINE" localSheetId="6">[3]ﾃﾞｰﾀﾍﾞｰｽ変更点!#REF!</definedName>
    <definedName name="C_CONFIG_DEFINE" localSheetId="3">[3]ﾃﾞｰﾀﾍﾞｰｽ変更点!#REF!</definedName>
    <definedName name="C_CONFIG_DEFINE">[3]ﾃﾞｰﾀﾍﾞｰｽ変更点!#REF!</definedName>
    <definedName name="C_CONFIG_FLAG" localSheetId="6">[5]テーブル設計!#REF!</definedName>
    <definedName name="C_CONFIG_FLAG" localSheetId="3">[5]テーブル設計!#REF!</definedName>
    <definedName name="C_CONFIG_FLAG">[5]テーブル設計!#REF!</definedName>
    <definedName name="C_CONFIG_INIT" localSheetId="6">[3]ﾃﾞｰﾀﾍﾞｰｽ変更点!#REF!</definedName>
    <definedName name="C_CONFIG_INIT" localSheetId="3">[3]ﾃﾞｰﾀﾍﾞｰｽ変更点!#REF!</definedName>
    <definedName name="C_CONFIG_INIT">[3]ﾃﾞｰﾀﾍﾞｰｽ変更点!#REF!</definedName>
    <definedName name="C_CONFIG_PATTERN" localSheetId="6">[3]ﾃﾞｰﾀﾍﾞｰｽ変更点!#REF!</definedName>
    <definedName name="C_CONFIG_PATTERN" localSheetId="3">[3]ﾃﾞｰﾀﾍﾞｰｽ変更点!#REF!</definedName>
    <definedName name="C_CONFIG_PATTERN">[3]ﾃﾞｰﾀﾍﾞｰｽ変更点!#REF!</definedName>
    <definedName name="C_CONFIG_PATTERN_DATA" localSheetId="6">[3]ﾃﾞｰﾀﾍﾞｰｽ変更点!#REF!</definedName>
    <definedName name="C_CONFIG_PATTERN_DATA" localSheetId="3">[3]ﾃﾞｰﾀﾍﾞｰｽ変更点!#REF!</definedName>
    <definedName name="C_CONFIG_PATTERN_DATA">[3]ﾃﾞｰﾀﾍﾞｰｽ変更点!#REF!</definedName>
    <definedName name="C_CONFIG_USER_FLAG" localSheetId="6">[5]テーブル設計!#REF!</definedName>
    <definedName name="C_CONFIG_USER_FLAG" localSheetId="3">[5]テーブル設計!#REF!</definedName>
    <definedName name="C_CONFIG_USER_FLAG">[5]テーブル設計!#REF!</definedName>
    <definedName name="C_CONTRACT" localSheetId="6">[5]テーブル設計!#REF!</definedName>
    <definedName name="C_CONTRACT" localSheetId="3">[5]テーブル設計!#REF!</definedName>
    <definedName name="C_CONTRACT">[5]テーブル設計!#REF!</definedName>
    <definedName name="C_CUSTOMER" localSheetId="6">[3]ﾃﾞｰﾀﾍﾞｰｽ変更点!#REF!</definedName>
    <definedName name="C_CUSTOMER" localSheetId="3">[3]ﾃﾞｰﾀﾍﾞｰｽ変更点!#REF!</definedName>
    <definedName name="C_CUSTOMER">[3]ﾃﾞｰﾀﾍﾞｰｽ変更点!#REF!</definedName>
    <definedName name="C_CUSTOMER_CAR" localSheetId="6">[3]ﾃﾞｰﾀﾍﾞｰｽ変更点!#REF!</definedName>
    <definedName name="C_CUSTOMER_CAR" localSheetId="3">[3]ﾃﾞｰﾀﾍﾞｰｽ変更点!#REF!</definedName>
    <definedName name="C_CUSTOMER_CAR">[3]ﾃﾞｰﾀﾍﾞｰｽ変更点!#REF!</definedName>
    <definedName name="C_CUSTOMER_MASTER" localSheetId="6">[4]TableDesign!#REF!</definedName>
    <definedName name="C_CUSTOMER_MASTER" localSheetId="3">[4]TableDesign!#REF!</definedName>
    <definedName name="C_CUSTOMER_MASTER">[4]TableDesign!#REF!</definedName>
    <definedName name="C_DIVISION_MASTER" localSheetId="6">[3]ﾃﾞｰﾀﾍﾞｰｽ変更点!#REF!</definedName>
    <definedName name="C_DIVISION_MASTER" localSheetId="3">[3]ﾃﾞｰﾀﾍﾞｰｽ変更点!#REF!</definedName>
    <definedName name="C_DIVISION_MASTER">[3]ﾃﾞｰﾀﾍﾞｰｽ変更点!#REF!</definedName>
    <definedName name="C_DOPA" localSheetId="6">[3]ﾃﾞｰﾀﾍﾞｰｽ変更点!#REF!</definedName>
    <definedName name="C_DOPA" localSheetId="3">[3]ﾃﾞｰﾀﾍﾞｰｽ変更点!#REF!</definedName>
    <definedName name="C_DOPA">[3]ﾃﾞｰﾀﾍﾞｰｽ変更点!#REF!</definedName>
    <definedName name="C_DOPA_OWNER_HISTORY" localSheetId="6">[3]ﾃﾞｰﾀﾍﾞｰｽ変更点!#REF!</definedName>
    <definedName name="C_DOPA_OWNER_HISTORY" localSheetId="3">[3]ﾃﾞｰﾀﾍﾞｰｽ変更点!#REF!</definedName>
    <definedName name="C_DOPA_OWNER_HISTORY">[3]ﾃﾞｰﾀﾍﾞｰｽ変更点!#REF!</definedName>
    <definedName name="C_DOPA_SERVER" localSheetId="6">[3]ﾃﾞｰﾀﾍﾞｰｽ変更点!#REF!</definedName>
    <definedName name="C_DOPA_SERVER" localSheetId="3">[3]ﾃﾞｰﾀﾍﾞｰｽ変更点!#REF!</definedName>
    <definedName name="C_DOPA_SERVER">[3]ﾃﾞｰﾀﾍﾞｰｽ変更点!#REF!</definedName>
    <definedName name="C_EQUIPMENT_HISTORY" localSheetId="6">[3]ﾃﾞｰﾀﾍﾞｰｽ変更点!#REF!</definedName>
    <definedName name="C_EQUIPMENT_HISTORY" localSheetId="3">[3]ﾃﾞｰﾀﾍﾞｰｽ変更点!#REF!</definedName>
    <definedName name="C_EQUIPMENT_HISTORY">[3]ﾃﾞｰﾀﾍﾞｰｽ変更点!#REF!</definedName>
    <definedName name="C_ERROR" localSheetId="6">[3]ﾃﾞｰﾀﾍﾞｰｽ変更点!#REF!</definedName>
    <definedName name="C_ERROR" localSheetId="3">[3]ﾃﾞｰﾀﾍﾞｰｽ変更点!#REF!</definedName>
    <definedName name="C_ERROR">[3]ﾃﾞｰﾀﾍﾞｰｽ変更点!#REF!</definedName>
    <definedName name="C_ERROR_ENABLED" localSheetId="6">[3]ﾃﾞｰﾀﾍﾞｰｽ変更点!#REF!</definedName>
    <definedName name="C_ERROR_ENABLED" localSheetId="3">[3]ﾃﾞｰﾀﾍﾞｰｽ変更点!#REF!</definedName>
    <definedName name="C_ERROR_ENABLED">[3]ﾃﾞｰﾀﾍﾞｰｽ変更点!#REF!</definedName>
    <definedName name="C_ERROR_MASTER" localSheetId="6">[3]ﾃﾞｰﾀﾍﾞｰｽ変更点!#REF!</definedName>
    <definedName name="C_ERROR_MASTER" localSheetId="3">[3]ﾃﾞｰﾀﾍﾞｰｽ変更点!#REF!</definedName>
    <definedName name="C_ERROR_MASTER">[3]ﾃﾞｰﾀﾍﾞｰｽ変更点!#REF!</definedName>
    <definedName name="C_EVENT_CATEGORY" localSheetId="6">[4]TableDesign!#REF!</definedName>
    <definedName name="C_EVENT_CATEGORY" localSheetId="3">[4]TableDesign!#REF!</definedName>
    <definedName name="C_EVENT_CATEGORY">[4]TableDesign!#REF!</definedName>
    <definedName name="C_EVENT_DIVISION" localSheetId="6">[3]ﾃﾞｰﾀﾍﾞｰｽ変更点!#REF!</definedName>
    <definedName name="C_EVENT_DIVISION" localSheetId="3">[3]ﾃﾞｰﾀﾍﾞｰｽ変更点!#REF!</definedName>
    <definedName name="C_EVENT_DIVISION">[3]ﾃﾞｰﾀﾍﾞｰｽ変更点!#REF!</definedName>
    <definedName name="C_EVENT_MASTER" localSheetId="6">[3]ﾃﾞｰﾀﾍﾞｰｽ変更点!#REF!</definedName>
    <definedName name="C_EVENT_MASTER" localSheetId="3">[3]ﾃﾞｰﾀﾍﾞｰｽ変更点!#REF!</definedName>
    <definedName name="C_EVENT_MASTER">[3]ﾃﾞｰﾀﾍﾞｰｽ変更点!#REF!</definedName>
    <definedName name="C_EVENT_NOTICE" localSheetId="6">[3]ﾃﾞｰﾀﾍﾞｰｽ変更点!#REF!</definedName>
    <definedName name="C_EVENT_NOTICE" localSheetId="3">[3]ﾃﾞｰﾀﾍﾞｰｽ変更点!#REF!</definedName>
    <definedName name="C_EVENT_NOTICE">[3]ﾃﾞｰﾀﾍﾞｰｽ変更点!#REF!</definedName>
    <definedName name="C_FUEL_GAUGE" localSheetId="6">[4]TableDesign!#REF!</definedName>
    <definedName name="C_FUEL_GAUGE" localSheetId="3">[4]TableDesign!#REF!</definedName>
    <definedName name="C_FUEL_GAUGE">[4]TableDesign!#REF!</definedName>
    <definedName name="C_GAUGE_FUEL_WTTEMP" localSheetId="6">[3]ﾃﾞｰﾀﾍﾞｰｽ変更点!#REF!</definedName>
    <definedName name="C_GAUGE_FUEL_WTTEMP" localSheetId="3">[3]ﾃﾞｰﾀﾍﾞｰｽ変更点!#REF!</definedName>
    <definedName name="C_GAUGE_FUEL_WTTEMP">[3]ﾃﾞｰﾀﾍﾞｰｽ変更点!#REF!</definedName>
    <definedName name="C_GIS_DEFINE" localSheetId="6">[4]TableDesign!#REF!</definedName>
    <definedName name="C_GIS_DEFINE" localSheetId="3">[4]TableDesign!#REF!</definedName>
    <definedName name="C_GIS_DEFINE">[4]TableDesign!#REF!</definedName>
    <definedName name="C_GPS" localSheetId="6">[3]ﾃﾞｰﾀﾍﾞｰｽ変更点!#REF!</definedName>
    <definedName name="C_GPS" localSheetId="3">[3]ﾃﾞｰﾀﾍﾞｰｽ変更点!#REF!</definedName>
    <definedName name="C_GPS">[3]ﾃﾞｰﾀﾍﾞｰｽ変更点!#REF!</definedName>
    <definedName name="C_GRANT_AUTHORITY" localSheetId="6">[3]ﾃﾞｰﾀﾍﾞｰｽ変更点!#REF!</definedName>
    <definedName name="C_GRANT_AUTHORITY" localSheetId="3">[3]ﾃﾞｰﾀﾍﾞｰｽ変更点!#REF!</definedName>
    <definedName name="C_GRANT_AUTHORITY">[3]ﾃﾞｰﾀﾍﾞｰｽ変更点!#REF!</definedName>
    <definedName name="C_GROUP_MASTER" localSheetId="6">[3]ﾃﾞｰﾀﾍﾞｰｽ変更点!#REF!</definedName>
    <definedName name="C_GROUP_MASTER" localSheetId="3">[3]ﾃﾞｰﾀﾍﾞｰｽ変更点!#REF!</definedName>
    <definedName name="C_GROUP_MASTER">[3]ﾃﾞｰﾀﾍﾞｰｽ変更点!#REF!</definedName>
    <definedName name="C_IGNORE_CAUTION" localSheetId="6">[5]テーブル設計!#REF!</definedName>
    <definedName name="C_IGNORE_CAUTION" localSheetId="3">[5]テーブル設計!#REF!</definedName>
    <definedName name="C_IGNORE_CAUTION">[5]テーブル設計!#REF!</definedName>
    <definedName name="C_IGNORE_ERROR" localSheetId="6">[5]テーブル設計!#REF!</definedName>
    <definedName name="C_IGNORE_ERROR" localSheetId="3">[5]テーブル設計!#REF!</definedName>
    <definedName name="C_IGNORE_ERROR">[5]テーブル設計!#REF!</definedName>
    <definedName name="C_INFORM_MASTER" localSheetId="6">[3]ﾃﾞｰﾀﾍﾞｰｽ変更点!#REF!</definedName>
    <definedName name="C_INFORM_MASTER" localSheetId="3">[3]ﾃﾞｰﾀﾍﾞｰｽ変更点!#REF!</definedName>
    <definedName name="C_INFORM_MASTER">[3]ﾃﾞｰﾀﾍﾞｰｽ変更点!#REF!</definedName>
    <definedName name="C_INFORMATION" localSheetId="6">[3]ﾃﾞｰﾀﾍﾞｰｽ変更点!#REF!</definedName>
    <definedName name="C_INFORMATION" localSheetId="3">[3]ﾃﾞｰﾀﾍﾞｰｽ変更点!#REF!</definedName>
    <definedName name="C_INFORMATION">[3]ﾃﾞｰﾀﾍﾞｰｽ変更点!#REF!</definedName>
    <definedName name="C_INFORMATION_READED" localSheetId="6">[3]ﾃﾞｰﾀﾍﾞｰｽ変更点!#REF!</definedName>
    <definedName name="C_INFORMATION_READED" localSheetId="3">[3]ﾃﾞｰﾀﾍﾞｰｽ変更点!#REF!</definedName>
    <definedName name="C_INFORMATION_READED">[3]ﾃﾞｰﾀﾍﾞｰｽ変更点!#REF!</definedName>
    <definedName name="C_INVALID_PART_TERMINAL" localSheetId="6">[5]テーブル設計!#REF!</definedName>
    <definedName name="C_INVALID_PART_TERMINAL" localSheetId="3">[5]テーブル設計!#REF!</definedName>
    <definedName name="C_INVALID_PART_TERMINAL">[5]テーブル設計!#REF!</definedName>
    <definedName name="C_KIND_MASTER" localSheetId="6">[3]ﾃﾞｰﾀﾍﾞｰｽ変更点!#REF!</definedName>
    <definedName name="C_KIND_MASTER" localSheetId="3">[3]ﾃﾞｰﾀﾍﾞｰｽ変更点!#REF!</definedName>
    <definedName name="C_KIND_MASTER">[3]ﾃﾞｰﾀﾍﾞｰｽ変更点!#REF!</definedName>
    <definedName name="C_KRO_APPLICATION" localSheetId="6">[3]ﾃﾞｰﾀﾍﾞｰｽ変更点!#REF!</definedName>
    <definedName name="C_KRO_APPLICATION" localSheetId="3">[3]ﾃﾞｰﾀﾍﾞｰｽ変更点!#REF!</definedName>
    <definedName name="C_KRO_APPLICATION">[3]ﾃﾞｰﾀﾍﾞｰｽ変更点!#REF!</definedName>
    <definedName name="C_KRO_APPLICATION_DATA" localSheetId="6">[3]ﾃﾞｰﾀﾍﾞｰｽ変更点!#REF!</definedName>
    <definedName name="C_KRO_APPLICATION_DATA" localSheetId="3">[3]ﾃﾞｰﾀﾍﾞｰｽ変更点!#REF!</definedName>
    <definedName name="C_KRO_APPLICATION_DATA">[3]ﾃﾞｰﾀﾍﾞｰｽ変更点!#REF!</definedName>
    <definedName name="C_KRO_COMPLETION" localSheetId="6">[3]ﾃﾞｰﾀﾍﾞｰｽ変更点!#REF!</definedName>
    <definedName name="C_KRO_COMPLETION" localSheetId="3">[3]ﾃﾞｰﾀﾍﾞｰｽ変更点!#REF!</definedName>
    <definedName name="C_KRO_COMPLETION">[3]ﾃﾞｰﾀﾍﾞｰｽ変更点!#REF!</definedName>
    <definedName name="C_KRO_COMPLETION_DATA" localSheetId="6">[3]ﾃﾞｰﾀﾍﾞｰｽ変更点!#REF!</definedName>
    <definedName name="C_KRO_COMPLETION_DATA" localSheetId="3">[3]ﾃﾞｰﾀﾍﾞｰｽ変更点!#REF!</definedName>
    <definedName name="C_KRO_COMPLETION_DATA">[3]ﾃﾞｰﾀﾍﾞｰｽ変更点!#REF!</definedName>
    <definedName name="C_KRO_EMERGENCY" localSheetId="6">[5]テーブル設計!#REF!</definedName>
    <definedName name="C_KRO_EMERGENCY" localSheetId="3">[5]テーブル設計!#REF!</definedName>
    <definedName name="C_KRO_EMERGENCY">[5]テーブル設計!#REF!</definedName>
    <definedName name="C_KRO_REPORT" localSheetId="6">[3]ﾃﾞｰﾀﾍﾞｰｽ変更点!#REF!</definedName>
    <definedName name="C_KRO_REPORT" localSheetId="3">[3]ﾃﾞｰﾀﾍﾞｰｽ変更点!#REF!</definedName>
    <definedName name="C_KRO_REPORT">[3]ﾃﾞｰﾀﾍﾞｰｽ変更点!#REF!</definedName>
    <definedName name="C_LANDMARK" localSheetId="6">[3]ﾃﾞｰﾀﾍﾞｰｽ変更点!#REF!</definedName>
    <definedName name="C_LANDMARK" localSheetId="3">[3]ﾃﾞｰﾀﾍﾞｰｽ変更点!#REF!</definedName>
    <definedName name="C_LANDMARK">[3]ﾃﾞｰﾀﾍﾞｰｽ変更点!#REF!</definedName>
    <definedName name="C_LANDMARK_CLASS" localSheetId="6">[3]ﾃﾞｰﾀﾍﾞｰｽ変更点!#REF!</definedName>
    <definedName name="C_LANDMARK_CLASS" localSheetId="3">[3]ﾃﾞｰﾀﾍﾞｰｽ変更点!#REF!</definedName>
    <definedName name="C_LANDMARK_CLASS">[3]ﾃﾞｰﾀﾍﾞｰｽ変更点!#REF!</definedName>
    <definedName name="C_LOGON_HISTORY" localSheetId="6">[3]ﾃﾞｰﾀﾍﾞｰｽ変更点!#REF!</definedName>
    <definedName name="C_LOGON_HISTORY" localSheetId="3">[3]ﾃﾞｰﾀﾍﾞｰｽ変更点!#REF!</definedName>
    <definedName name="C_LOGON_HISTORY">[3]ﾃﾞｰﾀﾍﾞｰｽ変更点!#REF!</definedName>
    <definedName name="C_MACHINE_ERROR" localSheetId="6">[4]TableDesign!#REF!</definedName>
    <definedName name="C_MACHINE_ERROR" localSheetId="3">[4]TableDesign!#REF!</definedName>
    <definedName name="C_MACHINE_ERROR">[4]TableDesign!#REF!</definedName>
    <definedName name="C_MACHINE_STATUS_MASTER" localSheetId="6">[3]ﾃﾞｰﾀﾍﾞｰｽ変更点!#REF!</definedName>
    <definedName name="C_MACHINE_STATUS_MASTER" localSheetId="3">[3]ﾃﾞｰﾀﾍﾞｰｽ変更点!#REF!</definedName>
    <definedName name="C_MACHINE_STATUS_MASTER">[3]ﾃﾞｰﾀﾍﾞｰｽ変更点!#REF!</definedName>
    <definedName name="C_MAINTENANCE_DATA" localSheetId="6">[3]ﾃﾞｰﾀﾍﾞｰｽ変更点!#REF!</definedName>
    <definedName name="C_MAINTENANCE_DATA" localSheetId="3">[3]ﾃﾞｰﾀﾍﾞｰｽ変更点!#REF!</definedName>
    <definedName name="C_MAINTENANCE_DATA">[3]ﾃﾞｰﾀﾍﾞｰｽ変更点!#REF!</definedName>
    <definedName name="C_MAINTENANCE_INFORM" localSheetId="6">[3]ﾃﾞｰﾀﾍﾞｰｽ変更点!#REF!</definedName>
    <definedName name="C_MAINTENANCE_INFORM" localSheetId="3">[3]ﾃﾞｰﾀﾍﾞｰｽ変更点!#REF!</definedName>
    <definedName name="C_MAINTENANCE_INFORM">[3]ﾃﾞｰﾀﾍﾞｰｽ変更点!#REF!</definedName>
    <definedName name="C_MAINTENANCE_MASTER" localSheetId="6">[3]ﾃﾞｰﾀﾍﾞｰｽ変更点!#REF!</definedName>
    <definedName name="C_MAINTENANCE_MASTER" localSheetId="3">[3]ﾃﾞｰﾀﾍﾞｰｽ変更点!#REF!</definedName>
    <definedName name="C_MAINTENANCE_MASTER">[3]ﾃﾞｰﾀﾍﾞｰｽ変更点!#REF!</definedName>
    <definedName name="C_MAINTENANCE_TIME" localSheetId="6">[4]TableDesign!#REF!</definedName>
    <definedName name="C_MAINTENANCE_TIME" localSheetId="3">[4]TableDesign!#REF!</definedName>
    <definedName name="C_MAINTENANCE_TIME">[4]TableDesign!#REF!</definedName>
    <definedName name="C_MAKER_MASTER" localSheetId="6">[3]ﾃﾞｰﾀﾍﾞｰｽ変更点!#REF!</definedName>
    <definedName name="C_MAKER_MASTER" localSheetId="3">[3]ﾃﾞｰﾀﾍﾞｰｽ変更点!#REF!</definedName>
    <definedName name="C_MAKER_MASTER">[3]ﾃﾞｰﾀﾍﾞｰｽ変更点!#REF!</definedName>
    <definedName name="C_MARK_MACHINE" localSheetId="6">[4]TableDesign!#REF!</definedName>
    <definedName name="C_MARK_MACHINE" localSheetId="3">[4]TableDesign!#REF!</definedName>
    <definedName name="C_MARK_MACHINE">[4]TableDesign!#REF!</definedName>
    <definedName name="C_MARK_NOTIFICATION" localSheetId="6">[4]TableDesign!#REF!</definedName>
    <definedName name="C_MARK_NOTIFICATION" localSheetId="3">[4]TableDesign!#REF!</definedName>
    <definedName name="C_MARK_NOTIFICATION">[4]TableDesign!#REF!</definedName>
    <definedName name="C_MARK_NOTIFICATION_DETAIL" localSheetId="6">[4]TableDesign!#REF!</definedName>
    <definedName name="C_MARK_NOTIFICATION_DETAIL" localSheetId="3">[4]TableDesign!#REF!</definedName>
    <definedName name="C_MARK_NOTIFICATION_DETAIL">[4]TableDesign!#REF!</definedName>
    <definedName name="C_MEMO" localSheetId="6">[3]ﾃﾞｰﾀﾍﾞｰｽ変更点!#REF!</definedName>
    <definedName name="C_MEMO" localSheetId="3">[3]ﾃﾞｰﾀﾍﾞｰｽ変更点!#REF!</definedName>
    <definedName name="C_MEMO">[3]ﾃﾞｰﾀﾍﾞｰｽ変更点!#REF!</definedName>
    <definedName name="C_MEMORY_MODIFY" localSheetId="6">[3]ﾃﾞｰﾀﾍﾞｰｽ変更点!#REF!</definedName>
    <definedName name="C_MEMORY_MODIFY" localSheetId="3">[3]ﾃﾞｰﾀﾍﾞｰｽ変更点!#REF!</definedName>
    <definedName name="C_MEMORY_MODIFY">[3]ﾃﾞｰﾀﾍﾞｰｽ変更点!#REF!</definedName>
    <definedName name="C_MEMORY_MODIFY_DATA" localSheetId="6">[3]ﾃﾞｰﾀﾍﾞｰｽ変更点!#REF!</definedName>
    <definedName name="C_MEMORY_MODIFY_DATA" localSheetId="3">[3]ﾃﾞｰﾀﾍﾞｰｽ変更点!#REF!</definedName>
    <definedName name="C_MEMORY_MODIFY_DATA">[3]ﾃﾞｰﾀﾍﾞｰｽ変更点!#REF!</definedName>
    <definedName name="C_MESSAGE" localSheetId="6">[3]ﾃﾞｰﾀﾍﾞｰｽ変更点!#REF!</definedName>
    <definedName name="C_MESSAGE" localSheetId="3">[3]ﾃﾞｰﾀﾍﾞｰｽ変更点!#REF!</definedName>
    <definedName name="C_MESSAGE">[3]ﾃﾞｰﾀﾍﾞｰｽ変更点!#REF!</definedName>
    <definedName name="C_MESSAGE_MASTER" localSheetId="6">[3]ﾃﾞｰﾀﾍﾞｰｽ変更点!#REF!</definedName>
    <definedName name="C_MESSAGE_MASTER" localSheetId="3">[3]ﾃﾞｰﾀﾍﾞｰｽ変更点!#REF!</definedName>
    <definedName name="C_MESSAGE_MASTER">[3]ﾃﾞｰﾀﾍﾞｰｽ変更点!#REF!</definedName>
    <definedName name="C_MONTHLY_ATT_SMR" localSheetId="6">[4]TableDesign!#REF!</definedName>
    <definedName name="C_MONTHLY_ATT_SMR" localSheetId="3">[4]TableDesign!#REF!</definedName>
    <definedName name="C_MONTHLY_ATT_SMR">[4]TableDesign!#REF!</definedName>
    <definedName name="C_MONTHLY_ERROR" localSheetId="6">[4]TableDesign!#REF!</definedName>
    <definedName name="C_MONTHLY_ERROR" localSheetId="3">[4]TableDesign!#REF!</definedName>
    <definedName name="C_MONTHLY_ERROR">[4]TableDesign!#REF!</definedName>
    <definedName name="C_MONTHLY_LOAD" localSheetId="6">[4]TableDesign!#REF!</definedName>
    <definedName name="C_MONTHLY_LOAD" localSheetId="3">[4]TableDesign!#REF!</definedName>
    <definedName name="C_MONTHLY_LOAD">[4]TableDesign!#REF!</definedName>
    <definedName name="C_MONTHLY_MOVEMENT" localSheetId="6">[4]TableDesign!#REF!</definedName>
    <definedName name="C_MONTHLY_MOVEMENT" localSheetId="3">[4]TableDesign!#REF!</definedName>
    <definedName name="C_MONTHLY_MOVEMENT">[4]TableDesign!#REF!</definedName>
    <definedName name="C_MONTHLY_OPERATION" localSheetId="6">[4]TableDesign!#REF!</definedName>
    <definedName name="C_MONTHLY_OPERATION" localSheetId="3">[4]TableDesign!#REF!</definedName>
    <definedName name="C_MONTHLY_OPERATION">[4]TableDesign!#REF!</definedName>
    <definedName name="C_MONTHLY_SMR" localSheetId="6">[4]TableDesign!#REF!</definedName>
    <definedName name="C_MONTHLY_SMR" localSheetId="3">[4]TableDesign!#REF!</definedName>
    <definedName name="C_MONTHLY_SMR">[4]TableDesign!#REF!</definedName>
    <definedName name="C_MONTHLY_WORKING_SMR" localSheetId="6">[4]TableDesign!#REF!</definedName>
    <definedName name="C_MONTHLY_WORKING_SMR" localSheetId="3">[4]TableDesign!#REF!</definedName>
    <definedName name="C_MONTHLY_WORKING_SMR">[4]TableDesign!#REF!</definedName>
    <definedName name="C_MONTLY_LOAD" localSheetId="6">[4]TableDesign!#REF!</definedName>
    <definedName name="C_MONTLY_LOAD" localSheetId="3">[4]TableDesign!#REF!</definedName>
    <definedName name="C_MONTLY_LOAD">[4]TableDesign!#REF!</definedName>
    <definedName name="C_MULTI_OPE" localSheetId="6">[3]ﾃﾞｰﾀﾍﾞｰｽ変更点!#REF!</definedName>
    <definedName name="C_MULTI_OPE" localSheetId="3">[3]ﾃﾞｰﾀﾍﾞｰｽ変更点!#REF!</definedName>
    <definedName name="C_MULTI_OPE">[3]ﾃﾞｰﾀﾍﾞｰｽ変更点!#REF!</definedName>
    <definedName name="C_MULTI_OPE_DATA" localSheetId="6">[5]テーブル設計!#REF!</definedName>
    <definedName name="C_MULTI_OPE_DATA" localSheetId="3">[5]テーブル設計!#REF!</definedName>
    <definedName name="C_MULTI_OPE_DATA">[5]テーブル設計!#REF!</definedName>
    <definedName name="C_NLS_DB_RESOURCE" localSheetId="6">[4]TableDesign!#REF!</definedName>
    <definedName name="C_NLS_DB_RESOURCE" localSheetId="3">[4]TableDesign!#REF!</definedName>
    <definedName name="C_NLS_DB_RESOURCE">[4]TableDesign!#REF!</definedName>
    <definedName name="C_NLS_LANG" localSheetId="6">[4]TableDesign!#REF!</definedName>
    <definedName name="C_NLS_LANG" localSheetId="3">[4]TableDesign!#REF!</definedName>
    <definedName name="C_NLS_LANG">[4]TableDesign!#REF!</definedName>
    <definedName name="C_NLS_RESOURCE" localSheetId="6">[4]TableDesign!#REF!</definedName>
    <definedName name="C_NLS_RESOURCE" localSheetId="3">[4]TableDesign!#REF!</definedName>
    <definedName name="C_NLS_RESOURCE">[4]TableDesign!#REF!</definedName>
    <definedName name="C_NOT_ACTIVE" localSheetId="6">[3]ﾃﾞｰﾀﾍﾞｰｽ変更点!#REF!</definedName>
    <definedName name="C_NOT_ACTIVE" localSheetId="3">[3]ﾃﾞｰﾀﾍﾞｰｽ変更点!#REF!</definedName>
    <definedName name="C_NOT_ACTIVE">[3]ﾃﾞｰﾀﾍﾞｰｽ変更点!#REF!</definedName>
    <definedName name="C_OPERATION_CATEGORY" localSheetId="6">[4]TableDesign!#REF!</definedName>
    <definedName name="C_OPERATION_CATEGORY" localSheetId="3">[4]TableDesign!#REF!</definedName>
    <definedName name="C_OPERATION_CATEGORY">[4]TableDesign!#REF!</definedName>
    <definedName name="C_OPERATION_CLASS" localSheetId="6">[5]テーブル設計!#REF!</definedName>
    <definedName name="C_OPERATION_CLASS" localSheetId="3">[5]テーブル設計!#REF!</definedName>
    <definedName name="C_OPERATION_CLASS">[5]テーブル設計!#REF!</definedName>
    <definedName name="C_OPERATION_LOG" localSheetId="6">[3]ﾃﾞｰﾀﾍﾞｰｽ変更点!#REF!</definedName>
    <definedName name="C_OPERATION_LOG" localSheetId="3">[3]ﾃﾞｰﾀﾍﾞｰｽ変更点!#REF!</definedName>
    <definedName name="C_OPERATION_LOG">[3]ﾃﾞｰﾀﾍﾞｰｽ変更点!#REF!</definedName>
    <definedName name="C_OPERATION_LOG2" localSheetId="6">[5]テーブル設計!#REF!</definedName>
    <definedName name="C_OPERATION_LOG2" localSheetId="3">[5]テーブル設計!#REF!</definedName>
    <definedName name="C_OPERATION_LOG2">[5]テーブル設計!#REF!</definedName>
    <definedName name="C_OPERATION_MAP" localSheetId="6">[4]TableDesign!#REF!</definedName>
    <definedName name="C_OPERATION_MAP" localSheetId="3">[4]TableDesign!#REF!</definedName>
    <definedName name="C_OPERATION_MAP">[4]TableDesign!#REF!</definedName>
    <definedName name="C_OPERATION_MASTER" localSheetId="6">[5]テーブル設計!#REF!</definedName>
    <definedName name="C_OPERATION_MASTER" localSheetId="3">[5]テーブル設計!#REF!</definedName>
    <definedName name="C_OPERATION_MASTER">[5]テーブル設計!#REF!</definedName>
    <definedName name="C_ORBCOMM" localSheetId="6">[3]ﾃﾞｰﾀﾍﾞｰｽ変更点!#REF!</definedName>
    <definedName name="C_ORBCOMM" localSheetId="3">[3]ﾃﾞｰﾀﾍﾞｰｽ変更点!#REF!</definedName>
    <definedName name="C_ORBCOMM">[3]ﾃﾞｰﾀﾍﾞｰｽ変更点!#REF!</definedName>
    <definedName name="C_ORBCOMM_OWNER_HISTORY" localSheetId="6">[3]ﾃﾞｰﾀﾍﾞｰｽ変更点!#REF!</definedName>
    <definedName name="C_ORBCOMM_OWNER_HISTORY" localSheetId="3">[3]ﾃﾞｰﾀﾍﾞｰｽ変更点!#REF!</definedName>
    <definedName name="C_ORBCOMM_OWNER_HISTORY">[3]ﾃﾞｰﾀﾍﾞｰｽ変更点!#REF!</definedName>
    <definedName name="C_PLANT_CAR" localSheetId="6">[5]テーブル設計!#REF!</definedName>
    <definedName name="C_PLANT_CAR" localSheetId="3">[5]テーブル設計!#REF!</definedName>
    <definedName name="C_PLANT_CAR">[5]テーブル設計!#REF!</definedName>
    <definedName name="C_PLANT_ERROR" localSheetId="6">[5]テーブル設計!#REF!</definedName>
    <definedName name="C_PLANT_ERROR" localSheetId="3">[5]テーブル設計!#REF!</definedName>
    <definedName name="C_PLANT_ERROR">[5]テーブル設計!#REF!</definedName>
    <definedName name="C_PLANT_GPS" localSheetId="6">[5]テーブル設計!#REF!</definedName>
    <definedName name="C_PLANT_GPS" localSheetId="3">[5]テーブル設計!#REF!</definedName>
    <definedName name="C_PLANT_GPS">[5]テーブル設計!#REF!</definedName>
    <definedName name="C_PREVENT_THEFT_KEY" localSheetId="6">[3]ﾃﾞｰﾀﾍﾞｰｽ変更点!#REF!</definedName>
    <definedName name="C_PREVENT_THEFT_KEY" localSheetId="3">[3]ﾃﾞｰﾀﾍﾞｰｽ変更点!#REF!</definedName>
    <definedName name="C_PREVENT_THEFT_KEY">[3]ﾃﾞｰﾀﾍﾞｰｽ変更点!#REF!</definedName>
    <definedName name="C_PRIVATE_TARGET_CAR" localSheetId="6">[3]ﾃﾞｰﾀﾍﾞｰｽ変更点!#REF!</definedName>
    <definedName name="C_PRIVATE_TARGET_CAR" localSheetId="3">[3]ﾃﾞｰﾀﾍﾞｰｽ変更点!#REF!</definedName>
    <definedName name="C_PRIVATE_TARGET_CAR">[3]ﾃﾞｰﾀﾍﾞｰｽ変更点!#REF!</definedName>
    <definedName name="C_RECEIVE_LIST" localSheetId="6">[5]テーブル設計!#REF!</definedName>
    <definedName name="C_RECEIVE_LIST" localSheetId="3">[5]テーブル設計!#REF!</definedName>
    <definedName name="C_RECEIVE_LIST">[5]テーブル設計!#REF!</definedName>
    <definedName name="C_RECEIVE_LOG" localSheetId="6">[3]ﾃﾞｰﾀﾍﾞｰｽ変更点!#REF!</definedName>
    <definedName name="C_RECEIVE_LOG" localSheetId="3">[3]ﾃﾞｰﾀﾍﾞｰｽ変更点!#REF!</definedName>
    <definedName name="C_RECEIVE_LOG">[3]ﾃﾞｰﾀﾍﾞｰｽ変更点!#REF!</definedName>
    <definedName name="C_REGION_DATA" localSheetId="6">[4]TableDesign!#REF!</definedName>
    <definedName name="C_REGION_DATA" localSheetId="3">[4]TableDesign!#REF!</definedName>
    <definedName name="C_REGION_DATA">[4]TableDesign!#REF!</definedName>
    <definedName name="C_REGION_MASTER" localSheetId="6">[4]TableDesign!#REF!</definedName>
    <definedName name="C_REGION_MASTER" localSheetId="3">[4]TableDesign!#REF!</definedName>
    <definedName name="C_REGION_MASTER">[4]TableDesign!#REF!</definedName>
    <definedName name="C_RENTAL_TERMINAL" localSheetId="6">[5]テーブル設計!#REF!</definedName>
    <definedName name="C_RENTAL_TERMINAL" localSheetId="3">[5]テーブル設計!#REF!</definedName>
    <definedName name="C_RENTAL_TERMINAL">[5]テーブル設計!#REF!</definedName>
    <definedName name="C_REQUEST" localSheetId="6">[3]ﾃﾞｰﾀﾍﾞｰｽ変更点!#REF!</definedName>
    <definedName name="C_REQUEST" localSheetId="3">[3]ﾃﾞｰﾀﾍﾞｰｽ変更点!#REF!</definedName>
    <definedName name="C_REQUEST">[3]ﾃﾞｰﾀﾍﾞｰｽ変更点!#REF!</definedName>
    <definedName name="C_REQUEST_COUNT" localSheetId="6">[3]ﾃﾞｰﾀﾍﾞｰｽ変更点!#REF!</definedName>
    <definedName name="C_REQUEST_COUNT" localSheetId="3">[3]ﾃﾞｰﾀﾍﾞｰｽ変更点!#REF!</definedName>
    <definedName name="C_REQUEST_COUNT">[3]ﾃﾞｰﾀﾍﾞｰｽ変更点!#REF!</definedName>
    <definedName name="C_REQUEST_LOG" localSheetId="6">[3]ﾃﾞｰﾀﾍﾞｰｽ変更点!#REF!</definedName>
    <definedName name="C_REQUEST_LOG" localSheetId="3">[3]ﾃﾞｰﾀﾍﾞｰｽ変更点!#REF!</definedName>
    <definedName name="C_REQUEST_LOG">[3]ﾃﾞｰﾀﾍﾞｰｽ変更点!#REF!</definedName>
    <definedName name="C_RIVATE_TARGET_CAR" localSheetId="6">[4]TableDesign!#REF!</definedName>
    <definedName name="C_RIVATE_TARGET_CAR" localSheetId="3">[4]TableDesign!#REF!</definedName>
    <definedName name="C_RIVATE_TARGET_CAR">[4]TableDesign!#REF!</definedName>
    <definedName name="C_RUNNING_LOG" localSheetId="6">[3]ﾃﾞｰﾀﾍﾞｰｽ変更点!#REF!</definedName>
    <definedName name="C_RUNNING_LOG" localSheetId="3">[3]ﾃﾞｰﾀﾍﾞｰｽ変更点!#REF!</definedName>
    <definedName name="C_RUNNING_LOG">[3]ﾃﾞｰﾀﾍﾞｰｽ変更点!#REF!</definedName>
    <definedName name="C_SAVE_INFORMATION" localSheetId="6">[5]テーブル設計!#REF!</definedName>
    <definedName name="C_SAVE_INFORMATION" localSheetId="3">[5]テーブル設計!#REF!</definedName>
    <definedName name="C_SAVE_INFORMATION">[5]テーブル設計!#REF!</definedName>
    <definedName name="C_SELFCARINSPECTION" localSheetId="6">[3]ﾃﾞｰﾀﾍﾞｰｽ変更点!#REF!</definedName>
    <definedName name="C_SELFCARINSPECTION" localSheetId="3">[3]ﾃﾞｰﾀﾍﾞｰｽ変更点!#REF!</definedName>
    <definedName name="C_SELFCARINSPECTION">[3]ﾃﾞｰﾀﾍﾞｰｽ変更点!#REF!</definedName>
    <definedName name="C_SEND_LIST" localSheetId="6">[5]テーブル設計!#REF!</definedName>
    <definedName name="C_SEND_LIST" localSheetId="3">[5]テーブル設計!#REF!</definedName>
    <definedName name="C_SEND_LIST">[5]テーブル設計!#REF!</definedName>
    <definedName name="C_SEND_LOG" localSheetId="6">[5]テーブル設計!#REF!</definedName>
    <definedName name="C_SEND_LOG" localSheetId="3">[5]テーブル設計!#REF!</definedName>
    <definedName name="C_SEND_LOG">[5]テーブル設計!#REF!</definedName>
    <definedName name="C_SERVER_COMMUNICATION" localSheetId="6">[4]TableDesign!#REF!</definedName>
    <definedName name="C_SERVER_COMMUNICATION" localSheetId="3">[4]TableDesign!#REF!</definedName>
    <definedName name="C_SERVER_COMMUNICATION">[4]TableDesign!#REF!</definedName>
    <definedName name="C_SERVER_INFORMATION" localSheetId="6">[3]ﾃﾞｰﾀﾍﾞｰｽ変更点!#REF!</definedName>
    <definedName name="C_SERVER_INFORMATION" localSheetId="3">[3]ﾃﾞｰﾀﾍﾞｰｽ変更点!#REF!</definedName>
    <definedName name="C_SERVER_INFORMATION">[3]ﾃﾞｰﾀﾍﾞｰｽ変更点!#REF!</definedName>
    <definedName name="C_SERVICE_METER" localSheetId="6">[3]ﾃﾞｰﾀﾍﾞｰｽ変更点!#REF!</definedName>
    <definedName name="C_SERVICE_METER" localSheetId="3">[3]ﾃﾞｰﾀﾍﾞｰｽ変更点!#REF!</definedName>
    <definedName name="C_SERVICE_METER">[3]ﾃﾞｰﾀﾍﾞｰｽ変更点!#REF!</definedName>
    <definedName name="C_SERVICE_METER2" localSheetId="6">[5]テーブル設計!#REF!</definedName>
    <definedName name="C_SERVICE_METER2" localSheetId="3">[5]テーブル設計!#REF!</definedName>
    <definedName name="C_SERVICE_METER2">[5]テーブル設計!#REF!</definedName>
    <definedName name="C_SERVICEMAN" localSheetId="6">[5]テーブル設計!#REF!</definedName>
    <definedName name="C_SERVICEMAN" localSheetId="3">[5]テーブル設計!#REF!</definedName>
    <definedName name="C_SERVICEMAN">[5]テーブル設計!#REF!</definedName>
    <definedName name="C_SERVICEMAN_CHARGE" localSheetId="6">[5]テーブル設計!#REF!</definedName>
    <definedName name="C_SERVICEMAN_CHARGE" localSheetId="3">[5]テーブル設計!#REF!</definedName>
    <definedName name="C_SERVICEMAN_CHARGE">[5]テーブル設計!#REF!</definedName>
    <definedName name="C_SHIPMENT" localSheetId="6">[3]ﾃﾞｰﾀﾍﾞｰｽ変更点!#REF!</definedName>
    <definedName name="C_SHIPMENT" localSheetId="3">[3]ﾃﾞｰﾀﾍﾞｰｽ変更点!#REF!</definedName>
    <definedName name="C_SHIPMENT">[3]ﾃﾞｰﾀﾍﾞｰｽ変更点!#REF!</definedName>
    <definedName name="C_SHOW" localSheetId="6">[3]ﾃﾞｰﾀﾍﾞｰｽ変更点!#REF!</definedName>
    <definedName name="C_SHOW" localSheetId="3">[3]ﾃﾞｰﾀﾍﾞｰｽ変更点!#REF!</definedName>
    <definedName name="C_SHOW">[3]ﾃﾞｰﾀﾍﾞｰｽ変更点!#REF!</definedName>
    <definedName name="C_SHOW_GROUP" localSheetId="6">[3]ﾃﾞｰﾀﾍﾞｰｽ変更点!#REF!</definedName>
    <definedName name="C_SHOW_GROUP" localSheetId="3">[3]ﾃﾞｰﾀﾍﾞｰｽ変更点!#REF!</definedName>
    <definedName name="C_SHOW_GROUP">[3]ﾃﾞｰﾀﾍﾞｰｽ変更点!#REF!</definedName>
    <definedName name="C_SPECIAL_AREA" localSheetId="6">[3]ﾃﾞｰﾀﾍﾞｰｽ変更点!#REF!</definedName>
    <definedName name="C_SPECIAL_AREA" localSheetId="3">[3]ﾃﾞｰﾀﾍﾞｰｽ変更点!#REF!</definedName>
    <definedName name="C_SPECIAL_AREA">[3]ﾃﾞｰﾀﾍﾞｰｽ変更点!#REF!</definedName>
    <definedName name="C_SUB_GROUP" localSheetId="6">[4]TableDesign!#REF!</definedName>
    <definedName name="C_SUB_GROUP" localSheetId="3">[4]TableDesign!#REF!</definedName>
    <definedName name="C_SUB_GROUP">[4]TableDesign!#REF!</definedName>
    <definedName name="C_SUB_GROUP_CAR" localSheetId="6">[4]TableDesign!#REF!</definedName>
    <definedName name="C_SUB_GROUP_CAR" localSheetId="3">[4]TableDesign!#REF!</definedName>
    <definedName name="C_SUB_GROUP_CAR">[4]TableDesign!#REF!</definedName>
    <definedName name="C_SYSTEM_COMMTERM_INFO" localSheetId="6">[3]ﾃﾞｰﾀﾍﾞｰｽ変更点!#REF!</definedName>
    <definedName name="C_SYSTEM_COMMTERM_INFO" localSheetId="3">[3]ﾃﾞｰﾀﾍﾞｰｽ変更点!#REF!</definedName>
    <definedName name="C_SYSTEM_COMMTERM_INFO">[3]ﾃﾞｰﾀﾍﾞｰｽ変更点!#REF!</definedName>
    <definedName name="C_SYSTEM_LOG" localSheetId="6">[3]ﾃﾞｰﾀﾍﾞｰｽ変更点!#REF!</definedName>
    <definedName name="C_SYSTEM_LOG" localSheetId="3">[3]ﾃﾞｰﾀﾍﾞｰｽ変更点!#REF!</definedName>
    <definedName name="C_SYSTEM_LOG">[3]ﾃﾞｰﾀﾍﾞｰｽ変更点!#REF!</definedName>
    <definedName name="C_SYSTEM_NOTICE" localSheetId="6">[3]ﾃﾞｰﾀﾍﾞｰｽ変更点!#REF!</definedName>
    <definedName name="C_SYSTEM_NOTICE" localSheetId="3">[3]ﾃﾞｰﾀﾍﾞｰｽ変更点!#REF!</definedName>
    <definedName name="C_SYSTEM_NOTICE">[3]ﾃﾞｰﾀﾍﾞｰｽ変更点!#REF!</definedName>
    <definedName name="C_TARGET" localSheetId="6">[3]ﾃﾞｰﾀﾍﾞｰｽ変更点!#REF!</definedName>
    <definedName name="C_TARGET" localSheetId="3">[3]ﾃﾞｰﾀﾍﾞｰｽ変更点!#REF!</definedName>
    <definedName name="C_TARGET">[3]ﾃﾞｰﾀﾍﾞｰｽ変更点!#REF!</definedName>
    <definedName name="C_TARGET_CAR" localSheetId="6">[3]ﾃﾞｰﾀﾍﾞｰｽ変更点!#REF!</definedName>
    <definedName name="C_TARGET_CAR" localSheetId="3">[3]ﾃﾞｰﾀﾍﾞｰｽ変更点!#REF!</definedName>
    <definedName name="C_TARGET_CAR">[3]ﾃﾞｰﾀﾍﾞｰｽ変更点!#REF!</definedName>
    <definedName name="C_TERMINAL_AREA" localSheetId="6">[3]ﾃﾞｰﾀﾍﾞｰｽ変更点!#REF!</definedName>
    <definedName name="C_TERMINAL_AREA" localSheetId="3">[3]ﾃﾞｰﾀﾍﾞｰｽ変更点!#REF!</definedName>
    <definedName name="C_TERMINAL_AREA">[3]ﾃﾞｰﾀﾍﾞｰｽ変更点!#REF!</definedName>
    <definedName name="C_TERMINAL_CAUTION" localSheetId="6">[3]ﾃﾞｰﾀﾍﾞｰｽ変更点!#REF!</definedName>
    <definedName name="C_TERMINAL_CAUTION" localSheetId="3">[3]ﾃﾞｰﾀﾍﾞｰｽ変更点!#REF!</definedName>
    <definedName name="C_TERMINAL_CAUTION">[3]ﾃﾞｰﾀﾍﾞｰｽ変更点!#REF!</definedName>
    <definedName name="C_TERMINAL_ERROR" localSheetId="6">[3]ﾃﾞｰﾀﾍﾞｰｽ変更点!#REF!</definedName>
    <definedName name="C_TERMINAL_ERROR" localSheetId="3">[3]ﾃﾞｰﾀﾍﾞｰｽ変更点!#REF!</definedName>
    <definedName name="C_TERMINAL_ERROR">[3]ﾃﾞｰﾀﾍﾞｰｽ変更点!#REF!</definedName>
    <definedName name="C_TERMINAL_KIND" localSheetId="6">[3]ﾃﾞｰﾀﾍﾞｰｽ変更点!#REF!</definedName>
    <definedName name="C_TERMINAL_KIND" localSheetId="3">[3]ﾃﾞｰﾀﾍﾞｰｽ変更点!#REF!</definedName>
    <definedName name="C_TERMINAL_KIND">[3]ﾃﾞｰﾀﾍﾞｰｽ変更点!#REF!</definedName>
    <definedName name="C_TERMINAL_MASTER" localSheetId="6">[3]ﾃﾞｰﾀﾍﾞｰｽ変更点!#REF!</definedName>
    <definedName name="C_TERMINAL_MASTER" localSheetId="3">[3]ﾃﾞｰﾀﾍﾞｰｽ変更点!#REF!</definedName>
    <definedName name="C_TERMINAL_MASTER">[3]ﾃﾞｰﾀﾍﾞｰｽ変更点!#REF!</definedName>
    <definedName name="C_TERMINAL_PART_MASTER" localSheetId="6">[3]ﾃﾞｰﾀﾍﾞｰｽ変更点!#REF!</definedName>
    <definedName name="C_TERMINAL_PART_MASTER" localSheetId="3">[3]ﾃﾞｰﾀﾍﾞｰｽ変更点!#REF!</definedName>
    <definedName name="C_TERMINAL_PART_MASTER">[3]ﾃﾞｰﾀﾍﾞｰｽ変更点!#REF!</definedName>
    <definedName name="C_TYPE_MASTER" localSheetId="6">[3]ﾃﾞｰﾀﾍﾞｰｽ変更点!#REF!</definedName>
    <definedName name="C_TYPE_MASTER" localSheetId="3">[3]ﾃﾞｰﾀﾍﾞｰｽ変更点!#REF!</definedName>
    <definedName name="C_TYPE_MASTER">[3]ﾃﾞｰﾀﾍﾞｰｽ変更点!#REF!</definedName>
    <definedName name="C_UFO" localSheetId="6">[3]ﾃﾞｰﾀﾍﾞｰｽ変更点!#REF!</definedName>
    <definedName name="C_UFO" localSheetId="3">[3]ﾃﾞｰﾀﾍﾞｰｽ変更点!#REF!</definedName>
    <definedName name="C_UFO">[3]ﾃﾞｰﾀﾍﾞｰｽ変更点!#REF!</definedName>
    <definedName name="C_UNRELIABLE_RECEIVE" localSheetId="6">[3]ﾃﾞｰﾀﾍﾞｰｽ変更点!#REF!</definedName>
    <definedName name="C_UNRELIABLE_RECEIVE" localSheetId="3">[3]ﾃﾞｰﾀﾍﾞｰｽ変更点!#REF!</definedName>
    <definedName name="C_UNRELIABLE_RECEIVE">[3]ﾃﾞｰﾀﾍﾞｰｽ変更点!#REF!</definedName>
    <definedName name="C_USER_MASTER" localSheetId="6">[3]ﾃﾞｰﾀﾍﾞｰｽ変更点!#REF!</definedName>
    <definedName name="C_USER_MASTER" localSheetId="3">[3]ﾃﾞｰﾀﾍﾞｰｽ変更点!#REF!</definedName>
    <definedName name="C_USER_MASTER">[3]ﾃﾞｰﾀﾍﾞｰｽ変更点!#REF!</definedName>
    <definedName name="C_USER_TEMP" localSheetId="6">[3]ﾃﾞｰﾀﾍﾞｰｽ変更点!#REF!</definedName>
    <definedName name="C_USER_TEMP" localSheetId="3">[3]ﾃﾞｰﾀﾍﾞｰｽ変更点!#REF!</definedName>
    <definedName name="C_USER_TEMP">[3]ﾃﾞｰﾀﾍﾞｰｽ変更点!#REF!</definedName>
    <definedName name="C_WATER_TEMP_GAUGE" localSheetId="6">[4]TableDesign!#REF!</definedName>
    <definedName name="C_WATER_TEMP_GAUGE" localSheetId="3">[4]TableDesign!#REF!</definedName>
    <definedName name="C_WATER_TEMP_GAUGE">[4]TableDesign!#REF!</definedName>
    <definedName name="CAR" localSheetId="6">[3]ﾃﾞｰﾀﾍﾞｰｽ変更点!#REF!</definedName>
    <definedName name="CAR" localSheetId="3">[3]ﾃﾞｰﾀﾍﾞｰｽ変更点!#REF!</definedName>
    <definedName name="CAR">[3]ﾃﾞｰﾀﾍﾞｰｽ変更点!#REF!</definedName>
    <definedName name="CC" localSheetId="6">'[6]DATA-COMMUNICATION-FORMAT'!#REF!</definedName>
    <definedName name="CC" localSheetId="3">'[6]DATA-COMMUNICATION-FORMAT'!#REF!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6">[5]テーブル設計!#REF!</definedName>
    <definedName name="CINVALID_PART_TERMINAL" localSheetId="3">[5]テーブル設計!#REF!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6">[3]ﾃﾞｰﾀﾍﾞｰｽ変更点!#REF!</definedName>
    <definedName name="CUSTOMER" localSheetId="3">[3]ﾃﾞｰﾀﾍﾞｰｽ変更点!#REF!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6">[3]ﾃﾞｰﾀﾍﾞｰｽ変更点!#REF!</definedName>
    <definedName name="D_ACT_DATA" localSheetId="3">[3]ﾃﾞｰﾀﾍﾞｰｽ変更点!#REF!</definedName>
    <definedName name="D_ACT_DATA">[3]ﾃﾞｰﾀﾍﾞｰｽ変更点!#REF!</definedName>
    <definedName name="D_ACTUAL_OPERATION" localSheetId="6">[4]TableDesign!#REF!</definedName>
    <definedName name="D_ACTUAL_OPERATION" localSheetId="3">[4]TableDesign!#REF!</definedName>
    <definedName name="D_ACTUAL_OPERATION">[4]TableDesign!#REF!</definedName>
    <definedName name="D_AREA" localSheetId="6">[3]ﾃﾞｰﾀﾍﾞｰｽ変更点!#REF!</definedName>
    <definedName name="D_AREA" localSheetId="3">[3]ﾃﾞｰﾀﾍﾞｰｽ変更点!#REF!</definedName>
    <definedName name="D_AREA">[3]ﾃﾞｰﾀﾍﾞｰｽ変更点!#REF!</definedName>
    <definedName name="D_AREA_DEFINE" localSheetId="6">[3]ﾃﾞｰﾀﾍﾞｰｽ変更点!#REF!</definedName>
    <definedName name="D_AREA_DEFINE" localSheetId="3">[3]ﾃﾞｰﾀﾍﾞｰｽ変更点!#REF!</definedName>
    <definedName name="D_AREA_DEFINE">[3]ﾃﾞｰﾀﾍﾞｰｽ変更点!#REF!</definedName>
    <definedName name="D_AREA_INIT" localSheetId="6">[3]ﾃﾞｰﾀﾍﾞｰｽ変更点!#REF!</definedName>
    <definedName name="D_AREA_INIT" localSheetId="3">[3]ﾃﾞｰﾀﾍﾞｰｽ変更点!#REF!</definedName>
    <definedName name="D_AREA_INIT">[3]ﾃﾞｰﾀﾍﾞｰｽ変更点!#REF!</definedName>
    <definedName name="D_AREA_MASTER" localSheetId="6">[3]ﾃﾞｰﾀﾍﾞｰｽ変更点!#REF!</definedName>
    <definedName name="D_AREA_MASTER" localSheetId="3">[3]ﾃﾞｰﾀﾍﾞｰｽ変更点!#REF!</definedName>
    <definedName name="D_AREA_MASTER">[3]ﾃﾞｰﾀﾍﾞｰｽ変更点!#REF!</definedName>
    <definedName name="D_ASK" localSheetId="6">[3]ﾃﾞｰﾀﾍﾞｰｽ変更点!#REF!</definedName>
    <definedName name="D_ASK" localSheetId="3">[3]ﾃﾞｰﾀﾍﾞｰｽ変更点!#REF!</definedName>
    <definedName name="D_ASK">[3]ﾃﾞｰﾀﾍﾞｰｽ変更点!#REF!</definedName>
    <definedName name="D_ASK_LOG" localSheetId="6">[5]テーブル設計!#REF!</definedName>
    <definedName name="D_ASK_LOG" localSheetId="3">[5]テーブル設計!#REF!</definedName>
    <definedName name="D_ASK_LOG">[5]テーブル設計!#REF!</definedName>
    <definedName name="D_ASK_SYSTEM" localSheetId="6">[3]ﾃﾞｰﾀﾍﾞｰｽ変更点!#REF!</definedName>
    <definedName name="D_ASK_SYSTEM" localSheetId="3">[3]ﾃﾞｰﾀﾍﾞｰｽ変更点!#REF!</definedName>
    <definedName name="D_ASK_SYSTEM">[3]ﾃﾞｰﾀﾍﾞｰｽ変更点!#REF!</definedName>
    <definedName name="D_ATC_ERROR" localSheetId="6">[5]テーブル設計!#REF!</definedName>
    <definedName name="D_ATC_ERROR" localSheetId="3">[5]テーブル設計!#REF!</definedName>
    <definedName name="D_ATC_ERROR">[5]テーブル設計!#REF!</definedName>
    <definedName name="D_AUTHORITY_GROUP" localSheetId="6">[3]ﾃﾞｰﾀﾍﾞｰｽ変更点!#REF!</definedName>
    <definedName name="D_AUTHORITY_GROUP" localSheetId="3">[3]ﾃﾞｰﾀﾍﾞｰｽ変更点!#REF!</definedName>
    <definedName name="D_AUTHORITY_GROUP">[3]ﾃﾞｰﾀﾍﾞｰｽ変更点!#REF!</definedName>
    <definedName name="D_AUTHORITY_GROUP_DATA" localSheetId="6">[3]ﾃﾞｰﾀﾍﾞｰｽ変更点!#REF!</definedName>
    <definedName name="D_AUTHORITY_GROUP_DATA" localSheetId="3">[3]ﾃﾞｰﾀﾍﾞｰｽ変更点!#REF!</definedName>
    <definedName name="D_AUTHORITY_GROUP_DATA">[3]ﾃﾞｰﾀﾍﾞｰｽ変更点!#REF!</definedName>
    <definedName name="D_AUTHORITY_MASTER" localSheetId="6">[5]テーブル設計!#REF!</definedName>
    <definedName name="D_AUTHORITY_MASTER" localSheetId="3">[5]テーブル設計!#REF!</definedName>
    <definedName name="D_AUTHORITY_MASTER">[5]テーブル設計!#REF!</definedName>
    <definedName name="D_BONDED_STORE" localSheetId="6">[5]テーブル設計!#REF!</definedName>
    <definedName name="D_BONDED_STORE" localSheetId="3">[5]テーブル設計!#REF!</definedName>
    <definedName name="D_BONDED_STORE">[5]テーブル設計!#REF!</definedName>
    <definedName name="D_CAR_DATA" localSheetId="6">[3]ﾃﾞｰﾀﾍﾞｰｽ変更点!#REF!</definedName>
    <definedName name="D_CAR_DATA" localSheetId="3">[3]ﾃﾞｰﾀﾍﾞｰｽ変更点!#REF!</definedName>
    <definedName name="D_CAR_DATA">[3]ﾃﾞｰﾀﾍﾞｰｽ変更点!#REF!</definedName>
    <definedName name="D_CAR_MASTER" localSheetId="6">[3]ﾃﾞｰﾀﾍﾞｰｽ変更点!#REF!</definedName>
    <definedName name="D_CAR_MASTER" localSheetId="3">[3]ﾃﾞｰﾀﾍﾞｰｽ変更点!#REF!</definedName>
    <definedName name="D_CAR_MASTER">[3]ﾃﾞｰﾀﾍﾞｰｽ変更点!#REF!</definedName>
    <definedName name="D_CAR_MONTHLY_DATA" localSheetId="6">[3]ﾃﾞｰﾀﾍﾞｰｽ変更点!#REF!</definedName>
    <definedName name="D_CAR_MONTHLY_DATA" localSheetId="3">[3]ﾃﾞｰﾀﾍﾞｰｽ変更点!#REF!</definedName>
    <definedName name="D_CAR_MONTHLY_DATA">[3]ﾃﾞｰﾀﾍﾞｰｽ変更点!#REF!</definedName>
    <definedName name="D_CAR_OWNER_HISTORY" localSheetId="6">[3]ﾃﾞｰﾀﾍﾞｰｽ変更点!#REF!</definedName>
    <definedName name="D_CAR_OWNER_HISTORY" localSheetId="3">[3]ﾃﾞｰﾀﾍﾞｰｽ変更点!#REF!</definedName>
    <definedName name="D_CAR_OWNER_HISTORY">[3]ﾃﾞｰﾀﾍﾞｰｽ変更点!#REF!</definedName>
    <definedName name="D_CAUTION" localSheetId="6">[4]TableDesign!#REF!</definedName>
    <definedName name="D_CAUTION" localSheetId="3">[4]TableDesign!#REF!</definedName>
    <definedName name="D_CAUTION">[4]TableDesign!#REF!</definedName>
    <definedName name="D_CAUTION_DATA" localSheetId="6">[3]ﾃﾞｰﾀﾍﾞｰｽ変更点!#REF!</definedName>
    <definedName name="D_CAUTION_DATA" localSheetId="3">[3]ﾃﾞｰﾀﾍﾞｰｽ変更点!#REF!</definedName>
    <definedName name="D_CAUTION_DATA">[3]ﾃﾞｰﾀﾍﾞｰｽ変更点!#REF!</definedName>
    <definedName name="D_CAUTION_ENABLED" localSheetId="6">[3]ﾃﾞｰﾀﾍﾞｰｽ変更点!#REF!</definedName>
    <definedName name="D_CAUTION_ENABLED" localSheetId="3">[3]ﾃﾞｰﾀﾍﾞｰｽ変更点!#REF!</definedName>
    <definedName name="D_CAUTION_ENABLED">[3]ﾃﾞｰﾀﾍﾞｰｽ変更点!#REF!</definedName>
    <definedName name="D_CAUTION_ICON" localSheetId="6">[3]ﾃﾞｰﾀﾍﾞｰｽ変更点!#REF!</definedName>
    <definedName name="D_CAUTION_ICON" localSheetId="3">[3]ﾃﾞｰﾀﾍﾞｰｽ変更点!#REF!</definedName>
    <definedName name="D_CAUTION_ICON">[3]ﾃﾞｰﾀﾍﾞｰｽ変更点!#REF!</definedName>
    <definedName name="D_CAUTION_INIT" localSheetId="6">[3]ﾃﾞｰﾀﾍﾞｰｽ変更点!#REF!</definedName>
    <definedName name="D_CAUTION_INIT" localSheetId="3">[3]ﾃﾞｰﾀﾍﾞｰｽ変更点!#REF!</definedName>
    <definedName name="D_CAUTION_INIT">[3]ﾃﾞｰﾀﾍﾞｰｽ変更点!#REF!</definedName>
    <definedName name="D_CAUTION_MASTER" localSheetId="6">[3]ﾃﾞｰﾀﾍﾞｰｽ変更点!#REF!</definedName>
    <definedName name="D_CAUTION_MASTER" localSheetId="3">[3]ﾃﾞｰﾀﾍﾞｰｽ変更点!#REF!</definedName>
    <definedName name="D_CAUTION_MASTER">[3]ﾃﾞｰﾀﾍﾞｰｽ変更点!#REF!</definedName>
    <definedName name="D_CLASS1_MASTER" localSheetId="6">[3]ﾃﾞｰﾀﾍﾞｰｽ変更点!#REF!</definedName>
    <definedName name="D_CLASS1_MASTER" localSheetId="3">[3]ﾃﾞｰﾀﾍﾞｰｽ変更点!#REF!</definedName>
    <definedName name="D_CLASS1_MASTER">[3]ﾃﾞｰﾀﾍﾞｰｽ変更点!#REF!</definedName>
    <definedName name="D_CLASS2_MASTER" localSheetId="6">[3]ﾃﾞｰﾀﾍﾞｰｽ変更点!#REF!</definedName>
    <definedName name="D_CLASS2_MASTER" localSheetId="3">[3]ﾃﾞｰﾀﾍﾞｰｽ変更点!#REF!</definedName>
    <definedName name="D_CLASS2_MASTER">[3]ﾃﾞｰﾀﾍﾞｰｽ変更点!#REF!</definedName>
    <definedName name="D_COMM_DATA" localSheetId="6">[3]ﾃﾞｰﾀﾍﾞｰｽ変更点!#REF!</definedName>
    <definedName name="D_COMM_DATA" localSheetId="3">[3]ﾃﾞｰﾀﾍﾞｰｽ変更点!#REF!</definedName>
    <definedName name="D_COMM_DATA">[3]ﾃﾞｰﾀﾍﾞｰｽ変更点!#REF!</definedName>
    <definedName name="D_COMM_STATUS_MASTER" localSheetId="6">[3]ﾃﾞｰﾀﾍﾞｰｽ変更点!#REF!</definedName>
    <definedName name="D_COMM_STATUS_MASTER" localSheetId="3">[3]ﾃﾞｰﾀﾍﾞｰｽ変更点!#REF!</definedName>
    <definedName name="D_COMM_STATUS_MASTER">[3]ﾃﾞｰﾀﾍﾞｰｽ変更点!#REF!</definedName>
    <definedName name="D_CONFIG_DEFINE" localSheetId="6">[3]ﾃﾞｰﾀﾍﾞｰｽ変更点!#REF!</definedName>
    <definedName name="D_CONFIG_DEFINE" localSheetId="3">[3]ﾃﾞｰﾀﾍﾞｰｽ変更点!#REF!</definedName>
    <definedName name="D_CONFIG_DEFINE">[3]ﾃﾞｰﾀﾍﾞｰｽ変更点!#REF!</definedName>
    <definedName name="D_CONFIG_FLAG" localSheetId="6">[5]テーブル設計!#REF!</definedName>
    <definedName name="D_CONFIG_FLAG" localSheetId="3">[5]テーブル設計!#REF!</definedName>
    <definedName name="D_CONFIG_FLAG">[5]テーブル設計!#REF!</definedName>
    <definedName name="D_CONFIG_INIT" localSheetId="6">[3]ﾃﾞｰﾀﾍﾞｰｽ変更点!#REF!</definedName>
    <definedName name="D_CONFIG_INIT" localSheetId="3">[3]ﾃﾞｰﾀﾍﾞｰｽ変更点!#REF!</definedName>
    <definedName name="D_CONFIG_INIT">[3]ﾃﾞｰﾀﾍﾞｰｽ変更点!#REF!</definedName>
    <definedName name="D_CONFIG_PATTERN" localSheetId="6">[3]ﾃﾞｰﾀﾍﾞｰｽ変更点!#REF!</definedName>
    <definedName name="D_CONFIG_PATTERN" localSheetId="3">[3]ﾃﾞｰﾀﾍﾞｰｽ変更点!#REF!</definedName>
    <definedName name="D_CONFIG_PATTERN">[3]ﾃﾞｰﾀﾍﾞｰｽ変更点!#REF!</definedName>
    <definedName name="D_CONFIG_PATTERN_DATA" localSheetId="6">[3]ﾃﾞｰﾀﾍﾞｰｽ変更点!#REF!</definedName>
    <definedName name="D_CONFIG_PATTERN_DATA" localSheetId="3">[3]ﾃﾞｰﾀﾍﾞｰｽ変更点!#REF!</definedName>
    <definedName name="D_CONFIG_PATTERN_DATA">[3]ﾃﾞｰﾀﾍﾞｰｽ変更点!#REF!</definedName>
    <definedName name="D_CONFIG_USER_FLAG" localSheetId="6">[5]テーブル設計!#REF!</definedName>
    <definedName name="D_CONFIG_USER_FLAG" localSheetId="3">[5]テーブル設計!#REF!</definedName>
    <definedName name="D_CONFIG_USER_FLAG">[5]テーブル設計!#REF!</definedName>
    <definedName name="D_CONTRACT" localSheetId="6">[5]テーブル設計!#REF!</definedName>
    <definedName name="D_CONTRACT" localSheetId="3">[5]テーブル設計!#REF!</definedName>
    <definedName name="D_CONTRACT">[5]テーブル設計!#REF!</definedName>
    <definedName name="D_CUSTOMER" localSheetId="6">[3]ﾃﾞｰﾀﾍﾞｰｽ変更点!#REF!</definedName>
    <definedName name="D_CUSTOMER" localSheetId="3">[3]ﾃﾞｰﾀﾍﾞｰｽ変更点!#REF!</definedName>
    <definedName name="D_CUSTOMER">[3]ﾃﾞｰﾀﾍﾞｰｽ変更点!#REF!</definedName>
    <definedName name="D_CUSTOMER_CAR" localSheetId="6">[3]ﾃﾞｰﾀﾍﾞｰｽ変更点!#REF!</definedName>
    <definedName name="D_CUSTOMER_CAR" localSheetId="3">[3]ﾃﾞｰﾀﾍﾞｰｽ変更点!#REF!</definedName>
    <definedName name="D_CUSTOMER_CAR">[3]ﾃﾞｰﾀﾍﾞｰｽ変更点!#REF!</definedName>
    <definedName name="D_CUSTOMER_MASTER" localSheetId="6">[4]TableDesign!#REF!</definedName>
    <definedName name="D_CUSTOMER_MASTER" localSheetId="3">[4]TableDesign!#REF!</definedName>
    <definedName name="D_CUSTOMER_MASTER">[4]TableDesign!#REF!</definedName>
    <definedName name="D_DIVISION_MASTER" localSheetId="6">[3]ﾃﾞｰﾀﾍﾞｰｽ変更点!#REF!</definedName>
    <definedName name="D_DIVISION_MASTER" localSheetId="3">[3]ﾃﾞｰﾀﾍﾞｰｽ変更点!#REF!</definedName>
    <definedName name="D_DIVISION_MASTER">[3]ﾃﾞｰﾀﾍﾞｰｽ変更点!#REF!</definedName>
    <definedName name="D_DOPA" localSheetId="6">[3]ﾃﾞｰﾀﾍﾞｰｽ変更点!#REF!</definedName>
    <definedName name="D_DOPA" localSheetId="3">[3]ﾃﾞｰﾀﾍﾞｰｽ変更点!#REF!</definedName>
    <definedName name="D_DOPA">[3]ﾃﾞｰﾀﾍﾞｰｽ変更点!#REF!</definedName>
    <definedName name="D_DOPA_OWNER_HISTORY" localSheetId="6">[3]ﾃﾞｰﾀﾍﾞｰｽ変更点!#REF!</definedName>
    <definedName name="D_DOPA_OWNER_HISTORY" localSheetId="3">[3]ﾃﾞｰﾀﾍﾞｰｽ変更点!#REF!</definedName>
    <definedName name="D_DOPA_OWNER_HISTORY">[3]ﾃﾞｰﾀﾍﾞｰｽ変更点!#REF!</definedName>
    <definedName name="D_DOPA_SERVER" localSheetId="6">[3]ﾃﾞｰﾀﾍﾞｰｽ変更点!#REF!</definedName>
    <definedName name="D_DOPA_SERVER" localSheetId="3">[3]ﾃﾞｰﾀﾍﾞｰｽ変更点!#REF!</definedName>
    <definedName name="D_DOPA_SERVER">[3]ﾃﾞｰﾀﾍﾞｰｽ変更点!#REF!</definedName>
    <definedName name="D_EQUIPMENT_HISTORY" localSheetId="6">[3]ﾃﾞｰﾀﾍﾞｰｽ変更点!#REF!</definedName>
    <definedName name="D_EQUIPMENT_HISTORY" localSheetId="3">[3]ﾃﾞｰﾀﾍﾞｰｽ変更点!#REF!</definedName>
    <definedName name="D_EQUIPMENT_HISTORY">[3]ﾃﾞｰﾀﾍﾞｰｽ変更点!#REF!</definedName>
    <definedName name="D_ERROR" localSheetId="6">[3]ﾃﾞｰﾀﾍﾞｰｽ変更点!#REF!</definedName>
    <definedName name="D_ERROR" localSheetId="3">[3]ﾃﾞｰﾀﾍﾞｰｽ変更点!#REF!</definedName>
    <definedName name="D_ERROR">[3]ﾃﾞｰﾀﾍﾞｰｽ変更点!#REF!</definedName>
    <definedName name="D_ERROR_ENABLED" localSheetId="6">[3]ﾃﾞｰﾀﾍﾞｰｽ変更点!#REF!</definedName>
    <definedName name="D_ERROR_ENABLED" localSheetId="3">[3]ﾃﾞｰﾀﾍﾞｰｽ変更点!#REF!</definedName>
    <definedName name="D_ERROR_ENABLED">[3]ﾃﾞｰﾀﾍﾞｰｽ変更点!#REF!</definedName>
    <definedName name="D_ERROR_MASTER" localSheetId="6">[3]ﾃﾞｰﾀﾍﾞｰｽ変更点!#REF!</definedName>
    <definedName name="D_ERROR_MASTER" localSheetId="3">[3]ﾃﾞｰﾀﾍﾞｰｽ変更点!#REF!</definedName>
    <definedName name="D_ERROR_MASTER">[3]ﾃﾞｰﾀﾍﾞｰｽ変更点!#REF!</definedName>
    <definedName name="D_EVENT_CATEGORY" localSheetId="6">[4]TableDesign!#REF!</definedName>
    <definedName name="D_EVENT_CATEGORY" localSheetId="3">[4]TableDesign!#REF!</definedName>
    <definedName name="D_EVENT_CATEGORY">[4]TableDesign!#REF!</definedName>
    <definedName name="D_EVENT_DIVISION" localSheetId="6">[3]ﾃﾞｰﾀﾍﾞｰｽ変更点!#REF!</definedName>
    <definedName name="D_EVENT_DIVISION" localSheetId="3">[3]ﾃﾞｰﾀﾍﾞｰｽ変更点!#REF!</definedName>
    <definedName name="D_EVENT_DIVISION">[3]ﾃﾞｰﾀﾍﾞｰｽ変更点!#REF!</definedName>
    <definedName name="D_EVENT_MASTER" localSheetId="6">[3]ﾃﾞｰﾀﾍﾞｰｽ変更点!#REF!</definedName>
    <definedName name="D_EVENT_MASTER" localSheetId="3">[3]ﾃﾞｰﾀﾍﾞｰｽ変更点!#REF!</definedName>
    <definedName name="D_EVENT_MASTER">[3]ﾃﾞｰﾀﾍﾞｰｽ変更点!#REF!</definedName>
    <definedName name="D_EVENT_NOTICE" localSheetId="6">[3]ﾃﾞｰﾀﾍﾞｰｽ変更点!#REF!</definedName>
    <definedName name="D_EVENT_NOTICE" localSheetId="3">[3]ﾃﾞｰﾀﾍﾞｰｽ変更点!#REF!</definedName>
    <definedName name="D_EVENT_NOTICE">[3]ﾃﾞｰﾀﾍﾞｰｽ変更点!#REF!</definedName>
    <definedName name="D_FUEL_GAUGE" localSheetId="6">[4]TableDesign!#REF!</definedName>
    <definedName name="D_FUEL_GAUGE" localSheetId="3">[4]TableDesign!#REF!</definedName>
    <definedName name="D_FUEL_GAUGE">[4]TableDesign!#REF!</definedName>
    <definedName name="D_GAUGE_FUEL_WTTEMP" localSheetId="6">[3]ﾃﾞｰﾀﾍﾞｰｽ変更点!#REF!</definedName>
    <definedName name="D_GAUGE_FUEL_WTTEMP" localSheetId="3">[3]ﾃﾞｰﾀﾍﾞｰｽ変更点!#REF!</definedName>
    <definedName name="D_GAUGE_FUEL_WTTEMP">[3]ﾃﾞｰﾀﾍﾞｰｽ変更点!#REF!</definedName>
    <definedName name="D_GIS_DEFINE" localSheetId="6">[4]TableDesign!#REF!</definedName>
    <definedName name="D_GIS_DEFINE" localSheetId="3">[4]TableDesign!#REF!</definedName>
    <definedName name="D_GIS_DEFINE">[4]TableDesign!#REF!</definedName>
    <definedName name="D_GPS" localSheetId="6">[3]ﾃﾞｰﾀﾍﾞｰｽ変更点!#REF!</definedName>
    <definedName name="D_GPS" localSheetId="3">[3]ﾃﾞｰﾀﾍﾞｰｽ変更点!#REF!</definedName>
    <definedName name="D_GPS">[3]ﾃﾞｰﾀﾍﾞｰｽ変更点!#REF!</definedName>
    <definedName name="D_GRANT_AUTHORITY" localSheetId="6">[3]ﾃﾞｰﾀﾍﾞｰｽ変更点!#REF!</definedName>
    <definedName name="D_GRANT_AUTHORITY" localSheetId="3">[3]ﾃﾞｰﾀﾍﾞｰｽ変更点!#REF!</definedName>
    <definedName name="D_GRANT_AUTHORITY">[3]ﾃﾞｰﾀﾍﾞｰｽ変更点!#REF!</definedName>
    <definedName name="D_GROUP_MASTER" localSheetId="6">[3]ﾃﾞｰﾀﾍﾞｰｽ変更点!#REF!</definedName>
    <definedName name="D_GROUP_MASTER" localSheetId="3">[3]ﾃﾞｰﾀﾍﾞｰｽ変更点!#REF!</definedName>
    <definedName name="D_GROUP_MASTER">[3]ﾃﾞｰﾀﾍﾞｰｽ変更点!#REF!</definedName>
    <definedName name="D_IGNORE_CAUTION" localSheetId="6">[5]テーブル設計!#REF!</definedName>
    <definedName name="D_IGNORE_CAUTION" localSheetId="3">[5]テーブル設計!#REF!</definedName>
    <definedName name="D_IGNORE_CAUTION">[5]テーブル設計!#REF!</definedName>
    <definedName name="D_IGNORE_ERROR" localSheetId="6">[5]テーブル設計!#REF!</definedName>
    <definedName name="D_IGNORE_ERROR" localSheetId="3">[5]テーブル設計!#REF!</definedName>
    <definedName name="D_IGNORE_ERROR">[5]テーブル設計!#REF!</definedName>
    <definedName name="D_INFORM_MASTER" localSheetId="6">[3]ﾃﾞｰﾀﾍﾞｰｽ変更点!#REF!</definedName>
    <definedName name="D_INFORM_MASTER" localSheetId="3">[3]ﾃﾞｰﾀﾍﾞｰｽ変更点!#REF!</definedName>
    <definedName name="D_INFORM_MASTER">[3]ﾃﾞｰﾀﾍﾞｰｽ変更点!#REF!</definedName>
    <definedName name="D_INFORMATION" localSheetId="6">[3]ﾃﾞｰﾀﾍﾞｰｽ変更点!#REF!</definedName>
    <definedName name="D_INFORMATION" localSheetId="3">[3]ﾃﾞｰﾀﾍﾞｰｽ変更点!#REF!</definedName>
    <definedName name="D_INFORMATION">[3]ﾃﾞｰﾀﾍﾞｰｽ変更点!#REF!</definedName>
    <definedName name="D_INFORMATION_READED" localSheetId="6">[3]ﾃﾞｰﾀﾍﾞｰｽ変更点!#REF!</definedName>
    <definedName name="D_INFORMATION_READED" localSheetId="3">[3]ﾃﾞｰﾀﾍﾞｰｽ変更点!#REF!</definedName>
    <definedName name="D_INFORMATION_READED">[3]ﾃﾞｰﾀﾍﾞｰｽ変更点!#REF!</definedName>
    <definedName name="D_INVALID_PART_TERMINAL" localSheetId="6">[5]テーブル設計!#REF!</definedName>
    <definedName name="D_INVALID_PART_TERMINAL" localSheetId="3">[5]テーブル設計!#REF!</definedName>
    <definedName name="D_INVALID_PART_TERMINAL">[5]テーブル設計!#REF!</definedName>
    <definedName name="D_KIND_MASTER" localSheetId="6">[3]ﾃﾞｰﾀﾍﾞｰｽ変更点!#REF!</definedName>
    <definedName name="D_KIND_MASTER" localSheetId="3">[3]ﾃﾞｰﾀﾍﾞｰｽ変更点!#REF!</definedName>
    <definedName name="D_KIND_MASTER">[3]ﾃﾞｰﾀﾍﾞｰｽ変更点!#REF!</definedName>
    <definedName name="D_KRO_APPLICATION" localSheetId="6">[3]ﾃﾞｰﾀﾍﾞｰｽ変更点!#REF!</definedName>
    <definedName name="D_KRO_APPLICATION" localSheetId="3">[3]ﾃﾞｰﾀﾍﾞｰｽ変更点!#REF!</definedName>
    <definedName name="D_KRO_APPLICATION">[3]ﾃﾞｰﾀﾍﾞｰｽ変更点!#REF!</definedName>
    <definedName name="D_KRO_APPLICATION_DATA" localSheetId="6">[3]ﾃﾞｰﾀﾍﾞｰｽ変更点!#REF!</definedName>
    <definedName name="D_KRO_APPLICATION_DATA" localSheetId="3">[3]ﾃﾞｰﾀﾍﾞｰｽ変更点!#REF!</definedName>
    <definedName name="D_KRO_APPLICATION_DATA">[3]ﾃﾞｰﾀﾍﾞｰｽ変更点!#REF!</definedName>
    <definedName name="D_KRO_COMPLETION" localSheetId="6">[3]ﾃﾞｰﾀﾍﾞｰｽ変更点!#REF!</definedName>
    <definedName name="D_KRO_COMPLETION" localSheetId="3">[3]ﾃﾞｰﾀﾍﾞｰｽ変更点!#REF!</definedName>
    <definedName name="D_KRO_COMPLETION">[3]ﾃﾞｰﾀﾍﾞｰｽ変更点!#REF!</definedName>
    <definedName name="D_KRO_COMPLETION_DATA" localSheetId="6">[3]ﾃﾞｰﾀﾍﾞｰｽ変更点!#REF!</definedName>
    <definedName name="D_KRO_COMPLETION_DATA" localSheetId="3">[3]ﾃﾞｰﾀﾍﾞｰｽ変更点!#REF!</definedName>
    <definedName name="D_KRO_COMPLETION_DATA">[3]ﾃﾞｰﾀﾍﾞｰｽ変更点!#REF!</definedName>
    <definedName name="D_KRO_EMERGENCY" localSheetId="6">[5]テーブル設計!#REF!</definedName>
    <definedName name="D_KRO_EMERGENCY" localSheetId="3">[5]テーブル設計!#REF!</definedName>
    <definedName name="D_KRO_EMERGENCY">[5]テーブル設計!#REF!</definedName>
    <definedName name="D_KRO_REPORT" localSheetId="6">[3]ﾃﾞｰﾀﾍﾞｰｽ変更点!#REF!</definedName>
    <definedName name="D_KRO_REPORT" localSheetId="3">[3]ﾃﾞｰﾀﾍﾞｰｽ変更点!#REF!</definedName>
    <definedName name="D_KRO_REPORT">[3]ﾃﾞｰﾀﾍﾞｰｽ変更点!#REF!</definedName>
    <definedName name="D_LANDMARK" localSheetId="6">[3]ﾃﾞｰﾀﾍﾞｰｽ変更点!#REF!</definedName>
    <definedName name="D_LANDMARK" localSheetId="3">[3]ﾃﾞｰﾀﾍﾞｰｽ変更点!#REF!</definedName>
    <definedName name="D_LANDMARK">[3]ﾃﾞｰﾀﾍﾞｰｽ変更点!#REF!</definedName>
    <definedName name="D_LANDMARK_CLASS" localSheetId="6">[3]ﾃﾞｰﾀﾍﾞｰｽ変更点!#REF!</definedName>
    <definedName name="D_LANDMARK_CLASS" localSheetId="3">[3]ﾃﾞｰﾀﾍﾞｰｽ変更点!#REF!</definedName>
    <definedName name="D_LANDMARK_CLASS">[3]ﾃﾞｰﾀﾍﾞｰｽ変更点!#REF!</definedName>
    <definedName name="D_LOGON_HISTORY" localSheetId="6">[3]ﾃﾞｰﾀﾍﾞｰｽ変更点!#REF!</definedName>
    <definedName name="D_LOGON_HISTORY" localSheetId="3">[3]ﾃﾞｰﾀﾍﾞｰｽ変更点!#REF!</definedName>
    <definedName name="D_LOGON_HISTORY">[3]ﾃﾞｰﾀﾍﾞｰｽ変更点!#REF!</definedName>
    <definedName name="D_MACHINE_ERROR" localSheetId="6">[4]TableDesign!#REF!</definedName>
    <definedName name="D_MACHINE_ERROR" localSheetId="3">[4]TableDesign!#REF!</definedName>
    <definedName name="D_MACHINE_ERROR">[4]TableDesign!#REF!</definedName>
    <definedName name="D_MACHINE_STATUS_MASTER" localSheetId="6">[3]ﾃﾞｰﾀﾍﾞｰｽ変更点!#REF!</definedName>
    <definedName name="D_MACHINE_STATUS_MASTER" localSheetId="3">[3]ﾃﾞｰﾀﾍﾞｰｽ変更点!#REF!</definedName>
    <definedName name="D_MACHINE_STATUS_MASTER">[3]ﾃﾞｰﾀﾍﾞｰｽ変更点!#REF!</definedName>
    <definedName name="D_MAINTENANCE_DATA" localSheetId="6">[3]ﾃﾞｰﾀﾍﾞｰｽ変更点!#REF!</definedName>
    <definedName name="D_MAINTENANCE_DATA" localSheetId="3">[3]ﾃﾞｰﾀﾍﾞｰｽ変更点!#REF!</definedName>
    <definedName name="D_MAINTENANCE_DATA">[3]ﾃﾞｰﾀﾍﾞｰｽ変更点!#REF!</definedName>
    <definedName name="D_MAINTENANCE_INFORM" localSheetId="6">[3]ﾃﾞｰﾀﾍﾞｰｽ変更点!#REF!</definedName>
    <definedName name="D_MAINTENANCE_INFORM" localSheetId="3">[3]ﾃﾞｰﾀﾍﾞｰｽ変更点!#REF!</definedName>
    <definedName name="D_MAINTENANCE_INFORM">[3]ﾃﾞｰﾀﾍﾞｰｽ変更点!#REF!</definedName>
    <definedName name="D_MAINTENANCE_MASTER" localSheetId="6">[3]ﾃﾞｰﾀﾍﾞｰｽ変更点!#REF!</definedName>
    <definedName name="D_MAINTENANCE_MASTER" localSheetId="3">[3]ﾃﾞｰﾀﾍﾞｰｽ変更点!#REF!</definedName>
    <definedName name="D_MAINTENANCE_MASTER">[3]ﾃﾞｰﾀﾍﾞｰｽ変更点!#REF!</definedName>
    <definedName name="D_MAINTENANCE_TIME" localSheetId="6">[4]TableDesign!#REF!</definedName>
    <definedName name="D_MAINTENANCE_TIME" localSheetId="3">[4]TableDesign!#REF!</definedName>
    <definedName name="D_MAINTENANCE_TIME">[4]TableDesign!#REF!</definedName>
    <definedName name="D_MAKER_MASTER" localSheetId="6">[3]ﾃﾞｰﾀﾍﾞｰｽ変更点!#REF!</definedName>
    <definedName name="D_MAKER_MASTER" localSheetId="3">[3]ﾃﾞｰﾀﾍﾞｰｽ変更点!#REF!</definedName>
    <definedName name="D_MAKER_MASTER">[3]ﾃﾞｰﾀﾍﾞｰｽ変更点!#REF!</definedName>
    <definedName name="D_MARK_MACHINE" localSheetId="6">[4]TableDesign!#REF!</definedName>
    <definedName name="D_MARK_MACHINE" localSheetId="3">[4]TableDesign!#REF!</definedName>
    <definedName name="D_MARK_MACHINE">[4]TableDesign!#REF!</definedName>
    <definedName name="D_MARK_NOTIFICATION" localSheetId="6">[4]TableDesign!#REF!</definedName>
    <definedName name="D_MARK_NOTIFICATION" localSheetId="3">[4]TableDesign!#REF!</definedName>
    <definedName name="D_MARK_NOTIFICATION">[4]TableDesign!#REF!</definedName>
    <definedName name="D_MARK_NOTIFICATION_DETAIL" localSheetId="6">[4]TableDesign!#REF!</definedName>
    <definedName name="D_MARK_NOTIFICATION_DETAIL" localSheetId="3">[4]TableDesign!#REF!</definedName>
    <definedName name="D_MARK_NOTIFICATION_DETAIL">[4]TableDesign!#REF!</definedName>
    <definedName name="D_MEMO" localSheetId="6">[3]ﾃﾞｰﾀﾍﾞｰｽ変更点!#REF!</definedName>
    <definedName name="D_MEMO" localSheetId="3">[3]ﾃﾞｰﾀﾍﾞｰｽ変更点!#REF!</definedName>
    <definedName name="D_MEMO">[3]ﾃﾞｰﾀﾍﾞｰｽ変更点!#REF!</definedName>
    <definedName name="D_MEMORY_MODIFY" localSheetId="6">[3]ﾃﾞｰﾀﾍﾞｰｽ変更点!#REF!</definedName>
    <definedName name="D_MEMORY_MODIFY" localSheetId="3">[3]ﾃﾞｰﾀﾍﾞｰｽ変更点!#REF!</definedName>
    <definedName name="D_MEMORY_MODIFY">[3]ﾃﾞｰﾀﾍﾞｰｽ変更点!#REF!</definedName>
    <definedName name="D_MEMORY_MODIFY_DATA" localSheetId="6">[3]ﾃﾞｰﾀﾍﾞｰｽ変更点!#REF!</definedName>
    <definedName name="D_MEMORY_MODIFY_DATA" localSheetId="3">[3]ﾃﾞｰﾀﾍﾞｰｽ変更点!#REF!</definedName>
    <definedName name="D_MEMORY_MODIFY_DATA">[3]ﾃﾞｰﾀﾍﾞｰｽ変更点!#REF!</definedName>
    <definedName name="D_MESSAGE" localSheetId="6">[3]ﾃﾞｰﾀﾍﾞｰｽ変更点!#REF!</definedName>
    <definedName name="D_MESSAGE" localSheetId="3">[3]ﾃﾞｰﾀﾍﾞｰｽ変更点!#REF!</definedName>
    <definedName name="D_MESSAGE">[3]ﾃﾞｰﾀﾍﾞｰｽ変更点!#REF!</definedName>
    <definedName name="D_MESSAGE_MASTER" localSheetId="6">[3]ﾃﾞｰﾀﾍﾞｰｽ変更点!#REF!</definedName>
    <definedName name="D_MESSAGE_MASTER" localSheetId="3">[3]ﾃﾞｰﾀﾍﾞｰｽ変更点!#REF!</definedName>
    <definedName name="D_MESSAGE_MASTER">[3]ﾃﾞｰﾀﾍﾞｰｽ変更点!#REF!</definedName>
    <definedName name="D_MONTHLY_ATT_SMR" localSheetId="6">[4]TableDesign!#REF!</definedName>
    <definedName name="D_MONTHLY_ATT_SMR" localSheetId="3">[4]TableDesign!#REF!</definedName>
    <definedName name="D_MONTHLY_ATT_SMR">[4]TableDesign!#REF!</definedName>
    <definedName name="D_MONTHLY_ERROR" localSheetId="6">[4]TableDesign!#REF!</definedName>
    <definedName name="D_MONTHLY_ERROR" localSheetId="3">[4]TableDesign!#REF!</definedName>
    <definedName name="D_MONTHLY_ERROR">[4]TableDesign!#REF!</definedName>
    <definedName name="D_MONTHLY_LOAD" localSheetId="6">[4]TableDesign!#REF!</definedName>
    <definedName name="D_MONTHLY_LOAD" localSheetId="3">[4]TableDesign!#REF!</definedName>
    <definedName name="D_MONTHLY_LOAD">[4]TableDesign!#REF!</definedName>
    <definedName name="D_MONTHLY_MOVEMENT" localSheetId="6">[4]TableDesign!#REF!</definedName>
    <definedName name="D_MONTHLY_MOVEMENT" localSheetId="3">[4]TableDesign!#REF!</definedName>
    <definedName name="D_MONTHLY_MOVEMENT">[4]TableDesign!#REF!</definedName>
    <definedName name="D_MONTHLY_OPERATION" localSheetId="6">[4]TableDesign!#REF!</definedName>
    <definedName name="D_MONTHLY_OPERATION" localSheetId="3">[4]TableDesign!#REF!</definedName>
    <definedName name="D_MONTHLY_OPERATION">[4]TableDesign!#REF!</definedName>
    <definedName name="D_MONTHLY_SMR" localSheetId="6">[4]TableDesign!#REF!</definedName>
    <definedName name="D_MONTHLY_SMR" localSheetId="3">[4]TableDesign!#REF!</definedName>
    <definedName name="D_MONTHLY_SMR">[4]TableDesign!#REF!</definedName>
    <definedName name="D_MONTHLY_WORKING_SMR" localSheetId="6">[4]TableDesign!#REF!</definedName>
    <definedName name="D_MONTHLY_WORKING_SMR" localSheetId="3">[4]TableDesign!#REF!</definedName>
    <definedName name="D_MONTHLY_WORKING_SMR">[4]TableDesign!#REF!</definedName>
    <definedName name="D_MONTLY_LOAD" localSheetId="6">[4]TableDesign!#REF!</definedName>
    <definedName name="D_MONTLY_LOAD" localSheetId="3">[4]TableDesign!#REF!</definedName>
    <definedName name="D_MONTLY_LOAD">[4]TableDesign!#REF!</definedName>
    <definedName name="D_MULTI_OPE" localSheetId="6">[3]ﾃﾞｰﾀﾍﾞｰｽ変更点!#REF!</definedName>
    <definedName name="D_MULTI_OPE" localSheetId="3">[3]ﾃﾞｰﾀﾍﾞｰｽ変更点!#REF!</definedName>
    <definedName name="D_MULTI_OPE">[3]ﾃﾞｰﾀﾍﾞｰｽ変更点!#REF!</definedName>
    <definedName name="D_MULTI_OPE_DATA" localSheetId="6">[5]テーブル設計!#REF!</definedName>
    <definedName name="D_MULTI_OPE_DATA" localSheetId="3">[5]テーブル設計!#REF!</definedName>
    <definedName name="D_MULTI_OPE_DATA">[5]テーブル設計!#REF!</definedName>
    <definedName name="D_NLS_DB_RESOURCE" localSheetId="6">[4]TableDesign!#REF!</definedName>
    <definedName name="D_NLS_DB_RESOURCE" localSheetId="3">[4]TableDesign!#REF!</definedName>
    <definedName name="D_NLS_DB_RESOURCE">[4]TableDesign!#REF!</definedName>
    <definedName name="D_NLS_LANG" localSheetId="6">[4]TableDesign!#REF!</definedName>
    <definedName name="D_NLS_LANG" localSheetId="3">[4]TableDesign!#REF!</definedName>
    <definedName name="D_NLS_LANG">[4]TableDesign!#REF!</definedName>
    <definedName name="D_NLS_RESOURCE" localSheetId="6">[4]TableDesign!#REF!</definedName>
    <definedName name="D_NLS_RESOURCE" localSheetId="3">[4]TableDesign!#REF!</definedName>
    <definedName name="D_NLS_RESOURCE">[4]TableDesign!#REF!</definedName>
    <definedName name="D_NOT_ACTIVE" localSheetId="6">[3]ﾃﾞｰﾀﾍﾞｰｽ変更点!#REF!</definedName>
    <definedName name="D_NOT_ACTIVE" localSheetId="3">[3]ﾃﾞｰﾀﾍﾞｰｽ変更点!#REF!</definedName>
    <definedName name="D_NOT_ACTIVE">[3]ﾃﾞｰﾀﾍﾞｰｽ変更点!#REF!</definedName>
    <definedName name="D_OPERATION_CATEGORY" localSheetId="6">[4]TableDesign!#REF!</definedName>
    <definedName name="D_OPERATION_CATEGORY" localSheetId="3">[4]TableDesign!#REF!</definedName>
    <definedName name="D_OPERATION_CATEGORY">[4]TableDesign!#REF!</definedName>
    <definedName name="D_OPERATION_CLASS" localSheetId="6">[5]テーブル設計!#REF!</definedName>
    <definedName name="D_OPERATION_CLASS" localSheetId="3">[5]テーブル設計!#REF!</definedName>
    <definedName name="D_OPERATION_CLASS">[5]テーブル設計!#REF!</definedName>
    <definedName name="D_OPERATION_LOG" localSheetId="6">[3]ﾃﾞｰﾀﾍﾞｰｽ変更点!#REF!</definedName>
    <definedName name="D_OPERATION_LOG" localSheetId="3">[3]ﾃﾞｰﾀﾍﾞｰｽ変更点!#REF!</definedName>
    <definedName name="D_OPERATION_LOG">[3]ﾃﾞｰﾀﾍﾞｰｽ変更点!#REF!</definedName>
    <definedName name="D_OPERATION_LOG2" localSheetId="6">[5]テーブル設計!#REF!</definedName>
    <definedName name="D_OPERATION_LOG2" localSheetId="3">[5]テーブル設計!#REF!</definedName>
    <definedName name="D_OPERATION_LOG2">[5]テーブル設計!#REF!</definedName>
    <definedName name="D_OPERATION_MAP" localSheetId="6">[4]TableDesign!#REF!</definedName>
    <definedName name="D_OPERATION_MAP" localSheetId="3">[4]TableDesign!#REF!</definedName>
    <definedName name="D_OPERATION_MAP">[4]TableDesign!#REF!</definedName>
    <definedName name="D_OPERATION_MASTER" localSheetId="6">[5]テーブル設計!#REF!</definedName>
    <definedName name="D_OPERATION_MASTER" localSheetId="3">[5]テーブル設計!#REF!</definedName>
    <definedName name="D_OPERATION_MASTER">[5]テーブル設計!#REF!</definedName>
    <definedName name="D_ORBCOMM" localSheetId="6">[3]ﾃﾞｰﾀﾍﾞｰｽ変更点!#REF!</definedName>
    <definedName name="D_ORBCOMM" localSheetId="3">[3]ﾃﾞｰﾀﾍﾞｰｽ変更点!#REF!</definedName>
    <definedName name="D_ORBCOMM">[3]ﾃﾞｰﾀﾍﾞｰｽ変更点!#REF!</definedName>
    <definedName name="D_ORBCOMM_OWNER_HISTORY" localSheetId="6">[3]ﾃﾞｰﾀﾍﾞｰｽ変更点!#REF!</definedName>
    <definedName name="D_ORBCOMM_OWNER_HISTORY" localSheetId="3">[3]ﾃﾞｰﾀﾍﾞｰｽ変更点!#REF!</definedName>
    <definedName name="D_ORBCOMM_OWNER_HISTORY">[3]ﾃﾞｰﾀﾍﾞｰｽ変更点!#REF!</definedName>
    <definedName name="D_PLANT_CAR" localSheetId="6">[5]テーブル設計!#REF!</definedName>
    <definedName name="D_PLANT_CAR" localSheetId="3">[5]テーブル設計!#REF!</definedName>
    <definedName name="D_PLANT_CAR">[5]テーブル設計!#REF!</definedName>
    <definedName name="D_PLANT_ERROR" localSheetId="6">[5]テーブル設計!#REF!</definedName>
    <definedName name="D_PLANT_ERROR" localSheetId="3">[5]テーブル設計!#REF!</definedName>
    <definedName name="D_PLANT_ERROR">[5]テーブル設計!#REF!</definedName>
    <definedName name="D_PLANT_GPS" localSheetId="6">[5]テーブル設計!#REF!</definedName>
    <definedName name="D_PLANT_GPS" localSheetId="3">[5]テーブル設計!#REF!</definedName>
    <definedName name="D_PLANT_GPS">[5]テーブル設計!#REF!</definedName>
    <definedName name="D_PREVENT_THEFT_KEY" localSheetId="6">[3]ﾃﾞｰﾀﾍﾞｰｽ変更点!#REF!</definedName>
    <definedName name="D_PREVENT_THEFT_KEY" localSheetId="3">[3]ﾃﾞｰﾀﾍﾞｰｽ変更点!#REF!</definedName>
    <definedName name="D_PREVENT_THEFT_KEY">[3]ﾃﾞｰﾀﾍﾞｰｽ変更点!#REF!</definedName>
    <definedName name="D_PRIVATE_TARGET_CAR" localSheetId="6">[3]ﾃﾞｰﾀﾍﾞｰｽ変更点!#REF!</definedName>
    <definedName name="D_PRIVATE_TARGET_CAR" localSheetId="3">[3]ﾃﾞｰﾀﾍﾞｰｽ変更点!#REF!</definedName>
    <definedName name="D_PRIVATE_TARGET_CAR">[3]ﾃﾞｰﾀﾍﾞｰｽ変更点!#REF!</definedName>
    <definedName name="D_RECEIVE_LIST" localSheetId="6">[5]テーブル設計!#REF!</definedName>
    <definedName name="D_RECEIVE_LIST" localSheetId="3">[5]テーブル設計!#REF!</definedName>
    <definedName name="D_RECEIVE_LIST">[5]テーブル設計!#REF!</definedName>
    <definedName name="D_RECEIVE_LOG" localSheetId="6">[3]ﾃﾞｰﾀﾍﾞｰｽ変更点!#REF!</definedName>
    <definedName name="D_RECEIVE_LOG" localSheetId="3">[3]ﾃﾞｰﾀﾍﾞｰｽ変更点!#REF!</definedName>
    <definedName name="D_RECEIVE_LOG">[3]ﾃﾞｰﾀﾍﾞｰｽ変更点!#REF!</definedName>
    <definedName name="D_REGION_DATA" localSheetId="6">[4]TableDesign!#REF!</definedName>
    <definedName name="D_REGION_DATA" localSheetId="3">[4]TableDesign!#REF!</definedName>
    <definedName name="D_REGION_DATA">[4]TableDesign!#REF!</definedName>
    <definedName name="D_REGION_MASTER" localSheetId="6">[4]TableDesign!#REF!</definedName>
    <definedName name="D_REGION_MASTER" localSheetId="3">[4]TableDesign!#REF!</definedName>
    <definedName name="D_REGION_MASTER">[4]TableDesign!#REF!</definedName>
    <definedName name="D_RENTAL_TERMINAL" localSheetId="6">[5]テーブル設計!#REF!</definedName>
    <definedName name="D_RENTAL_TERMINAL" localSheetId="3">[5]テーブル設計!#REF!</definedName>
    <definedName name="D_RENTAL_TERMINAL">[5]テーブル設計!#REF!</definedName>
    <definedName name="D_REQUEST" localSheetId="6">[3]ﾃﾞｰﾀﾍﾞｰｽ変更点!#REF!</definedName>
    <definedName name="D_REQUEST" localSheetId="3">[3]ﾃﾞｰﾀﾍﾞｰｽ変更点!#REF!</definedName>
    <definedName name="D_REQUEST">[3]ﾃﾞｰﾀﾍﾞｰｽ変更点!#REF!</definedName>
    <definedName name="D_REQUEST_COUNT" localSheetId="6">[3]ﾃﾞｰﾀﾍﾞｰｽ変更点!#REF!</definedName>
    <definedName name="D_REQUEST_COUNT" localSheetId="3">[3]ﾃﾞｰﾀﾍﾞｰｽ変更点!#REF!</definedName>
    <definedName name="D_REQUEST_COUNT">[3]ﾃﾞｰﾀﾍﾞｰｽ変更点!#REF!</definedName>
    <definedName name="D_REQUEST_LOG" localSheetId="6">[3]ﾃﾞｰﾀﾍﾞｰｽ変更点!#REF!</definedName>
    <definedName name="D_REQUEST_LOG" localSheetId="3">[3]ﾃﾞｰﾀﾍﾞｰｽ変更点!#REF!</definedName>
    <definedName name="D_REQUEST_LOG">[3]ﾃﾞｰﾀﾍﾞｰｽ変更点!#REF!</definedName>
    <definedName name="D_RIVATE_TARGET_CAR" localSheetId="6">[4]TableDesign!#REF!</definedName>
    <definedName name="D_RIVATE_TARGET_CAR" localSheetId="3">[4]TableDesign!#REF!</definedName>
    <definedName name="D_RIVATE_TARGET_CAR">[4]TableDesign!#REF!</definedName>
    <definedName name="D_RUNNING_LOG" localSheetId="6">[3]ﾃﾞｰﾀﾍﾞｰｽ変更点!#REF!</definedName>
    <definedName name="D_RUNNING_LOG" localSheetId="3">[3]ﾃﾞｰﾀﾍﾞｰｽ変更点!#REF!</definedName>
    <definedName name="D_RUNNING_LOG">[3]ﾃﾞｰﾀﾍﾞｰｽ変更点!#REF!</definedName>
    <definedName name="D_SAVE_INFORMATION" localSheetId="6">[5]テーブル設計!#REF!</definedName>
    <definedName name="D_SAVE_INFORMATION" localSheetId="3">[5]テーブル設計!#REF!</definedName>
    <definedName name="D_SAVE_INFORMATION">[5]テーブル設計!#REF!</definedName>
    <definedName name="D_SELFCARINSPECTION" localSheetId="6">[3]ﾃﾞｰﾀﾍﾞｰｽ変更点!#REF!</definedName>
    <definedName name="D_SELFCARINSPECTION" localSheetId="3">[3]ﾃﾞｰﾀﾍﾞｰｽ変更点!#REF!</definedName>
    <definedName name="D_SELFCARINSPECTION">[3]ﾃﾞｰﾀﾍﾞｰｽ変更点!#REF!</definedName>
    <definedName name="D_SEND_LIST" localSheetId="6">[5]テーブル設計!#REF!</definedName>
    <definedName name="D_SEND_LIST" localSheetId="3">[5]テーブル設計!#REF!</definedName>
    <definedName name="D_SEND_LIST">[5]テーブル設計!#REF!</definedName>
    <definedName name="D_SEND_LOG" localSheetId="6">[5]テーブル設計!#REF!</definedName>
    <definedName name="D_SEND_LOG" localSheetId="3">[5]テーブル設計!#REF!</definedName>
    <definedName name="D_SEND_LOG">[5]テーブル設計!#REF!</definedName>
    <definedName name="D_SERVER_COMMUNICATION" localSheetId="6">[4]TableDesign!#REF!</definedName>
    <definedName name="D_SERVER_COMMUNICATION" localSheetId="3">[4]TableDesign!#REF!</definedName>
    <definedName name="D_SERVER_COMMUNICATION">[4]TableDesign!#REF!</definedName>
    <definedName name="D_SERVER_INFORMATION" localSheetId="6">[3]ﾃﾞｰﾀﾍﾞｰｽ変更点!#REF!</definedName>
    <definedName name="D_SERVER_INFORMATION" localSheetId="3">[3]ﾃﾞｰﾀﾍﾞｰｽ変更点!#REF!</definedName>
    <definedName name="D_SERVER_INFORMATION">[3]ﾃﾞｰﾀﾍﾞｰｽ変更点!#REF!</definedName>
    <definedName name="D_SERVICE_METER" localSheetId="6">[3]ﾃﾞｰﾀﾍﾞｰｽ変更点!#REF!</definedName>
    <definedName name="D_SERVICE_METER" localSheetId="3">[3]ﾃﾞｰﾀﾍﾞｰｽ変更点!#REF!</definedName>
    <definedName name="D_SERVICE_METER">[3]ﾃﾞｰﾀﾍﾞｰｽ変更点!#REF!</definedName>
    <definedName name="D_SERVICE_METER2" localSheetId="6">[5]テーブル設計!#REF!</definedName>
    <definedName name="D_SERVICE_METER2" localSheetId="3">[5]テーブル設計!#REF!</definedName>
    <definedName name="D_SERVICE_METER2">[5]テーブル設計!#REF!</definedName>
    <definedName name="D_SERVICEMAN" localSheetId="6">[5]テーブル設計!#REF!</definedName>
    <definedName name="D_SERVICEMAN" localSheetId="3">[5]テーブル設計!#REF!</definedName>
    <definedName name="D_SERVICEMAN">[5]テーブル設計!#REF!</definedName>
    <definedName name="D_SERVICEMAN_CHARGE" localSheetId="6">[5]テーブル設計!#REF!</definedName>
    <definedName name="D_SERVICEMAN_CHARGE" localSheetId="3">[5]テーブル設計!#REF!</definedName>
    <definedName name="D_SERVICEMAN_CHARGE">[5]テーブル設計!#REF!</definedName>
    <definedName name="D_SHIPMENT" localSheetId="6">[3]ﾃﾞｰﾀﾍﾞｰｽ変更点!#REF!</definedName>
    <definedName name="D_SHIPMENT" localSheetId="3">[3]ﾃﾞｰﾀﾍﾞｰｽ変更点!#REF!</definedName>
    <definedName name="D_SHIPMENT">[3]ﾃﾞｰﾀﾍﾞｰｽ変更点!#REF!</definedName>
    <definedName name="D_SHOW" localSheetId="6">[3]ﾃﾞｰﾀﾍﾞｰｽ変更点!#REF!</definedName>
    <definedName name="D_SHOW" localSheetId="3">[3]ﾃﾞｰﾀﾍﾞｰｽ変更点!#REF!</definedName>
    <definedName name="D_SHOW">[3]ﾃﾞｰﾀﾍﾞｰｽ変更点!#REF!</definedName>
    <definedName name="D_SHOW_GROUP" localSheetId="6">[3]ﾃﾞｰﾀﾍﾞｰｽ変更点!#REF!</definedName>
    <definedName name="D_SHOW_GROUP" localSheetId="3">[3]ﾃﾞｰﾀﾍﾞｰｽ変更点!#REF!</definedName>
    <definedName name="D_SHOW_GROUP">[3]ﾃﾞｰﾀﾍﾞｰｽ変更点!#REF!</definedName>
    <definedName name="D_SPECIAL_AREA" localSheetId="6">[3]ﾃﾞｰﾀﾍﾞｰｽ変更点!#REF!</definedName>
    <definedName name="D_SPECIAL_AREA" localSheetId="3">[3]ﾃﾞｰﾀﾍﾞｰｽ変更点!#REF!</definedName>
    <definedName name="D_SPECIAL_AREA">[3]ﾃﾞｰﾀﾍﾞｰｽ変更点!#REF!</definedName>
    <definedName name="D_SUB_GROUP" localSheetId="6">[4]TableDesign!#REF!</definedName>
    <definedName name="D_SUB_GROUP" localSheetId="3">[4]TableDesign!#REF!</definedName>
    <definedName name="D_SUB_GROUP">[4]TableDesign!#REF!</definedName>
    <definedName name="D_SUB_GROUP_CAR" localSheetId="6">[4]TableDesign!#REF!</definedName>
    <definedName name="D_SUB_GROUP_CAR" localSheetId="3">[4]TableDesign!#REF!</definedName>
    <definedName name="D_SUB_GROUP_CAR">[4]TableDesign!#REF!</definedName>
    <definedName name="D_SYSTEM_COMMTERM_INFO" localSheetId="6">[3]ﾃﾞｰﾀﾍﾞｰｽ変更点!#REF!</definedName>
    <definedName name="D_SYSTEM_COMMTERM_INFO" localSheetId="3">[3]ﾃﾞｰﾀﾍﾞｰｽ変更点!#REF!</definedName>
    <definedName name="D_SYSTEM_COMMTERM_INFO">[3]ﾃﾞｰﾀﾍﾞｰｽ変更点!#REF!</definedName>
    <definedName name="D_SYSTEM_LOG" localSheetId="6">[3]ﾃﾞｰﾀﾍﾞｰｽ変更点!#REF!</definedName>
    <definedName name="D_SYSTEM_LOG" localSheetId="3">[3]ﾃﾞｰﾀﾍﾞｰｽ変更点!#REF!</definedName>
    <definedName name="D_SYSTEM_LOG">[3]ﾃﾞｰﾀﾍﾞｰｽ変更点!#REF!</definedName>
    <definedName name="D_SYSTEM_NOTICE" localSheetId="6">[3]ﾃﾞｰﾀﾍﾞｰｽ変更点!#REF!</definedName>
    <definedName name="D_SYSTEM_NOTICE" localSheetId="3">[3]ﾃﾞｰﾀﾍﾞｰｽ変更点!#REF!</definedName>
    <definedName name="D_SYSTEM_NOTICE">[3]ﾃﾞｰﾀﾍﾞｰｽ変更点!#REF!</definedName>
    <definedName name="D_TARGET" localSheetId="6">[3]ﾃﾞｰﾀﾍﾞｰｽ変更点!#REF!</definedName>
    <definedName name="D_TARGET" localSheetId="3">[3]ﾃﾞｰﾀﾍﾞｰｽ変更点!#REF!</definedName>
    <definedName name="D_TARGET">[3]ﾃﾞｰﾀﾍﾞｰｽ変更点!#REF!</definedName>
    <definedName name="D_TARGET_CAR" localSheetId="6">[3]ﾃﾞｰﾀﾍﾞｰｽ変更点!#REF!</definedName>
    <definedName name="D_TARGET_CAR" localSheetId="3">[3]ﾃﾞｰﾀﾍﾞｰｽ変更点!#REF!</definedName>
    <definedName name="D_TARGET_CAR">[3]ﾃﾞｰﾀﾍﾞｰｽ変更点!#REF!</definedName>
    <definedName name="D_TERMINAL_AREA" localSheetId="6">[3]ﾃﾞｰﾀﾍﾞｰｽ変更点!#REF!</definedName>
    <definedName name="D_TERMINAL_AREA" localSheetId="3">[3]ﾃﾞｰﾀﾍﾞｰｽ変更点!#REF!</definedName>
    <definedName name="D_TERMINAL_AREA">[3]ﾃﾞｰﾀﾍﾞｰｽ変更点!#REF!</definedName>
    <definedName name="D_TERMINAL_CAUTION" localSheetId="6">[3]ﾃﾞｰﾀﾍﾞｰｽ変更点!#REF!</definedName>
    <definedName name="D_TERMINAL_CAUTION" localSheetId="3">[3]ﾃﾞｰﾀﾍﾞｰｽ変更点!#REF!</definedName>
    <definedName name="D_TERMINAL_CAUTION">[3]ﾃﾞｰﾀﾍﾞｰｽ変更点!#REF!</definedName>
    <definedName name="D_TERMINAL_ERROR" localSheetId="6">[3]ﾃﾞｰﾀﾍﾞｰｽ変更点!#REF!</definedName>
    <definedName name="D_TERMINAL_ERROR" localSheetId="3">[3]ﾃﾞｰﾀﾍﾞｰｽ変更点!#REF!</definedName>
    <definedName name="D_TERMINAL_ERROR">[3]ﾃﾞｰﾀﾍﾞｰｽ変更点!#REF!</definedName>
    <definedName name="D_TERMINAL_KIND" localSheetId="6">[3]ﾃﾞｰﾀﾍﾞｰｽ変更点!#REF!</definedName>
    <definedName name="D_TERMINAL_KIND" localSheetId="3">[3]ﾃﾞｰﾀﾍﾞｰｽ変更点!#REF!</definedName>
    <definedName name="D_TERMINAL_KIND">[3]ﾃﾞｰﾀﾍﾞｰｽ変更点!#REF!</definedName>
    <definedName name="D_TERMINAL_MASTER" localSheetId="6">[3]ﾃﾞｰﾀﾍﾞｰｽ変更点!#REF!</definedName>
    <definedName name="D_TERMINAL_MASTER" localSheetId="3">[3]ﾃﾞｰﾀﾍﾞｰｽ変更点!#REF!</definedName>
    <definedName name="D_TERMINAL_MASTER">[3]ﾃﾞｰﾀﾍﾞｰｽ変更点!#REF!</definedName>
    <definedName name="D_TERMINAL_PART_MASTER" localSheetId="6">[3]ﾃﾞｰﾀﾍﾞｰｽ変更点!#REF!</definedName>
    <definedName name="D_TERMINAL_PART_MASTER" localSheetId="3">[3]ﾃﾞｰﾀﾍﾞｰｽ変更点!#REF!</definedName>
    <definedName name="D_TERMINAL_PART_MASTER">[3]ﾃﾞｰﾀﾍﾞｰｽ変更点!#REF!</definedName>
    <definedName name="D_TYPE_MASTER" localSheetId="6">[3]ﾃﾞｰﾀﾍﾞｰｽ変更点!#REF!</definedName>
    <definedName name="D_TYPE_MASTER" localSheetId="3">[3]ﾃﾞｰﾀﾍﾞｰｽ変更点!#REF!</definedName>
    <definedName name="D_TYPE_MASTER">[3]ﾃﾞｰﾀﾍﾞｰｽ変更点!#REF!</definedName>
    <definedName name="D_UFO" localSheetId="6">[3]ﾃﾞｰﾀﾍﾞｰｽ変更点!#REF!</definedName>
    <definedName name="D_UFO" localSheetId="3">[3]ﾃﾞｰﾀﾍﾞｰｽ変更点!#REF!</definedName>
    <definedName name="D_UFO">[3]ﾃﾞｰﾀﾍﾞｰｽ変更点!#REF!</definedName>
    <definedName name="D_UNRELIABLE_RECEIVE" localSheetId="6">[3]ﾃﾞｰﾀﾍﾞｰｽ変更点!#REF!</definedName>
    <definedName name="D_UNRELIABLE_RECEIVE" localSheetId="3">[3]ﾃﾞｰﾀﾍﾞｰｽ変更点!#REF!</definedName>
    <definedName name="D_UNRELIABLE_RECEIVE">[3]ﾃﾞｰﾀﾍﾞｰｽ変更点!#REF!</definedName>
    <definedName name="D_USER_MASTER" localSheetId="6">[3]ﾃﾞｰﾀﾍﾞｰｽ変更点!#REF!</definedName>
    <definedName name="D_USER_MASTER" localSheetId="3">[3]ﾃﾞｰﾀﾍﾞｰｽ変更点!#REF!</definedName>
    <definedName name="D_USER_MASTER">[3]ﾃﾞｰﾀﾍﾞｰｽ変更点!#REF!</definedName>
    <definedName name="D_USER_TEMP" localSheetId="6">[3]ﾃﾞｰﾀﾍﾞｰｽ変更点!#REF!</definedName>
    <definedName name="D_USER_TEMP" localSheetId="3">[3]ﾃﾞｰﾀﾍﾞｰｽ変更点!#REF!</definedName>
    <definedName name="D_USER_TEMP">[3]ﾃﾞｰﾀﾍﾞｰｽ変更点!#REF!</definedName>
    <definedName name="D_WATER_TEMP_GAUGE" localSheetId="6">[4]TableDesign!#REF!</definedName>
    <definedName name="D_WATER_TEMP_GAUGE" localSheetId="3">[4]TableDesign!#REF!</definedName>
    <definedName name="D_WATER_TEMP_GAUGE">[4]TableDesign!#REF!</definedName>
    <definedName name="DBI" localSheetId="6">#REF!</definedName>
    <definedName name="DBI" localSheetId="3">#REF!</definedName>
    <definedName name="DBI">#REF!</definedName>
    <definedName name="DD" localSheetId="6">'[6]DATA-COMMUNICATION-FORMAT'!#REF!</definedName>
    <definedName name="DD" localSheetId="3">'[6]DATA-COMMUNICATION-FORMAT'!#REF!</definedName>
    <definedName name="DD">'[6]DATA-COMMUNICATION-FORMAT'!#REF!</definedName>
    <definedName name="ddd" localSheetId="6" hidden="1">[7]基本仕様１!#REF!</definedName>
    <definedName name="ddd" localSheetId="3"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6">[3]ﾃﾞｰﾀﾍﾞｰｽ変更点!#REF!</definedName>
    <definedName name="E_ACT_DATA" localSheetId="3">[3]ﾃﾞｰﾀﾍﾞｰｽ変更点!#REF!</definedName>
    <definedName name="E_ACT_DATA">[3]ﾃﾞｰﾀﾍﾞｰｽ変更点!#REF!</definedName>
    <definedName name="E_ACTUAL_OPERATION" localSheetId="6">[4]TableDesign!#REF!</definedName>
    <definedName name="E_ACTUAL_OPERATION" localSheetId="3">[4]TableDesign!#REF!</definedName>
    <definedName name="E_ACTUAL_OPERATION">[4]TableDesign!#REF!</definedName>
    <definedName name="E_AREA" localSheetId="6">[3]ﾃﾞｰﾀﾍﾞｰｽ変更点!#REF!</definedName>
    <definedName name="E_AREA" localSheetId="3">[3]ﾃﾞｰﾀﾍﾞｰｽ変更点!#REF!</definedName>
    <definedName name="E_AREA">[3]ﾃﾞｰﾀﾍﾞｰｽ変更点!#REF!</definedName>
    <definedName name="E_AREA_DEFINE" localSheetId="6">[3]ﾃﾞｰﾀﾍﾞｰｽ変更点!#REF!</definedName>
    <definedName name="E_AREA_DEFINE" localSheetId="3">[3]ﾃﾞｰﾀﾍﾞｰｽ変更点!#REF!</definedName>
    <definedName name="E_AREA_DEFINE">[3]ﾃﾞｰﾀﾍﾞｰｽ変更点!#REF!</definedName>
    <definedName name="E_AREA_INIT" localSheetId="6">[3]ﾃﾞｰﾀﾍﾞｰｽ変更点!#REF!</definedName>
    <definedName name="E_AREA_INIT" localSheetId="3">[3]ﾃﾞｰﾀﾍﾞｰｽ変更点!#REF!</definedName>
    <definedName name="E_AREA_INIT">[3]ﾃﾞｰﾀﾍﾞｰｽ変更点!#REF!</definedName>
    <definedName name="E_AREA_MASTER" localSheetId="6">[3]ﾃﾞｰﾀﾍﾞｰｽ変更点!#REF!</definedName>
    <definedName name="E_AREA_MASTER" localSheetId="3">[3]ﾃﾞｰﾀﾍﾞｰｽ変更点!#REF!</definedName>
    <definedName name="E_AREA_MASTER">[3]ﾃﾞｰﾀﾍﾞｰｽ変更点!#REF!</definedName>
    <definedName name="E_ASK" localSheetId="6">[3]ﾃﾞｰﾀﾍﾞｰｽ変更点!#REF!</definedName>
    <definedName name="E_ASK" localSheetId="3">[3]ﾃﾞｰﾀﾍﾞｰｽ変更点!#REF!</definedName>
    <definedName name="E_ASK">[3]ﾃﾞｰﾀﾍﾞｰｽ変更点!#REF!</definedName>
    <definedName name="E_ASK_LOG" localSheetId="6">[5]テーブル設計!#REF!</definedName>
    <definedName name="E_ASK_LOG" localSheetId="3">[5]テーブル設計!#REF!</definedName>
    <definedName name="E_ASK_LOG">[5]テーブル設計!#REF!</definedName>
    <definedName name="E_ASK_SYSTEM" localSheetId="6">[3]ﾃﾞｰﾀﾍﾞｰｽ変更点!#REF!</definedName>
    <definedName name="E_ASK_SYSTEM" localSheetId="3">[3]ﾃﾞｰﾀﾍﾞｰｽ変更点!#REF!</definedName>
    <definedName name="E_ASK_SYSTEM">[3]ﾃﾞｰﾀﾍﾞｰｽ変更点!#REF!</definedName>
    <definedName name="E_ATC_ERROR" localSheetId="6">[5]テーブル設計!#REF!</definedName>
    <definedName name="E_ATC_ERROR" localSheetId="3">[5]テーブル設計!#REF!</definedName>
    <definedName name="E_ATC_ERROR">[5]テーブル設計!#REF!</definedName>
    <definedName name="E_AUTHORITY_GROUP" localSheetId="6">[3]ﾃﾞｰﾀﾍﾞｰｽ変更点!#REF!</definedName>
    <definedName name="E_AUTHORITY_GROUP" localSheetId="3">[3]ﾃﾞｰﾀﾍﾞｰｽ変更点!#REF!</definedName>
    <definedName name="E_AUTHORITY_GROUP">[3]ﾃﾞｰﾀﾍﾞｰｽ変更点!#REF!</definedName>
    <definedName name="E_AUTHORITY_GROUP_DATA" localSheetId="6">[3]ﾃﾞｰﾀﾍﾞｰｽ変更点!#REF!</definedName>
    <definedName name="E_AUTHORITY_GROUP_DATA" localSheetId="3">[3]ﾃﾞｰﾀﾍﾞｰｽ変更点!#REF!</definedName>
    <definedName name="E_AUTHORITY_GROUP_DATA">[3]ﾃﾞｰﾀﾍﾞｰｽ変更点!#REF!</definedName>
    <definedName name="E_AUTHORITY_MASTER" localSheetId="6">[5]テーブル設計!#REF!</definedName>
    <definedName name="E_AUTHORITY_MASTER" localSheetId="3">[5]テーブル設計!#REF!</definedName>
    <definedName name="E_AUTHORITY_MASTER">[5]テーブル設計!#REF!</definedName>
    <definedName name="E_BONDED_STORE" localSheetId="6">[5]テーブル設計!#REF!</definedName>
    <definedName name="E_BONDED_STORE" localSheetId="3">[5]テーブル設計!#REF!</definedName>
    <definedName name="E_BONDED_STORE">[5]テーブル設計!#REF!</definedName>
    <definedName name="E_CAR_DATA" localSheetId="6">[3]ﾃﾞｰﾀﾍﾞｰｽ変更点!#REF!</definedName>
    <definedName name="E_CAR_DATA" localSheetId="3">[3]ﾃﾞｰﾀﾍﾞｰｽ変更点!#REF!</definedName>
    <definedName name="E_CAR_DATA">[3]ﾃﾞｰﾀﾍﾞｰｽ変更点!#REF!</definedName>
    <definedName name="E_CAR_MASTER" localSheetId="6">[3]ﾃﾞｰﾀﾍﾞｰｽ変更点!#REF!</definedName>
    <definedName name="E_CAR_MASTER" localSheetId="3">[3]ﾃﾞｰﾀﾍﾞｰｽ変更点!#REF!</definedName>
    <definedName name="E_CAR_MASTER">[3]ﾃﾞｰﾀﾍﾞｰｽ変更点!#REF!</definedName>
    <definedName name="E_CAR_MONTHLY_DATA" localSheetId="6">[3]ﾃﾞｰﾀﾍﾞｰｽ変更点!#REF!</definedName>
    <definedName name="E_CAR_MONTHLY_DATA" localSheetId="3">[3]ﾃﾞｰﾀﾍﾞｰｽ変更点!#REF!</definedName>
    <definedName name="E_CAR_MONTHLY_DATA">[3]ﾃﾞｰﾀﾍﾞｰｽ変更点!#REF!</definedName>
    <definedName name="E_CAR_OWNER_HISTORY" localSheetId="6">[3]ﾃﾞｰﾀﾍﾞｰｽ変更点!#REF!</definedName>
    <definedName name="E_CAR_OWNER_HISTORY" localSheetId="3">[3]ﾃﾞｰﾀﾍﾞｰｽ変更点!#REF!</definedName>
    <definedName name="E_CAR_OWNER_HISTORY">[3]ﾃﾞｰﾀﾍﾞｰｽ変更点!#REF!</definedName>
    <definedName name="E_CAUTION" localSheetId="6">[4]TableDesign!#REF!</definedName>
    <definedName name="E_CAUTION" localSheetId="3">[4]TableDesign!#REF!</definedName>
    <definedName name="E_CAUTION">[4]TableDesign!#REF!</definedName>
    <definedName name="E_CAUTION_DATA" localSheetId="6">[3]ﾃﾞｰﾀﾍﾞｰｽ変更点!#REF!</definedName>
    <definedName name="E_CAUTION_DATA" localSheetId="3">[3]ﾃﾞｰﾀﾍﾞｰｽ変更点!#REF!</definedName>
    <definedName name="E_CAUTION_DATA">[3]ﾃﾞｰﾀﾍﾞｰｽ変更点!#REF!</definedName>
    <definedName name="E_CAUTION_ENABLED" localSheetId="6">[3]ﾃﾞｰﾀﾍﾞｰｽ変更点!#REF!</definedName>
    <definedName name="E_CAUTION_ENABLED" localSheetId="3">[3]ﾃﾞｰﾀﾍﾞｰｽ変更点!#REF!</definedName>
    <definedName name="E_CAUTION_ENABLED">[3]ﾃﾞｰﾀﾍﾞｰｽ変更点!#REF!</definedName>
    <definedName name="E_CAUTION_ICON" localSheetId="6">[3]ﾃﾞｰﾀﾍﾞｰｽ変更点!#REF!</definedName>
    <definedName name="E_CAUTION_ICON" localSheetId="3">[3]ﾃﾞｰﾀﾍﾞｰｽ変更点!#REF!</definedName>
    <definedName name="E_CAUTION_ICON">[3]ﾃﾞｰﾀﾍﾞｰｽ変更点!#REF!</definedName>
    <definedName name="E_CAUTION_INIT" localSheetId="6">[3]ﾃﾞｰﾀﾍﾞｰｽ変更点!#REF!</definedName>
    <definedName name="E_CAUTION_INIT" localSheetId="3">[3]ﾃﾞｰﾀﾍﾞｰｽ変更点!#REF!</definedName>
    <definedName name="E_CAUTION_INIT">[3]ﾃﾞｰﾀﾍﾞｰｽ変更点!#REF!</definedName>
    <definedName name="E_CAUTION_MASTER" localSheetId="6">[3]ﾃﾞｰﾀﾍﾞｰｽ変更点!#REF!</definedName>
    <definedName name="E_CAUTION_MASTER" localSheetId="3">[3]ﾃﾞｰﾀﾍﾞｰｽ変更点!#REF!</definedName>
    <definedName name="E_CAUTION_MASTER">[3]ﾃﾞｰﾀﾍﾞｰｽ変更点!#REF!</definedName>
    <definedName name="E_CLASS1_MASTER" localSheetId="6">[3]ﾃﾞｰﾀﾍﾞｰｽ変更点!#REF!</definedName>
    <definedName name="E_CLASS1_MASTER" localSheetId="3">[3]ﾃﾞｰﾀﾍﾞｰｽ変更点!#REF!</definedName>
    <definedName name="E_CLASS1_MASTER">[3]ﾃﾞｰﾀﾍﾞｰｽ変更点!#REF!</definedName>
    <definedName name="E_CLASS2_MASTER" localSheetId="6">[3]ﾃﾞｰﾀﾍﾞｰｽ変更点!#REF!</definedName>
    <definedName name="E_CLASS2_MASTER" localSheetId="3">[3]ﾃﾞｰﾀﾍﾞｰｽ変更点!#REF!</definedName>
    <definedName name="E_CLASS2_MASTER">[3]ﾃﾞｰﾀﾍﾞｰｽ変更点!#REF!</definedName>
    <definedName name="E_COMM_DATA" localSheetId="6">[3]ﾃﾞｰﾀﾍﾞｰｽ変更点!#REF!</definedName>
    <definedName name="E_COMM_DATA" localSheetId="3">[3]ﾃﾞｰﾀﾍﾞｰｽ変更点!#REF!</definedName>
    <definedName name="E_COMM_DATA">[3]ﾃﾞｰﾀﾍﾞｰｽ変更点!#REF!</definedName>
    <definedName name="E_COMM_STATUS_MASTER" localSheetId="6">[3]ﾃﾞｰﾀﾍﾞｰｽ変更点!#REF!</definedName>
    <definedName name="E_COMM_STATUS_MASTER" localSheetId="3">[3]ﾃﾞｰﾀﾍﾞｰｽ変更点!#REF!</definedName>
    <definedName name="E_COMM_STATUS_MASTER">[3]ﾃﾞｰﾀﾍﾞｰｽ変更点!#REF!</definedName>
    <definedName name="E_CONFIG_DEFINE" localSheetId="6">[3]ﾃﾞｰﾀﾍﾞｰｽ変更点!#REF!</definedName>
    <definedName name="E_CONFIG_DEFINE" localSheetId="3">[3]ﾃﾞｰﾀﾍﾞｰｽ変更点!#REF!</definedName>
    <definedName name="E_CONFIG_DEFINE">[3]ﾃﾞｰﾀﾍﾞｰｽ変更点!#REF!</definedName>
    <definedName name="E_CONFIG_FLAG" localSheetId="6">[5]テーブル設計!#REF!</definedName>
    <definedName name="E_CONFIG_FLAG" localSheetId="3">[5]テーブル設計!#REF!</definedName>
    <definedName name="E_CONFIG_FLAG">[5]テーブル設計!#REF!</definedName>
    <definedName name="E_CONFIG_INIT" localSheetId="6">[3]ﾃﾞｰﾀﾍﾞｰｽ変更点!#REF!</definedName>
    <definedName name="E_CONFIG_INIT" localSheetId="3">[3]ﾃﾞｰﾀﾍﾞｰｽ変更点!#REF!</definedName>
    <definedName name="E_CONFIG_INIT">[3]ﾃﾞｰﾀﾍﾞｰｽ変更点!#REF!</definedName>
    <definedName name="E_CONFIG_PATTERN" localSheetId="6">[3]ﾃﾞｰﾀﾍﾞｰｽ変更点!#REF!</definedName>
    <definedName name="E_CONFIG_PATTERN" localSheetId="3">[3]ﾃﾞｰﾀﾍﾞｰｽ変更点!#REF!</definedName>
    <definedName name="E_CONFIG_PATTERN">[3]ﾃﾞｰﾀﾍﾞｰｽ変更点!#REF!</definedName>
    <definedName name="E_CONFIG_PATTERN_DATA" localSheetId="6">[3]ﾃﾞｰﾀﾍﾞｰｽ変更点!#REF!</definedName>
    <definedName name="E_CONFIG_PATTERN_DATA" localSheetId="3">[3]ﾃﾞｰﾀﾍﾞｰｽ変更点!#REF!</definedName>
    <definedName name="E_CONFIG_PATTERN_DATA">[3]ﾃﾞｰﾀﾍﾞｰｽ変更点!#REF!</definedName>
    <definedName name="E_CONFIG_USER_FLAG" localSheetId="6">[5]テーブル設計!#REF!</definedName>
    <definedName name="E_CONFIG_USER_FLAG" localSheetId="3">[5]テーブル設計!#REF!</definedName>
    <definedName name="E_CONFIG_USER_FLAG">[5]テーブル設計!#REF!</definedName>
    <definedName name="E_CONTRACT" localSheetId="6">[5]テーブル設計!#REF!</definedName>
    <definedName name="E_CONTRACT" localSheetId="3">[5]テーブル設計!#REF!</definedName>
    <definedName name="E_CONTRACT">[5]テーブル設計!#REF!</definedName>
    <definedName name="E_CUSTOMER" localSheetId="6">[3]ﾃﾞｰﾀﾍﾞｰｽ変更点!#REF!</definedName>
    <definedName name="E_CUSTOMER" localSheetId="3">[3]ﾃﾞｰﾀﾍﾞｰｽ変更点!#REF!</definedName>
    <definedName name="E_CUSTOMER">[3]ﾃﾞｰﾀﾍﾞｰｽ変更点!#REF!</definedName>
    <definedName name="E_CUSTOMER_CAR" localSheetId="6">[3]ﾃﾞｰﾀﾍﾞｰｽ変更点!#REF!</definedName>
    <definedName name="E_CUSTOMER_CAR" localSheetId="3">[3]ﾃﾞｰﾀﾍﾞｰｽ変更点!#REF!</definedName>
    <definedName name="E_CUSTOMER_CAR">[3]ﾃﾞｰﾀﾍﾞｰｽ変更点!#REF!</definedName>
    <definedName name="E_CUSTOMER_MASTER" localSheetId="6">[4]TableDesign!#REF!</definedName>
    <definedName name="E_CUSTOMER_MASTER" localSheetId="3">[4]TableDesign!#REF!</definedName>
    <definedName name="E_CUSTOMER_MASTER">[4]TableDesign!#REF!</definedName>
    <definedName name="E_DIVISION_MASTER" localSheetId="6">[3]ﾃﾞｰﾀﾍﾞｰｽ変更点!#REF!</definedName>
    <definedName name="E_DIVISION_MASTER" localSheetId="3">[3]ﾃﾞｰﾀﾍﾞｰｽ変更点!#REF!</definedName>
    <definedName name="E_DIVISION_MASTER">[3]ﾃﾞｰﾀﾍﾞｰｽ変更点!#REF!</definedName>
    <definedName name="E_DOPA" localSheetId="6">[3]ﾃﾞｰﾀﾍﾞｰｽ変更点!#REF!</definedName>
    <definedName name="E_DOPA" localSheetId="3">[3]ﾃﾞｰﾀﾍﾞｰｽ変更点!#REF!</definedName>
    <definedName name="E_DOPA">[3]ﾃﾞｰﾀﾍﾞｰｽ変更点!#REF!</definedName>
    <definedName name="E_DOPA_OWNER_HISTORY" localSheetId="6">[3]ﾃﾞｰﾀﾍﾞｰｽ変更点!#REF!</definedName>
    <definedName name="E_DOPA_OWNER_HISTORY" localSheetId="3">[3]ﾃﾞｰﾀﾍﾞｰｽ変更点!#REF!</definedName>
    <definedName name="E_DOPA_OWNER_HISTORY">[3]ﾃﾞｰﾀﾍﾞｰｽ変更点!#REF!</definedName>
    <definedName name="E_DOPA_SERVER" localSheetId="6">[3]ﾃﾞｰﾀﾍﾞｰｽ変更点!#REF!</definedName>
    <definedName name="E_DOPA_SERVER" localSheetId="3">[3]ﾃﾞｰﾀﾍﾞｰｽ変更点!#REF!</definedName>
    <definedName name="E_DOPA_SERVER">[3]ﾃﾞｰﾀﾍﾞｰｽ変更点!#REF!</definedName>
    <definedName name="E_EQUIPMENT_HISTORY" localSheetId="6">[3]ﾃﾞｰﾀﾍﾞｰｽ変更点!#REF!</definedName>
    <definedName name="E_EQUIPMENT_HISTORY" localSheetId="3">[3]ﾃﾞｰﾀﾍﾞｰｽ変更点!#REF!</definedName>
    <definedName name="E_EQUIPMENT_HISTORY">[3]ﾃﾞｰﾀﾍﾞｰｽ変更点!#REF!</definedName>
    <definedName name="E_ERROR" localSheetId="6">[3]ﾃﾞｰﾀﾍﾞｰｽ変更点!#REF!</definedName>
    <definedName name="E_ERROR" localSheetId="3">[3]ﾃﾞｰﾀﾍﾞｰｽ変更点!#REF!</definedName>
    <definedName name="E_ERROR">[3]ﾃﾞｰﾀﾍﾞｰｽ変更点!#REF!</definedName>
    <definedName name="E_ERROR_ENABLED" localSheetId="6">[3]ﾃﾞｰﾀﾍﾞｰｽ変更点!#REF!</definedName>
    <definedName name="E_ERROR_ENABLED" localSheetId="3">[3]ﾃﾞｰﾀﾍﾞｰｽ変更点!#REF!</definedName>
    <definedName name="E_ERROR_ENABLED">[3]ﾃﾞｰﾀﾍﾞｰｽ変更点!#REF!</definedName>
    <definedName name="E_ERROR_MASTER" localSheetId="6">[3]ﾃﾞｰﾀﾍﾞｰｽ変更点!#REF!</definedName>
    <definedName name="E_ERROR_MASTER" localSheetId="3">[3]ﾃﾞｰﾀﾍﾞｰｽ変更点!#REF!</definedName>
    <definedName name="E_ERROR_MASTER">[3]ﾃﾞｰﾀﾍﾞｰｽ変更点!#REF!</definedName>
    <definedName name="E_EVENT_CATEGORY" localSheetId="6">[4]TableDesign!#REF!</definedName>
    <definedName name="E_EVENT_CATEGORY" localSheetId="3">[4]TableDesign!#REF!</definedName>
    <definedName name="E_EVENT_CATEGORY">[4]TableDesign!#REF!</definedName>
    <definedName name="E_EVENT_DIVISION" localSheetId="6">[3]ﾃﾞｰﾀﾍﾞｰｽ変更点!#REF!</definedName>
    <definedName name="E_EVENT_DIVISION" localSheetId="3">[3]ﾃﾞｰﾀﾍﾞｰｽ変更点!#REF!</definedName>
    <definedName name="E_EVENT_DIVISION">[3]ﾃﾞｰﾀﾍﾞｰｽ変更点!#REF!</definedName>
    <definedName name="E_EVENT_MASTER" localSheetId="6">[3]ﾃﾞｰﾀﾍﾞｰｽ変更点!#REF!</definedName>
    <definedName name="E_EVENT_MASTER" localSheetId="3">[3]ﾃﾞｰﾀﾍﾞｰｽ変更点!#REF!</definedName>
    <definedName name="E_EVENT_MASTER">[3]ﾃﾞｰﾀﾍﾞｰｽ変更点!#REF!</definedName>
    <definedName name="E_EVENT_NOTICE" localSheetId="6">[3]ﾃﾞｰﾀﾍﾞｰｽ変更点!#REF!</definedName>
    <definedName name="E_EVENT_NOTICE" localSheetId="3">[3]ﾃﾞｰﾀﾍﾞｰｽ変更点!#REF!</definedName>
    <definedName name="E_EVENT_NOTICE">[3]ﾃﾞｰﾀﾍﾞｰｽ変更点!#REF!</definedName>
    <definedName name="E_FUEL_GAUGE" localSheetId="6">[4]TableDesign!#REF!</definedName>
    <definedName name="E_FUEL_GAUGE" localSheetId="3">[4]TableDesign!#REF!</definedName>
    <definedName name="E_FUEL_GAUGE">[4]TableDesign!#REF!</definedName>
    <definedName name="E_GAUGE_FUEL_WTTEMP" localSheetId="6">[3]ﾃﾞｰﾀﾍﾞｰｽ変更点!#REF!</definedName>
    <definedName name="E_GAUGE_FUEL_WTTEMP" localSheetId="3">[3]ﾃﾞｰﾀﾍﾞｰｽ変更点!#REF!</definedName>
    <definedName name="E_GAUGE_FUEL_WTTEMP">[3]ﾃﾞｰﾀﾍﾞｰｽ変更点!#REF!</definedName>
    <definedName name="E_GIS_DEFINE" localSheetId="6">[4]TableDesign!#REF!</definedName>
    <definedName name="E_GIS_DEFINE" localSheetId="3">[4]TableDesign!#REF!</definedName>
    <definedName name="E_GIS_DEFINE">[4]TableDesign!#REF!</definedName>
    <definedName name="E_GPS" localSheetId="6">[3]ﾃﾞｰﾀﾍﾞｰｽ変更点!#REF!</definedName>
    <definedName name="E_GPS" localSheetId="3">[3]ﾃﾞｰﾀﾍﾞｰｽ変更点!#REF!</definedName>
    <definedName name="E_GPS">[3]ﾃﾞｰﾀﾍﾞｰｽ変更点!#REF!</definedName>
    <definedName name="E_GRANT_AUTHORITY" localSheetId="6">[3]ﾃﾞｰﾀﾍﾞｰｽ変更点!#REF!</definedName>
    <definedName name="E_GRANT_AUTHORITY" localSheetId="3">[3]ﾃﾞｰﾀﾍﾞｰｽ変更点!#REF!</definedName>
    <definedName name="E_GRANT_AUTHORITY">[3]ﾃﾞｰﾀﾍﾞｰｽ変更点!#REF!</definedName>
    <definedName name="E_GROUP_MASTER" localSheetId="6">[3]ﾃﾞｰﾀﾍﾞｰｽ変更点!#REF!</definedName>
    <definedName name="E_GROUP_MASTER" localSheetId="3">[3]ﾃﾞｰﾀﾍﾞｰｽ変更点!#REF!</definedName>
    <definedName name="E_GROUP_MASTER">[3]ﾃﾞｰﾀﾍﾞｰｽ変更点!#REF!</definedName>
    <definedName name="E_IGNORE_CAUTION" localSheetId="6">[5]テーブル設計!#REF!</definedName>
    <definedName name="E_IGNORE_CAUTION" localSheetId="3">[5]テーブル設計!#REF!</definedName>
    <definedName name="E_IGNORE_CAUTION">[5]テーブル設計!#REF!</definedName>
    <definedName name="E_IGNORE_ERROR" localSheetId="6">[5]テーブル設計!#REF!</definedName>
    <definedName name="E_IGNORE_ERROR" localSheetId="3">[5]テーブル設計!#REF!</definedName>
    <definedName name="E_IGNORE_ERROR">[5]テーブル設計!#REF!</definedName>
    <definedName name="E_INFORM_MASTER" localSheetId="6">[3]ﾃﾞｰﾀﾍﾞｰｽ変更点!#REF!</definedName>
    <definedName name="E_INFORM_MASTER" localSheetId="3">[3]ﾃﾞｰﾀﾍﾞｰｽ変更点!#REF!</definedName>
    <definedName name="E_INFORM_MASTER">[3]ﾃﾞｰﾀﾍﾞｰｽ変更点!#REF!</definedName>
    <definedName name="E_INFORMATION" localSheetId="6">[3]ﾃﾞｰﾀﾍﾞｰｽ変更点!#REF!</definedName>
    <definedName name="E_INFORMATION" localSheetId="3">[3]ﾃﾞｰﾀﾍﾞｰｽ変更点!#REF!</definedName>
    <definedName name="E_INFORMATION">[3]ﾃﾞｰﾀﾍﾞｰｽ変更点!#REF!</definedName>
    <definedName name="E_INFORMATION_READED" localSheetId="6">[3]ﾃﾞｰﾀﾍﾞｰｽ変更点!#REF!</definedName>
    <definedName name="E_INFORMATION_READED" localSheetId="3">[3]ﾃﾞｰﾀﾍﾞｰｽ変更点!#REF!</definedName>
    <definedName name="E_INFORMATION_READED">[3]ﾃﾞｰﾀﾍﾞｰｽ変更点!#REF!</definedName>
    <definedName name="E_INVALID_PART_TERMINAL" localSheetId="6">[5]テーブル設計!#REF!</definedName>
    <definedName name="E_INVALID_PART_TERMINAL" localSheetId="3">[5]テーブル設計!#REF!</definedName>
    <definedName name="E_INVALID_PART_TERMINAL">[5]テーブル設計!#REF!</definedName>
    <definedName name="E_KIND_MASTER" localSheetId="6">[3]ﾃﾞｰﾀﾍﾞｰｽ変更点!#REF!</definedName>
    <definedName name="E_KIND_MASTER" localSheetId="3">[3]ﾃﾞｰﾀﾍﾞｰｽ変更点!#REF!</definedName>
    <definedName name="E_KIND_MASTER">[3]ﾃﾞｰﾀﾍﾞｰｽ変更点!#REF!</definedName>
    <definedName name="E_KRO_APPLICATION" localSheetId="6">[3]ﾃﾞｰﾀﾍﾞｰｽ変更点!#REF!</definedName>
    <definedName name="E_KRO_APPLICATION" localSheetId="3">[3]ﾃﾞｰﾀﾍﾞｰｽ変更点!#REF!</definedName>
    <definedName name="E_KRO_APPLICATION">[3]ﾃﾞｰﾀﾍﾞｰｽ変更点!#REF!</definedName>
    <definedName name="E_KRO_APPLICATION_DATA" localSheetId="6">[3]ﾃﾞｰﾀﾍﾞｰｽ変更点!#REF!</definedName>
    <definedName name="E_KRO_APPLICATION_DATA" localSheetId="3">[3]ﾃﾞｰﾀﾍﾞｰｽ変更点!#REF!</definedName>
    <definedName name="E_KRO_APPLICATION_DATA">[3]ﾃﾞｰﾀﾍﾞｰｽ変更点!#REF!</definedName>
    <definedName name="E_KRO_COMPLETION" localSheetId="6">[3]ﾃﾞｰﾀﾍﾞｰｽ変更点!#REF!</definedName>
    <definedName name="E_KRO_COMPLETION" localSheetId="3">[3]ﾃﾞｰﾀﾍﾞｰｽ変更点!#REF!</definedName>
    <definedName name="E_KRO_COMPLETION">[3]ﾃﾞｰﾀﾍﾞｰｽ変更点!#REF!</definedName>
    <definedName name="E_KRO_COMPLETION_DATA" localSheetId="6">[3]ﾃﾞｰﾀﾍﾞｰｽ変更点!#REF!</definedName>
    <definedName name="E_KRO_COMPLETION_DATA" localSheetId="3">[3]ﾃﾞｰﾀﾍﾞｰｽ変更点!#REF!</definedName>
    <definedName name="E_KRO_COMPLETION_DATA">[3]ﾃﾞｰﾀﾍﾞｰｽ変更点!#REF!</definedName>
    <definedName name="E_KRO_EMERGENCY" localSheetId="6">[5]テーブル設計!#REF!</definedName>
    <definedName name="E_KRO_EMERGENCY" localSheetId="3">[5]テーブル設計!#REF!</definedName>
    <definedName name="E_KRO_EMERGENCY">[5]テーブル設計!#REF!</definedName>
    <definedName name="E_KRO_REPORT" localSheetId="6">[3]ﾃﾞｰﾀﾍﾞｰｽ変更点!#REF!</definedName>
    <definedName name="E_KRO_REPORT" localSheetId="3">[3]ﾃﾞｰﾀﾍﾞｰｽ変更点!#REF!</definedName>
    <definedName name="E_KRO_REPORT">[3]ﾃﾞｰﾀﾍﾞｰｽ変更点!#REF!</definedName>
    <definedName name="E_LANDMARK" localSheetId="6">[3]ﾃﾞｰﾀﾍﾞｰｽ変更点!#REF!</definedName>
    <definedName name="E_LANDMARK" localSheetId="3">[3]ﾃﾞｰﾀﾍﾞｰｽ変更点!#REF!</definedName>
    <definedName name="E_LANDMARK">[3]ﾃﾞｰﾀﾍﾞｰｽ変更点!#REF!</definedName>
    <definedName name="E_LANDMARK_CLASS" localSheetId="6">[3]ﾃﾞｰﾀﾍﾞｰｽ変更点!#REF!</definedName>
    <definedName name="E_LANDMARK_CLASS" localSheetId="3">[3]ﾃﾞｰﾀﾍﾞｰｽ変更点!#REF!</definedName>
    <definedName name="E_LANDMARK_CLASS">[3]ﾃﾞｰﾀﾍﾞｰｽ変更点!#REF!</definedName>
    <definedName name="E_LOGON_HISTORY" localSheetId="6">[3]ﾃﾞｰﾀﾍﾞｰｽ変更点!#REF!</definedName>
    <definedName name="E_LOGON_HISTORY" localSheetId="3">[3]ﾃﾞｰﾀﾍﾞｰｽ変更点!#REF!</definedName>
    <definedName name="E_LOGON_HISTORY">[3]ﾃﾞｰﾀﾍﾞｰｽ変更点!#REF!</definedName>
    <definedName name="E_MACHINE_ERROR" localSheetId="6">[4]TableDesign!#REF!</definedName>
    <definedName name="E_MACHINE_ERROR" localSheetId="3">[4]TableDesign!#REF!</definedName>
    <definedName name="E_MACHINE_ERROR">[4]TableDesign!#REF!</definedName>
    <definedName name="E_MACHINE_STATUS_MASTER" localSheetId="6">[3]ﾃﾞｰﾀﾍﾞｰｽ変更点!#REF!</definedName>
    <definedName name="E_MACHINE_STATUS_MASTER" localSheetId="3">[3]ﾃﾞｰﾀﾍﾞｰｽ変更点!#REF!</definedName>
    <definedName name="E_MACHINE_STATUS_MASTER">[3]ﾃﾞｰﾀﾍﾞｰｽ変更点!#REF!</definedName>
    <definedName name="E_MAINTENANCE_DATA" localSheetId="6">[3]ﾃﾞｰﾀﾍﾞｰｽ変更点!#REF!</definedName>
    <definedName name="E_MAINTENANCE_DATA" localSheetId="3">[3]ﾃﾞｰﾀﾍﾞｰｽ変更点!#REF!</definedName>
    <definedName name="E_MAINTENANCE_DATA">[3]ﾃﾞｰﾀﾍﾞｰｽ変更点!#REF!</definedName>
    <definedName name="E_MAINTENANCE_INFORM" localSheetId="6">[3]ﾃﾞｰﾀﾍﾞｰｽ変更点!#REF!</definedName>
    <definedName name="E_MAINTENANCE_INFORM" localSheetId="3">[3]ﾃﾞｰﾀﾍﾞｰｽ変更点!#REF!</definedName>
    <definedName name="E_MAINTENANCE_INFORM">[3]ﾃﾞｰﾀﾍﾞｰｽ変更点!#REF!</definedName>
    <definedName name="E_MAINTENANCE_MASTER" localSheetId="6">[3]ﾃﾞｰﾀﾍﾞｰｽ変更点!#REF!</definedName>
    <definedName name="E_MAINTENANCE_MASTER" localSheetId="3">[3]ﾃﾞｰﾀﾍﾞｰｽ変更点!#REF!</definedName>
    <definedName name="E_MAINTENANCE_MASTER">[3]ﾃﾞｰﾀﾍﾞｰｽ変更点!#REF!</definedName>
    <definedName name="E_MAINTENANCE_TIME" localSheetId="6">[4]TableDesign!#REF!</definedName>
    <definedName name="E_MAINTENANCE_TIME" localSheetId="3">[4]TableDesign!#REF!</definedName>
    <definedName name="E_MAINTENANCE_TIME">[4]TableDesign!#REF!</definedName>
    <definedName name="E_MAKER_MASTER" localSheetId="6">[3]ﾃﾞｰﾀﾍﾞｰｽ変更点!#REF!</definedName>
    <definedName name="E_MAKER_MASTER" localSheetId="3">[3]ﾃﾞｰﾀﾍﾞｰｽ変更点!#REF!</definedName>
    <definedName name="E_MAKER_MASTER">[3]ﾃﾞｰﾀﾍﾞｰｽ変更点!#REF!</definedName>
    <definedName name="E_MARK_MACHINE" localSheetId="6">[4]TableDesign!#REF!</definedName>
    <definedName name="E_MARK_MACHINE" localSheetId="3">[4]TableDesign!#REF!</definedName>
    <definedName name="E_MARK_MACHINE">[4]TableDesign!#REF!</definedName>
    <definedName name="E_MARK_NOTIFICATION" localSheetId="6">[4]TableDesign!#REF!</definedName>
    <definedName name="E_MARK_NOTIFICATION" localSheetId="3">[4]TableDesign!#REF!</definedName>
    <definedName name="E_MARK_NOTIFICATION">[4]TableDesign!#REF!</definedName>
    <definedName name="E_MARK_NOTIFICATION_DETAIL" localSheetId="6">[4]TableDesign!#REF!</definedName>
    <definedName name="E_MARK_NOTIFICATION_DETAIL" localSheetId="3">[4]TableDesign!#REF!</definedName>
    <definedName name="E_MARK_NOTIFICATION_DETAIL">[4]TableDesign!#REF!</definedName>
    <definedName name="E_MEMO" localSheetId="6">[3]ﾃﾞｰﾀﾍﾞｰｽ変更点!#REF!</definedName>
    <definedName name="E_MEMO" localSheetId="3">[3]ﾃﾞｰﾀﾍﾞｰｽ変更点!#REF!</definedName>
    <definedName name="E_MEMO">[3]ﾃﾞｰﾀﾍﾞｰｽ変更点!#REF!</definedName>
    <definedName name="E_MEMORY_MODIFY" localSheetId="6">[3]ﾃﾞｰﾀﾍﾞｰｽ変更点!#REF!</definedName>
    <definedName name="E_MEMORY_MODIFY" localSheetId="3">[3]ﾃﾞｰﾀﾍﾞｰｽ変更点!#REF!</definedName>
    <definedName name="E_MEMORY_MODIFY">[3]ﾃﾞｰﾀﾍﾞｰｽ変更点!#REF!</definedName>
    <definedName name="E_MEMORY_MODIFY_DATA" localSheetId="6">[3]ﾃﾞｰﾀﾍﾞｰｽ変更点!#REF!</definedName>
    <definedName name="E_MEMORY_MODIFY_DATA" localSheetId="3">[3]ﾃﾞｰﾀﾍﾞｰｽ変更点!#REF!</definedName>
    <definedName name="E_MEMORY_MODIFY_DATA">[3]ﾃﾞｰﾀﾍﾞｰｽ変更点!#REF!</definedName>
    <definedName name="E_MESSAGE" localSheetId="6">[3]ﾃﾞｰﾀﾍﾞｰｽ変更点!#REF!</definedName>
    <definedName name="E_MESSAGE" localSheetId="3">[3]ﾃﾞｰﾀﾍﾞｰｽ変更点!#REF!</definedName>
    <definedName name="E_MESSAGE">[3]ﾃﾞｰﾀﾍﾞｰｽ変更点!#REF!</definedName>
    <definedName name="E_MESSAGE_MASTER" localSheetId="6">[3]ﾃﾞｰﾀﾍﾞｰｽ変更点!#REF!</definedName>
    <definedName name="E_MESSAGE_MASTER" localSheetId="3">[3]ﾃﾞｰﾀﾍﾞｰｽ変更点!#REF!</definedName>
    <definedName name="E_MESSAGE_MASTER">[3]ﾃﾞｰﾀﾍﾞｰｽ変更点!#REF!</definedName>
    <definedName name="E_MONTHLY_ATT_SMR" localSheetId="6">[4]TableDesign!#REF!</definedName>
    <definedName name="E_MONTHLY_ATT_SMR" localSheetId="3">[4]TableDesign!#REF!</definedName>
    <definedName name="E_MONTHLY_ATT_SMR">[4]TableDesign!#REF!</definedName>
    <definedName name="E_MONTHLY_ERROR" localSheetId="6">[4]TableDesign!#REF!</definedName>
    <definedName name="E_MONTHLY_ERROR" localSheetId="3">[4]TableDesign!#REF!</definedName>
    <definedName name="E_MONTHLY_ERROR">[4]TableDesign!#REF!</definedName>
    <definedName name="E_MONTHLY_LOAD" localSheetId="6">[4]TableDesign!#REF!</definedName>
    <definedName name="E_MONTHLY_LOAD" localSheetId="3">[4]TableDesign!#REF!</definedName>
    <definedName name="E_MONTHLY_LOAD">[4]TableDesign!#REF!</definedName>
    <definedName name="E_MONTHLY_MOVEMENT" localSheetId="6">[4]TableDesign!#REF!</definedName>
    <definedName name="E_MONTHLY_MOVEMENT" localSheetId="3">[4]TableDesign!#REF!</definedName>
    <definedName name="E_MONTHLY_MOVEMENT">[4]TableDesign!#REF!</definedName>
    <definedName name="E_MONTHLY_OPERATION" localSheetId="6">[4]TableDesign!#REF!</definedName>
    <definedName name="E_MONTHLY_OPERATION" localSheetId="3">[4]TableDesign!#REF!</definedName>
    <definedName name="E_MONTHLY_OPERATION">[4]TableDesign!#REF!</definedName>
    <definedName name="E_MONTHLY_SMR" localSheetId="6">[4]TableDesign!#REF!</definedName>
    <definedName name="E_MONTHLY_SMR" localSheetId="3">[4]TableDesign!#REF!</definedName>
    <definedName name="E_MONTHLY_SMR">[4]TableDesign!#REF!</definedName>
    <definedName name="E_MONTHLY_WORKING_SMR" localSheetId="6">[4]TableDesign!#REF!</definedName>
    <definedName name="E_MONTHLY_WORKING_SMR" localSheetId="3">[4]TableDesign!#REF!</definedName>
    <definedName name="E_MONTHLY_WORKING_SMR">[4]TableDesign!#REF!</definedName>
    <definedName name="E_MONTLY_LOAD" localSheetId="6">[4]TableDesign!#REF!</definedName>
    <definedName name="E_MONTLY_LOAD" localSheetId="3">[4]TableDesign!#REF!</definedName>
    <definedName name="E_MONTLY_LOAD">[4]TableDesign!#REF!</definedName>
    <definedName name="E_MULTI_OPE" localSheetId="6">[3]ﾃﾞｰﾀﾍﾞｰｽ変更点!#REF!</definedName>
    <definedName name="E_MULTI_OPE" localSheetId="3">[3]ﾃﾞｰﾀﾍﾞｰｽ変更点!#REF!</definedName>
    <definedName name="E_MULTI_OPE">[3]ﾃﾞｰﾀﾍﾞｰｽ変更点!#REF!</definedName>
    <definedName name="E_MULTI_OPE_DATA" localSheetId="6">[5]テーブル設計!#REF!</definedName>
    <definedName name="E_MULTI_OPE_DATA" localSheetId="3">[5]テーブル設計!#REF!</definedName>
    <definedName name="E_MULTI_OPE_DATA">[5]テーブル設計!#REF!</definedName>
    <definedName name="E_NLS_DB_RESOURCE" localSheetId="6">[4]TableDesign!#REF!</definedName>
    <definedName name="E_NLS_DB_RESOURCE" localSheetId="3">[4]TableDesign!#REF!</definedName>
    <definedName name="E_NLS_DB_RESOURCE">[4]TableDesign!#REF!</definedName>
    <definedName name="E_NLS_LANG" localSheetId="6">[4]TableDesign!#REF!</definedName>
    <definedName name="E_NLS_LANG" localSheetId="3">[4]TableDesign!#REF!</definedName>
    <definedName name="E_NLS_LANG">[4]TableDesign!#REF!</definedName>
    <definedName name="E_NLS_RESOURCE" localSheetId="6">[4]TableDesign!#REF!</definedName>
    <definedName name="E_NLS_RESOURCE" localSheetId="3">[4]TableDesign!#REF!</definedName>
    <definedName name="E_NLS_RESOURCE">[4]TableDesign!#REF!</definedName>
    <definedName name="E_NOT_ACTIVE" localSheetId="6">[3]ﾃﾞｰﾀﾍﾞｰｽ変更点!#REF!</definedName>
    <definedName name="E_NOT_ACTIVE" localSheetId="3">[3]ﾃﾞｰﾀﾍﾞｰｽ変更点!#REF!</definedName>
    <definedName name="E_NOT_ACTIVE">[3]ﾃﾞｰﾀﾍﾞｰｽ変更点!#REF!</definedName>
    <definedName name="E_OPERATION_CATEGORY" localSheetId="6">[4]TableDesign!#REF!</definedName>
    <definedName name="E_OPERATION_CATEGORY" localSheetId="3">[4]TableDesign!#REF!</definedName>
    <definedName name="E_OPERATION_CATEGORY">[4]TableDesign!#REF!</definedName>
    <definedName name="E_OPERATION_CLASS" localSheetId="6">[5]テーブル設計!#REF!</definedName>
    <definedName name="E_OPERATION_CLASS" localSheetId="3">[5]テーブル設計!#REF!</definedName>
    <definedName name="E_OPERATION_CLASS">[5]テーブル設計!#REF!</definedName>
    <definedName name="E_OPERATION_LOG" localSheetId="6">[3]ﾃﾞｰﾀﾍﾞｰｽ変更点!#REF!</definedName>
    <definedName name="E_OPERATION_LOG" localSheetId="3">[3]ﾃﾞｰﾀﾍﾞｰｽ変更点!#REF!</definedName>
    <definedName name="E_OPERATION_LOG">[3]ﾃﾞｰﾀﾍﾞｰｽ変更点!#REF!</definedName>
    <definedName name="E_OPERATION_LOG2" localSheetId="6">[5]テーブル設計!#REF!</definedName>
    <definedName name="E_OPERATION_LOG2" localSheetId="3">[5]テーブル設計!#REF!</definedName>
    <definedName name="E_OPERATION_LOG2">[5]テーブル設計!#REF!</definedName>
    <definedName name="E_OPERATION_MAP" localSheetId="6">[4]TableDesign!#REF!</definedName>
    <definedName name="E_OPERATION_MAP" localSheetId="3">[4]TableDesign!#REF!</definedName>
    <definedName name="E_OPERATION_MAP">[4]TableDesign!#REF!</definedName>
    <definedName name="E_OPERATION_MASTER" localSheetId="6">[5]テーブル設計!#REF!</definedName>
    <definedName name="E_OPERATION_MASTER" localSheetId="3">[5]テーブル設計!#REF!</definedName>
    <definedName name="E_OPERATION_MASTER">[5]テーブル設計!#REF!</definedName>
    <definedName name="E_ORBCOMM" localSheetId="6">[3]ﾃﾞｰﾀﾍﾞｰｽ変更点!#REF!</definedName>
    <definedName name="E_ORBCOMM" localSheetId="3">[3]ﾃﾞｰﾀﾍﾞｰｽ変更点!#REF!</definedName>
    <definedName name="E_ORBCOMM">[3]ﾃﾞｰﾀﾍﾞｰｽ変更点!#REF!</definedName>
    <definedName name="E_ORBCOMM_OWNER_HISTORY" localSheetId="6">[3]ﾃﾞｰﾀﾍﾞｰｽ変更点!#REF!</definedName>
    <definedName name="E_ORBCOMM_OWNER_HISTORY" localSheetId="3">[3]ﾃﾞｰﾀﾍﾞｰｽ変更点!#REF!</definedName>
    <definedName name="E_ORBCOMM_OWNER_HISTORY">[3]ﾃﾞｰﾀﾍﾞｰｽ変更点!#REF!</definedName>
    <definedName name="E_PLANT_CAR" localSheetId="6">[5]テーブル設計!#REF!</definedName>
    <definedName name="E_PLANT_CAR" localSheetId="3">[5]テーブル設計!#REF!</definedName>
    <definedName name="E_PLANT_CAR">[5]テーブル設計!#REF!</definedName>
    <definedName name="E_PLANT_ERROR" localSheetId="6">[5]テーブル設計!#REF!</definedName>
    <definedName name="E_PLANT_ERROR" localSheetId="3">[5]テーブル設計!#REF!</definedName>
    <definedName name="E_PLANT_ERROR">[5]テーブル設計!#REF!</definedName>
    <definedName name="E_PLANT_GPS" localSheetId="6">[5]テーブル設計!#REF!</definedName>
    <definedName name="E_PLANT_GPS" localSheetId="3">[5]テーブル設計!#REF!</definedName>
    <definedName name="E_PLANT_GPS">[5]テーブル設計!#REF!</definedName>
    <definedName name="E_PREVENT_THEFT_KEY" localSheetId="6">[3]ﾃﾞｰﾀﾍﾞｰｽ変更点!#REF!</definedName>
    <definedName name="E_PREVENT_THEFT_KEY" localSheetId="3">[3]ﾃﾞｰﾀﾍﾞｰｽ変更点!#REF!</definedName>
    <definedName name="E_PREVENT_THEFT_KEY">[3]ﾃﾞｰﾀﾍﾞｰｽ変更点!#REF!</definedName>
    <definedName name="E_PRIVATE_TARGET_CAR" localSheetId="6">[3]ﾃﾞｰﾀﾍﾞｰｽ変更点!#REF!</definedName>
    <definedName name="E_PRIVATE_TARGET_CAR" localSheetId="3">[3]ﾃﾞｰﾀﾍﾞｰｽ変更点!#REF!</definedName>
    <definedName name="E_PRIVATE_TARGET_CAR">[3]ﾃﾞｰﾀﾍﾞｰｽ変更点!#REF!</definedName>
    <definedName name="E_RECEIVE_LIST" localSheetId="6">[5]テーブル設計!#REF!</definedName>
    <definedName name="E_RECEIVE_LIST" localSheetId="3">[5]テーブル設計!#REF!</definedName>
    <definedName name="E_RECEIVE_LIST">[5]テーブル設計!#REF!</definedName>
    <definedName name="E_RECEIVE_LOG" localSheetId="6">[3]ﾃﾞｰﾀﾍﾞｰｽ変更点!#REF!</definedName>
    <definedName name="E_RECEIVE_LOG" localSheetId="3">[3]ﾃﾞｰﾀﾍﾞｰｽ変更点!#REF!</definedName>
    <definedName name="E_RECEIVE_LOG">[3]ﾃﾞｰﾀﾍﾞｰｽ変更点!#REF!</definedName>
    <definedName name="E_REGION_DATA" localSheetId="6">[4]TableDesign!#REF!</definedName>
    <definedName name="E_REGION_DATA" localSheetId="3">[4]TableDesign!#REF!</definedName>
    <definedName name="E_REGION_DATA">[4]TableDesign!#REF!</definedName>
    <definedName name="E_REGION_MASTER" localSheetId="6">[4]TableDesign!#REF!</definedName>
    <definedName name="E_REGION_MASTER" localSheetId="3">[4]TableDesign!#REF!</definedName>
    <definedName name="E_REGION_MASTER">[4]TableDesign!#REF!</definedName>
    <definedName name="E_RENTAL_TERMINAL" localSheetId="6">[5]テーブル設計!#REF!</definedName>
    <definedName name="E_RENTAL_TERMINAL" localSheetId="3">[5]テーブル設計!#REF!</definedName>
    <definedName name="E_RENTAL_TERMINAL">[5]テーブル設計!#REF!</definedName>
    <definedName name="E_REQUEST" localSheetId="6">[3]ﾃﾞｰﾀﾍﾞｰｽ変更点!#REF!</definedName>
    <definedName name="E_REQUEST" localSheetId="3">[3]ﾃﾞｰﾀﾍﾞｰｽ変更点!#REF!</definedName>
    <definedName name="E_REQUEST">[3]ﾃﾞｰﾀﾍﾞｰｽ変更点!#REF!</definedName>
    <definedName name="E_REQUEST_COUNT" localSheetId="6">[3]ﾃﾞｰﾀﾍﾞｰｽ変更点!#REF!</definedName>
    <definedName name="E_REQUEST_COUNT" localSheetId="3">[3]ﾃﾞｰﾀﾍﾞｰｽ変更点!#REF!</definedName>
    <definedName name="E_REQUEST_COUNT">[3]ﾃﾞｰﾀﾍﾞｰｽ変更点!#REF!</definedName>
    <definedName name="E_REQUEST_LOG" localSheetId="6">[3]ﾃﾞｰﾀﾍﾞｰｽ変更点!#REF!</definedName>
    <definedName name="E_REQUEST_LOG" localSheetId="3">[3]ﾃﾞｰﾀﾍﾞｰｽ変更点!#REF!</definedName>
    <definedName name="E_REQUEST_LOG">[3]ﾃﾞｰﾀﾍﾞｰｽ変更点!#REF!</definedName>
    <definedName name="E_RIVATE_TARGET_CAR" localSheetId="6">[4]TableDesign!#REF!</definedName>
    <definedName name="E_RIVATE_TARGET_CAR" localSheetId="3">[4]TableDesign!#REF!</definedName>
    <definedName name="E_RIVATE_TARGET_CAR">[4]TableDesign!#REF!</definedName>
    <definedName name="E_RUNNING_LOG" localSheetId="6">[3]ﾃﾞｰﾀﾍﾞｰｽ変更点!#REF!</definedName>
    <definedName name="E_RUNNING_LOG" localSheetId="3">[3]ﾃﾞｰﾀﾍﾞｰｽ変更点!#REF!</definedName>
    <definedName name="E_RUNNING_LOG">[3]ﾃﾞｰﾀﾍﾞｰｽ変更点!#REF!</definedName>
    <definedName name="E_SAVE_INFORMATION" localSheetId="6">[5]テーブル設計!#REF!</definedName>
    <definedName name="E_SAVE_INFORMATION" localSheetId="3">[5]テーブル設計!#REF!</definedName>
    <definedName name="E_SAVE_INFORMATION">[5]テーブル設計!#REF!</definedName>
    <definedName name="E_SELFCARINSPECTION" localSheetId="6">[3]ﾃﾞｰﾀﾍﾞｰｽ変更点!#REF!</definedName>
    <definedName name="E_SELFCARINSPECTION" localSheetId="3">[3]ﾃﾞｰﾀﾍﾞｰｽ変更点!#REF!</definedName>
    <definedName name="E_SELFCARINSPECTION">[3]ﾃﾞｰﾀﾍﾞｰｽ変更点!#REF!</definedName>
    <definedName name="E_SEND_LIST" localSheetId="6">[5]テーブル設計!#REF!</definedName>
    <definedName name="E_SEND_LIST" localSheetId="3">[5]テーブル設計!#REF!</definedName>
    <definedName name="E_SEND_LIST">[5]テーブル設計!#REF!</definedName>
    <definedName name="E_SEND_LOG" localSheetId="6">[5]テーブル設計!#REF!</definedName>
    <definedName name="E_SEND_LOG" localSheetId="3">[5]テーブル設計!#REF!</definedName>
    <definedName name="E_SEND_LOG">[5]テーブル設計!#REF!</definedName>
    <definedName name="E_SERVER_COMMUNICATION" localSheetId="6">[4]TableDesign!#REF!</definedName>
    <definedName name="E_SERVER_COMMUNICATION" localSheetId="3">[4]TableDesign!#REF!</definedName>
    <definedName name="E_SERVER_COMMUNICATION">[4]TableDesign!#REF!</definedName>
    <definedName name="E_SERVER_INFORMATION" localSheetId="6">[3]ﾃﾞｰﾀﾍﾞｰｽ変更点!#REF!</definedName>
    <definedName name="E_SERVER_INFORMATION" localSheetId="3">[3]ﾃﾞｰﾀﾍﾞｰｽ変更点!#REF!</definedName>
    <definedName name="E_SERVER_INFORMATION">[3]ﾃﾞｰﾀﾍﾞｰｽ変更点!#REF!</definedName>
    <definedName name="E_SERVICE_METER" localSheetId="6">[3]ﾃﾞｰﾀﾍﾞｰｽ変更点!#REF!</definedName>
    <definedName name="E_SERVICE_METER" localSheetId="3">[3]ﾃﾞｰﾀﾍﾞｰｽ変更点!#REF!</definedName>
    <definedName name="E_SERVICE_METER">[3]ﾃﾞｰﾀﾍﾞｰｽ変更点!#REF!</definedName>
    <definedName name="E_SERVICE_METER2" localSheetId="6">[5]テーブル設計!#REF!</definedName>
    <definedName name="E_SERVICE_METER2" localSheetId="3">[5]テーブル設計!#REF!</definedName>
    <definedName name="E_SERVICE_METER2">[5]テーブル設計!#REF!</definedName>
    <definedName name="E_SERVICEMAN" localSheetId="6">[5]テーブル設計!#REF!</definedName>
    <definedName name="E_SERVICEMAN" localSheetId="3">[5]テーブル設計!#REF!</definedName>
    <definedName name="E_SERVICEMAN">[5]テーブル設計!#REF!</definedName>
    <definedName name="E_SERVICEMAN_CHARGE" localSheetId="6">[5]テーブル設計!#REF!</definedName>
    <definedName name="E_SERVICEMAN_CHARGE" localSheetId="3">[5]テーブル設計!#REF!</definedName>
    <definedName name="E_SERVICEMAN_CHARGE">[5]テーブル設計!#REF!</definedName>
    <definedName name="E_SHIPMENT" localSheetId="6">[3]ﾃﾞｰﾀﾍﾞｰｽ変更点!#REF!</definedName>
    <definedName name="E_SHIPMENT" localSheetId="3">[3]ﾃﾞｰﾀﾍﾞｰｽ変更点!#REF!</definedName>
    <definedName name="E_SHIPMENT">[3]ﾃﾞｰﾀﾍﾞｰｽ変更点!#REF!</definedName>
    <definedName name="E_SHOW" localSheetId="6">[3]ﾃﾞｰﾀﾍﾞｰｽ変更点!#REF!</definedName>
    <definedName name="E_SHOW" localSheetId="3">[3]ﾃﾞｰﾀﾍﾞｰｽ変更点!#REF!</definedName>
    <definedName name="E_SHOW">[3]ﾃﾞｰﾀﾍﾞｰｽ変更点!#REF!</definedName>
    <definedName name="E_SHOW_GROUP" localSheetId="6">[3]ﾃﾞｰﾀﾍﾞｰｽ変更点!#REF!</definedName>
    <definedName name="E_SHOW_GROUP" localSheetId="3">[3]ﾃﾞｰﾀﾍﾞｰｽ変更点!#REF!</definedName>
    <definedName name="E_SHOW_GROUP">[3]ﾃﾞｰﾀﾍﾞｰｽ変更点!#REF!</definedName>
    <definedName name="E_SPECIAL_AREA" localSheetId="6">[3]ﾃﾞｰﾀﾍﾞｰｽ変更点!#REF!</definedName>
    <definedName name="E_SPECIAL_AREA" localSheetId="3">[3]ﾃﾞｰﾀﾍﾞｰｽ変更点!#REF!</definedName>
    <definedName name="E_SPECIAL_AREA">[3]ﾃﾞｰﾀﾍﾞｰｽ変更点!#REF!</definedName>
    <definedName name="E_SUB_GROUP" localSheetId="6">[4]TableDesign!#REF!</definedName>
    <definedName name="E_SUB_GROUP" localSheetId="3">[4]TableDesign!#REF!</definedName>
    <definedName name="E_SUB_GROUP">[4]TableDesign!#REF!</definedName>
    <definedName name="E_SUB_GROUP_CAR" localSheetId="6">[4]TableDesign!#REF!</definedName>
    <definedName name="E_SUB_GROUP_CAR" localSheetId="3">[4]TableDesign!#REF!</definedName>
    <definedName name="E_SUB_GROUP_CAR">[4]TableDesign!#REF!</definedName>
    <definedName name="E_SYSTEM_COMMTERM_INFO" localSheetId="6">[3]ﾃﾞｰﾀﾍﾞｰｽ変更点!#REF!</definedName>
    <definedName name="E_SYSTEM_COMMTERM_INFO" localSheetId="3">[3]ﾃﾞｰﾀﾍﾞｰｽ変更点!#REF!</definedName>
    <definedName name="E_SYSTEM_COMMTERM_INFO">[3]ﾃﾞｰﾀﾍﾞｰｽ変更点!#REF!</definedName>
    <definedName name="E_SYSTEM_LOG" localSheetId="6">[3]ﾃﾞｰﾀﾍﾞｰｽ変更点!#REF!</definedName>
    <definedName name="E_SYSTEM_LOG" localSheetId="3">[3]ﾃﾞｰﾀﾍﾞｰｽ変更点!#REF!</definedName>
    <definedName name="E_SYSTEM_LOG">[3]ﾃﾞｰﾀﾍﾞｰｽ変更点!#REF!</definedName>
    <definedName name="E_SYSTEM_NOTICE" localSheetId="6">[3]ﾃﾞｰﾀﾍﾞｰｽ変更点!#REF!</definedName>
    <definedName name="E_SYSTEM_NOTICE" localSheetId="3">[3]ﾃﾞｰﾀﾍﾞｰｽ変更点!#REF!</definedName>
    <definedName name="E_SYSTEM_NOTICE">[3]ﾃﾞｰﾀﾍﾞｰｽ変更点!#REF!</definedName>
    <definedName name="E_TARGET" localSheetId="6">[3]ﾃﾞｰﾀﾍﾞｰｽ変更点!#REF!</definedName>
    <definedName name="E_TARGET" localSheetId="3">[3]ﾃﾞｰﾀﾍﾞｰｽ変更点!#REF!</definedName>
    <definedName name="E_TARGET">[3]ﾃﾞｰﾀﾍﾞｰｽ変更点!#REF!</definedName>
    <definedName name="E_TARGET_CAR" localSheetId="6">[3]ﾃﾞｰﾀﾍﾞｰｽ変更点!#REF!</definedName>
    <definedName name="E_TARGET_CAR" localSheetId="3">[3]ﾃﾞｰﾀﾍﾞｰｽ変更点!#REF!</definedName>
    <definedName name="E_TARGET_CAR">[3]ﾃﾞｰﾀﾍﾞｰｽ変更点!#REF!</definedName>
    <definedName name="E_TERMINAL_AREA" localSheetId="6">[3]ﾃﾞｰﾀﾍﾞｰｽ変更点!#REF!</definedName>
    <definedName name="E_TERMINAL_AREA" localSheetId="3">[3]ﾃﾞｰﾀﾍﾞｰｽ変更点!#REF!</definedName>
    <definedName name="E_TERMINAL_AREA">[3]ﾃﾞｰﾀﾍﾞｰｽ変更点!#REF!</definedName>
    <definedName name="E_TERMINAL_CAUTION" localSheetId="6">[3]ﾃﾞｰﾀﾍﾞｰｽ変更点!#REF!</definedName>
    <definedName name="E_TERMINAL_CAUTION" localSheetId="3">[3]ﾃﾞｰﾀﾍﾞｰｽ変更点!#REF!</definedName>
    <definedName name="E_TERMINAL_CAUTION">[3]ﾃﾞｰﾀﾍﾞｰｽ変更点!#REF!</definedName>
    <definedName name="E_TERMINAL_ERROR" localSheetId="6">[3]ﾃﾞｰﾀﾍﾞｰｽ変更点!#REF!</definedName>
    <definedName name="E_TERMINAL_ERROR" localSheetId="3">[3]ﾃﾞｰﾀﾍﾞｰｽ変更点!#REF!</definedName>
    <definedName name="E_TERMINAL_ERROR">[3]ﾃﾞｰﾀﾍﾞｰｽ変更点!#REF!</definedName>
    <definedName name="E_TERMINAL_KIND" localSheetId="6">[3]ﾃﾞｰﾀﾍﾞｰｽ変更点!#REF!</definedName>
    <definedName name="E_TERMINAL_KIND" localSheetId="3">[3]ﾃﾞｰﾀﾍﾞｰｽ変更点!#REF!</definedName>
    <definedName name="E_TERMINAL_KIND">[3]ﾃﾞｰﾀﾍﾞｰｽ変更点!#REF!</definedName>
    <definedName name="E_TERMINAL_MASTER" localSheetId="6">[3]ﾃﾞｰﾀﾍﾞｰｽ変更点!#REF!</definedName>
    <definedName name="E_TERMINAL_MASTER" localSheetId="3">[3]ﾃﾞｰﾀﾍﾞｰｽ変更点!#REF!</definedName>
    <definedName name="E_TERMINAL_MASTER">[3]ﾃﾞｰﾀﾍﾞｰｽ変更点!#REF!</definedName>
    <definedName name="E_TERMINAL_PART_MASTER" localSheetId="6">[3]ﾃﾞｰﾀﾍﾞｰｽ変更点!#REF!</definedName>
    <definedName name="E_TERMINAL_PART_MASTER" localSheetId="3">[3]ﾃﾞｰﾀﾍﾞｰｽ変更点!#REF!</definedName>
    <definedName name="E_TERMINAL_PART_MASTER">[3]ﾃﾞｰﾀﾍﾞｰｽ変更点!#REF!</definedName>
    <definedName name="E_TYPE_MASTER" localSheetId="6">[3]ﾃﾞｰﾀﾍﾞｰｽ変更点!#REF!</definedName>
    <definedName name="E_TYPE_MASTER" localSheetId="3">[3]ﾃﾞｰﾀﾍﾞｰｽ変更点!#REF!</definedName>
    <definedName name="E_TYPE_MASTER">[3]ﾃﾞｰﾀﾍﾞｰｽ変更点!#REF!</definedName>
    <definedName name="E_UFO" localSheetId="6">[3]ﾃﾞｰﾀﾍﾞｰｽ変更点!#REF!</definedName>
    <definedName name="E_UFO" localSheetId="3">[3]ﾃﾞｰﾀﾍﾞｰｽ変更点!#REF!</definedName>
    <definedName name="E_UFO">[3]ﾃﾞｰﾀﾍﾞｰｽ変更点!#REF!</definedName>
    <definedName name="E_UNRELIABLE_RECEIVE" localSheetId="6">[3]ﾃﾞｰﾀﾍﾞｰｽ変更点!#REF!</definedName>
    <definedName name="E_UNRELIABLE_RECEIVE" localSheetId="3">[3]ﾃﾞｰﾀﾍﾞｰｽ変更点!#REF!</definedName>
    <definedName name="E_UNRELIABLE_RECEIVE">[3]ﾃﾞｰﾀﾍﾞｰｽ変更点!#REF!</definedName>
    <definedName name="E_USER_MASTER" localSheetId="6">[3]ﾃﾞｰﾀﾍﾞｰｽ変更点!#REF!</definedName>
    <definedName name="E_USER_MASTER" localSheetId="3">[3]ﾃﾞｰﾀﾍﾞｰｽ変更点!#REF!</definedName>
    <definedName name="E_USER_MASTER">[3]ﾃﾞｰﾀﾍﾞｰｽ変更点!#REF!</definedName>
    <definedName name="E_USER_TEMP" localSheetId="6">[3]ﾃﾞｰﾀﾍﾞｰｽ変更点!#REF!</definedName>
    <definedName name="E_USER_TEMP" localSheetId="3">[3]ﾃﾞｰﾀﾍﾞｰｽ変更点!#REF!</definedName>
    <definedName name="E_USER_TEMP">[3]ﾃﾞｰﾀﾍﾞｰｽ変更点!#REF!</definedName>
    <definedName name="E_WATER_TEMP_GAUGE" localSheetId="6">[4]TableDesign!#REF!</definedName>
    <definedName name="E_WATER_TEMP_GAUGE" localSheetId="3">[4]TableDesign!#REF!</definedName>
    <definedName name="E_WATER_TEMP_GAUGE">[4]TableDesign!#REF!</definedName>
    <definedName name="EE" localSheetId="6">'[6]DATA-COMMUNICATION-FORMAT'!#REF!</definedName>
    <definedName name="EE" localSheetId="3">'[6]DATA-COMMUNICATION-FORMAT'!#REF!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6">[3]ﾃﾞｰﾀﾍﾞｰｽ変更点!#REF!</definedName>
    <definedName name="F_ACT_DATA" localSheetId="3">[3]ﾃﾞｰﾀﾍﾞｰｽ変更点!#REF!</definedName>
    <definedName name="F_ACT_DATA">[3]ﾃﾞｰﾀﾍﾞｰｽ変更点!#REF!</definedName>
    <definedName name="F_ACTUAL_OPERATION" localSheetId="6">[4]TableDesign!#REF!</definedName>
    <definedName name="F_ACTUAL_OPERATION" localSheetId="3">[4]TableDesign!#REF!</definedName>
    <definedName name="F_ACTUAL_OPERATION">[4]TableDesign!#REF!</definedName>
    <definedName name="F_AREA" localSheetId="6">[3]ﾃﾞｰﾀﾍﾞｰｽ変更点!#REF!</definedName>
    <definedName name="F_AREA" localSheetId="3">[3]ﾃﾞｰﾀﾍﾞｰｽ変更点!#REF!</definedName>
    <definedName name="F_AREA">[3]ﾃﾞｰﾀﾍﾞｰｽ変更点!#REF!</definedName>
    <definedName name="F_AREA_DEFINE" localSheetId="6">[3]ﾃﾞｰﾀﾍﾞｰｽ変更点!#REF!</definedName>
    <definedName name="F_AREA_DEFINE" localSheetId="3">[3]ﾃﾞｰﾀﾍﾞｰｽ変更点!#REF!</definedName>
    <definedName name="F_AREA_DEFINE">[3]ﾃﾞｰﾀﾍﾞｰｽ変更点!#REF!</definedName>
    <definedName name="F_AREA_INIT" localSheetId="6">[3]ﾃﾞｰﾀﾍﾞｰｽ変更点!#REF!</definedName>
    <definedName name="F_AREA_INIT" localSheetId="3">[3]ﾃﾞｰﾀﾍﾞｰｽ変更点!#REF!</definedName>
    <definedName name="F_AREA_INIT">[3]ﾃﾞｰﾀﾍﾞｰｽ変更点!#REF!</definedName>
    <definedName name="F_AREA_MASTER" localSheetId="6">[3]ﾃﾞｰﾀﾍﾞｰｽ変更点!#REF!</definedName>
    <definedName name="F_AREA_MASTER" localSheetId="3">[3]ﾃﾞｰﾀﾍﾞｰｽ変更点!#REF!</definedName>
    <definedName name="F_AREA_MASTER">[3]ﾃﾞｰﾀﾍﾞｰｽ変更点!#REF!</definedName>
    <definedName name="F_ASK" localSheetId="6">[3]ﾃﾞｰﾀﾍﾞｰｽ変更点!#REF!</definedName>
    <definedName name="F_ASK" localSheetId="3">[3]ﾃﾞｰﾀﾍﾞｰｽ変更点!#REF!</definedName>
    <definedName name="F_ASK">[3]ﾃﾞｰﾀﾍﾞｰｽ変更点!#REF!</definedName>
    <definedName name="F_ASK_LOG" localSheetId="6">[5]テーブル設計!#REF!</definedName>
    <definedName name="F_ASK_LOG" localSheetId="3">[5]テーブル設計!#REF!</definedName>
    <definedName name="F_ASK_LOG">[5]テーブル設計!#REF!</definedName>
    <definedName name="F_ASK_SYSTEM" localSheetId="6">[3]ﾃﾞｰﾀﾍﾞｰｽ変更点!#REF!</definedName>
    <definedName name="F_ASK_SYSTEM" localSheetId="3">[3]ﾃﾞｰﾀﾍﾞｰｽ変更点!#REF!</definedName>
    <definedName name="F_ASK_SYSTEM">[3]ﾃﾞｰﾀﾍﾞｰｽ変更点!#REF!</definedName>
    <definedName name="F_ATC_ERROR" localSheetId="6">[5]テーブル設計!#REF!</definedName>
    <definedName name="F_ATC_ERROR" localSheetId="3">[5]テーブル設計!#REF!</definedName>
    <definedName name="F_ATC_ERROR">[5]テーブル設計!#REF!</definedName>
    <definedName name="F_AUTHORITY_GROUP" localSheetId="6">[3]ﾃﾞｰﾀﾍﾞｰｽ変更点!#REF!</definedName>
    <definedName name="F_AUTHORITY_GROUP" localSheetId="3">[3]ﾃﾞｰﾀﾍﾞｰｽ変更点!#REF!</definedName>
    <definedName name="F_AUTHORITY_GROUP">[3]ﾃﾞｰﾀﾍﾞｰｽ変更点!#REF!</definedName>
    <definedName name="F_AUTHORITY_GROUP_DATA" localSheetId="6">[3]ﾃﾞｰﾀﾍﾞｰｽ変更点!#REF!</definedName>
    <definedName name="F_AUTHORITY_GROUP_DATA" localSheetId="3">[3]ﾃﾞｰﾀﾍﾞｰｽ変更点!#REF!</definedName>
    <definedName name="F_AUTHORITY_GROUP_DATA">[3]ﾃﾞｰﾀﾍﾞｰｽ変更点!#REF!</definedName>
    <definedName name="F_AUTHORITY_MASTER" localSheetId="6">[5]テーブル設計!#REF!</definedName>
    <definedName name="F_AUTHORITY_MASTER" localSheetId="3">[5]テーブル設計!#REF!</definedName>
    <definedName name="F_AUTHORITY_MASTER">[5]テーブル設計!#REF!</definedName>
    <definedName name="F_BELNR">[9]Dictionary!$D$22</definedName>
    <definedName name="F_BONDED_STORE" localSheetId="6">[5]テーブル設計!#REF!</definedName>
    <definedName name="F_BONDED_STORE" localSheetId="3">[5]テーブル設計!#REF!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6">[3]ﾃﾞｰﾀﾍﾞｰｽ変更点!#REF!</definedName>
    <definedName name="F_CAR_DATA" localSheetId="3">[3]ﾃﾞｰﾀﾍﾞｰｽ変更点!#REF!</definedName>
    <definedName name="F_CAR_DATA">[3]ﾃﾞｰﾀﾍﾞｰｽ変更点!#REF!</definedName>
    <definedName name="F_CAR_MASTER" localSheetId="6">[3]ﾃﾞｰﾀﾍﾞｰｽ変更点!#REF!</definedName>
    <definedName name="F_CAR_MASTER" localSheetId="3">[3]ﾃﾞｰﾀﾍﾞｰｽ変更点!#REF!</definedName>
    <definedName name="F_CAR_MASTER">[3]ﾃﾞｰﾀﾍﾞｰｽ変更点!#REF!</definedName>
    <definedName name="F_CAR_MONTHLY_DATA" localSheetId="6">[3]ﾃﾞｰﾀﾍﾞｰｽ変更点!#REF!</definedName>
    <definedName name="F_CAR_MONTHLY_DATA" localSheetId="3">[3]ﾃﾞｰﾀﾍﾞｰｽ変更点!#REF!</definedName>
    <definedName name="F_CAR_MONTHLY_DATA">[3]ﾃﾞｰﾀﾍﾞｰｽ変更点!#REF!</definedName>
    <definedName name="F_CAR_OWNER_HISTORY" localSheetId="6">[3]ﾃﾞｰﾀﾍﾞｰｽ変更点!#REF!</definedName>
    <definedName name="F_CAR_OWNER_HISTORY" localSheetId="3">[3]ﾃﾞｰﾀﾍﾞｰｽ変更点!#REF!</definedName>
    <definedName name="F_CAR_OWNER_HISTORY">[3]ﾃﾞｰﾀﾍﾞｰｽ変更点!#REF!</definedName>
    <definedName name="F_CAUTION" localSheetId="6">[4]TableDesign!#REF!</definedName>
    <definedName name="F_CAUTION" localSheetId="3">[4]TableDesign!#REF!</definedName>
    <definedName name="F_CAUTION">[4]TableDesign!#REF!</definedName>
    <definedName name="F_CAUTION_DATA" localSheetId="6">[3]ﾃﾞｰﾀﾍﾞｰｽ変更点!#REF!</definedName>
    <definedName name="F_CAUTION_DATA" localSheetId="3">[3]ﾃﾞｰﾀﾍﾞｰｽ変更点!#REF!</definedName>
    <definedName name="F_CAUTION_DATA">[3]ﾃﾞｰﾀﾍﾞｰｽ変更点!#REF!</definedName>
    <definedName name="F_CAUTION_ENABLED" localSheetId="6">[3]ﾃﾞｰﾀﾍﾞｰｽ変更点!#REF!</definedName>
    <definedName name="F_CAUTION_ENABLED" localSheetId="3">[3]ﾃﾞｰﾀﾍﾞｰｽ変更点!#REF!</definedName>
    <definedName name="F_CAUTION_ENABLED">[3]ﾃﾞｰﾀﾍﾞｰｽ変更点!#REF!</definedName>
    <definedName name="F_CAUTION_ICON" localSheetId="6">[3]ﾃﾞｰﾀﾍﾞｰｽ変更点!#REF!</definedName>
    <definedName name="F_CAUTION_ICON" localSheetId="3">[3]ﾃﾞｰﾀﾍﾞｰｽ変更点!#REF!</definedName>
    <definedName name="F_CAUTION_ICON">[3]ﾃﾞｰﾀﾍﾞｰｽ変更点!#REF!</definedName>
    <definedName name="F_CAUTION_INIT" localSheetId="6">[3]ﾃﾞｰﾀﾍﾞｰｽ変更点!#REF!</definedName>
    <definedName name="F_CAUTION_INIT" localSheetId="3">[3]ﾃﾞｰﾀﾍﾞｰｽ変更点!#REF!</definedName>
    <definedName name="F_CAUTION_INIT">[3]ﾃﾞｰﾀﾍﾞｰｽ変更点!#REF!</definedName>
    <definedName name="F_CAUTION_MASTER" localSheetId="6">[3]ﾃﾞｰﾀﾍﾞｰｽ変更点!#REF!</definedName>
    <definedName name="F_CAUTION_MASTER" localSheetId="3">[3]ﾃﾞｰﾀﾍﾞｰｽ変更点!#REF!</definedName>
    <definedName name="F_CAUTION_MASTER">[3]ﾃﾞｰﾀﾍﾞｰｽ変更点!#REF!</definedName>
    <definedName name="F_CLASS1_MASTER" localSheetId="6">[3]ﾃﾞｰﾀﾍﾞｰｽ変更点!#REF!</definedName>
    <definedName name="F_CLASS1_MASTER" localSheetId="3">[3]ﾃﾞｰﾀﾍﾞｰｽ変更点!#REF!</definedName>
    <definedName name="F_CLASS1_MASTER">[3]ﾃﾞｰﾀﾍﾞｰｽ変更点!#REF!</definedName>
    <definedName name="F_CLASS2_MASTER" localSheetId="6">[3]ﾃﾞｰﾀﾍﾞｰｽ変更点!#REF!</definedName>
    <definedName name="F_CLASS2_MASTER" localSheetId="3">[3]ﾃﾞｰﾀﾍﾞｰｽ変更点!#REF!</definedName>
    <definedName name="F_CLASS2_MASTER">[3]ﾃﾞｰﾀﾍﾞｰｽ変更点!#REF!</definedName>
    <definedName name="F_COMM_DATA" localSheetId="6">[3]ﾃﾞｰﾀﾍﾞｰｽ変更点!#REF!</definedName>
    <definedName name="F_COMM_DATA" localSheetId="3">[3]ﾃﾞｰﾀﾍﾞｰｽ変更点!#REF!</definedName>
    <definedName name="F_COMM_DATA">[3]ﾃﾞｰﾀﾍﾞｰｽ変更点!#REF!</definedName>
    <definedName name="F_COMM_STATUS_MASTER" localSheetId="6">[3]ﾃﾞｰﾀﾍﾞｰｽ変更点!#REF!</definedName>
    <definedName name="F_COMM_STATUS_MASTER" localSheetId="3">[3]ﾃﾞｰﾀﾍﾞｰｽ変更点!#REF!</definedName>
    <definedName name="F_COMM_STATUS_MASTER">[3]ﾃﾞｰﾀﾍﾞｰｽ変更点!#REF!</definedName>
    <definedName name="F_CONFIG_DEFINE" localSheetId="6">[3]ﾃﾞｰﾀﾍﾞｰｽ変更点!#REF!</definedName>
    <definedName name="F_CONFIG_DEFINE" localSheetId="3">[3]ﾃﾞｰﾀﾍﾞｰｽ変更点!#REF!</definedName>
    <definedName name="F_CONFIG_DEFINE">[3]ﾃﾞｰﾀﾍﾞｰｽ変更点!#REF!</definedName>
    <definedName name="F_CONFIG_FLAG" localSheetId="6">[5]テーブル設計!#REF!</definedName>
    <definedName name="F_CONFIG_FLAG" localSheetId="3">[5]テーブル設計!#REF!</definedName>
    <definedName name="F_CONFIG_FLAG">[5]テーブル設計!#REF!</definedName>
    <definedName name="F_CONFIG_INIT" localSheetId="6">[3]ﾃﾞｰﾀﾍﾞｰｽ変更点!#REF!</definedName>
    <definedName name="F_CONFIG_INIT" localSheetId="3">[3]ﾃﾞｰﾀﾍﾞｰｽ変更点!#REF!</definedName>
    <definedName name="F_CONFIG_INIT">[3]ﾃﾞｰﾀﾍﾞｰｽ変更点!#REF!</definedName>
    <definedName name="F_CONFIG_PATTERN" localSheetId="6">[3]ﾃﾞｰﾀﾍﾞｰｽ変更点!#REF!</definedName>
    <definedName name="F_CONFIG_PATTERN" localSheetId="3">[3]ﾃﾞｰﾀﾍﾞｰｽ変更点!#REF!</definedName>
    <definedName name="F_CONFIG_PATTERN">[3]ﾃﾞｰﾀﾍﾞｰｽ変更点!#REF!</definedName>
    <definedName name="F_CONFIG_PATTERN_DATA" localSheetId="6">[3]ﾃﾞｰﾀﾍﾞｰｽ変更点!#REF!</definedName>
    <definedName name="F_CONFIG_PATTERN_DATA" localSheetId="3">[3]ﾃﾞｰﾀﾍﾞｰｽ変更点!#REF!</definedName>
    <definedName name="F_CONFIG_PATTERN_DATA">[3]ﾃﾞｰﾀﾍﾞｰｽ変更点!#REF!</definedName>
    <definedName name="F_CONFIG_USER_FLAG" localSheetId="6">[5]テーブル設計!#REF!</definedName>
    <definedName name="F_CONFIG_USER_FLAG" localSheetId="3">[5]テーブル設計!#REF!</definedName>
    <definedName name="F_CONFIG_USER_FLAG">[5]テーブル設計!#REF!</definedName>
    <definedName name="F_CONTRACT" localSheetId="6">[5]テーブル設計!#REF!</definedName>
    <definedName name="F_CONTRACT" localSheetId="3">[5]テーブル設計!#REF!</definedName>
    <definedName name="F_CONTRACT">[5]テーブル設計!#REF!</definedName>
    <definedName name="F_CUSTOMER" localSheetId="6">[3]ﾃﾞｰﾀﾍﾞｰｽ変更点!#REF!</definedName>
    <definedName name="F_CUSTOMER" localSheetId="3">[3]ﾃﾞｰﾀﾍﾞｰｽ変更点!#REF!</definedName>
    <definedName name="F_CUSTOMER">[3]ﾃﾞｰﾀﾍﾞｰｽ変更点!#REF!</definedName>
    <definedName name="F_CUSTOMER_CAR" localSheetId="6">[3]ﾃﾞｰﾀﾍﾞｰｽ変更点!#REF!</definedName>
    <definedName name="F_CUSTOMER_CAR" localSheetId="3">[3]ﾃﾞｰﾀﾍﾞｰｽ変更点!#REF!</definedName>
    <definedName name="F_CUSTOMER_CAR">[3]ﾃﾞｰﾀﾍﾞｰｽ変更点!#REF!</definedName>
    <definedName name="F_CUSTOMER_MASTER" localSheetId="6">[4]TableDesign!#REF!</definedName>
    <definedName name="F_CUSTOMER_MASTER" localSheetId="3">[4]TableDesign!#REF!</definedName>
    <definedName name="F_CUSTOMER_MASTER">[4]TableDesign!#REF!</definedName>
    <definedName name="F_DIVISION_MASTER" localSheetId="6">[3]ﾃﾞｰﾀﾍﾞｰｽ変更点!#REF!</definedName>
    <definedName name="F_DIVISION_MASTER" localSheetId="3">[3]ﾃﾞｰﾀﾍﾞｰｽ変更点!#REF!</definedName>
    <definedName name="F_DIVISION_MASTER">[3]ﾃﾞｰﾀﾍﾞｰｽ変更点!#REF!</definedName>
    <definedName name="F_DOPA" localSheetId="6">[3]ﾃﾞｰﾀﾍﾞｰｽ変更点!#REF!</definedName>
    <definedName name="F_DOPA" localSheetId="3">[3]ﾃﾞｰﾀﾍﾞｰｽ変更点!#REF!</definedName>
    <definedName name="F_DOPA">[3]ﾃﾞｰﾀﾍﾞｰｽ変更点!#REF!</definedName>
    <definedName name="F_DOPA_OWNER_HISTORY" localSheetId="6">[3]ﾃﾞｰﾀﾍﾞｰｽ変更点!#REF!</definedName>
    <definedName name="F_DOPA_OWNER_HISTORY" localSheetId="3">[3]ﾃﾞｰﾀﾍﾞｰｽ変更点!#REF!</definedName>
    <definedName name="F_DOPA_OWNER_HISTORY">[3]ﾃﾞｰﾀﾍﾞｰｽ変更点!#REF!</definedName>
    <definedName name="F_DOPA_SERVER" localSheetId="6">[3]ﾃﾞｰﾀﾍﾞｰｽ変更点!#REF!</definedName>
    <definedName name="F_DOPA_SERVER" localSheetId="3">[3]ﾃﾞｰﾀﾍﾞｰｽ変更点!#REF!</definedName>
    <definedName name="F_DOPA_SERVER">[3]ﾃﾞｰﾀﾍﾞｰｽ変更点!#REF!</definedName>
    <definedName name="F_EQUIPMENT_HISTORY" localSheetId="6">[3]ﾃﾞｰﾀﾍﾞｰｽ変更点!#REF!</definedName>
    <definedName name="F_EQUIPMENT_HISTORY" localSheetId="3">[3]ﾃﾞｰﾀﾍﾞｰｽ変更点!#REF!</definedName>
    <definedName name="F_EQUIPMENT_HISTORY">[3]ﾃﾞｰﾀﾍﾞｰｽ変更点!#REF!</definedName>
    <definedName name="F_ERROR" localSheetId="6">[3]ﾃﾞｰﾀﾍﾞｰｽ変更点!#REF!</definedName>
    <definedName name="F_ERROR" localSheetId="3">[3]ﾃﾞｰﾀﾍﾞｰｽ変更点!#REF!</definedName>
    <definedName name="F_ERROR">[3]ﾃﾞｰﾀﾍﾞｰｽ変更点!#REF!</definedName>
    <definedName name="F_ERROR_ENABLED" localSheetId="6">[3]ﾃﾞｰﾀﾍﾞｰｽ変更点!#REF!</definedName>
    <definedName name="F_ERROR_ENABLED" localSheetId="3">[3]ﾃﾞｰﾀﾍﾞｰｽ変更点!#REF!</definedName>
    <definedName name="F_ERROR_ENABLED">[3]ﾃﾞｰﾀﾍﾞｰｽ変更点!#REF!</definedName>
    <definedName name="F_ERROR_MASTER" localSheetId="6">[3]ﾃﾞｰﾀﾍﾞｰｽ変更点!#REF!</definedName>
    <definedName name="F_ERROR_MASTER" localSheetId="3">[3]ﾃﾞｰﾀﾍﾞｰｽ変更点!#REF!</definedName>
    <definedName name="F_ERROR_MASTER">[3]ﾃﾞｰﾀﾍﾞｰｽ変更点!#REF!</definedName>
    <definedName name="F_EVENT_CATEGORY" localSheetId="6">[4]TableDesign!#REF!</definedName>
    <definedName name="F_EVENT_CATEGORY" localSheetId="3">[4]TableDesign!#REF!</definedName>
    <definedName name="F_EVENT_CATEGORY">[4]TableDesign!#REF!</definedName>
    <definedName name="F_EVENT_DIVISION" localSheetId="6">[3]ﾃﾞｰﾀﾍﾞｰｽ変更点!#REF!</definedName>
    <definedName name="F_EVENT_DIVISION" localSheetId="3">[3]ﾃﾞｰﾀﾍﾞｰｽ変更点!#REF!</definedName>
    <definedName name="F_EVENT_DIVISION">[3]ﾃﾞｰﾀﾍﾞｰｽ変更点!#REF!</definedName>
    <definedName name="F_EVENT_MASTER" localSheetId="6">[3]ﾃﾞｰﾀﾍﾞｰｽ変更点!#REF!</definedName>
    <definedName name="F_EVENT_MASTER" localSheetId="3">[3]ﾃﾞｰﾀﾍﾞｰｽ変更点!#REF!</definedName>
    <definedName name="F_EVENT_MASTER">[3]ﾃﾞｰﾀﾍﾞｰｽ変更点!#REF!</definedName>
    <definedName name="F_EVENT_NOTICE" localSheetId="6">[3]ﾃﾞｰﾀﾍﾞｰｽ変更点!#REF!</definedName>
    <definedName name="F_EVENT_NOTICE" localSheetId="3">[3]ﾃﾞｰﾀﾍﾞｰｽ変更点!#REF!</definedName>
    <definedName name="F_EVENT_NOTICE">[3]ﾃﾞｰﾀﾍﾞｰｽ変更点!#REF!</definedName>
    <definedName name="F_FILKD">[9]Dictionary!$D$18</definedName>
    <definedName name="F_FUEL_GAUGE" localSheetId="6">[4]TableDesign!#REF!</definedName>
    <definedName name="F_FUEL_GAUGE" localSheetId="3">[4]TableDesign!#REF!</definedName>
    <definedName name="F_FUEL_GAUGE">[4]TableDesign!#REF!</definedName>
    <definedName name="F_GAUGE_FUEL_WTTEMP" localSheetId="6">[3]ﾃﾞｰﾀﾍﾞｰｽ変更点!#REF!</definedName>
    <definedName name="F_GAUGE_FUEL_WTTEMP" localSheetId="3">[3]ﾃﾞｰﾀﾍﾞｰｽ変更点!#REF!</definedName>
    <definedName name="F_GAUGE_FUEL_WTTEMP">[3]ﾃﾞｰﾀﾍﾞｰｽ変更点!#REF!</definedName>
    <definedName name="F_GIS_DEFINE" localSheetId="6">[4]TableDesign!#REF!</definedName>
    <definedName name="F_GIS_DEFINE" localSheetId="3">[4]TableDesign!#REF!</definedName>
    <definedName name="F_GIS_DEFINE">[4]TableDesign!#REF!</definedName>
    <definedName name="F_GJAHR">[9]Dictionary!$D$21</definedName>
    <definedName name="F_GPS" localSheetId="6">[3]ﾃﾞｰﾀﾍﾞｰｽ変更点!#REF!</definedName>
    <definedName name="F_GPS" localSheetId="3">[3]ﾃﾞｰﾀﾍﾞｰｽ変更点!#REF!</definedName>
    <definedName name="F_GPS">[3]ﾃﾞｰﾀﾍﾞｰｽ変更点!#REF!</definedName>
    <definedName name="F_GRANT_AUTHORITY" localSheetId="6">[3]ﾃﾞｰﾀﾍﾞｰｽ変更点!#REF!</definedName>
    <definedName name="F_GRANT_AUTHORITY" localSheetId="3">[3]ﾃﾞｰﾀﾍﾞｰｽ変更点!#REF!</definedName>
    <definedName name="F_GRANT_AUTHORITY">[3]ﾃﾞｰﾀﾍﾞｰｽ変更点!#REF!</definedName>
    <definedName name="F_GROUP_MASTER" localSheetId="6">[3]ﾃﾞｰﾀﾍﾞｰｽ変更点!#REF!</definedName>
    <definedName name="F_GROUP_MASTER" localSheetId="3">[3]ﾃﾞｰﾀﾍﾞｰｽ変更点!#REF!</definedName>
    <definedName name="F_GROUP_MASTER">[3]ﾃﾞｰﾀﾍﾞｰｽ変更点!#REF!</definedName>
    <definedName name="F_IGNORE_CAUTION" localSheetId="6">[5]テーブル設計!#REF!</definedName>
    <definedName name="F_IGNORE_CAUTION" localSheetId="3">[5]テーブル設計!#REF!</definedName>
    <definedName name="F_IGNORE_CAUTION">[5]テーブル設計!#REF!</definedName>
    <definedName name="F_IGNORE_ERROR" localSheetId="6">[5]テーブル設計!#REF!</definedName>
    <definedName name="F_IGNORE_ERROR" localSheetId="3">[5]テーブル設計!#REF!</definedName>
    <definedName name="F_IGNORE_ERROR">[5]テーブル設計!#REF!</definedName>
    <definedName name="F_INFORM_MASTER" localSheetId="6">[3]ﾃﾞｰﾀﾍﾞｰｽ変更点!#REF!</definedName>
    <definedName name="F_INFORM_MASTER" localSheetId="3">[3]ﾃﾞｰﾀﾍﾞｰｽ変更点!#REF!</definedName>
    <definedName name="F_INFORM_MASTER">[3]ﾃﾞｰﾀﾍﾞｰｽ変更点!#REF!</definedName>
    <definedName name="F_INFORMATION" localSheetId="6">[3]ﾃﾞｰﾀﾍﾞｰｽ変更点!#REF!</definedName>
    <definedName name="F_INFORMATION" localSheetId="3">[3]ﾃﾞｰﾀﾍﾞｰｽ変更点!#REF!</definedName>
    <definedName name="F_INFORMATION">[3]ﾃﾞｰﾀﾍﾞｰｽ変更点!#REF!</definedName>
    <definedName name="F_INFORMATION_READED" localSheetId="6">[3]ﾃﾞｰﾀﾍﾞｰｽ変更点!#REF!</definedName>
    <definedName name="F_INFORMATION_READED" localSheetId="3">[3]ﾃﾞｰﾀﾍﾞｰｽ変更点!#REF!</definedName>
    <definedName name="F_INFORMATION_READED">[3]ﾃﾞｰﾀﾍﾞｰｽ変更点!#REF!</definedName>
    <definedName name="F_INVALID_PART_TERMINAL" localSheetId="6">[5]テーブル設計!#REF!</definedName>
    <definedName name="F_INVALID_PART_TERMINAL" localSheetId="3">[5]テーブル設計!#REF!</definedName>
    <definedName name="F_INVALID_PART_TERMINAL">[5]テーブル設計!#REF!</definedName>
    <definedName name="F_KIND_MASTER" localSheetId="6">[3]ﾃﾞｰﾀﾍﾞｰｽ変更点!#REF!</definedName>
    <definedName name="F_KIND_MASTER" localSheetId="3">[3]ﾃﾞｰﾀﾍﾞｰｽ変更点!#REF!</definedName>
    <definedName name="F_KIND_MASTER">[3]ﾃﾞｰﾀﾍﾞｰｽ変更点!#REF!</definedName>
    <definedName name="F_KRO_APPLICATION" localSheetId="6">[3]ﾃﾞｰﾀﾍﾞｰｽ変更点!#REF!</definedName>
    <definedName name="F_KRO_APPLICATION" localSheetId="3">[3]ﾃﾞｰﾀﾍﾞｰｽ変更点!#REF!</definedName>
    <definedName name="F_KRO_APPLICATION">[3]ﾃﾞｰﾀﾍﾞｰｽ変更点!#REF!</definedName>
    <definedName name="F_KRO_APPLICATION_DATA" localSheetId="6">[3]ﾃﾞｰﾀﾍﾞｰｽ変更点!#REF!</definedName>
    <definedName name="F_KRO_APPLICATION_DATA" localSheetId="3">[3]ﾃﾞｰﾀﾍﾞｰｽ変更点!#REF!</definedName>
    <definedName name="F_KRO_APPLICATION_DATA">[3]ﾃﾞｰﾀﾍﾞｰｽ変更点!#REF!</definedName>
    <definedName name="F_KRO_COMPLETION" localSheetId="6">[3]ﾃﾞｰﾀﾍﾞｰｽ変更点!#REF!</definedName>
    <definedName name="F_KRO_COMPLETION" localSheetId="3">[3]ﾃﾞｰﾀﾍﾞｰｽ変更点!#REF!</definedName>
    <definedName name="F_KRO_COMPLETION">[3]ﾃﾞｰﾀﾍﾞｰｽ変更点!#REF!</definedName>
    <definedName name="F_KRO_COMPLETION_DATA" localSheetId="6">[3]ﾃﾞｰﾀﾍﾞｰｽ変更点!#REF!</definedName>
    <definedName name="F_KRO_COMPLETION_DATA" localSheetId="3">[3]ﾃﾞｰﾀﾍﾞｰｽ変更点!#REF!</definedName>
    <definedName name="F_KRO_COMPLETION_DATA">[3]ﾃﾞｰﾀﾍﾞｰｽ変更点!#REF!</definedName>
    <definedName name="F_KRO_EMERGENCY" localSheetId="6">[5]テーブル設計!#REF!</definedName>
    <definedName name="F_KRO_EMERGENCY" localSheetId="3">[5]テーブル設計!#REF!</definedName>
    <definedName name="F_KRO_EMERGENCY">[5]テーブル設計!#REF!</definedName>
    <definedName name="F_KRO_REPORT" localSheetId="6">[3]ﾃﾞｰﾀﾍﾞｰｽ変更点!#REF!</definedName>
    <definedName name="F_KRO_REPORT" localSheetId="3">[3]ﾃﾞｰﾀﾍﾞｰｽ変更点!#REF!</definedName>
    <definedName name="F_KRO_REPORT">[3]ﾃﾞｰﾀﾍﾞｰｽ変更点!#REF!</definedName>
    <definedName name="F_KUNNR">[9]Dictionary!$D$24</definedName>
    <definedName name="F_LANDMARK" localSheetId="6">[3]ﾃﾞｰﾀﾍﾞｰｽ変更点!#REF!</definedName>
    <definedName name="F_LANDMARK" localSheetId="3">[3]ﾃﾞｰﾀﾍﾞｰｽ変更点!#REF!</definedName>
    <definedName name="F_LANDMARK">[3]ﾃﾞｰﾀﾍﾞｰｽ変更点!#REF!</definedName>
    <definedName name="F_LANDMARK_CLASS" localSheetId="6">[3]ﾃﾞｰﾀﾍﾞｰｽ変更点!#REF!</definedName>
    <definedName name="F_LANDMARK_CLASS" localSheetId="3">[3]ﾃﾞｰﾀﾍﾞｰｽ変更点!#REF!</definedName>
    <definedName name="F_LANDMARK_CLASS">[3]ﾃﾞｰﾀﾍﾞｰｽ変更点!#REF!</definedName>
    <definedName name="F_LOGON_HISTORY" localSheetId="6">[3]ﾃﾞｰﾀﾍﾞｰｽ変更点!#REF!</definedName>
    <definedName name="F_LOGON_HISTORY" localSheetId="3">[3]ﾃﾞｰﾀﾍﾞｰｽ変更点!#REF!</definedName>
    <definedName name="F_LOGON_HISTORY">[3]ﾃﾞｰﾀﾍﾞｰｽ変更点!#REF!</definedName>
    <definedName name="F_MACHINE_ERROR" localSheetId="6">[4]TableDesign!#REF!</definedName>
    <definedName name="F_MACHINE_ERROR" localSheetId="3">[4]TableDesign!#REF!</definedName>
    <definedName name="F_MACHINE_ERROR">[4]TableDesign!#REF!</definedName>
    <definedName name="F_MACHINE_STATUS_MASTER" localSheetId="6">[3]ﾃﾞｰﾀﾍﾞｰｽ変更点!#REF!</definedName>
    <definedName name="F_MACHINE_STATUS_MASTER" localSheetId="3">[3]ﾃﾞｰﾀﾍﾞｰｽ変更点!#REF!</definedName>
    <definedName name="F_MACHINE_STATUS_MASTER">[3]ﾃﾞｰﾀﾍﾞｰｽ変更点!#REF!</definedName>
    <definedName name="F_MAINTENANCE_DATA" localSheetId="6">[3]ﾃﾞｰﾀﾍﾞｰｽ変更点!#REF!</definedName>
    <definedName name="F_MAINTENANCE_DATA" localSheetId="3">[3]ﾃﾞｰﾀﾍﾞｰｽ変更点!#REF!</definedName>
    <definedName name="F_MAINTENANCE_DATA">[3]ﾃﾞｰﾀﾍﾞｰｽ変更点!#REF!</definedName>
    <definedName name="F_MAINTENANCE_INFORM" localSheetId="6">[3]ﾃﾞｰﾀﾍﾞｰｽ変更点!#REF!</definedName>
    <definedName name="F_MAINTENANCE_INFORM" localSheetId="3">[3]ﾃﾞｰﾀﾍﾞｰｽ変更点!#REF!</definedName>
    <definedName name="F_MAINTENANCE_INFORM">[3]ﾃﾞｰﾀﾍﾞｰｽ変更点!#REF!</definedName>
    <definedName name="F_MAINTENANCE_MASTER" localSheetId="6">[3]ﾃﾞｰﾀﾍﾞｰｽ変更点!#REF!</definedName>
    <definedName name="F_MAINTENANCE_MASTER" localSheetId="3">[3]ﾃﾞｰﾀﾍﾞｰｽ変更点!#REF!</definedName>
    <definedName name="F_MAINTENANCE_MASTER">[3]ﾃﾞｰﾀﾍﾞｰｽ変更点!#REF!</definedName>
    <definedName name="F_MAINTENANCE_TIME" localSheetId="6">[4]TableDesign!#REF!</definedName>
    <definedName name="F_MAINTENANCE_TIME" localSheetId="3">[4]TableDesign!#REF!</definedName>
    <definedName name="F_MAINTENANCE_TIME">[4]TableDesign!#REF!</definedName>
    <definedName name="F_MAKER_MASTER" localSheetId="6">[3]ﾃﾞｰﾀﾍﾞｰｽ変更点!#REF!</definedName>
    <definedName name="F_MAKER_MASTER" localSheetId="3">[3]ﾃﾞｰﾀﾍﾞｰｽ変更点!#REF!</definedName>
    <definedName name="F_MAKER_MASTER">[3]ﾃﾞｰﾀﾍﾞｰｽ変更点!#REF!</definedName>
    <definedName name="F_MARK_MACHINE" localSheetId="6">[4]TableDesign!#REF!</definedName>
    <definedName name="F_MARK_MACHINE" localSheetId="3">[4]TableDesign!#REF!</definedName>
    <definedName name="F_MARK_MACHINE">[4]TableDesign!#REF!</definedName>
    <definedName name="F_MARK_NOTIFICATION" localSheetId="6">[4]TableDesign!#REF!</definedName>
    <definedName name="F_MARK_NOTIFICATION" localSheetId="3">[4]TableDesign!#REF!</definedName>
    <definedName name="F_MARK_NOTIFICATION">[4]TableDesign!#REF!</definedName>
    <definedName name="F_MARK_NOTIFICATION_DETAIL" localSheetId="6">[4]TableDesign!#REF!</definedName>
    <definedName name="F_MARK_NOTIFICATION_DETAIL" localSheetId="3">[4]TableDesign!#REF!</definedName>
    <definedName name="F_MARK_NOTIFICATION_DETAIL">[4]TableDesign!#REF!</definedName>
    <definedName name="F_MEMO" localSheetId="6">[3]ﾃﾞｰﾀﾍﾞｰｽ変更点!#REF!</definedName>
    <definedName name="F_MEMO" localSheetId="3">[3]ﾃﾞｰﾀﾍﾞｰｽ変更点!#REF!</definedName>
    <definedName name="F_MEMO">[3]ﾃﾞｰﾀﾍﾞｰｽ変更点!#REF!</definedName>
    <definedName name="F_MEMORY_MODIFY" localSheetId="6">[3]ﾃﾞｰﾀﾍﾞｰｽ変更点!#REF!</definedName>
    <definedName name="F_MEMORY_MODIFY" localSheetId="3">[3]ﾃﾞｰﾀﾍﾞｰｽ変更点!#REF!</definedName>
    <definedName name="F_MEMORY_MODIFY">[3]ﾃﾞｰﾀﾍﾞｰｽ変更点!#REF!</definedName>
    <definedName name="F_MEMORY_MODIFY_DATA" localSheetId="6">[3]ﾃﾞｰﾀﾍﾞｰｽ変更点!#REF!</definedName>
    <definedName name="F_MEMORY_MODIFY_DATA" localSheetId="3">[3]ﾃﾞｰﾀﾍﾞｰｽ変更点!#REF!</definedName>
    <definedName name="F_MEMORY_MODIFY_DATA">[3]ﾃﾞｰﾀﾍﾞｰｽ変更点!#REF!</definedName>
    <definedName name="F_MESSAGE" localSheetId="6">[3]ﾃﾞｰﾀﾍﾞｰｽ変更点!#REF!</definedName>
    <definedName name="F_MESSAGE" localSheetId="3">[3]ﾃﾞｰﾀﾍﾞｰｽ変更点!#REF!</definedName>
    <definedName name="F_MESSAGE">[3]ﾃﾞｰﾀﾍﾞｰｽ変更点!#REF!</definedName>
    <definedName name="F_MESSAGE_MASTER" localSheetId="6">[3]ﾃﾞｰﾀﾍﾞｰｽ変更点!#REF!</definedName>
    <definedName name="F_MESSAGE_MASTER" localSheetId="3">[3]ﾃﾞｰﾀﾍﾞｰｽ変更点!#REF!</definedName>
    <definedName name="F_MESSAGE_MASTER">[3]ﾃﾞｰﾀﾍﾞｰｽ変更点!#REF!</definedName>
    <definedName name="F_MONTHLY_ATT_SMR" localSheetId="6">[4]TableDesign!#REF!</definedName>
    <definedName name="F_MONTHLY_ATT_SMR" localSheetId="3">[4]TableDesign!#REF!</definedName>
    <definedName name="F_MONTHLY_ATT_SMR">[4]TableDesign!#REF!</definedName>
    <definedName name="F_MONTHLY_ERROR" localSheetId="6">[4]TableDesign!#REF!</definedName>
    <definedName name="F_MONTHLY_ERROR" localSheetId="3">[4]TableDesign!#REF!</definedName>
    <definedName name="F_MONTHLY_ERROR">[4]TableDesign!#REF!</definedName>
    <definedName name="F_MONTHLY_LOAD" localSheetId="6">[4]TableDesign!#REF!</definedName>
    <definedName name="F_MONTHLY_LOAD" localSheetId="3">[4]TableDesign!#REF!</definedName>
    <definedName name="F_MONTHLY_LOAD">[4]TableDesign!#REF!</definedName>
    <definedName name="F_MONTHLY_MOVEMENT" localSheetId="6">[4]TableDesign!#REF!</definedName>
    <definedName name="F_MONTHLY_MOVEMENT" localSheetId="3">[4]TableDesign!#REF!</definedName>
    <definedName name="F_MONTHLY_MOVEMENT">[4]TableDesign!#REF!</definedName>
    <definedName name="F_MONTHLY_OPERATION" localSheetId="6">[4]TableDesign!#REF!</definedName>
    <definedName name="F_MONTHLY_OPERATION" localSheetId="3">[4]TableDesign!#REF!</definedName>
    <definedName name="F_MONTHLY_OPERATION">[4]TableDesign!#REF!</definedName>
    <definedName name="F_MONTHLY_SMR" localSheetId="6">[4]TableDesign!#REF!</definedName>
    <definedName name="F_MONTHLY_SMR" localSheetId="3">[4]TableDesign!#REF!</definedName>
    <definedName name="F_MONTHLY_SMR">[4]TableDesign!#REF!</definedName>
    <definedName name="F_MONTHLY_WORKING_SMR" localSheetId="6">[4]TableDesign!#REF!</definedName>
    <definedName name="F_MONTHLY_WORKING_SMR" localSheetId="3">[4]TableDesign!#REF!</definedName>
    <definedName name="F_MONTHLY_WORKING_SMR">[4]TableDesign!#REF!</definedName>
    <definedName name="F_MONTLY_LOAD" localSheetId="6">[4]TableDesign!#REF!</definedName>
    <definedName name="F_MONTLY_LOAD" localSheetId="3">[4]TableDesign!#REF!</definedName>
    <definedName name="F_MONTLY_LOAD">[4]TableDesign!#REF!</definedName>
    <definedName name="F_MULTI_OPE" localSheetId="6">[3]ﾃﾞｰﾀﾍﾞｰｽ変更点!#REF!</definedName>
    <definedName name="F_MULTI_OPE" localSheetId="3">[3]ﾃﾞｰﾀﾍﾞｰｽ変更点!#REF!</definedName>
    <definedName name="F_MULTI_OPE">[3]ﾃﾞｰﾀﾍﾞｰｽ変更点!#REF!</definedName>
    <definedName name="F_MULTI_OPE_DATA" localSheetId="6">[5]テーブル設計!#REF!</definedName>
    <definedName name="F_MULTI_OPE_DATA" localSheetId="3">[5]テーブル設計!#REF!</definedName>
    <definedName name="F_MULTI_OPE_DATA">[5]テーブル設計!#REF!</definedName>
    <definedName name="F_NLS_DB_RESOURCE" localSheetId="6">[4]TableDesign!#REF!</definedName>
    <definedName name="F_NLS_DB_RESOURCE" localSheetId="3">[4]TableDesign!#REF!</definedName>
    <definedName name="F_NLS_DB_RESOURCE">[4]TableDesign!#REF!</definedName>
    <definedName name="F_NLS_LANG" localSheetId="6">[4]TableDesign!#REF!</definedName>
    <definedName name="F_NLS_LANG" localSheetId="3">[4]TableDesign!#REF!</definedName>
    <definedName name="F_NLS_LANG">[4]TableDesign!#REF!</definedName>
    <definedName name="F_NLS_RESOURCE" localSheetId="6">[4]TableDesign!#REF!</definedName>
    <definedName name="F_NLS_RESOURCE" localSheetId="3">[4]TableDesign!#REF!</definedName>
    <definedName name="F_NLS_RESOURCE">[4]TableDesign!#REF!</definedName>
    <definedName name="F_NOT_ACTIVE" localSheetId="6">[3]ﾃﾞｰﾀﾍﾞｰｽ変更点!#REF!</definedName>
    <definedName name="F_NOT_ACTIVE" localSheetId="3">[3]ﾃﾞｰﾀﾍﾞｰｽ変更点!#REF!</definedName>
    <definedName name="F_NOT_ACTIVE">[3]ﾃﾞｰﾀﾍﾞｰｽ変更点!#REF!</definedName>
    <definedName name="F_OPERATION_CATEGORY" localSheetId="6">[4]TableDesign!#REF!</definedName>
    <definedName name="F_OPERATION_CATEGORY" localSheetId="3">[4]TableDesign!#REF!</definedName>
    <definedName name="F_OPERATION_CATEGORY">[4]TableDesign!#REF!</definedName>
    <definedName name="F_OPERATION_CLASS" localSheetId="6">[5]テーブル設計!#REF!</definedName>
    <definedName name="F_OPERATION_CLASS" localSheetId="3">[5]テーブル設計!#REF!</definedName>
    <definedName name="F_OPERATION_CLASS">[5]テーブル設計!#REF!</definedName>
    <definedName name="F_OPERATION_LOG" localSheetId="6">[3]ﾃﾞｰﾀﾍﾞｰｽ変更点!#REF!</definedName>
    <definedName name="F_OPERATION_LOG" localSheetId="3">[3]ﾃﾞｰﾀﾍﾞｰｽ変更点!#REF!</definedName>
    <definedName name="F_OPERATION_LOG">[3]ﾃﾞｰﾀﾍﾞｰｽ変更点!#REF!</definedName>
    <definedName name="F_OPERATION_LOG2" localSheetId="6">[5]テーブル設計!#REF!</definedName>
    <definedName name="F_OPERATION_LOG2" localSheetId="3">[5]テーブル設計!#REF!</definedName>
    <definedName name="F_OPERATION_LOG2">[5]テーブル設計!#REF!</definedName>
    <definedName name="F_OPERATION_MAP" localSheetId="6">[4]TableDesign!#REF!</definedName>
    <definedName name="F_OPERATION_MAP" localSheetId="3">[4]TableDesign!#REF!</definedName>
    <definedName name="F_OPERATION_MAP">[4]TableDesign!#REF!</definedName>
    <definedName name="F_OPERATION_MASTER" localSheetId="6">[5]テーブル設計!#REF!</definedName>
    <definedName name="F_OPERATION_MASTER" localSheetId="3">[5]テーブル設計!#REF!</definedName>
    <definedName name="F_OPERATION_MASTER">[5]テーブル設計!#REF!</definedName>
    <definedName name="F_ORBCOMM" localSheetId="6">[3]ﾃﾞｰﾀﾍﾞｰｽ変更点!#REF!</definedName>
    <definedName name="F_ORBCOMM" localSheetId="3">[3]ﾃﾞｰﾀﾍﾞｰｽ変更点!#REF!</definedName>
    <definedName name="F_ORBCOMM">[3]ﾃﾞｰﾀﾍﾞｰｽ変更点!#REF!</definedName>
    <definedName name="F_ORBCOMM_OWNER_HISTORY" localSheetId="6">[3]ﾃﾞｰﾀﾍﾞｰｽ変更点!#REF!</definedName>
    <definedName name="F_ORBCOMM_OWNER_HISTORY" localSheetId="3">[3]ﾃﾞｰﾀﾍﾞｰｽ変更点!#REF!</definedName>
    <definedName name="F_ORBCOMM_OWNER_HISTORY">[3]ﾃﾞｰﾀﾍﾞｰｽ変更点!#REF!</definedName>
    <definedName name="F_PLANT_CAR" localSheetId="6">[5]テーブル設計!#REF!</definedName>
    <definedName name="F_PLANT_CAR" localSheetId="3">[5]テーブル設計!#REF!</definedName>
    <definedName name="F_PLANT_CAR">[5]テーブル設計!#REF!</definedName>
    <definedName name="F_PLANT_ERROR" localSheetId="6">[5]テーブル設計!#REF!</definedName>
    <definedName name="F_PLANT_ERROR" localSheetId="3">[5]テーブル設計!#REF!</definedName>
    <definedName name="F_PLANT_ERROR">[5]テーブル設計!#REF!</definedName>
    <definedName name="F_PLANT_GPS" localSheetId="6">[5]テーブル設計!#REF!</definedName>
    <definedName name="F_PLANT_GPS" localSheetId="3">[5]テーブル設計!#REF!</definedName>
    <definedName name="F_PLANT_GPS">[5]テーブル設計!#REF!</definedName>
    <definedName name="F_PREVENT_THEFT_KEY" localSheetId="6">[3]ﾃﾞｰﾀﾍﾞｰｽ変更点!#REF!</definedName>
    <definedName name="F_PREVENT_THEFT_KEY" localSheetId="3">[3]ﾃﾞｰﾀﾍﾞｰｽ変更点!#REF!</definedName>
    <definedName name="F_PREVENT_THEFT_KEY">[3]ﾃﾞｰﾀﾍﾞｰｽ変更点!#REF!</definedName>
    <definedName name="F_PRIVATE_TARGET_CAR" localSheetId="6">[3]ﾃﾞｰﾀﾍﾞｰｽ変更点!#REF!</definedName>
    <definedName name="F_PRIVATE_TARGET_CAR" localSheetId="3">[3]ﾃﾞｰﾀﾍﾞｰｽ変更点!#REF!</definedName>
    <definedName name="F_PRIVATE_TARGET_CAR">[3]ﾃﾞｰﾀﾍﾞｰｽ変更点!#REF!</definedName>
    <definedName name="F_RECEIVE_LIST" localSheetId="6">[5]テーブル設計!#REF!</definedName>
    <definedName name="F_RECEIVE_LIST" localSheetId="3">[5]テーブル設計!#REF!</definedName>
    <definedName name="F_RECEIVE_LIST">[5]テーブル設計!#REF!</definedName>
    <definedName name="F_RECEIVE_LOG" localSheetId="6">[3]ﾃﾞｰﾀﾍﾞｰｽ変更点!#REF!</definedName>
    <definedName name="F_RECEIVE_LOG" localSheetId="3">[3]ﾃﾞｰﾀﾍﾞｰｽ変更点!#REF!</definedName>
    <definedName name="F_RECEIVE_LOG">[3]ﾃﾞｰﾀﾍﾞｰｽ変更点!#REF!</definedName>
    <definedName name="F_REGION_DATA" localSheetId="6">[4]TableDesign!#REF!</definedName>
    <definedName name="F_REGION_DATA" localSheetId="3">[4]TableDesign!#REF!</definedName>
    <definedName name="F_REGION_DATA">[4]TableDesign!#REF!</definedName>
    <definedName name="F_REGION_MASTER" localSheetId="6">[4]TableDesign!#REF!</definedName>
    <definedName name="F_REGION_MASTER" localSheetId="3">[4]TableDesign!#REF!</definedName>
    <definedName name="F_REGION_MASTER">[4]TableDesign!#REF!</definedName>
    <definedName name="F_RENTAL_TERMINAL" localSheetId="6">[5]テーブル設計!#REF!</definedName>
    <definedName name="F_RENTAL_TERMINAL" localSheetId="3">[5]テーブル設計!#REF!</definedName>
    <definedName name="F_RENTAL_TERMINAL">[5]テーブル設計!#REF!</definedName>
    <definedName name="F_REQUEST" localSheetId="6">[3]ﾃﾞｰﾀﾍﾞｰｽ変更点!#REF!</definedName>
    <definedName name="F_REQUEST" localSheetId="3">[3]ﾃﾞｰﾀﾍﾞｰｽ変更点!#REF!</definedName>
    <definedName name="F_REQUEST">[3]ﾃﾞｰﾀﾍﾞｰｽ変更点!#REF!</definedName>
    <definedName name="F_REQUEST_COUNT" localSheetId="6">[3]ﾃﾞｰﾀﾍﾞｰｽ変更点!#REF!</definedName>
    <definedName name="F_REQUEST_COUNT" localSheetId="3">[3]ﾃﾞｰﾀﾍﾞｰｽ変更点!#REF!</definedName>
    <definedName name="F_REQUEST_COUNT">[3]ﾃﾞｰﾀﾍﾞｰｽ変更点!#REF!</definedName>
    <definedName name="F_REQUEST_LOG" localSheetId="6">[3]ﾃﾞｰﾀﾍﾞｰｽ変更点!#REF!</definedName>
    <definedName name="F_REQUEST_LOG" localSheetId="3">[3]ﾃﾞｰﾀﾍﾞｰｽ変更点!#REF!</definedName>
    <definedName name="F_REQUEST_LOG">[3]ﾃﾞｰﾀﾍﾞｰｽ変更点!#REF!</definedName>
    <definedName name="F_RIVATE_TARGET_CAR" localSheetId="6">[4]TableDesign!#REF!</definedName>
    <definedName name="F_RIVATE_TARGET_CAR" localSheetId="3">[4]TableDesign!#REF!</definedName>
    <definedName name="F_RIVATE_TARGET_CAR">[4]TableDesign!#REF!</definedName>
    <definedName name="F_RUNNING_LOG" localSheetId="6">[3]ﾃﾞｰﾀﾍﾞｰｽ変更点!#REF!</definedName>
    <definedName name="F_RUNNING_LOG" localSheetId="3">[3]ﾃﾞｰﾀﾍﾞｰｽ変更点!#REF!</definedName>
    <definedName name="F_RUNNING_LOG">[3]ﾃﾞｰﾀﾍﾞｰｽ変更点!#REF!</definedName>
    <definedName name="F_SAVE_INFORMATION" localSheetId="6">[5]テーブル設計!#REF!</definedName>
    <definedName name="F_SAVE_INFORMATION" localSheetId="3">[5]テーブル設計!#REF!</definedName>
    <definedName name="F_SAVE_INFORMATION">[5]テーブル設計!#REF!</definedName>
    <definedName name="F_SELFCARINSPECTION" localSheetId="6">[3]ﾃﾞｰﾀﾍﾞｰｽ変更点!#REF!</definedName>
    <definedName name="F_SELFCARINSPECTION" localSheetId="3">[3]ﾃﾞｰﾀﾍﾞｰｽ変更点!#REF!</definedName>
    <definedName name="F_SELFCARINSPECTION">[3]ﾃﾞｰﾀﾍﾞｰｽ変更点!#REF!</definedName>
    <definedName name="F_SEND_LIST" localSheetId="6">[5]テーブル設計!#REF!</definedName>
    <definedName name="F_SEND_LIST" localSheetId="3">[5]テーブル設計!#REF!</definedName>
    <definedName name="F_SEND_LIST">[5]テーブル設計!#REF!</definedName>
    <definedName name="F_SEND_LOG" localSheetId="6">[5]テーブル設計!#REF!</definedName>
    <definedName name="F_SEND_LOG" localSheetId="3">[5]テーブル設計!#REF!</definedName>
    <definedName name="F_SEND_LOG">[5]テーブル設計!#REF!</definedName>
    <definedName name="F_SERVER_COMMUNICATION" localSheetId="6">[4]TableDesign!#REF!</definedName>
    <definedName name="F_SERVER_COMMUNICATION" localSheetId="3">[4]TableDesign!#REF!</definedName>
    <definedName name="F_SERVER_COMMUNICATION">[4]TableDesign!#REF!</definedName>
    <definedName name="F_SERVER_INFORMATION" localSheetId="6">[3]ﾃﾞｰﾀﾍﾞｰｽ変更点!#REF!</definedName>
    <definedName name="F_SERVER_INFORMATION" localSheetId="3">[3]ﾃﾞｰﾀﾍﾞｰｽ変更点!#REF!</definedName>
    <definedName name="F_SERVER_INFORMATION">[3]ﾃﾞｰﾀﾍﾞｰｽ変更点!#REF!</definedName>
    <definedName name="F_SERVICE_METER" localSheetId="6">[3]ﾃﾞｰﾀﾍﾞｰｽ変更点!#REF!</definedName>
    <definedName name="F_SERVICE_METER" localSheetId="3">[3]ﾃﾞｰﾀﾍﾞｰｽ変更点!#REF!</definedName>
    <definedName name="F_SERVICE_METER">[3]ﾃﾞｰﾀﾍﾞｰｽ変更点!#REF!</definedName>
    <definedName name="F_SERVICE_METER2" localSheetId="6">[5]テーブル設計!#REF!</definedName>
    <definedName name="F_SERVICE_METER2" localSheetId="3">[5]テーブル設計!#REF!</definedName>
    <definedName name="F_SERVICE_METER2">[5]テーブル設計!#REF!</definedName>
    <definedName name="F_SERVICEMAN" localSheetId="6">[5]テーブル設計!#REF!</definedName>
    <definedName name="F_SERVICEMAN" localSheetId="3">[5]テーブル設計!#REF!</definedName>
    <definedName name="F_SERVICEMAN">[5]テーブル設計!#REF!</definedName>
    <definedName name="F_SERVICEMAN_CHARGE" localSheetId="6">[5]テーブル設計!#REF!</definedName>
    <definedName name="F_SERVICEMAN_CHARGE" localSheetId="3">[5]テーブル設計!#REF!</definedName>
    <definedName name="F_SERVICEMAN_CHARGE">[5]テーブル設計!#REF!</definedName>
    <definedName name="F_SGTXT">[9]Dictionary!$D$31</definedName>
    <definedName name="F_SHIPMENT" localSheetId="6">[3]ﾃﾞｰﾀﾍﾞｰｽ変更点!#REF!</definedName>
    <definedName name="F_SHIPMENT" localSheetId="3">[3]ﾃﾞｰﾀﾍﾞｰｽ変更点!#REF!</definedName>
    <definedName name="F_SHIPMENT">[3]ﾃﾞｰﾀﾍﾞｰｽ変更点!#REF!</definedName>
    <definedName name="F_SHOW" localSheetId="6">[3]ﾃﾞｰﾀﾍﾞｰｽ変更点!#REF!</definedName>
    <definedName name="F_SHOW" localSheetId="3">[3]ﾃﾞｰﾀﾍﾞｰｽ変更点!#REF!</definedName>
    <definedName name="F_SHOW">[3]ﾃﾞｰﾀﾍﾞｰｽ変更点!#REF!</definedName>
    <definedName name="F_SHOW_GROUP" localSheetId="6">[3]ﾃﾞｰﾀﾍﾞｰｽ変更点!#REF!</definedName>
    <definedName name="F_SHOW_GROUP" localSheetId="3">[3]ﾃﾞｰﾀﾍﾞｰｽ変更点!#REF!</definedName>
    <definedName name="F_SHOW_GROUP">[3]ﾃﾞｰﾀﾍﾞｰｽ変更点!#REF!</definedName>
    <definedName name="F_SPECIAL_AREA" localSheetId="6">[3]ﾃﾞｰﾀﾍﾞｰｽ変更点!#REF!</definedName>
    <definedName name="F_SPECIAL_AREA" localSheetId="3">[3]ﾃﾞｰﾀﾍﾞｰｽ変更点!#REF!</definedName>
    <definedName name="F_SPECIAL_AREA">[3]ﾃﾞｰﾀﾍﾞｰｽ変更点!#REF!</definedName>
    <definedName name="F_SUB_GROUP" localSheetId="6">[4]TableDesign!#REF!</definedName>
    <definedName name="F_SUB_GROUP" localSheetId="3">[4]TableDesign!#REF!</definedName>
    <definedName name="F_SUB_GROUP">[4]TableDesign!#REF!</definedName>
    <definedName name="F_SUB_GROUP_CAR" localSheetId="6">[4]TableDesign!#REF!</definedName>
    <definedName name="F_SUB_GROUP_CAR" localSheetId="3">[4]TableDesign!#REF!</definedName>
    <definedName name="F_SUB_GROUP_CAR">[4]TableDesign!#REF!</definedName>
    <definedName name="F_SYSTEM_COMMTERM_INFO" localSheetId="6">[3]ﾃﾞｰﾀﾍﾞｰｽ変更点!#REF!</definedName>
    <definedName name="F_SYSTEM_COMMTERM_INFO" localSheetId="3">[3]ﾃﾞｰﾀﾍﾞｰｽ変更点!#REF!</definedName>
    <definedName name="F_SYSTEM_COMMTERM_INFO">[3]ﾃﾞｰﾀﾍﾞｰｽ変更点!#REF!</definedName>
    <definedName name="F_SYSTEM_LOG" localSheetId="6">[3]ﾃﾞｰﾀﾍﾞｰｽ変更点!#REF!</definedName>
    <definedName name="F_SYSTEM_LOG" localSheetId="3">[3]ﾃﾞｰﾀﾍﾞｰｽ変更点!#REF!</definedName>
    <definedName name="F_SYSTEM_LOG">[3]ﾃﾞｰﾀﾍﾞｰｽ変更点!#REF!</definedName>
    <definedName name="F_SYSTEM_NOTICE" localSheetId="6">[3]ﾃﾞｰﾀﾍﾞｰｽ変更点!#REF!</definedName>
    <definedName name="F_SYSTEM_NOTICE" localSheetId="3">[3]ﾃﾞｰﾀﾍﾞｰｽ変更点!#REF!</definedName>
    <definedName name="F_SYSTEM_NOTICE">[3]ﾃﾞｰﾀﾍﾞｰｽ変更点!#REF!</definedName>
    <definedName name="F_TARGET" localSheetId="6">[3]ﾃﾞｰﾀﾍﾞｰｽ変更点!#REF!</definedName>
    <definedName name="F_TARGET" localSheetId="3">[3]ﾃﾞｰﾀﾍﾞｰｽ変更点!#REF!</definedName>
    <definedName name="F_TARGET">[3]ﾃﾞｰﾀﾍﾞｰｽ変更点!#REF!</definedName>
    <definedName name="F_TARGET_CAR" localSheetId="6">[3]ﾃﾞｰﾀﾍﾞｰｽ変更点!#REF!</definedName>
    <definedName name="F_TARGET_CAR" localSheetId="3">[3]ﾃﾞｰﾀﾍﾞｰｽ変更点!#REF!</definedName>
    <definedName name="F_TARGET_CAR">[3]ﾃﾞｰﾀﾍﾞｰｽ変更点!#REF!</definedName>
    <definedName name="F_TERMINAL_AREA" localSheetId="6">[3]ﾃﾞｰﾀﾍﾞｰｽ変更点!#REF!</definedName>
    <definedName name="F_TERMINAL_AREA" localSheetId="3">[3]ﾃﾞｰﾀﾍﾞｰｽ変更点!#REF!</definedName>
    <definedName name="F_TERMINAL_AREA">[3]ﾃﾞｰﾀﾍﾞｰｽ変更点!#REF!</definedName>
    <definedName name="F_TERMINAL_CAUTION" localSheetId="6">[3]ﾃﾞｰﾀﾍﾞｰｽ変更点!#REF!</definedName>
    <definedName name="F_TERMINAL_CAUTION" localSheetId="3">[3]ﾃﾞｰﾀﾍﾞｰｽ変更点!#REF!</definedName>
    <definedName name="F_TERMINAL_CAUTION">[3]ﾃﾞｰﾀﾍﾞｰｽ変更点!#REF!</definedName>
    <definedName name="F_TERMINAL_ERROR" localSheetId="6">[3]ﾃﾞｰﾀﾍﾞｰｽ変更点!#REF!</definedName>
    <definedName name="F_TERMINAL_ERROR" localSheetId="3">[3]ﾃﾞｰﾀﾍﾞｰｽ変更点!#REF!</definedName>
    <definedName name="F_TERMINAL_ERROR">[3]ﾃﾞｰﾀﾍﾞｰｽ変更点!#REF!</definedName>
    <definedName name="F_TERMINAL_KIND" localSheetId="6">[3]ﾃﾞｰﾀﾍﾞｰｽ変更点!#REF!</definedName>
    <definedName name="F_TERMINAL_KIND" localSheetId="3">[3]ﾃﾞｰﾀﾍﾞｰｽ変更点!#REF!</definedName>
    <definedName name="F_TERMINAL_KIND">[3]ﾃﾞｰﾀﾍﾞｰｽ変更点!#REF!</definedName>
    <definedName name="F_TERMINAL_MASTER" localSheetId="6">[3]ﾃﾞｰﾀﾍﾞｰｽ変更点!#REF!</definedName>
    <definedName name="F_TERMINAL_MASTER" localSheetId="3">[3]ﾃﾞｰﾀﾍﾞｰｽ変更点!#REF!</definedName>
    <definedName name="F_TERMINAL_MASTER">[3]ﾃﾞｰﾀﾍﾞｰｽ変更点!#REF!</definedName>
    <definedName name="F_TERMINAL_PART_MASTER" localSheetId="6">[3]ﾃﾞｰﾀﾍﾞｰｽ変更点!#REF!</definedName>
    <definedName name="F_TERMINAL_PART_MASTER" localSheetId="3">[3]ﾃﾞｰﾀﾍﾞｰｽ変更点!#REF!</definedName>
    <definedName name="F_TERMINAL_PART_MASTER">[3]ﾃﾞｰﾀﾍﾞｰｽ変更点!#REF!</definedName>
    <definedName name="F_TYPE_MASTER" localSheetId="6">[3]ﾃﾞｰﾀﾍﾞｰｽ変更点!#REF!</definedName>
    <definedName name="F_TYPE_MASTER" localSheetId="3">[3]ﾃﾞｰﾀﾍﾞｰｽ変更点!#REF!</definedName>
    <definedName name="F_TYPE_MASTER">[3]ﾃﾞｰﾀﾍﾞｰｽ変更点!#REF!</definedName>
    <definedName name="F_UFO" localSheetId="6">[3]ﾃﾞｰﾀﾍﾞｰｽ変更点!#REF!</definedName>
    <definedName name="F_UFO" localSheetId="3">[3]ﾃﾞｰﾀﾍﾞｰｽ変更点!#REF!</definedName>
    <definedName name="F_UFO">[3]ﾃﾞｰﾀﾍﾞｰｽ変更点!#REF!</definedName>
    <definedName name="F_UNRELIABLE_RECEIVE" localSheetId="6">[3]ﾃﾞｰﾀﾍﾞｰｽ変更点!#REF!</definedName>
    <definedName name="F_UNRELIABLE_RECEIVE" localSheetId="3">[3]ﾃﾞｰﾀﾍﾞｰｽ変更点!#REF!</definedName>
    <definedName name="F_UNRELIABLE_RECEIVE">[3]ﾃﾞｰﾀﾍﾞｰｽ変更点!#REF!</definedName>
    <definedName name="F_USER_MASTER" localSheetId="6">[3]ﾃﾞｰﾀﾍﾞｰｽ変更点!#REF!</definedName>
    <definedName name="F_USER_MASTER" localSheetId="3">[3]ﾃﾞｰﾀﾍﾞｰｽ変更点!#REF!</definedName>
    <definedName name="F_USER_MASTER">[3]ﾃﾞｰﾀﾍﾞｰｽ変更点!#REF!</definedName>
    <definedName name="F_USER_TEMP" localSheetId="6">[3]ﾃﾞｰﾀﾍﾞｰｽ変更点!#REF!</definedName>
    <definedName name="F_USER_TEMP" localSheetId="3">[3]ﾃﾞｰﾀﾍﾞｰｽ変更点!#REF!</definedName>
    <definedName name="F_USER_TEMP">[3]ﾃﾞｰﾀﾍﾞｰｽ変更点!#REF!</definedName>
    <definedName name="F_WATER_TEMP_GAUGE" localSheetId="6">[4]TableDesign!#REF!</definedName>
    <definedName name="F_WATER_TEMP_GAUGE" localSheetId="3">[4]TableDesign!#REF!</definedName>
    <definedName name="F_WATER_TEMP_GAUGE">[4]TableDesign!#REF!</definedName>
    <definedName name="F_XREF1">[9]Dictionary!$D$32</definedName>
    <definedName name="F_XREF3">[9]Dictionary!$D$30</definedName>
    <definedName name="F_ZFBDT">[9]Dictionary!$D$19</definedName>
    <definedName name="FF" localSheetId="6">'[6]DATA-COMMUNICATION-FORMAT'!#REF!</definedName>
    <definedName name="FF" localSheetId="3">'[6]DATA-COMMUNICATION-FORMAT'!#REF!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6">#REF!</definedName>
    <definedName name="Freepage" localSheetId="3">#REF!</definedName>
    <definedName name="Freepage">#REF!</definedName>
    <definedName name="Freepage2" localSheetId="6">#REF!</definedName>
    <definedName name="Freepage2" localSheetId="3">#REF!</definedName>
    <definedName name="Freepage2">#REF!</definedName>
    <definedName name="Freepage3" localSheetId="6">#REF!</definedName>
    <definedName name="Freepage3" localSheetId="3">#REF!</definedName>
    <definedName name="Freepage3">#REF!</definedName>
    <definedName name="Freespace" localSheetId="6">#REF!</definedName>
    <definedName name="Freespace" localSheetId="3">#REF!</definedName>
    <definedName name="Freespace">#REF!</definedName>
    <definedName name="Freespace2" localSheetId="6">#REF!</definedName>
    <definedName name="Freespace2" localSheetId="3">#REF!</definedName>
    <definedName name="Freespace2">#REF!</definedName>
    <definedName name="Freespace3" localSheetId="6">#REF!</definedName>
    <definedName name="Freespace3" localSheetId="3">#REF!</definedName>
    <definedName name="Freespace3">#REF!</definedName>
    <definedName name="G_ACT_DATA" localSheetId="6">[3]ﾃﾞｰﾀﾍﾞｰｽ変更点!#REF!</definedName>
    <definedName name="G_ACT_DATA" localSheetId="3">[3]ﾃﾞｰﾀﾍﾞｰｽ変更点!#REF!</definedName>
    <definedName name="G_ACT_DATA">[3]ﾃﾞｰﾀﾍﾞｰｽ変更点!#REF!</definedName>
    <definedName name="G_ACTUAL_OPERATION" localSheetId="6">[4]TableDesign!#REF!</definedName>
    <definedName name="G_ACTUAL_OPERATION" localSheetId="3">[4]TableDesign!#REF!</definedName>
    <definedName name="G_ACTUAL_OPERATION">[4]TableDesign!#REF!</definedName>
    <definedName name="G_AREA" localSheetId="6">[3]ﾃﾞｰﾀﾍﾞｰｽ変更点!#REF!</definedName>
    <definedName name="G_AREA" localSheetId="3">[3]ﾃﾞｰﾀﾍﾞｰｽ変更点!#REF!</definedName>
    <definedName name="G_AREA">[3]ﾃﾞｰﾀﾍﾞｰｽ変更点!#REF!</definedName>
    <definedName name="G_AREA_DEFINE" localSheetId="6">[3]ﾃﾞｰﾀﾍﾞｰｽ変更点!#REF!</definedName>
    <definedName name="G_AREA_DEFINE" localSheetId="3">[3]ﾃﾞｰﾀﾍﾞｰｽ変更点!#REF!</definedName>
    <definedName name="G_AREA_DEFINE">[3]ﾃﾞｰﾀﾍﾞｰｽ変更点!#REF!</definedName>
    <definedName name="G_AREA_INIT" localSheetId="6">[3]ﾃﾞｰﾀﾍﾞｰｽ変更点!#REF!</definedName>
    <definedName name="G_AREA_INIT" localSheetId="3">[3]ﾃﾞｰﾀﾍﾞｰｽ変更点!#REF!</definedName>
    <definedName name="G_AREA_INIT">[3]ﾃﾞｰﾀﾍﾞｰｽ変更点!#REF!</definedName>
    <definedName name="G_AREA_MASTER" localSheetId="6">[3]ﾃﾞｰﾀﾍﾞｰｽ変更点!#REF!</definedName>
    <definedName name="G_AREA_MASTER" localSheetId="3">[3]ﾃﾞｰﾀﾍﾞｰｽ変更点!#REF!</definedName>
    <definedName name="G_AREA_MASTER">[3]ﾃﾞｰﾀﾍﾞｰｽ変更点!#REF!</definedName>
    <definedName name="G_ASK" localSheetId="6">[3]ﾃﾞｰﾀﾍﾞｰｽ変更点!#REF!</definedName>
    <definedName name="G_ASK" localSheetId="3">[3]ﾃﾞｰﾀﾍﾞｰｽ変更点!#REF!</definedName>
    <definedName name="G_ASK">[3]ﾃﾞｰﾀﾍﾞｰｽ変更点!#REF!</definedName>
    <definedName name="G_ASK_LOG" localSheetId="6">[5]テーブル設計!#REF!</definedName>
    <definedName name="G_ASK_LOG" localSheetId="3">[5]テーブル設計!#REF!</definedName>
    <definedName name="G_ASK_LOG">[5]テーブル設計!#REF!</definedName>
    <definedName name="G_ASK_SYSTEM" localSheetId="6">[3]ﾃﾞｰﾀﾍﾞｰｽ変更点!#REF!</definedName>
    <definedName name="G_ASK_SYSTEM" localSheetId="3">[3]ﾃﾞｰﾀﾍﾞｰｽ変更点!#REF!</definedName>
    <definedName name="G_ASK_SYSTEM">[3]ﾃﾞｰﾀﾍﾞｰｽ変更点!#REF!</definedName>
    <definedName name="G_ATC_ERROR" localSheetId="6">[5]テーブル設計!#REF!</definedName>
    <definedName name="G_ATC_ERROR" localSheetId="3">[5]テーブル設計!#REF!</definedName>
    <definedName name="G_ATC_ERROR">[5]テーブル設計!#REF!</definedName>
    <definedName name="G_AUTHORITY_GROUP" localSheetId="6">[3]ﾃﾞｰﾀﾍﾞｰｽ変更点!#REF!</definedName>
    <definedName name="G_AUTHORITY_GROUP" localSheetId="3">[3]ﾃﾞｰﾀﾍﾞｰｽ変更点!#REF!</definedName>
    <definedName name="G_AUTHORITY_GROUP">[3]ﾃﾞｰﾀﾍﾞｰｽ変更点!#REF!</definedName>
    <definedName name="G_AUTHORITY_GROUP_DATA" localSheetId="6">[3]ﾃﾞｰﾀﾍﾞｰｽ変更点!#REF!</definedName>
    <definedName name="G_AUTHORITY_GROUP_DATA" localSheetId="3">[3]ﾃﾞｰﾀﾍﾞｰｽ変更点!#REF!</definedName>
    <definedName name="G_AUTHORITY_GROUP_DATA">[3]ﾃﾞｰﾀﾍﾞｰｽ変更点!#REF!</definedName>
    <definedName name="G_AUTHORITY_MASTER" localSheetId="6">[5]テーブル設計!#REF!</definedName>
    <definedName name="G_AUTHORITY_MASTER" localSheetId="3">[5]テーブル設計!#REF!</definedName>
    <definedName name="G_AUTHORITY_MASTER">[5]テーブル設計!#REF!</definedName>
    <definedName name="G_BONDED_STORE" localSheetId="6">[5]テーブル設計!#REF!</definedName>
    <definedName name="G_BONDED_STORE" localSheetId="3">[5]テーブル設計!#REF!</definedName>
    <definedName name="G_BONDED_STORE">[5]テーブル設計!#REF!</definedName>
    <definedName name="G_CAR_DATA" localSheetId="6">[3]ﾃﾞｰﾀﾍﾞｰｽ変更点!#REF!</definedName>
    <definedName name="G_CAR_DATA" localSheetId="3">[3]ﾃﾞｰﾀﾍﾞｰｽ変更点!#REF!</definedName>
    <definedName name="G_CAR_DATA">[3]ﾃﾞｰﾀﾍﾞｰｽ変更点!#REF!</definedName>
    <definedName name="G_CAR_MASTER" localSheetId="6">[3]ﾃﾞｰﾀﾍﾞｰｽ変更点!#REF!</definedName>
    <definedName name="G_CAR_MASTER" localSheetId="3">[3]ﾃﾞｰﾀﾍﾞｰｽ変更点!#REF!</definedName>
    <definedName name="G_CAR_MASTER">[3]ﾃﾞｰﾀﾍﾞｰｽ変更点!#REF!</definedName>
    <definedName name="G_CAR_MONTHLY_DATA" localSheetId="6">[3]ﾃﾞｰﾀﾍﾞｰｽ変更点!#REF!</definedName>
    <definedName name="G_CAR_MONTHLY_DATA" localSheetId="3">[3]ﾃﾞｰﾀﾍﾞｰｽ変更点!#REF!</definedName>
    <definedName name="G_CAR_MONTHLY_DATA">[3]ﾃﾞｰﾀﾍﾞｰｽ変更点!#REF!</definedName>
    <definedName name="G_CAR_OWNER_HISTORY" localSheetId="6">[3]ﾃﾞｰﾀﾍﾞｰｽ変更点!#REF!</definedName>
    <definedName name="G_CAR_OWNER_HISTORY" localSheetId="3">[3]ﾃﾞｰﾀﾍﾞｰｽ変更点!#REF!</definedName>
    <definedName name="G_CAR_OWNER_HISTORY">[3]ﾃﾞｰﾀﾍﾞｰｽ変更点!#REF!</definedName>
    <definedName name="G_CAUTION" localSheetId="6">[4]TableDesign!#REF!</definedName>
    <definedName name="G_CAUTION" localSheetId="3">[4]TableDesign!#REF!</definedName>
    <definedName name="G_CAUTION">[4]TableDesign!#REF!</definedName>
    <definedName name="G_CAUTION_DATA" localSheetId="6">[3]ﾃﾞｰﾀﾍﾞｰｽ変更点!#REF!</definedName>
    <definedName name="G_CAUTION_DATA" localSheetId="3">[3]ﾃﾞｰﾀﾍﾞｰｽ変更点!#REF!</definedName>
    <definedName name="G_CAUTION_DATA">[3]ﾃﾞｰﾀﾍﾞｰｽ変更点!#REF!</definedName>
    <definedName name="G_CAUTION_ENABLED" localSheetId="6">[3]ﾃﾞｰﾀﾍﾞｰｽ変更点!#REF!</definedName>
    <definedName name="G_CAUTION_ENABLED" localSheetId="3">[3]ﾃﾞｰﾀﾍﾞｰｽ変更点!#REF!</definedName>
    <definedName name="G_CAUTION_ENABLED">[3]ﾃﾞｰﾀﾍﾞｰｽ変更点!#REF!</definedName>
    <definedName name="G_CAUTION_ICON" localSheetId="6">[3]ﾃﾞｰﾀﾍﾞｰｽ変更点!#REF!</definedName>
    <definedName name="G_CAUTION_ICON" localSheetId="3">[3]ﾃﾞｰﾀﾍﾞｰｽ変更点!#REF!</definedName>
    <definedName name="G_CAUTION_ICON">[3]ﾃﾞｰﾀﾍﾞｰｽ変更点!#REF!</definedName>
    <definedName name="G_CAUTION_INIT" localSheetId="6">[3]ﾃﾞｰﾀﾍﾞｰｽ変更点!#REF!</definedName>
    <definedName name="G_CAUTION_INIT" localSheetId="3">[3]ﾃﾞｰﾀﾍﾞｰｽ変更点!#REF!</definedName>
    <definedName name="G_CAUTION_INIT">[3]ﾃﾞｰﾀﾍﾞｰｽ変更点!#REF!</definedName>
    <definedName name="G_CAUTION_MASTER" localSheetId="6">[3]ﾃﾞｰﾀﾍﾞｰｽ変更点!#REF!</definedName>
    <definedName name="G_CAUTION_MASTER" localSheetId="3">[3]ﾃﾞｰﾀﾍﾞｰｽ変更点!#REF!</definedName>
    <definedName name="G_CAUTION_MASTER">[3]ﾃﾞｰﾀﾍﾞｰｽ変更点!#REF!</definedName>
    <definedName name="G_CLASS1_MASTER" localSheetId="6">[3]ﾃﾞｰﾀﾍﾞｰｽ変更点!#REF!</definedName>
    <definedName name="G_CLASS1_MASTER" localSheetId="3">[3]ﾃﾞｰﾀﾍﾞｰｽ変更点!#REF!</definedName>
    <definedName name="G_CLASS1_MASTER">[3]ﾃﾞｰﾀﾍﾞｰｽ変更点!#REF!</definedName>
    <definedName name="G_CLASS2_MASTER" localSheetId="6">[3]ﾃﾞｰﾀﾍﾞｰｽ変更点!#REF!</definedName>
    <definedName name="G_CLASS2_MASTER" localSheetId="3">[3]ﾃﾞｰﾀﾍﾞｰｽ変更点!#REF!</definedName>
    <definedName name="G_CLASS2_MASTER">[3]ﾃﾞｰﾀﾍﾞｰｽ変更点!#REF!</definedName>
    <definedName name="G_COMM_DATA" localSheetId="6">[3]ﾃﾞｰﾀﾍﾞｰｽ変更点!#REF!</definedName>
    <definedName name="G_COMM_DATA" localSheetId="3">[3]ﾃﾞｰﾀﾍﾞｰｽ変更点!#REF!</definedName>
    <definedName name="G_COMM_DATA">[3]ﾃﾞｰﾀﾍﾞｰｽ変更点!#REF!</definedName>
    <definedName name="G_COMM_STATUS_MASTER" localSheetId="6">[3]ﾃﾞｰﾀﾍﾞｰｽ変更点!#REF!</definedName>
    <definedName name="G_COMM_STATUS_MASTER" localSheetId="3">[3]ﾃﾞｰﾀﾍﾞｰｽ変更点!#REF!</definedName>
    <definedName name="G_COMM_STATUS_MASTER">[3]ﾃﾞｰﾀﾍﾞｰｽ変更点!#REF!</definedName>
    <definedName name="G_CONFIG_DEFINE" localSheetId="6">[3]ﾃﾞｰﾀﾍﾞｰｽ変更点!#REF!</definedName>
    <definedName name="G_CONFIG_DEFINE" localSheetId="3">[3]ﾃﾞｰﾀﾍﾞｰｽ変更点!#REF!</definedName>
    <definedName name="G_CONFIG_DEFINE">[3]ﾃﾞｰﾀﾍﾞｰｽ変更点!#REF!</definedName>
    <definedName name="G_CONFIG_FLAG" localSheetId="6">[5]テーブル設計!#REF!</definedName>
    <definedName name="G_CONFIG_FLAG" localSheetId="3">[5]テーブル設計!#REF!</definedName>
    <definedName name="G_CONFIG_FLAG">[5]テーブル設計!#REF!</definedName>
    <definedName name="G_CONFIG_INIT" localSheetId="6">[3]ﾃﾞｰﾀﾍﾞｰｽ変更点!#REF!</definedName>
    <definedName name="G_CONFIG_INIT" localSheetId="3">[3]ﾃﾞｰﾀﾍﾞｰｽ変更点!#REF!</definedName>
    <definedName name="G_CONFIG_INIT">[3]ﾃﾞｰﾀﾍﾞｰｽ変更点!#REF!</definedName>
    <definedName name="G_CONFIG_PATTERN" localSheetId="6">[3]ﾃﾞｰﾀﾍﾞｰｽ変更点!#REF!</definedName>
    <definedName name="G_CONFIG_PATTERN" localSheetId="3">[3]ﾃﾞｰﾀﾍﾞｰｽ変更点!#REF!</definedName>
    <definedName name="G_CONFIG_PATTERN">[3]ﾃﾞｰﾀﾍﾞｰｽ変更点!#REF!</definedName>
    <definedName name="G_CONFIG_PATTERN_DATA" localSheetId="6">[3]ﾃﾞｰﾀﾍﾞｰｽ変更点!#REF!</definedName>
    <definedName name="G_CONFIG_PATTERN_DATA" localSheetId="3">[3]ﾃﾞｰﾀﾍﾞｰｽ変更点!#REF!</definedName>
    <definedName name="G_CONFIG_PATTERN_DATA">[3]ﾃﾞｰﾀﾍﾞｰｽ変更点!#REF!</definedName>
    <definedName name="G_CONFIG_USER_FLAG" localSheetId="6">[5]テーブル設計!#REF!</definedName>
    <definedName name="G_CONFIG_USER_FLAG" localSheetId="3">[5]テーブル設計!#REF!</definedName>
    <definedName name="G_CONFIG_USER_FLAG">[5]テーブル設計!#REF!</definedName>
    <definedName name="G_CONTRACT" localSheetId="6">[5]テーブル設計!#REF!</definedName>
    <definedName name="G_CONTRACT" localSheetId="3">[5]テーブル設計!#REF!</definedName>
    <definedName name="G_CONTRACT">[5]テーブル設計!#REF!</definedName>
    <definedName name="G_CUSTOMER" localSheetId="6">[3]ﾃﾞｰﾀﾍﾞｰｽ変更点!#REF!</definedName>
    <definedName name="G_CUSTOMER" localSheetId="3">[3]ﾃﾞｰﾀﾍﾞｰｽ変更点!#REF!</definedName>
    <definedName name="G_CUSTOMER">[3]ﾃﾞｰﾀﾍﾞｰｽ変更点!#REF!</definedName>
    <definedName name="G_CUSTOMER_CAR" localSheetId="6">[3]ﾃﾞｰﾀﾍﾞｰｽ変更点!#REF!</definedName>
    <definedName name="G_CUSTOMER_CAR" localSheetId="3">[3]ﾃﾞｰﾀﾍﾞｰｽ変更点!#REF!</definedName>
    <definedName name="G_CUSTOMER_CAR">[3]ﾃﾞｰﾀﾍﾞｰｽ変更点!#REF!</definedName>
    <definedName name="G_CUSTOMER_MASTER" localSheetId="6">[4]TableDesign!#REF!</definedName>
    <definedName name="G_CUSTOMER_MASTER" localSheetId="3">[4]TableDesign!#REF!</definedName>
    <definedName name="G_CUSTOMER_MASTER">[4]TableDesign!#REF!</definedName>
    <definedName name="G_DIVISION_MASTER" localSheetId="6">[3]ﾃﾞｰﾀﾍﾞｰｽ変更点!#REF!</definedName>
    <definedName name="G_DIVISION_MASTER" localSheetId="3">[3]ﾃﾞｰﾀﾍﾞｰｽ変更点!#REF!</definedName>
    <definedName name="G_DIVISION_MASTER">[3]ﾃﾞｰﾀﾍﾞｰｽ変更点!#REF!</definedName>
    <definedName name="G_DOPA" localSheetId="6">[3]ﾃﾞｰﾀﾍﾞｰｽ変更点!#REF!</definedName>
    <definedName name="G_DOPA" localSheetId="3">[3]ﾃﾞｰﾀﾍﾞｰｽ変更点!#REF!</definedName>
    <definedName name="G_DOPA">[3]ﾃﾞｰﾀﾍﾞｰｽ変更点!#REF!</definedName>
    <definedName name="G_DOPA_OWNER_HISTORY" localSheetId="6">[3]ﾃﾞｰﾀﾍﾞｰｽ変更点!#REF!</definedName>
    <definedName name="G_DOPA_OWNER_HISTORY" localSheetId="3">[3]ﾃﾞｰﾀﾍﾞｰｽ変更点!#REF!</definedName>
    <definedName name="G_DOPA_OWNER_HISTORY">[3]ﾃﾞｰﾀﾍﾞｰｽ変更点!#REF!</definedName>
    <definedName name="G_DOPA_SERVER" localSheetId="6">[3]ﾃﾞｰﾀﾍﾞｰｽ変更点!#REF!</definedName>
    <definedName name="G_DOPA_SERVER" localSheetId="3">[3]ﾃﾞｰﾀﾍﾞｰｽ変更点!#REF!</definedName>
    <definedName name="G_DOPA_SERVER">[3]ﾃﾞｰﾀﾍﾞｰｽ変更点!#REF!</definedName>
    <definedName name="G_EQUIPMENT_HISTORY" localSheetId="6">[3]ﾃﾞｰﾀﾍﾞｰｽ変更点!#REF!</definedName>
    <definedName name="G_EQUIPMENT_HISTORY" localSheetId="3">[3]ﾃﾞｰﾀﾍﾞｰｽ変更点!#REF!</definedName>
    <definedName name="G_EQUIPMENT_HISTORY">[3]ﾃﾞｰﾀﾍﾞｰｽ変更点!#REF!</definedName>
    <definedName name="G_ERROR" localSheetId="6">[3]ﾃﾞｰﾀﾍﾞｰｽ変更点!#REF!</definedName>
    <definedName name="G_ERROR" localSheetId="3">[3]ﾃﾞｰﾀﾍﾞｰｽ変更点!#REF!</definedName>
    <definedName name="G_ERROR">[3]ﾃﾞｰﾀﾍﾞｰｽ変更点!#REF!</definedName>
    <definedName name="G_ERROR_ENABLED" localSheetId="6">[3]ﾃﾞｰﾀﾍﾞｰｽ変更点!#REF!</definedName>
    <definedName name="G_ERROR_ENABLED" localSheetId="3">[3]ﾃﾞｰﾀﾍﾞｰｽ変更点!#REF!</definedName>
    <definedName name="G_ERROR_ENABLED">[3]ﾃﾞｰﾀﾍﾞｰｽ変更点!#REF!</definedName>
    <definedName name="G_ERROR_ENABLED_ERROR_ENABLED" localSheetId="6">[3]ﾃﾞｰﾀﾍﾞｰｽ変更点!#REF!</definedName>
    <definedName name="G_ERROR_ENABLED_ERROR_ENABLED" localSheetId="3">[3]ﾃﾞｰﾀﾍﾞｰｽ変更点!#REF!</definedName>
    <definedName name="G_ERROR_ENABLED_ERROR_ENABLED">[3]ﾃﾞｰﾀﾍﾞｰｽ変更点!#REF!</definedName>
    <definedName name="G_ERROR_MASTER" localSheetId="6">[3]ﾃﾞｰﾀﾍﾞｰｽ変更点!#REF!</definedName>
    <definedName name="G_ERROR_MASTER" localSheetId="3">[3]ﾃﾞｰﾀﾍﾞｰｽ変更点!#REF!</definedName>
    <definedName name="G_ERROR_MASTER">[3]ﾃﾞｰﾀﾍﾞｰｽ変更点!#REF!</definedName>
    <definedName name="G_EVENT_CATEGORY" localSheetId="6">[4]TableDesign!#REF!</definedName>
    <definedName name="G_EVENT_CATEGORY" localSheetId="3">[4]TableDesign!#REF!</definedName>
    <definedName name="G_EVENT_CATEGORY">[4]TableDesign!#REF!</definedName>
    <definedName name="G_EVENT_DIVISION" localSheetId="6">[3]ﾃﾞｰﾀﾍﾞｰｽ変更点!#REF!</definedName>
    <definedName name="G_EVENT_DIVISION" localSheetId="3">[3]ﾃﾞｰﾀﾍﾞｰｽ変更点!#REF!</definedName>
    <definedName name="G_EVENT_DIVISION">[3]ﾃﾞｰﾀﾍﾞｰｽ変更点!#REF!</definedName>
    <definedName name="G_EVENT_MASTER" localSheetId="6">[3]ﾃﾞｰﾀﾍﾞｰｽ変更点!#REF!</definedName>
    <definedName name="G_EVENT_MASTER" localSheetId="3">[3]ﾃﾞｰﾀﾍﾞｰｽ変更点!#REF!</definedName>
    <definedName name="G_EVENT_MASTER">[3]ﾃﾞｰﾀﾍﾞｰｽ変更点!#REF!</definedName>
    <definedName name="G_EVENT_NOTICE" localSheetId="6">[3]ﾃﾞｰﾀﾍﾞｰｽ変更点!#REF!</definedName>
    <definedName name="G_EVENT_NOTICE" localSheetId="3">[3]ﾃﾞｰﾀﾍﾞｰｽ変更点!#REF!</definedName>
    <definedName name="G_EVENT_NOTICE">[3]ﾃﾞｰﾀﾍﾞｰｽ変更点!#REF!</definedName>
    <definedName name="G_FUEL_GAUGE" localSheetId="6">[4]TableDesign!#REF!</definedName>
    <definedName name="G_FUEL_GAUGE" localSheetId="3">[4]TableDesign!#REF!</definedName>
    <definedName name="G_FUEL_GAUGE">[4]TableDesign!#REF!</definedName>
    <definedName name="G_GAUGE_FUEL_WTTEMP" localSheetId="6">[3]ﾃﾞｰﾀﾍﾞｰｽ変更点!#REF!</definedName>
    <definedName name="G_GAUGE_FUEL_WTTEMP" localSheetId="3">[3]ﾃﾞｰﾀﾍﾞｰｽ変更点!#REF!</definedName>
    <definedName name="G_GAUGE_FUEL_WTTEMP">[3]ﾃﾞｰﾀﾍﾞｰｽ変更点!#REF!</definedName>
    <definedName name="G_GIS_DEFINE" localSheetId="6">[4]TableDesign!#REF!</definedName>
    <definedName name="G_GIS_DEFINE" localSheetId="3">[4]TableDesign!#REF!</definedName>
    <definedName name="G_GIS_DEFINE">[4]TableDesign!#REF!</definedName>
    <definedName name="G_GPS" localSheetId="6">[3]ﾃﾞｰﾀﾍﾞｰｽ変更点!#REF!</definedName>
    <definedName name="G_GPS" localSheetId="3">[3]ﾃﾞｰﾀﾍﾞｰｽ変更点!#REF!</definedName>
    <definedName name="G_GPS">[3]ﾃﾞｰﾀﾍﾞｰｽ変更点!#REF!</definedName>
    <definedName name="G_GRANT_AUTHORITY" localSheetId="6">[3]ﾃﾞｰﾀﾍﾞｰｽ変更点!#REF!</definedName>
    <definedName name="G_GRANT_AUTHORITY" localSheetId="3">[3]ﾃﾞｰﾀﾍﾞｰｽ変更点!#REF!</definedName>
    <definedName name="G_GRANT_AUTHORITY">[3]ﾃﾞｰﾀﾍﾞｰｽ変更点!#REF!</definedName>
    <definedName name="G_GROUP_MASTER" localSheetId="6">[3]ﾃﾞｰﾀﾍﾞｰｽ変更点!#REF!</definedName>
    <definedName name="G_GROUP_MASTER" localSheetId="3">[3]ﾃﾞｰﾀﾍﾞｰｽ変更点!#REF!</definedName>
    <definedName name="G_GROUP_MASTER">[3]ﾃﾞｰﾀﾍﾞｰｽ変更点!#REF!</definedName>
    <definedName name="G_IGNORE_CAUTION" localSheetId="6">[5]テーブル設計!#REF!</definedName>
    <definedName name="G_IGNORE_CAUTION" localSheetId="3">[5]テーブル設計!#REF!</definedName>
    <definedName name="G_IGNORE_CAUTION">[5]テーブル設計!#REF!</definedName>
    <definedName name="G_IGNORE_ERROR" localSheetId="6">[5]テーブル設計!#REF!</definedName>
    <definedName name="G_IGNORE_ERROR" localSheetId="3">[5]テーブル設計!#REF!</definedName>
    <definedName name="G_IGNORE_ERROR">[5]テーブル設計!#REF!</definedName>
    <definedName name="G_INFORM_MASTER" localSheetId="6">[3]ﾃﾞｰﾀﾍﾞｰｽ変更点!#REF!</definedName>
    <definedName name="G_INFORM_MASTER" localSheetId="3">[3]ﾃﾞｰﾀﾍﾞｰｽ変更点!#REF!</definedName>
    <definedName name="G_INFORM_MASTER">[3]ﾃﾞｰﾀﾍﾞｰｽ変更点!#REF!</definedName>
    <definedName name="G_INFORMATION" localSheetId="6">[3]ﾃﾞｰﾀﾍﾞｰｽ変更点!#REF!</definedName>
    <definedName name="G_INFORMATION" localSheetId="3">[3]ﾃﾞｰﾀﾍﾞｰｽ変更点!#REF!</definedName>
    <definedName name="G_INFORMATION">[3]ﾃﾞｰﾀﾍﾞｰｽ変更点!#REF!</definedName>
    <definedName name="G_INFORMATION_READED" localSheetId="6">[3]ﾃﾞｰﾀﾍﾞｰｽ変更点!#REF!</definedName>
    <definedName name="G_INFORMATION_READED" localSheetId="3">[3]ﾃﾞｰﾀﾍﾞｰｽ変更点!#REF!</definedName>
    <definedName name="G_INFORMATION_READED">[3]ﾃﾞｰﾀﾍﾞｰｽ変更点!#REF!</definedName>
    <definedName name="G_INVALID_PART_TERMINAL" localSheetId="6">[5]テーブル設計!#REF!</definedName>
    <definedName name="G_INVALID_PART_TERMINAL" localSheetId="3">[5]テーブル設計!#REF!</definedName>
    <definedName name="G_INVALID_PART_TERMINAL">[5]テーブル設計!#REF!</definedName>
    <definedName name="G_KIND_MASTER" localSheetId="6">[3]ﾃﾞｰﾀﾍﾞｰｽ変更点!#REF!</definedName>
    <definedName name="G_KIND_MASTER" localSheetId="3">[3]ﾃﾞｰﾀﾍﾞｰｽ変更点!#REF!</definedName>
    <definedName name="G_KIND_MASTER">[3]ﾃﾞｰﾀﾍﾞｰｽ変更点!#REF!</definedName>
    <definedName name="G_KRO_APPLICATION" localSheetId="6">[3]ﾃﾞｰﾀﾍﾞｰｽ変更点!#REF!</definedName>
    <definedName name="G_KRO_APPLICATION" localSheetId="3">[3]ﾃﾞｰﾀﾍﾞｰｽ変更点!#REF!</definedName>
    <definedName name="G_KRO_APPLICATION">[3]ﾃﾞｰﾀﾍﾞｰｽ変更点!#REF!</definedName>
    <definedName name="G_KRO_APPLICATION_DATA" localSheetId="6">[3]ﾃﾞｰﾀﾍﾞｰｽ変更点!#REF!</definedName>
    <definedName name="G_KRO_APPLICATION_DATA" localSheetId="3">[3]ﾃﾞｰﾀﾍﾞｰｽ変更点!#REF!</definedName>
    <definedName name="G_KRO_APPLICATION_DATA">[3]ﾃﾞｰﾀﾍﾞｰｽ変更点!#REF!</definedName>
    <definedName name="G_KRO_COMPLETION" localSheetId="6">[3]ﾃﾞｰﾀﾍﾞｰｽ変更点!#REF!</definedName>
    <definedName name="G_KRO_COMPLETION" localSheetId="3">[3]ﾃﾞｰﾀﾍﾞｰｽ変更点!#REF!</definedName>
    <definedName name="G_KRO_COMPLETION">[3]ﾃﾞｰﾀﾍﾞｰｽ変更点!#REF!</definedName>
    <definedName name="G_KRO_COMPLETION_DATA" localSheetId="6">[3]ﾃﾞｰﾀﾍﾞｰｽ変更点!#REF!</definedName>
    <definedName name="G_KRO_COMPLETION_DATA" localSheetId="3">[3]ﾃﾞｰﾀﾍﾞｰｽ変更点!#REF!</definedName>
    <definedName name="G_KRO_COMPLETION_DATA">[3]ﾃﾞｰﾀﾍﾞｰｽ変更点!#REF!</definedName>
    <definedName name="G_KRO_EMERGENCY" localSheetId="6">[5]テーブル設計!#REF!</definedName>
    <definedName name="G_KRO_EMERGENCY" localSheetId="3">[5]テーブル設計!#REF!</definedName>
    <definedName name="G_KRO_EMERGENCY">[5]テーブル設計!#REF!</definedName>
    <definedName name="G_KRO_REPORT" localSheetId="6">[3]ﾃﾞｰﾀﾍﾞｰｽ変更点!#REF!</definedName>
    <definedName name="G_KRO_REPORT" localSheetId="3">[3]ﾃﾞｰﾀﾍﾞｰｽ変更点!#REF!</definedName>
    <definedName name="G_KRO_REPORT">[3]ﾃﾞｰﾀﾍﾞｰｽ変更点!#REF!</definedName>
    <definedName name="G_LANDMARK" localSheetId="6">[3]ﾃﾞｰﾀﾍﾞｰｽ変更点!#REF!</definedName>
    <definedName name="G_LANDMARK" localSheetId="3">[3]ﾃﾞｰﾀﾍﾞｰｽ変更点!#REF!</definedName>
    <definedName name="G_LANDMARK">[3]ﾃﾞｰﾀﾍﾞｰｽ変更点!#REF!</definedName>
    <definedName name="G_LANDMARK_CLASS" localSheetId="6">[3]ﾃﾞｰﾀﾍﾞｰｽ変更点!#REF!</definedName>
    <definedName name="G_LANDMARK_CLASS" localSheetId="3">[3]ﾃﾞｰﾀﾍﾞｰｽ変更点!#REF!</definedName>
    <definedName name="G_LANDMARK_CLASS">[3]ﾃﾞｰﾀﾍﾞｰｽ変更点!#REF!</definedName>
    <definedName name="G_LOGON_HISTORY" localSheetId="6">[3]ﾃﾞｰﾀﾍﾞｰｽ変更点!#REF!</definedName>
    <definedName name="G_LOGON_HISTORY" localSheetId="3">[3]ﾃﾞｰﾀﾍﾞｰｽ変更点!#REF!</definedName>
    <definedName name="G_LOGON_HISTORY">[3]ﾃﾞｰﾀﾍﾞｰｽ変更点!#REF!</definedName>
    <definedName name="G_MACHINE_ERROR" localSheetId="6">[4]TableDesign!#REF!</definedName>
    <definedName name="G_MACHINE_ERROR" localSheetId="3">[4]TableDesign!#REF!</definedName>
    <definedName name="G_MACHINE_ERROR">[4]TableDesign!#REF!</definedName>
    <definedName name="G_MACHINE_STATUS_MASTER" localSheetId="6">[3]ﾃﾞｰﾀﾍﾞｰｽ変更点!#REF!</definedName>
    <definedName name="G_MACHINE_STATUS_MASTER" localSheetId="3">[3]ﾃﾞｰﾀﾍﾞｰｽ変更点!#REF!</definedName>
    <definedName name="G_MACHINE_STATUS_MASTER">[3]ﾃﾞｰﾀﾍﾞｰｽ変更点!#REF!</definedName>
    <definedName name="G_MAINTENANCE_DATA" localSheetId="6">[3]ﾃﾞｰﾀﾍﾞｰｽ変更点!#REF!</definedName>
    <definedName name="G_MAINTENANCE_DATA" localSheetId="3">[3]ﾃﾞｰﾀﾍﾞｰｽ変更点!#REF!</definedName>
    <definedName name="G_MAINTENANCE_DATA">[3]ﾃﾞｰﾀﾍﾞｰｽ変更点!#REF!</definedName>
    <definedName name="G_MAINTENANCE_INFORM" localSheetId="6">[3]ﾃﾞｰﾀﾍﾞｰｽ変更点!#REF!</definedName>
    <definedName name="G_MAINTENANCE_INFORM" localSheetId="3">[3]ﾃﾞｰﾀﾍﾞｰｽ変更点!#REF!</definedName>
    <definedName name="G_MAINTENANCE_INFORM">[3]ﾃﾞｰﾀﾍﾞｰｽ変更点!#REF!</definedName>
    <definedName name="G_MAINTENANCE_MASTER" localSheetId="6">[3]ﾃﾞｰﾀﾍﾞｰｽ変更点!#REF!</definedName>
    <definedName name="G_MAINTENANCE_MASTER" localSheetId="3">[3]ﾃﾞｰﾀﾍﾞｰｽ変更点!#REF!</definedName>
    <definedName name="G_MAINTENANCE_MASTER">[3]ﾃﾞｰﾀﾍﾞｰｽ変更点!#REF!</definedName>
    <definedName name="G_MAINTENANCE_TIME" localSheetId="6">[4]TableDesign!#REF!</definedName>
    <definedName name="G_MAINTENANCE_TIME" localSheetId="3">[4]TableDesign!#REF!</definedName>
    <definedName name="G_MAINTENANCE_TIME">[4]TableDesign!#REF!</definedName>
    <definedName name="G_MAKER_MASTER" localSheetId="6">[3]ﾃﾞｰﾀﾍﾞｰｽ変更点!#REF!</definedName>
    <definedName name="G_MAKER_MASTER" localSheetId="3">[3]ﾃﾞｰﾀﾍﾞｰｽ変更点!#REF!</definedName>
    <definedName name="G_MAKER_MASTER">[3]ﾃﾞｰﾀﾍﾞｰｽ変更点!#REF!</definedName>
    <definedName name="G_MARK_MACHINE" localSheetId="6">[4]TableDesign!#REF!</definedName>
    <definedName name="G_MARK_MACHINE" localSheetId="3">[4]TableDesign!#REF!</definedName>
    <definedName name="G_MARK_MACHINE">[4]TableDesign!#REF!</definedName>
    <definedName name="G_MARK_NOTIFICATION" localSheetId="6">[4]TableDesign!#REF!</definedName>
    <definedName name="G_MARK_NOTIFICATION" localSheetId="3">[4]TableDesign!#REF!</definedName>
    <definedName name="G_MARK_NOTIFICATION">[4]TableDesign!#REF!</definedName>
    <definedName name="G_MARK_NOTIFICATION_DETAIL" localSheetId="6">[4]TableDesign!#REF!</definedName>
    <definedName name="G_MARK_NOTIFICATION_DETAIL" localSheetId="3">[4]TableDesign!#REF!</definedName>
    <definedName name="G_MARK_NOTIFICATION_DETAIL">[4]TableDesign!#REF!</definedName>
    <definedName name="G_MEMO" localSheetId="6">[3]ﾃﾞｰﾀﾍﾞｰｽ変更点!#REF!</definedName>
    <definedName name="G_MEMO" localSheetId="3">[3]ﾃﾞｰﾀﾍﾞｰｽ変更点!#REF!</definedName>
    <definedName name="G_MEMO">[3]ﾃﾞｰﾀﾍﾞｰｽ変更点!#REF!</definedName>
    <definedName name="G_MEMORY_MODIFY" localSheetId="6">[3]ﾃﾞｰﾀﾍﾞｰｽ変更点!#REF!</definedName>
    <definedName name="G_MEMORY_MODIFY" localSheetId="3">[3]ﾃﾞｰﾀﾍﾞｰｽ変更点!#REF!</definedName>
    <definedName name="G_MEMORY_MODIFY">[3]ﾃﾞｰﾀﾍﾞｰｽ変更点!#REF!</definedName>
    <definedName name="G_MEMORY_MODIFY_DATA" localSheetId="6">[3]ﾃﾞｰﾀﾍﾞｰｽ変更点!#REF!</definedName>
    <definedName name="G_MEMORY_MODIFY_DATA" localSheetId="3">[3]ﾃﾞｰﾀﾍﾞｰｽ変更点!#REF!</definedName>
    <definedName name="G_MEMORY_MODIFY_DATA">[3]ﾃﾞｰﾀﾍﾞｰｽ変更点!#REF!</definedName>
    <definedName name="G_MESSAGE" localSheetId="6">[3]ﾃﾞｰﾀﾍﾞｰｽ変更点!#REF!</definedName>
    <definedName name="G_MESSAGE" localSheetId="3">[3]ﾃﾞｰﾀﾍﾞｰｽ変更点!#REF!</definedName>
    <definedName name="G_MESSAGE">[3]ﾃﾞｰﾀﾍﾞｰｽ変更点!#REF!</definedName>
    <definedName name="G_MESSAGE_MASTER" localSheetId="6">[3]ﾃﾞｰﾀﾍﾞｰｽ変更点!#REF!</definedName>
    <definedName name="G_MESSAGE_MASTER" localSheetId="3">[3]ﾃﾞｰﾀﾍﾞｰｽ変更点!#REF!</definedName>
    <definedName name="G_MESSAGE_MASTER">[3]ﾃﾞｰﾀﾍﾞｰｽ変更点!#REF!</definedName>
    <definedName name="G_MONTHLY_ATT_SMR" localSheetId="6">[4]TableDesign!#REF!</definedName>
    <definedName name="G_MONTHLY_ATT_SMR" localSheetId="3">[4]TableDesign!#REF!</definedName>
    <definedName name="G_MONTHLY_ATT_SMR">[4]TableDesign!#REF!</definedName>
    <definedName name="G_MONTHLY_ERROR" localSheetId="6">[4]TableDesign!#REF!</definedName>
    <definedName name="G_MONTHLY_ERROR" localSheetId="3">[4]TableDesign!#REF!</definedName>
    <definedName name="G_MONTHLY_ERROR">[4]TableDesign!#REF!</definedName>
    <definedName name="G_MONTHLY_LOAD" localSheetId="6">[4]TableDesign!#REF!</definedName>
    <definedName name="G_MONTHLY_LOAD" localSheetId="3">[4]TableDesign!#REF!</definedName>
    <definedName name="G_MONTHLY_LOAD">[4]TableDesign!#REF!</definedName>
    <definedName name="G_MONTHLY_MOVEMENT" localSheetId="6">[4]TableDesign!#REF!</definedName>
    <definedName name="G_MONTHLY_MOVEMENT" localSheetId="3">[4]TableDesign!#REF!</definedName>
    <definedName name="G_MONTHLY_MOVEMENT">[4]TableDesign!#REF!</definedName>
    <definedName name="G_MONTHLY_OPERATION" localSheetId="6">[4]TableDesign!#REF!</definedName>
    <definedName name="G_MONTHLY_OPERATION" localSheetId="3">[4]TableDesign!#REF!</definedName>
    <definedName name="G_MONTHLY_OPERATION">[4]TableDesign!#REF!</definedName>
    <definedName name="G_MONTHLY_SMR" localSheetId="6">[4]TableDesign!#REF!</definedName>
    <definedName name="G_MONTHLY_SMR" localSheetId="3">[4]TableDesign!#REF!</definedName>
    <definedName name="G_MONTHLY_SMR">[4]TableDesign!#REF!</definedName>
    <definedName name="G_MONTHLY_WORKING_SMR" localSheetId="6">[4]TableDesign!#REF!</definedName>
    <definedName name="G_MONTHLY_WORKING_SMR" localSheetId="3">[4]TableDesign!#REF!</definedName>
    <definedName name="G_MONTHLY_WORKING_SMR">[4]TableDesign!#REF!</definedName>
    <definedName name="G_MONTLY_LOAD" localSheetId="6">[4]TableDesign!#REF!</definedName>
    <definedName name="G_MONTLY_LOAD" localSheetId="3">[4]TableDesign!#REF!</definedName>
    <definedName name="G_MONTLY_LOAD">[4]TableDesign!#REF!</definedName>
    <definedName name="G_MULTI_OPE" localSheetId="6">[3]ﾃﾞｰﾀﾍﾞｰｽ変更点!#REF!</definedName>
    <definedName name="G_MULTI_OPE" localSheetId="3">[3]ﾃﾞｰﾀﾍﾞｰｽ変更点!#REF!</definedName>
    <definedName name="G_MULTI_OPE">[3]ﾃﾞｰﾀﾍﾞｰｽ変更点!#REF!</definedName>
    <definedName name="G_MULTI_OPE_DATA" localSheetId="6">[5]テーブル設計!#REF!</definedName>
    <definedName name="G_MULTI_OPE_DATA" localSheetId="3">[5]テーブル設計!#REF!</definedName>
    <definedName name="G_MULTI_OPE_DATA">[5]テーブル設計!#REF!</definedName>
    <definedName name="G_NLS_DB_RESOURCE" localSheetId="6">[4]TableDesign!#REF!</definedName>
    <definedName name="G_NLS_DB_RESOURCE" localSheetId="3">[4]TableDesign!#REF!</definedName>
    <definedName name="G_NLS_DB_RESOURCE">[4]TableDesign!#REF!</definedName>
    <definedName name="G_NLS_LANG" localSheetId="6">[4]TableDesign!#REF!</definedName>
    <definedName name="G_NLS_LANG" localSheetId="3">[4]TableDesign!#REF!</definedName>
    <definedName name="G_NLS_LANG">[4]TableDesign!#REF!</definedName>
    <definedName name="G_NLS_RESOURCE" localSheetId="6">[4]TableDesign!#REF!</definedName>
    <definedName name="G_NLS_RESOURCE" localSheetId="3">[4]TableDesign!#REF!</definedName>
    <definedName name="G_NLS_RESOURCE">[4]TableDesign!#REF!</definedName>
    <definedName name="G_NOT_ACTIVE" localSheetId="6">[3]ﾃﾞｰﾀﾍﾞｰｽ変更点!#REF!</definedName>
    <definedName name="G_NOT_ACTIVE" localSheetId="3">[3]ﾃﾞｰﾀﾍﾞｰｽ変更点!#REF!</definedName>
    <definedName name="G_NOT_ACTIVE">[3]ﾃﾞｰﾀﾍﾞｰｽ変更点!#REF!</definedName>
    <definedName name="G_OPERATION_CATEGORY" localSheetId="6">[4]TableDesign!#REF!</definedName>
    <definedName name="G_OPERATION_CATEGORY" localSheetId="3">[4]TableDesign!#REF!</definedName>
    <definedName name="G_OPERATION_CATEGORY">[4]TableDesign!#REF!</definedName>
    <definedName name="G_OPERATION_CLASS" localSheetId="6">[5]テーブル設計!#REF!</definedName>
    <definedName name="G_OPERATION_CLASS" localSheetId="3">[5]テーブル設計!#REF!</definedName>
    <definedName name="G_OPERATION_CLASS">[5]テーブル設計!#REF!</definedName>
    <definedName name="G_OPERATION_LOG" localSheetId="6">[3]ﾃﾞｰﾀﾍﾞｰｽ変更点!#REF!</definedName>
    <definedName name="G_OPERATION_LOG" localSheetId="3">[3]ﾃﾞｰﾀﾍﾞｰｽ変更点!#REF!</definedName>
    <definedName name="G_OPERATION_LOG">[3]ﾃﾞｰﾀﾍﾞｰｽ変更点!#REF!</definedName>
    <definedName name="G_OPERATION_LOG2" localSheetId="6">[5]テーブル設計!#REF!</definedName>
    <definedName name="G_OPERATION_LOG2" localSheetId="3">[5]テーブル設計!#REF!</definedName>
    <definedName name="G_OPERATION_LOG2">[5]テーブル設計!#REF!</definedName>
    <definedName name="G_OPERATION_MAP" localSheetId="6">[4]TableDesign!#REF!</definedName>
    <definedName name="G_OPERATION_MAP" localSheetId="3">[4]TableDesign!#REF!</definedName>
    <definedName name="G_OPERATION_MAP">[4]TableDesign!#REF!</definedName>
    <definedName name="G_OPERATION_MASTER" localSheetId="6">[5]テーブル設計!#REF!</definedName>
    <definedName name="G_OPERATION_MASTER" localSheetId="3">[5]テーブル設計!#REF!</definedName>
    <definedName name="G_OPERATION_MASTER">[5]テーブル設計!#REF!</definedName>
    <definedName name="G_ORBCOMM" localSheetId="6">[3]ﾃﾞｰﾀﾍﾞｰｽ変更点!#REF!</definedName>
    <definedName name="G_ORBCOMM" localSheetId="3">[3]ﾃﾞｰﾀﾍﾞｰｽ変更点!#REF!</definedName>
    <definedName name="G_ORBCOMM">[3]ﾃﾞｰﾀﾍﾞｰｽ変更点!#REF!</definedName>
    <definedName name="G_ORBCOMM_OWNER_HISTORY" localSheetId="6">[3]ﾃﾞｰﾀﾍﾞｰｽ変更点!#REF!</definedName>
    <definedName name="G_ORBCOMM_OWNER_HISTORY" localSheetId="3">[3]ﾃﾞｰﾀﾍﾞｰｽ変更点!#REF!</definedName>
    <definedName name="G_ORBCOMM_OWNER_HISTORY">[3]ﾃﾞｰﾀﾍﾞｰｽ変更点!#REF!</definedName>
    <definedName name="G_PLANT_CAR" localSheetId="6">[5]テーブル設計!#REF!</definedName>
    <definedName name="G_PLANT_CAR" localSheetId="3">[5]テーブル設計!#REF!</definedName>
    <definedName name="G_PLANT_CAR">[5]テーブル設計!#REF!</definedName>
    <definedName name="G_PLANT_ERROR" localSheetId="6">[5]テーブル設計!#REF!</definedName>
    <definedName name="G_PLANT_ERROR" localSheetId="3">[5]テーブル設計!#REF!</definedName>
    <definedName name="G_PLANT_ERROR">[5]テーブル設計!#REF!</definedName>
    <definedName name="G_PLANT_GPS" localSheetId="6">[5]テーブル設計!#REF!</definedName>
    <definedName name="G_PLANT_GPS" localSheetId="3">[5]テーブル設計!#REF!</definedName>
    <definedName name="G_PLANT_GPS">[5]テーブル設計!#REF!</definedName>
    <definedName name="G_PREVENT_THEFT_KEY" localSheetId="6">[3]ﾃﾞｰﾀﾍﾞｰｽ変更点!#REF!</definedName>
    <definedName name="G_PREVENT_THEFT_KEY" localSheetId="3">[3]ﾃﾞｰﾀﾍﾞｰｽ変更点!#REF!</definedName>
    <definedName name="G_PREVENT_THEFT_KEY">[3]ﾃﾞｰﾀﾍﾞｰｽ変更点!#REF!</definedName>
    <definedName name="G_PRIVATE_TARGET_CAR" localSheetId="6">[3]ﾃﾞｰﾀﾍﾞｰｽ変更点!#REF!</definedName>
    <definedName name="G_PRIVATE_TARGET_CAR" localSheetId="3">[3]ﾃﾞｰﾀﾍﾞｰｽ変更点!#REF!</definedName>
    <definedName name="G_PRIVATE_TARGET_CAR">[3]ﾃﾞｰﾀﾍﾞｰｽ変更点!#REF!</definedName>
    <definedName name="G_RECEIVE_LIST" localSheetId="6">[5]テーブル設計!#REF!</definedName>
    <definedName name="G_RECEIVE_LIST" localSheetId="3">[5]テーブル設計!#REF!</definedName>
    <definedName name="G_RECEIVE_LIST">[5]テーブル設計!#REF!</definedName>
    <definedName name="G_RECEIVE_LOG" localSheetId="6">[3]ﾃﾞｰﾀﾍﾞｰｽ変更点!#REF!</definedName>
    <definedName name="G_RECEIVE_LOG" localSheetId="3">[3]ﾃﾞｰﾀﾍﾞｰｽ変更点!#REF!</definedName>
    <definedName name="G_RECEIVE_LOG">[3]ﾃﾞｰﾀﾍﾞｰｽ変更点!#REF!</definedName>
    <definedName name="G_REGION_DATA" localSheetId="6">[4]TableDesign!#REF!</definedName>
    <definedName name="G_REGION_DATA" localSheetId="3">[4]TableDesign!#REF!</definedName>
    <definedName name="G_REGION_DATA">[4]TableDesign!#REF!</definedName>
    <definedName name="G_REGION_MASTER" localSheetId="6">[4]TableDesign!#REF!</definedName>
    <definedName name="G_REGION_MASTER" localSheetId="3">[4]TableDesign!#REF!</definedName>
    <definedName name="G_REGION_MASTER">[4]TableDesign!#REF!</definedName>
    <definedName name="G_RENTAL_TERMINAL" localSheetId="6">[5]テーブル設計!#REF!</definedName>
    <definedName name="G_RENTAL_TERMINAL" localSheetId="3">[5]テーブル設計!#REF!</definedName>
    <definedName name="G_RENTAL_TERMINAL">[5]テーブル設計!#REF!</definedName>
    <definedName name="G_REQUEST" localSheetId="6">[3]ﾃﾞｰﾀﾍﾞｰｽ変更点!#REF!</definedName>
    <definedName name="G_REQUEST" localSheetId="3">[3]ﾃﾞｰﾀﾍﾞｰｽ変更点!#REF!</definedName>
    <definedName name="G_REQUEST">[3]ﾃﾞｰﾀﾍﾞｰｽ変更点!#REF!</definedName>
    <definedName name="G_REQUEST_COUNT" localSheetId="6">[3]ﾃﾞｰﾀﾍﾞｰｽ変更点!#REF!</definedName>
    <definedName name="G_REQUEST_COUNT" localSheetId="3">[3]ﾃﾞｰﾀﾍﾞｰｽ変更点!#REF!</definedName>
    <definedName name="G_REQUEST_COUNT">[3]ﾃﾞｰﾀﾍﾞｰｽ変更点!#REF!</definedName>
    <definedName name="G_REQUEST_LOG" localSheetId="6">[3]ﾃﾞｰﾀﾍﾞｰｽ変更点!#REF!</definedName>
    <definedName name="G_REQUEST_LOG" localSheetId="3">[3]ﾃﾞｰﾀﾍﾞｰｽ変更点!#REF!</definedName>
    <definedName name="G_REQUEST_LOG">[3]ﾃﾞｰﾀﾍﾞｰｽ変更点!#REF!</definedName>
    <definedName name="G_RIVATE_TARGET_CAR" localSheetId="6">[4]TableDesign!#REF!</definedName>
    <definedName name="G_RIVATE_TARGET_CAR" localSheetId="3">[4]TableDesign!#REF!</definedName>
    <definedName name="G_RIVATE_TARGET_CAR">[4]TableDesign!#REF!</definedName>
    <definedName name="G_RUNNING_LOG" localSheetId="6">[3]ﾃﾞｰﾀﾍﾞｰｽ変更点!#REF!</definedName>
    <definedName name="G_RUNNING_LOG" localSheetId="3">[3]ﾃﾞｰﾀﾍﾞｰｽ変更点!#REF!</definedName>
    <definedName name="G_RUNNING_LOG">[3]ﾃﾞｰﾀﾍﾞｰｽ変更点!#REF!</definedName>
    <definedName name="G_SAVE_INFORMATION" localSheetId="6">[5]テーブル設計!#REF!</definedName>
    <definedName name="G_SAVE_INFORMATION" localSheetId="3">[5]テーブル設計!#REF!</definedName>
    <definedName name="G_SAVE_INFORMATION">[5]テーブル設計!#REF!</definedName>
    <definedName name="G_SELFCARINSPECTION" localSheetId="6">[3]ﾃﾞｰﾀﾍﾞｰｽ変更点!#REF!</definedName>
    <definedName name="G_SELFCARINSPECTION" localSheetId="3">[3]ﾃﾞｰﾀﾍﾞｰｽ変更点!#REF!</definedName>
    <definedName name="G_SELFCARINSPECTION">[3]ﾃﾞｰﾀﾍﾞｰｽ変更点!#REF!</definedName>
    <definedName name="G_SEND_LIST" localSheetId="6">[5]テーブル設計!#REF!</definedName>
    <definedName name="G_SEND_LIST" localSheetId="3">[5]テーブル設計!#REF!</definedName>
    <definedName name="G_SEND_LIST">[5]テーブル設計!#REF!</definedName>
    <definedName name="G_SEND_LOG" localSheetId="6">[5]テーブル設計!#REF!</definedName>
    <definedName name="G_SEND_LOG" localSheetId="3">[5]テーブル設計!#REF!</definedName>
    <definedName name="G_SEND_LOG">[5]テーブル設計!#REF!</definedName>
    <definedName name="G_SERVER_COMMUNICATION" localSheetId="6">[4]TableDesign!#REF!</definedName>
    <definedName name="G_SERVER_COMMUNICATION" localSheetId="3">[4]TableDesign!#REF!</definedName>
    <definedName name="G_SERVER_COMMUNICATION">[4]TableDesign!#REF!</definedName>
    <definedName name="G_SERVER_INFORMATION" localSheetId="6">[3]ﾃﾞｰﾀﾍﾞｰｽ変更点!#REF!</definedName>
    <definedName name="G_SERVER_INFORMATION" localSheetId="3">[3]ﾃﾞｰﾀﾍﾞｰｽ変更点!#REF!</definedName>
    <definedName name="G_SERVER_INFORMATION">[3]ﾃﾞｰﾀﾍﾞｰｽ変更点!#REF!</definedName>
    <definedName name="G_SERVICE_METER" localSheetId="6">[3]ﾃﾞｰﾀﾍﾞｰｽ変更点!#REF!</definedName>
    <definedName name="G_SERVICE_METER" localSheetId="3">[3]ﾃﾞｰﾀﾍﾞｰｽ変更点!#REF!</definedName>
    <definedName name="G_SERVICE_METER">[3]ﾃﾞｰﾀﾍﾞｰｽ変更点!#REF!</definedName>
    <definedName name="G_SERVICE_METER2" localSheetId="6">[5]テーブル設計!#REF!</definedName>
    <definedName name="G_SERVICE_METER2" localSheetId="3">[5]テーブル設計!#REF!</definedName>
    <definedName name="G_SERVICE_METER2">[5]テーブル設計!#REF!</definedName>
    <definedName name="G_SERVICEMAN" localSheetId="6">[5]テーブル設計!#REF!</definedName>
    <definedName name="G_SERVICEMAN" localSheetId="3">[5]テーブル設計!#REF!</definedName>
    <definedName name="G_SERVICEMAN">[5]テーブル設計!#REF!</definedName>
    <definedName name="G_SERVICEMAN_CHARGE" localSheetId="6">[5]テーブル設計!#REF!</definedName>
    <definedName name="G_SERVICEMAN_CHARGE" localSheetId="3">[5]テーブル設計!#REF!</definedName>
    <definedName name="G_SERVICEMAN_CHARGE">[5]テーブル設計!#REF!</definedName>
    <definedName name="G_SHIPMENT" localSheetId="6">[3]ﾃﾞｰﾀﾍﾞｰｽ変更点!#REF!</definedName>
    <definedName name="G_SHIPMENT" localSheetId="3">[3]ﾃﾞｰﾀﾍﾞｰｽ変更点!#REF!</definedName>
    <definedName name="G_SHIPMENT">[3]ﾃﾞｰﾀﾍﾞｰｽ変更点!#REF!</definedName>
    <definedName name="G_SHOW" localSheetId="6">[3]ﾃﾞｰﾀﾍﾞｰｽ変更点!#REF!</definedName>
    <definedName name="G_SHOW" localSheetId="3">[3]ﾃﾞｰﾀﾍﾞｰｽ変更点!#REF!</definedName>
    <definedName name="G_SHOW">[3]ﾃﾞｰﾀﾍﾞｰｽ変更点!#REF!</definedName>
    <definedName name="G_SHOW_GROUP" localSheetId="6">[3]ﾃﾞｰﾀﾍﾞｰｽ変更点!#REF!</definedName>
    <definedName name="G_SHOW_GROUP" localSheetId="3">[3]ﾃﾞｰﾀﾍﾞｰｽ変更点!#REF!</definedName>
    <definedName name="G_SHOW_GROUP">[3]ﾃﾞｰﾀﾍﾞｰｽ変更点!#REF!</definedName>
    <definedName name="G_SPECIAL_AREA" localSheetId="6">[3]ﾃﾞｰﾀﾍﾞｰｽ変更点!#REF!</definedName>
    <definedName name="G_SPECIAL_AREA" localSheetId="3">[3]ﾃﾞｰﾀﾍﾞｰｽ変更点!#REF!</definedName>
    <definedName name="G_SPECIAL_AREA">[3]ﾃﾞｰﾀﾍﾞｰｽ変更点!#REF!</definedName>
    <definedName name="G_SUB_GROUP" localSheetId="6">[4]TableDesign!#REF!</definedName>
    <definedName name="G_SUB_GROUP" localSheetId="3">[4]TableDesign!#REF!</definedName>
    <definedName name="G_SUB_GROUP">[4]TableDesign!#REF!</definedName>
    <definedName name="G_SUB_GROUP_CAR" localSheetId="6">[4]TableDesign!#REF!</definedName>
    <definedName name="G_SUB_GROUP_CAR" localSheetId="3">[4]TableDesign!#REF!</definedName>
    <definedName name="G_SUB_GROUP_CAR">[4]TableDesign!#REF!</definedName>
    <definedName name="G_SYSTEM_COMMTERM_INFO" localSheetId="6">[3]ﾃﾞｰﾀﾍﾞｰｽ変更点!#REF!</definedName>
    <definedName name="G_SYSTEM_COMMTERM_INFO" localSheetId="3">[3]ﾃﾞｰﾀﾍﾞｰｽ変更点!#REF!</definedName>
    <definedName name="G_SYSTEM_COMMTERM_INFO">[3]ﾃﾞｰﾀﾍﾞｰｽ変更点!#REF!</definedName>
    <definedName name="G_SYSTEM_LOG" localSheetId="6">[3]ﾃﾞｰﾀﾍﾞｰｽ変更点!#REF!</definedName>
    <definedName name="G_SYSTEM_LOG" localSheetId="3">[3]ﾃﾞｰﾀﾍﾞｰｽ変更点!#REF!</definedName>
    <definedName name="G_SYSTEM_LOG">[3]ﾃﾞｰﾀﾍﾞｰｽ変更点!#REF!</definedName>
    <definedName name="G_SYSTEM_NOTICE" localSheetId="6">[3]ﾃﾞｰﾀﾍﾞｰｽ変更点!#REF!</definedName>
    <definedName name="G_SYSTEM_NOTICE" localSheetId="3">[3]ﾃﾞｰﾀﾍﾞｰｽ変更点!#REF!</definedName>
    <definedName name="G_SYSTEM_NOTICE">[3]ﾃﾞｰﾀﾍﾞｰｽ変更点!#REF!</definedName>
    <definedName name="G_TARGET" localSheetId="6">[3]ﾃﾞｰﾀﾍﾞｰｽ変更点!#REF!</definedName>
    <definedName name="G_TARGET" localSheetId="3">[3]ﾃﾞｰﾀﾍﾞｰｽ変更点!#REF!</definedName>
    <definedName name="G_TARGET">[3]ﾃﾞｰﾀﾍﾞｰｽ変更点!#REF!</definedName>
    <definedName name="G_TARGET_CAR" localSheetId="6">[3]ﾃﾞｰﾀﾍﾞｰｽ変更点!#REF!</definedName>
    <definedName name="G_TARGET_CAR" localSheetId="3">[3]ﾃﾞｰﾀﾍﾞｰｽ変更点!#REF!</definedName>
    <definedName name="G_TARGET_CAR">[3]ﾃﾞｰﾀﾍﾞｰｽ変更点!#REF!</definedName>
    <definedName name="G_TERMINAL_AREA" localSheetId="6">[3]ﾃﾞｰﾀﾍﾞｰｽ変更点!#REF!</definedName>
    <definedName name="G_TERMINAL_AREA" localSheetId="3">[3]ﾃﾞｰﾀﾍﾞｰｽ変更点!#REF!</definedName>
    <definedName name="G_TERMINAL_AREA">[3]ﾃﾞｰﾀﾍﾞｰｽ変更点!#REF!</definedName>
    <definedName name="G_TERMINAL_CAUTION" localSheetId="6">[3]ﾃﾞｰﾀﾍﾞｰｽ変更点!#REF!</definedName>
    <definedName name="G_TERMINAL_CAUTION" localSheetId="3">[3]ﾃﾞｰﾀﾍﾞｰｽ変更点!#REF!</definedName>
    <definedName name="G_TERMINAL_CAUTION">[3]ﾃﾞｰﾀﾍﾞｰｽ変更点!#REF!</definedName>
    <definedName name="G_TERMINAL_ERROR" localSheetId="6">[3]ﾃﾞｰﾀﾍﾞｰｽ変更点!#REF!</definedName>
    <definedName name="G_TERMINAL_ERROR" localSheetId="3">[3]ﾃﾞｰﾀﾍﾞｰｽ変更点!#REF!</definedName>
    <definedName name="G_TERMINAL_ERROR">[3]ﾃﾞｰﾀﾍﾞｰｽ変更点!#REF!</definedName>
    <definedName name="G_TERMINAL_KIND" localSheetId="6">[3]ﾃﾞｰﾀﾍﾞｰｽ変更点!#REF!</definedName>
    <definedName name="G_TERMINAL_KIND" localSheetId="3">[3]ﾃﾞｰﾀﾍﾞｰｽ変更点!#REF!</definedName>
    <definedName name="G_TERMINAL_KIND">[3]ﾃﾞｰﾀﾍﾞｰｽ変更点!#REF!</definedName>
    <definedName name="G_TERMINAL_MASTER" localSheetId="6">[3]ﾃﾞｰﾀﾍﾞｰｽ変更点!#REF!</definedName>
    <definedName name="G_TERMINAL_MASTER" localSheetId="3">[3]ﾃﾞｰﾀﾍﾞｰｽ変更点!#REF!</definedName>
    <definedName name="G_TERMINAL_MASTER">[3]ﾃﾞｰﾀﾍﾞｰｽ変更点!#REF!</definedName>
    <definedName name="G_TERMINAL_PART_MASTER" localSheetId="6">[3]ﾃﾞｰﾀﾍﾞｰｽ変更点!#REF!</definedName>
    <definedName name="G_TERMINAL_PART_MASTER" localSheetId="3">[3]ﾃﾞｰﾀﾍﾞｰｽ変更点!#REF!</definedName>
    <definedName name="G_TERMINAL_PART_MASTER">[3]ﾃﾞｰﾀﾍﾞｰｽ変更点!#REF!</definedName>
    <definedName name="G_TYPE_MASTER" localSheetId="6">[3]ﾃﾞｰﾀﾍﾞｰｽ変更点!#REF!</definedName>
    <definedName name="G_TYPE_MASTER" localSheetId="3">[3]ﾃﾞｰﾀﾍﾞｰｽ変更点!#REF!</definedName>
    <definedName name="G_TYPE_MASTER">[3]ﾃﾞｰﾀﾍﾞｰｽ変更点!#REF!</definedName>
    <definedName name="G_UFO" localSheetId="6">[3]ﾃﾞｰﾀﾍﾞｰｽ変更点!#REF!</definedName>
    <definedName name="G_UFO" localSheetId="3">[3]ﾃﾞｰﾀﾍﾞｰｽ変更点!#REF!</definedName>
    <definedName name="G_UFO">[3]ﾃﾞｰﾀﾍﾞｰｽ変更点!#REF!</definedName>
    <definedName name="G_UNRELIABLE_RECEIVE" localSheetId="6">[3]ﾃﾞｰﾀﾍﾞｰｽ変更点!#REF!</definedName>
    <definedName name="G_UNRELIABLE_RECEIVE" localSheetId="3">[3]ﾃﾞｰﾀﾍﾞｰｽ変更点!#REF!</definedName>
    <definedName name="G_UNRELIABLE_RECEIVE">[3]ﾃﾞｰﾀﾍﾞｰｽ変更点!#REF!</definedName>
    <definedName name="G_USER_MASTER" localSheetId="6">[3]ﾃﾞｰﾀﾍﾞｰｽ変更点!#REF!</definedName>
    <definedName name="G_USER_MASTER" localSheetId="3">[3]ﾃﾞｰﾀﾍﾞｰｽ変更点!#REF!</definedName>
    <definedName name="G_USER_MASTER">[3]ﾃﾞｰﾀﾍﾞｰｽ変更点!#REF!</definedName>
    <definedName name="G_USER_TEMP" localSheetId="6">[3]ﾃﾞｰﾀﾍﾞｰｽ変更点!#REF!</definedName>
    <definedName name="G_USER_TEMP" localSheetId="3">[3]ﾃﾞｰﾀﾍﾞｰｽ変更点!#REF!</definedName>
    <definedName name="G_USER_TEMP">[3]ﾃﾞｰﾀﾍﾞｰｽ変更点!#REF!</definedName>
    <definedName name="G_V" localSheetId="6">[4]TableDesign!#REF!</definedName>
    <definedName name="G_V" localSheetId="3">[4]TableDesign!#REF!</definedName>
    <definedName name="G_V">[4]TableDesign!#REF!</definedName>
    <definedName name="G_WATER_TEMP_GAUGE" localSheetId="6">[4]TableDesign!#REF!</definedName>
    <definedName name="G_WATER_TEMP_GAUGE" localSheetId="3">[4]TableDesign!#REF!</definedName>
    <definedName name="G_WATER_TEMP_GAUGE">[4]TableDesign!#REF!</definedName>
    <definedName name="GG" localSheetId="6">'[6]DATA-COMMUNICATION-FORMAT'!#REF!</definedName>
    <definedName name="GG" localSheetId="3">'[6]DATA-COMMUNICATION-FORMAT'!#REF!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6">[3]ﾃﾞｰﾀﾍﾞｰｽ変更点!#REF!</definedName>
    <definedName name="GROUP" localSheetId="3">[3]ﾃﾞｰﾀﾍﾞｰｽ変更点!#REF!</definedName>
    <definedName name="GROUP">[3]ﾃﾞｰﾀﾍﾞｰｽ変更点!#REF!</definedName>
    <definedName name="GROUP_NUM" localSheetId="6">[3]ﾃﾞｰﾀﾍﾞｰｽ変更点!#REF!</definedName>
    <definedName name="GROUP_NUM" localSheetId="3">[3]ﾃﾞｰﾀﾍﾞｰｽ変更点!#REF!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6">'[6]DATA-COMMUNICATION-FORMAT'!#REF!</definedName>
    <definedName name="HH" localSheetId="3">'[6]DATA-COMMUNICATION-FORMAT'!#REF!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6">#REF!</definedName>
    <definedName name="IF概要債権" localSheetId="3">#REF!</definedName>
    <definedName name="IF概要債権">#REF!</definedName>
    <definedName name="II" localSheetId="6">'[6]DATA-COMMUNICATION-FORMAT'!#REF!</definedName>
    <definedName name="II" localSheetId="3">'[6]DATA-COMMUNICATION-FORMAT'!#REF!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6">'[11]御見積り（旧）'!#REF!</definedName>
    <definedName name="KAKAKU_PG" localSheetId="3">'[11]御見積り（旧）'!#REF!</definedName>
    <definedName name="KAKAKU_PG">'[11]御見積り（旧）'!#REF!</definedName>
    <definedName name="KAKAKU_SE" localSheetId="6">'[11]御見積り（旧）'!#REF!</definedName>
    <definedName name="KAKAKU_SE" localSheetId="3">'[11]御見積り（旧）'!#REF!</definedName>
    <definedName name="KAKAKU_SE">'[11]御見積り（旧）'!#REF!</definedName>
    <definedName name="KBA_ID" localSheetId="6">#REF!</definedName>
    <definedName name="KBA_ID" localSheetId="3">#REF!</definedName>
    <definedName name="KBA_ID">#REF!</definedName>
    <definedName name="KK" localSheetId="6">'[6]DATA-COMMUNICATION-FORMAT'!#REF!</definedName>
    <definedName name="KK" localSheetId="3">'[6]DATA-COMMUNICATION-FORMAT'!#REF!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6">[4]TableDesign!#REF!</definedName>
    <definedName name="NLS_LANG" localSheetId="3">[4]TableDesign!#REF!</definedName>
    <definedName name="NLS_LANG">[4]TableDesign!#REF!</definedName>
    <definedName name="NotNull" localSheetId="2">#REF!</definedName>
    <definedName name="NotNull" localSheetId="3">#REF!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6">[3]ﾃﾞｰﾀﾍﾞｰｽ変更点!#REF!</definedName>
    <definedName name="PART" localSheetId="3">[3]ﾃﾞｰﾀﾍﾞｰｽ変更点!#REF!</definedName>
    <definedName name="PART">[3]ﾃﾞｰﾀﾍﾞｰｽ変更点!#REF!</definedName>
    <definedName name="PrimaryKey" localSheetId="2">#REF!</definedName>
    <definedName name="PrimaryKey" localSheetId="3">#REF!</definedName>
    <definedName name="PrimaryKey">#REF!</definedName>
    <definedName name="_xlnm.Print_Area" localSheetId="6">'IT、ST（案）テスト項目'!$A$1:$J$18</definedName>
    <definedName name="_xlnm.Print_Area" localSheetId="2">テスト項目!$A$1:$J$261</definedName>
    <definedName name="_xlnm.Print_Area" localSheetId="3">#REF!</definedName>
    <definedName name="_xlnm.Print_Area" localSheetId="1">#REF!</definedName>
    <definedName name="_xlnm.Print_Area">#REF!</definedName>
    <definedName name="PRINT_AREA_MI" localSheetId="6">#REF!</definedName>
    <definedName name="PRINT_AREA_MI" localSheetId="3">#REF!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 localSheetId="3">#REF!</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6">#REF!</definedName>
    <definedName name="Record" localSheetId="3">#REF!</definedName>
    <definedName name="Record">#REF!</definedName>
    <definedName name="Record2" localSheetId="6">#REF!</definedName>
    <definedName name="Record2" localSheetId="3">#REF!</definedName>
    <definedName name="Record2">#REF!</definedName>
    <definedName name="Record3" localSheetId="6">#REF!</definedName>
    <definedName name="Record3" localSheetId="3">#REF!</definedName>
    <definedName name="Record3">#REF!</definedName>
    <definedName name="Record4" localSheetId="6">#REF!</definedName>
    <definedName name="Record4" localSheetId="3">#REF!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6">[3]ﾃﾞｰﾀﾍﾞｰｽ変更点!#REF!</definedName>
    <definedName name="SERVER_INFORMATION_A" localSheetId="3">[3]ﾃﾞｰﾀﾍﾞｰｽ変更点!#REF!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6">[4]TableDesign!#REF!</definedName>
    <definedName name="SHOW_GROUP" localSheetId="3">[4]TableDesign!#REF!</definedName>
    <definedName name="SHOW_GROUP">[4]TableDesign!#REF!</definedName>
    <definedName name="solver_lin" hidden="1">0</definedName>
    <definedName name="solver_num" hidden="1">0</definedName>
    <definedName name="solver_opt" localSheetId="6" hidden="1">#REF!</definedName>
    <definedName name="solver_opt" localSheetId="2" hidden="1">#REF!</definedName>
    <definedName name="solver_opt" localSheetId="3"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6">'[12]DATA-COMMUNICATION-FORMAT'!#REF!</definedName>
    <definedName name="ＳＳＳＳ" localSheetId="3">'[12]DATA-COMMUNICATION-FORMAT'!#REF!</definedName>
    <definedName name="ＳＳＳＳ">'[12]DATA-COMMUNICATION-FORMAT'!#REF!</definedName>
    <definedName name="SUB_GROUP" localSheetId="6">[4]TableDesign!#REF!</definedName>
    <definedName name="SUB_GROUP" localSheetId="3">[4]TableDesign!#REF!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6">[4]TableDesign!#REF!</definedName>
    <definedName name="TARGET" localSheetId="3">[4]TableDesign!#REF!</definedName>
    <definedName name="TARGET">[4]TableDesign!#REF!</definedName>
    <definedName name="TBLNO" localSheetId="6">#REF!</definedName>
    <definedName name="TBLNO" localSheetId="3">#REF!</definedName>
    <definedName name="TBLNO">#REF!</definedName>
    <definedName name="TMS_CP" localSheetId="6">#REF!</definedName>
    <definedName name="TMS_CP" localSheetId="3">#REF!</definedName>
    <definedName name="TMS_CP">#REF!</definedName>
    <definedName name="Tracksize" localSheetId="6">#REF!</definedName>
    <definedName name="Tracksize" localSheetId="3">#REF!</definedName>
    <definedName name="Tracksize">#REF!</definedName>
    <definedName name="Tracksize2" localSheetId="6">#REF!</definedName>
    <definedName name="Tracksize2" localSheetId="3">#REF!</definedName>
    <definedName name="Tracksize2">#REF!</definedName>
    <definedName name="Tracksize3" localSheetId="6">#REF!</definedName>
    <definedName name="Tracksize3" localSheetId="3">#REF!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6">[3]ﾃﾞｰﾀﾍﾞｰｽ変更点!#REF!</definedName>
    <definedName name="USER" localSheetId="3">[3]ﾃﾞｰﾀﾍﾞｰｽ変更点!#REF!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6"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6">#REF!</definedName>
    <definedName name="あ" localSheetId="3">#REF!</definedName>
    <definedName name="あ">#REF!</definedName>
    <definedName name="ああ" localSheetId="6">'[12]DATA-COMMUNICATION-FORMAT'!#REF!</definedName>
    <definedName name="ああ" localSheetId="3">'[12]DATA-COMMUNICATION-FORMAT'!#REF!</definedName>
    <definedName name="ああ">'[12]DATA-COMMUNICATION-FORMAT'!#REF!</definedName>
    <definedName name="あああ" localSheetId="6">'[12]DATA-COMMUNICATION-FORMAT'!#REF!</definedName>
    <definedName name="あああ" localSheetId="3">'[12]DATA-COMMUNICATION-FORMAT'!#REF!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6">'[12]DATA-COMMUNICATION-FORMAT'!#REF!</definedName>
    <definedName name="あああああ" localSheetId="3">'[12]DATA-COMMUNICATION-FORMAT'!#REF!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6"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 localSheetId="3">#REF!</definedName>
    <definedName name="インデックスNO">#REF!</definedName>
    <definedName name="インデックス項目" localSheetId="2">#REF!</definedName>
    <definedName name="インデックス項目" localSheetId="3">#REF!</definedName>
    <definedName name="インデックス項目">#REF!</definedName>
    <definedName name="インデックス所有者" localSheetId="2">#REF!</definedName>
    <definedName name="インデックス所有者" localSheetId="3">#REF!</definedName>
    <definedName name="インデックス所有者">#REF!</definedName>
    <definedName name="インデックス属性" localSheetId="2">#REF!</definedName>
    <definedName name="インデックス属性" localSheetId="3">#REF!</definedName>
    <definedName name="インデックス属性">#REF!</definedName>
    <definedName name="インデックス表領域" localSheetId="2">#REF!</definedName>
    <definedName name="インデックス表領域" localSheetId="3">#REF!</definedName>
    <definedName name="インデックス表領域">#REF!</definedName>
    <definedName name="インデックス名" localSheetId="2">#REF!</definedName>
    <definedName name="インデックス名" localSheetId="3">#REF!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 localSheetId="3">#REF!</definedName>
    <definedName name="オブジェクトタイプ">#REF!</definedName>
    <definedName name="コンバート" localSheetId="6">'[12]DATA-COMMUNICATION-FORMAT'!#REF!</definedName>
    <definedName name="コンバート" localSheetId="3">'[12]DATA-COMMUNICATION-FORMAT'!#REF!</definedName>
    <definedName name="コンバート">'[12]DATA-COMMUNICATION-FORMAT'!#REF!</definedName>
    <definedName name="ｻｰﾎﾞﾚｽ性能" localSheetId="6" hidden="1">#REF!</definedName>
    <definedName name="ｻｰﾎﾞﾚｽ性能" localSheetId="2" hidden="1">#REF!</definedName>
    <definedName name="ｻｰﾎﾞﾚｽ性能" localSheetId="3"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6">#REF!</definedName>
    <definedName name="システム" localSheetId="3">#REF!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6">#REF!</definedName>
    <definedName name="タイトル" localSheetId="3">#REF!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 localSheetId="3">#REF!</definedName>
    <definedName name="テーブルNO">#REF!</definedName>
    <definedName name="テーブルサイズ1" localSheetId="2">#REF!</definedName>
    <definedName name="テーブルサイズ1" localSheetId="3">#REF!</definedName>
    <definedName name="テーブルサイズ1">#REF!</definedName>
    <definedName name="テーブルサイズ2" localSheetId="2">#REF!</definedName>
    <definedName name="テーブルサイズ2" localSheetId="3">#REF!</definedName>
    <definedName name="テーブルサイズ2">#REF!</definedName>
    <definedName name="テーブル型" localSheetId="2">#REF!</definedName>
    <definedName name="テーブル型" localSheetId="3">#REF!</definedName>
    <definedName name="テーブル型">#REF!</definedName>
    <definedName name="テーブル項目物理名" localSheetId="2">#REF!</definedName>
    <definedName name="テーブル項目物理名" localSheetId="3">#REF!</definedName>
    <definedName name="テーブル項目物理名">#REF!</definedName>
    <definedName name="テーブル項目論理名" localSheetId="2">#REF!</definedName>
    <definedName name="テーブル項目論理名" localSheetId="3">#REF!</definedName>
    <definedName name="テーブル項目論理名">#REF!</definedName>
    <definedName name="テーブル所有者" localSheetId="2">#REF!</definedName>
    <definedName name="テーブル所有者" localSheetId="3">#REF!</definedName>
    <definedName name="テーブル所有者">#REF!</definedName>
    <definedName name="テーブル備考" localSheetId="2">#REF!</definedName>
    <definedName name="テーブル備考" localSheetId="3">#REF!</definedName>
    <definedName name="テーブル備考">#REF!</definedName>
    <definedName name="テーブル表領域" localSheetId="2">#REF!</definedName>
    <definedName name="テーブル表領域" localSheetId="3">#REF!</definedName>
    <definedName name="テーブル表領域">#REF!</definedName>
    <definedName name="テーブル物理名" localSheetId="2">#REF!</definedName>
    <definedName name="テーブル物理名" localSheetId="3">#REF!</definedName>
    <definedName name="テーブル物理名">#REF!</definedName>
    <definedName name="テーブル論理名" localSheetId="2">#REF!</definedName>
    <definedName name="テーブル論理名" localSheetId="3">#REF!</definedName>
    <definedName name="テーブル論理名">#REF!</definedName>
    <definedName name="メモ" localSheetId="6">#REF!</definedName>
    <definedName name="メモ" localSheetId="3">#REF!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6"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6">#REF!</definedName>
    <definedName name="結AF" localSheetId="3">#REF!</definedName>
    <definedName name="結AF">#REF!</definedName>
    <definedName name="結AT" localSheetId="6">#REF!</definedName>
    <definedName name="結AT" localSheetId="3">#REF!</definedName>
    <definedName name="結AT">#REF!</definedName>
    <definedName name="結合子" localSheetId="6">#REF!</definedName>
    <definedName name="結合子" localSheetId="3">#REF!</definedName>
    <definedName name="結合子">#REF!</definedName>
    <definedName name="結合子A201" localSheetId="6">#REF!</definedName>
    <definedName name="結合子A201" localSheetId="3">#REF!</definedName>
    <definedName name="結合子A201">#REF!</definedName>
    <definedName name="結合子B101" localSheetId="6">#REF!</definedName>
    <definedName name="結合子B101" localSheetId="3">#REF!</definedName>
    <definedName name="結合子B101">#REF!</definedName>
    <definedName name="結合子B301" localSheetId="6">#REF!</definedName>
    <definedName name="結合子B301" localSheetId="3">#REF!</definedName>
    <definedName name="結合子B301">#REF!</definedName>
    <definedName name="結合子B501" localSheetId="6">#REF!</definedName>
    <definedName name="結合子B501" localSheetId="3">#REF!</definedName>
    <definedName name="結合子B501">#REF!</definedName>
    <definedName name="結合子D101" localSheetId="6">#REF!</definedName>
    <definedName name="結合子D101" localSheetId="3">#REF!</definedName>
    <definedName name="結合子D101">#REF!</definedName>
    <definedName name="結合子D201" localSheetId="6">#REF!</definedName>
    <definedName name="結合子D201" localSheetId="3">#REF!</definedName>
    <definedName name="結合子D201">#REF!</definedName>
    <definedName name="更新" localSheetId="6">#REF!</definedName>
    <definedName name="更新" localSheetId="3">#REF!</definedName>
    <definedName name="更新">#REF!</definedName>
    <definedName name="更新者" localSheetId="6">#REF!</definedName>
    <definedName name="更新者" localSheetId="3">#REF!</definedName>
    <definedName name="更新者">#REF!</definedName>
    <definedName name="更新日" localSheetId="6">#REF!</definedName>
    <definedName name="更新日" localSheetId="3">#REF!</definedName>
    <definedName name="更新日">#REF!</definedName>
    <definedName name="作成者" localSheetId="6">#REF!</definedName>
    <definedName name="作成者" localSheetId="3">#REF!</definedName>
    <definedName name="作成者">#REF!</definedName>
    <definedName name="作成日" localSheetId="6">#REF!</definedName>
    <definedName name="作成日" localSheetId="3">#REF!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 localSheetId="3">#REF!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6">#REF!</definedName>
    <definedName name="単価_IPｱﾄﾞﾚｽ登録" localSheetId="3">#REF!</definedName>
    <definedName name="単価_IPｱﾄﾞﾚｽ登録">#REF!</definedName>
    <definedName name="単価_NetWare関連_ﾌｧｲﾙ戻し_ｻｰﾊﾞ" localSheetId="6">#REF!</definedName>
    <definedName name="単価_NetWare関連_ﾌｧｲﾙ戻し_ｻｰﾊﾞ" localSheetId="3">#REF!</definedName>
    <definedName name="単価_NetWare関連_ﾌｧｲﾙ戻し_ｻｰﾊﾞ">#REF!</definedName>
    <definedName name="単価_NetWare関連_ﾌｧｲﾙ戻し_ﾃｰﾌﾟ" localSheetId="6">#REF!</definedName>
    <definedName name="単価_NetWare関連_ﾌｧｲﾙ戻し_ﾃｰﾌﾟ" localSheetId="3">#REF!</definedName>
    <definedName name="単価_NetWare関連_ﾌｧｲﾙ戻し_ﾃｰﾌﾟ">#REF!</definedName>
    <definedName name="単価_NetWare関連_申請関連" localSheetId="6">#REF!</definedName>
    <definedName name="単価_NetWare関連_申請関連" localSheetId="3">#REF!</definedName>
    <definedName name="単価_NetWare関連_申請関連">#REF!</definedName>
    <definedName name="単価_Notes関連_ﾃﾞｰﾀﾍﾞｰｽ戻し" localSheetId="6">#REF!</definedName>
    <definedName name="単価_Notes関連_ﾃﾞｰﾀﾍﾞｰｽ戻し" localSheetId="3">#REF!</definedName>
    <definedName name="単価_Notes関連_ﾃﾞｰﾀﾍﾞｰｽ戻し">#REF!</definedName>
    <definedName name="単価_Notes関連_申請関連" localSheetId="6">#REF!</definedName>
    <definedName name="単価_Notes関連_申請関連" localSheetId="3">#REF!</definedName>
    <definedName name="単価_Notes関連_申請関連">#REF!</definedName>
    <definedName name="単価_ｻｰﾊﾞに関する申請_DNS関連" localSheetId="6">#REF!</definedName>
    <definedName name="単価_ｻｰﾊﾞに関する申請_DNS関連" localSheetId="3">#REF!</definedName>
    <definedName name="単価_ｻｰﾊﾞに関する申請_DNS関連">#REF!</definedName>
    <definedName name="単価_ｻｰﾊﾞに関する申請_FireWallACL関連" localSheetId="6">#REF!</definedName>
    <definedName name="単価_ｻｰﾊﾞに関する申請_FireWallACL関連" localSheetId="3">#REF!</definedName>
    <definedName name="単価_ｻｰﾊﾞに関する申請_FireWallACL関連">#REF!</definedName>
    <definedName name="単価_ｻｰﾊﾞに関する申請_ﾄﾞﾒｲﾝ登録" localSheetId="6">#REF!</definedName>
    <definedName name="単価_ｻｰﾊﾞに関する申請_ﾄﾞﾒｲﾝ登録" localSheetId="3">#REF!</definedName>
    <definedName name="単価_ｻｰﾊﾞに関する申請_ﾄﾞﾒｲﾝ登録">#REF!</definedName>
    <definedName name="単価_ｻｰﾊﾞに関する申請_ﾒｰﾙﾙｰﾄ関連" localSheetId="6">#REF!</definedName>
    <definedName name="単価_ｻｰﾊﾞに関する申請_ﾒｰﾙﾙｰﾄ関連" localSheetId="3">#REF!</definedName>
    <definedName name="単価_ｻｰﾊﾞに関する申請_ﾒｰﾙﾙｰﾄ関連">#REF!</definedName>
    <definedName name="単価_ｻｰﾊﾞ証明書" localSheetId="6">#REF!</definedName>
    <definedName name="単価_ｻｰﾊﾞ証明書" localSheetId="3">#REF!</definedName>
    <definedName name="単価_ｻｰﾊﾞ証明書">#REF!</definedName>
    <definedName name="単価_ﾊﾟｿｺﾝﾌﾟﾘﾝﾀ移設" localSheetId="6">#REF!</definedName>
    <definedName name="単価_ﾊﾟｿｺﾝﾌﾟﾘﾝﾀ移設" localSheetId="3">#REF!</definedName>
    <definedName name="単価_ﾊﾟｿｺﾝﾌﾟﾘﾝﾀ移設">#REF!</definedName>
    <definedName name="単価_ﾊﾟｿｺﾝﾌﾟﾘﾝﾀ新設" localSheetId="6">#REF!</definedName>
    <definedName name="単価_ﾊﾟｿｺﾝﾌﾟﾘﾝﾀ新設" localSheetId="3">#REF!</definedName>
    <definedName name="単価_ﾊﾟｿｺﾝﾌﾟﾘﾝﾀ新設">#REF!</definedName>
    <definedName name="単価_ﾊﾟｿｺﾝ変更" localSheetId="6">#REF!</definedName>
    <definedName name="単価_ﾊﾟｿｺﾝ変更" localSheetId="3">#REF!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B531" i="19" l="1"/>
  <c r="B530" i="19"/>
  <c r="B529" i="19"/>
  <c r="B528" i="19"/>
  <c r="B527" i="19"/>
  <c r="B526" i="19"/>
  <c r="B525" i="19"/>
  <c r="B524" i="19"/>
  <c r="B523" i="19"/>
  <c r="B522" i="19"/>
  <c r="B521" i="19"/>
  <c r="B520" i="19"/>
  <c r="B519" i="19"/>
  <c r="B518" i="19"/>
  <c r="B517" i="19"/>
  <c r="B516" i="19"/>
  <c r="B515" i="19"/>
  <c r="B514" i="19"/>
  <c r="B513" i="19"/>
  <c r="B512" i="19"/>
  <c r="B511" i="19"/>
  <c r="B510" i="19"/>
  <c r="B509" i="19"/>
  <c r="B508" i="19"/>
  <c r="B507" i="19"/>
  <c r="B506" i="19"/>
  <c r="B505" i="19"/>
  <c r="B504" i="19"/>
  <c r="B503" i="19"/>
  <c r="B502" i="19"/>
  <c r="B501" i="19"/>
  <c r="B500" i="19"/>
  <c r="B499" i="19"/>
  <c r="B498" i="19"/>
  <c r="B497" i="19"/>
  <c r="B496" i="19"/>
  <c r="B495" i="19"/>
  <c r="B494" i="19"/>
  <c r="B493" i="19"/>
  <c r="B492" i="19"/>
  <c r="B491" i="19"/>
  <c r="B490" i="19"/>
  <c r="B489" i="19"/>
  <c r="B488" i="19"/>
  <c r="B487" i="19"/>
  <c r="B486" i="19"/>
  <c r="B485" i="19"/>
  <c r="B484" i="19"/>
  <c r="B483" i="19"/>
  <c r="B482" i="19"/>
  <c r="B481" i="19"/>
  <c r="B480" i="19"/>
  <c r="B479" i="19"/>
  <c r="B478" i="19"/>
  <c r="B477" i="19"/>
  <c r="B476" i="19"/>
  <c r="B475" i="19"/>
  <c r="B474" i="19"/>
  <c r="B473" i="19"/>
  <c r="B472" i="19"/>
  <c r="B471" i="19"/>
  <c r="B470" i="19"/>
  <c r="B469" i="19"/>
  <c r="B468" i="19"/>
  <c r="B467" i="19"/>
  <c r="B466" i="19"/>
  <c r="B465" i="19"/>
  <c r="B464" i="19"/>
  <c r="B463" i="19"/>
  <c r="B462" i="19"/>
  <c r="B461" i="19"/>
  <c r="B460" i="19"/>
  <c r="B459" i="19"/>
  <c r="B458" i="19"/>
  <c r="B457" i="19"/>
  <c r="B456" i="19"/>
  <c r="B455" i="19"/>
  <c r="B454" i="19"/>
  <c r="B453" i="19"/>
  <c r="B452" i="19"/>
  <c r="B451" i="19"/>
  <c r="B450" i="19"/>
  <c r="B445" i="19"/>
  <c r="B444" i="19"/>
  <c r="B443" i="19"/>
  <c r="B442" i="19"/>
  <c r="B441" i="19"/>
  <c r="B440" i="19"/>
  <c r="B439" i="19"/>
  <c r="B438" i="19"/>
  <c r="B437" i="19"/>
  <c r="B436" i="19"/>
  <c r="B435" i="19"/>
  <c r="B434" i="19"/>
  <c r="B433" i="19"/>
  <c r="B432" i="19"/>
  <c r="B431" i="19"/>
  <c r="B430" i="19"/>
  <c r="B429" i="19"/>
  <c r="B428" i="19"/>
  <c r="B427" i="19"/>
  <c r="B422" i="19"/>
  <c r="B421" i="19"/>
  <c r="B420" i="19"/>
  <c r="B419" i="19"/>
  <c r="B418" i="19"/>
  <c r="B417" i="19"/>
  <c r="B416" i="19"/>
  <c r="B415" i="19"/>
  <c r="B414" i="19"/>
  <c r="B413" i="19"/>
  <c r="B412" i="19"/>
  <c r="B411" i="19"/>
  <c r="B410" i="19"/>
  <c r="B409" i="19"/>
  <c r="B408" i="19"/>
  <c r="B407" i="19"/>
  <c r="B406" i="19"/>
  <c r="B405" i="19"/>
  <c r="B404" i="19"/>
  <c r="B403" i="19"/>
  <c r="B402" i="19"/>
  <c r="B401" i="19"/>
  <c r="B400" i="19"/>
  <c r="B399" i="19"/>
  <c r="B398" i="19"/>
  <c r="B397" i="19"/>
  <c r="B392" i="19"/>
  <c r="B391" i="19"/>
  <c r="B390" i="19"/>
  <c r="B389" i="19"/>
  <c r="B388" i="19"/>
  <c r="B387" i="19"/>
  <c r="B386" i="19"/>
  <c r="B385" i="19"/>
  <c r="B384" i="19"/>
  <c r="B383" i="19"/>
  <c r="B382" i="19"/>
  <c r="B381" i="19"/>
  <c r="B380" i="19"/>
  <c r="B379" i="19"/>
  <c r="B378" i="19"/>
  <c r="B377" i="19"/>
  <c r="B376" i="19"/>
  <c r="B371" i="19"/>
  <c r="B370" i="19"/>
  <c r="B369" i="19"/>
  <c r="B368" i="19"/>
  <c r="B367" i="19"/>
  <c r="B366" i="19"/>
  <c r="B365" i="19"/>
  <c r="B364" i="19"/>
  <c r="B363" i="19"/>
  <c r="B362" i="19"/>
  <c r="B361" i="19"/>
  <c r="B360" i="19"/>
  <c r="B359" i="19"/>
  <c r="B358" i="19"/>
  <c r="B357" i="19"/>
  <c r="B356" i="19"/>
  <c r="B355" i="19"/>
  <c r="Q4" i="19" l="1"/>
  <c r="P4" i="19"/>
  <c r="O4" i="19"/>
  <c r="N4" i="19"/>
  <c r="Q3" i="19"/>
  <c r="P3" i="19"/>
  <c r="O3" i="19"/>
  <c r="N3" i="19"/>
  <c r="Q2" i="19"/>
  <c r="P2" i="19"/>
  <c r="O2" i="19"/>
  <c r="N2" i="19"/>
  <c r="B225" i="19" l="1"/>
  <c r="B226" i="19"/>
  <c r="B227" i="19"/>
  <c r="B228" i="19"/>
  <c r="B229" i="19"/>
  <c r="B230" i="19"/>
  <c r="B231" i="19"/>
  <c r="B232" i="19"/>
  <c r="B233" i="19"/>
  <c r="B234" i="19"/>
  <c r="B235" i="19"/>
  <c r="B236" i="19"/>
  <c r="B237" i="19"/>
  <c r="B238" i="19"/>
  <c r="B239" i="19"/>
  <c r="B240" i="19"/>
  <c r="M4" i="19" l="1"/>
  <c r="M3" i="19"/>
  <c r="M2" i="19"/>
  <c r="J3" i="19" l="1"/>
  <c r="G3" i="19"/>
  <c r="I3" i="19"/>
  <c r="H3" i="19"/>
  <c r="M20" i="14"/>
  <c r="L20" i="14"/>
  <c r="K20" i="14"/>
  <c r="H20" i="14"/>
  <c r="N4" i="14"/>
  <c r="N3" i="14"/>
  <c r="J3" i="14"/>
  <c r="M4" i="14"/>
  <c r="M3" i="14" s="1"/>
  <c r="I3" i="14" s="1"/>
  <c r="L4" i="14"/>
  <c r="L3" i="14" s="1"/>
  <c r="H3" i="14" s="1"/>
  <c r="K4" i="14"/>
  <c r="K3" i="14" s="1"/>
  <c r="G3" i="14" s="1"/>
  <c r="H4" i="14"/>
</calcChain>
</file>

<file path=xl/sharedStrings.xml><?xml version="1.0" encoding="utf-8"?>
<sst xmlns="http://schemas.openxmlformats.org/spreadsheetml/2006/main" count="3636" uniqueCount="1331">
  <si>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</si>
  <si>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</si>
  <si>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</si>
  <si>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</si>
  <si>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</si>
  <si>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</si>
  <si>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</si>
  <si>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</si>
  <si>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</si>
  <si>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</si>
  <si>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</si>
  <si>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</si>
  <si>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</si>
  <si>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</si>
  <si>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</si>
  <si>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</si>
  <si>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</si>
  <si>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</si>
  <si>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</si>
  <si>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</si>
  <si>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</si>
  <si>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</si>
  <si>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</si>
  <si>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</si>
  <si>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</si>
  <si>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</si>
  <si>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</si>
  <si>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</si>
  <si>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</si>
  <si>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</si>
  <si>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</si>
  <si>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</si>
  <si>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</si>
  <si>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</si>
  <si>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</si>
  <si>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</si>
  <si>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</si>
  <si>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</si>
  <si>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</si>
  <si>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</si>
  <si>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</si>
  <si>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</si>
  <si>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</si>
  <si>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</si>
  <si>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</si>
  <si>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</si>
  <si>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</si>
  <si>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</si>
  <si>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</si>
  <si>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</si>
  <si>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</si>
  <si>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</si>
  <si>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</si>
  <si>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</si>
  <si>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</si>
  <si>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</si>
  <si>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</si>
  <si>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</si>
  <si>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</si>
  <si>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</si>
  <si>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</si>
  <si>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</si>
  <si>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</si>
  <si>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</si>
  <si>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</si>
  <si>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</si>
  <si>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</si>
  <si>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</si>
  <si>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</si>
  <si>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</si>
  <si>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</si>
  <si>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</si>
  <si>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</si>
  <si>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</si>
  <si>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</si>
  <si>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</si>
  <si>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</si>
  <si>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</si>
  <si>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</si>
  <si>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</si>
  <si>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</si>
  <si>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</si>
  <si>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指定画面サイズ（1280 * 768）で表示した際、JSエラーなく表示されること</t>
    <phoneticPr fontId="47"/>
  </si>
  <si>
    <t>－</t>
    <phoneticPr fontId="47"/>
  </si>
  <si>
    <t>テスト結果（Chrome）</t>
    <phoneticPr fontId="47"/>
  </si>
  <si>
    <t>テスト結果（Safari）</t>
    <phoneticPr fontId="47"/>
  </si>
  <si>
    <t>NG</t>
  </si>
  <si>
    <t>NG済</t>
    <rPh sb="2" eb="3">
      <t>ズ</t>
    </rPh>
    <phoneticPr fontId="28"/>
  </si>
  <si>
    <t>IE</t>
  </si>
  <si>
    <t>chrome</t>
  </si>
  <si>
    <t>safari</t>
  </si>
  <si>
    <t>テスト結果（IE）</t>
    <phoneticPr fontId="47"/>
  </si>
  <si>
    <t>レイウアト崩れがないこと</t>
    <rPh sb="5" eb="6">
      <t>クズ</t>
    </rPh>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</si>
  <si>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</si>
  <si>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リクエストパラメータチェックシート</t>
    <phoneticPr fontId="28"/>
  </si>
  <si>
    <t>パラメータ名</t>
    <rPh sb="5" eb="6">
      <t>メイ</t>
    </rPh>
    <phoneticPr fontId="28"/>
  </si>
  <si>
    <t>論理名</t>
    <rPh sb="0" eb="2">
      <t>ロンリ</t>
    </rPh>
    <rPh sb="2" eb="3">
      <t>メイ</t>
    </rPh>
    <phoneticPr fontId="28"/>
  </si>
  <si>
    <t>備考</t>
    <rPh sb="0" eb="2">
      <t>ビコウ</t>
    </rPh>
    <phoneticPr fontId="28"/>
  </si>
  <si>
    <t>（EXE）塚田</t>
    <rPh sb="5" eb="7">
      <t>ツカダ</t>
    </rPh>
    <phoneticPr fontId="147"/>
  </si>
  <si>
    <t>-</t>
    <phoneticPr fontId="47"/>
  </si>
  <si>
    <t>モーダル画面とエラーメッセージが表示されること</t>
    <rPh sb="4" eb="6">
      <t>ガメン</t>
    </rPh>
    <rPh sb="16" eb="18">
      <t>ヒョウジ</t>
    </rPh>
    <phoneticPr fontId="28"/>
  </si>
  <si>
    <t>非表示になること</t>
    <rPh sb="0" eb="3">
      <t>ヒヒョウジ</t>
    </rPh>
    <phoneticPr fontId="28"/>
  </si>
  <si>
    <t>表示されること</t>
    <rPh sb="0" eb="2">
      <t>ヒョウジ</t>
    </rPh>
    <phoneticPr fontId="28"/>
  </si>
  <si>
    <t>初期表示</t>
    <rPh sb="0" eb="2">
      <t>ショキ</t>
    </rPh>
    <rPh sb="2" eb="4">
      <t>ヒョウジ</t>
    </rPh>
    <phoneticPr fontId="47"/>
  </si>
  <si>
    <t>header</t>
    <phoneticPr fontId="28"/>
  </si>
  <si>
    <t>body</t>
    <phoneticPr fontId="28"/>
  </si>
  <si>
    <t>処理結果の確認</t>
    <rPh sb="0" eb="2">
      <t>ショリ</t>
    </rPh>
    <rPh sb="2" eb="4">
      <t>ケッカ</t>
    </rPh>
    <rPh sb="5" eb="7">
      <t>カクニン</t>
    </rPh>
    <phoneticPr fontId="28"/>
  </si>
  <si>
    <t>非活性になっていること</t>
    <rPh sb="0" eb="1">
      <t>ヒ</t>
    </rPh>
    <rPh sb="1" eb="3">
      <t>カッセイ</t>
    </rPh>
    <phoneticPr fontId="28"/>
  </si>
  <si>
    <t>活性化されていること</t>
    <rPh sb="0" eb="3">
      <t>カッセイカ</t>
    </rPh>
    <phoneticPr fontId="28"/>
  </si>
  <si>
    <t>画面表示</t>
    <rPh sb="0" eb="2">
      <t>ガメン</t>
    </rPh>
    <rPh sb="2" eb="4">
      <t>ヒョウジ</t>
    </rPh>
    <phoneticPr fontId="28"/>
  </si>
  <si>
    <t>多言語確認</t>
    <rPh sb="0" eb="3">
      <t>タゲンゴ</t>
    </rPh>
    <rPh sb="3" eb="5">
      <t>カクニン</t>
    </rPh>
    <phoneticPr fontId="28"/>
  </si>
  <si>
    <t>環境設定の言語をロシア語に変更</t>
    <rPh sb="0" eb="2">
      <t>カンキョウ</t>
    </rPh>
    <rPh sb="2" eb="4">
      <t>セッテイ</t>
    </rPh>
    <rPh sb="5" eb="7">
      <t>ゲンゴ</t>
    </rPh>
    <rPh sb="11" eb="12">
      <t>ゴ</t>
    </rPh>
    <rPh sb="13" eb="15">
      <t>ヘンコウ</t>
    </rPh>
    <phoneticPr fontId="28"/>
  </si>
  <si>
    <t>表示項目がロシア語になること</t>
    <rPh sb="0" eb="2">
      <t>ヒョウジ</t>
    </rPh>
    <rPh sb="2" eb="4">
      <t>コウモク</t>
    </rPh>
    <rPh sb="8" eb="9">
      <t>ゴ</t>
    </rPh>
    <phoneticPr fontId="28"/>
  </si>
  <si>
    <t>レイアウトが崩れないこと</t>
    <rPh sb="6" eb="7">
      <t>クズ</t>
    </rPh>
    <phoneticPr fontId="28"/>
  </si>
  <si>
    <t>想定外操作</t>
    <rPh sb="0" eb="2">
      <t>ソウテイ</t>
    </rPh>
    <rPh sb="2" eb="3">
      <t>ガイ</t>
    </rPh>
    <rPh sb="3" eb="5">
      <t>ソウサ</t>
    </rPh>
    <phoneticPr fontId="28"/>
  </si>
  <si>
    <t>ホーム画面に戻ること</t>
    <rPh sb="3" eb="5">
      <t>ガメン</t>
    </rPh>
    <rPh sb="6" eb="7">
      <t>モド</t>
    </rPh>
    <phoneticPr fontId="28"/>
  </si>
  <si>
    <t>再読み込み（Ｆ5）操作</t>
    <rPh sb="0" eb="2">
      <t>サイヨ</t>
    </rPh>
    <rPh sb="3" eb="4">
      <t>コ</t>
    </rPh>
    <rPh sb="9" eb="11">
      <t>ソウサ</t>
    </rPh>
    <phoneticPr fontId="28"/>
  </si>
  <si>
    <t>タブブラウザのセッション復元機能によるページ呼び出し</t>
    <phoneticPr fontId="28"/>
  </si>
  <si>
    <t>ブラウザ再起動</t>
    <rPh sb="4" eb="7">
      <t>サイキドウ</t>
    </rPh>
    <phoneticPr fontId="47"/>
  </si>
  <si>
    <t>画面項目制御（データテーブル）</t>
    <rPh sb="0" eb="2">
      <t>ガメン</t>
    </rPh>
    <rPh sb="2" eb="4">
      <t>コウモク</t>
    </rPh>
    <rPh sb="4" eb="6">
      <t>セイギョ</t>
    </rPh>
    <phoneticPr fontId="28"/>
  </si>
  <si>
    <t>-</t>
  </si>
  <si>
    <t>　　エラー確認</t>
    <rPh sb="5" eb="7">
      <t>カクニン</t>
    </rPh>
    <phoneticPr fontId="47"/>
  </si>
  <si>
    <t>　　正常確認</t>
    <rPh sb="2" eb="4">
      <t>セイジョウ</t>
    </rPh>
    <rPh sb="4" eb="6">
      <t>カクニン</t>
    </rPh>
    <phoneticPr fontId="47"/>
  </si>
  <si>
    <t>環境設定の言語を英語に変更</t>
    <rPh sb="0" eb="2">
      <t>カンキョウ</t>
    </rPh>
    <rPh sb="2" eb="4">
      <t>セッテイ</t>
    </rPh>
    <rPh sb="5" eb="7">
      <t>ゲンゴ</t>
    </rPh>
    <rPh sb="8" eb="10">
      <t>エイゴ</t>
    </rPh>
    <rPh sb="11" eb="13">
      <t>ヘンコウ</t>
    </rPh>
    <phoneticPr fontId="28"/>
  </si>
  <si>
    <t>表示項目が英語になること</t>
    <rPh sb="0" eb="2">
      <t>ヒョウジ</t>
    </rPh>
    <rPh sb="2" eb="4">
      <t>コウモク</t>
    </rPh>
    <rPh sb="5" eb="7">
      <t>エイゴ</t>
    </rPh>
    <phoneticPr fontId="28"/>
  </si>
  <si>
    <t>環境設定の言語をペルシャ語に変更</t>
    <rPh sb="0" eb="2">
      <t>カンキョウ</t>
    </rPh>
    <rPh sb="2" eb="4">
      <t>セッテイ</t>
    </rPh>
    <rPh sb="5" eb="7">
      <t>ゲンゴ</t>
    </rPh>
    <rPh sb="12" eb="13">
      <t>ゴ</t>
    </rPh>
    <rPh sb="14" eb="16">
      <t>ヘンコウ</t>
    </rPh>
    <phoneticPr fontId="28"/>
  </si>
  <si>
    <t>表示項目がペルシャ語になること</t>
    <rPh sb="0" eb="2">
      <t>ヒョウジ</t>
    </rPh>
    <rPh sb="2" eb="4">
      <t>コウモク</t>
    </rPh>
    <rPh sb="9" eb="10">
      <t>ゴ</t>
    </rPh>
    <phoneticPr fontId="28"/>
  </si>
  <si>
    <t>顧客管理番号</t>
  </si>
  <si>
    <t>分類1</t>
  </si>
  <si>
    <t>分類2</t>
  </si>
  <si>
    <t>初期値が表示されること(初期値は取得順で最初のものを表示）</t>
    <rPh sb="0" eb="2">
      <t>ショキ</t>
    </rPh>
    <rPh sb="2" eb="3">
      <t>アタイ</t>
    </rPh>
    <rPh sb="4" eb="6">
      <t>ヒョウジ</t>
    </rPh>
    <rPh sb="12" eb="14">
      <t>ショキ</t>
    </rPh>
    <rPh sb="14" eb="15">
      <t>アタイ</t>
    </rPh>
    <rPh sb="16" eb="18">
      <t>シュトク</t>
    </rPh>
    <rPh sb="18" eb="19">
      <t>ジュン</t>
    </rPh>
    <rPh sb="20" eb="22">
      <t>サイショ</t>
    </rPh>
    <rPh sb="26" eb="28">
      <t>ヒョウジ</t>
    </rPh>
    <phoneticPr fontId="28"/>
  </si>
  <si>
    <t>　　呼び出し失敗</t>
    <rPh sb="2" eb="3">
      <t>ヨ</t>
    </rPh>
    <rPh sb="4" eb="5">
      <t>ダ</t>
    </rPh>
    <rPh sb="6" eb="8">
      <t>シッパイ</t>
    </rPh>
    <phoneticPr fontId="28"/>
  </si>
  <si>
    <t>初期表示</t>
    <rPh sb="0" eb="2">
      <t>ショキ</t>
    </rPh>
    <rPh sb="2" eb="4">
      <t>ヒョウジ</t>
    </rPh>
    <phoneticPr fontId="28"/>
  </si>
  <si>
    <t>活性化されること</t>
    <rPh sb="0" eb="3">
      <t>カッセイカ</t>
    </rPh>
    <phoneticPr fontId="28"/>
  </si>
  <si>
    <t>初期表示</t>
    <phoneticPr fontId="28"/>
  </si>
  <si>
    <t>大項目3</t>
    <rPh sb="0" eb="3">
      <t>ダイコウモク</t>
    </rPh>
    <phoneticPr fontId="28"/>
  </si>
  <si>
    <t>大項目4</t>
    <rPh sb="0" eb="3">
      <t>ダイコウモク</t>
    </rPh>
    <phoneticPr fontId="28"/>
  </si>
  <si>
    <t>大項目2</t>
    <rPh sb="0" eb="3">
      <t>ダイコウモク</t>
    </rPh>
    <phoneticPr fontId="28"/>
  </si>
  <si>
    <t>型式</t>
    <rPh sb="0" eb="2">
      <t>カタシキ</t>
    </rPh>
    <phoneticPr fontId="28"/>
  </si>
  <si>
    <t>KOMTRAXユニット</t>
    <phoneticPr fontId="28"/>
  </si>
  <si>
    <t>グループID</t>
    <phoneticPr fontId="28"/>
  </si>
  <si>
    <t>顧客</t>
    <rPh sb="0" eb="2">
      <t>コキャク</t>
    </rPh>
    <phoneticPr fontId="28"/>
  </si>
  <si>
    <t>備考２</t>
  </si>
  <si>
    <t>備考３</t>
  </si>
  <si>
    <t>備考４</t>
  </si>
  <si>
    <t>備考５</t>
  </si>
  <si>
    <t>分類２ID</t>
  </si>
  <si>
    <t>分類３ID</t>
  </si>
  <si>
    <t>分類４ID</t>
  </si>
  <si>
    <t>分類５ID</t>
  </si>
  <si>
    <t>カスタム車両属性２詳細ID</t>
  </si>
  <si>
    <t>カスタム車両属性３詳細ID</t>
  </si>
  <si>
    <t>カスタム車両属性４詳細ID</t>
  </si>
  <si>
    <t>カスタム車両属性５詳細ID</t>
  </si>
  <si>
    <t>カスタム車両属性６詳細ID</t>
  </si>
  <si>
    <t>カスタム車両属性７詳細ID</t>
  </si>
  <si>
    <t>カスタム車両属性８詳細ID</t>
  </si>
  <si>
    <t>カスタム車両属性９詳細ID</t>
  </si>
  <si>
    <t>カスタム車両属性１０詳細ID</t>
  </si>
  <si>
    <t>夜間予約ロック状態区分</t>
    <phoneticPr fontId="28"/>
  </si>
  <si>
    <t>クリック</t>
    <phoneticPr fontId="47"/>
  </si>
  <si>
    <t>-</t>
    <phoneticPr fontId="28"/>
  </si>
  <si>
    <t>禁則文字チェック</t>
    <rPh sb="0" eb="2">
      <t>キンソク</t>
    </rPh>
    <rPh sb="2" eb="4">
      <t>モジ</t>
    </rPh>
    <phoneticPr fontId="28"/>
  </si>
  <si>
    <t>画面項目名</t>
    <rPh sb="0" eb="2">
      <t>ガメン</t>
    </rPh>
    <rPh sb="2" eb="4">
      <t>コウモク</t>
    </rPh>
    <rPh sb="4" eb="5">
      <t>メイ</t>
    </rPh>
    <phoneticPr fontId="28"/>
  </si>
  <si>
    <t>権限</t>
    <rPh sb="0" eb="2">
      <t>ケンゲン</t>
    </rPh>
    <phoneticPr fontId="28"/>
  </si>
  <si>
    <t>SMS権限あり</t>
    <rPh sb="3" eb="5">
      <t>ケンゲン</t>
    </rPh>
    <phoneticPr fontId="28"/>
  </si>
  <si>
    <t>SMS権限なし</t>
    <rPh sb="3" eb="5">
      <t>ケンゲン</t>
    </rPh>
    <phoneticPr fontId="28"/>
  </si>
  <si>
    <t>AO</t>
    <phoneticPr fontId="28"/>
  </si>
  <si>
    <t>代理店</t>
    <rPh sb="0" eb="3">
      <t>ダイリテン</t>
    </rPh>
    <phoneticPr fontId="28"/>
  </si>
  <si>
    <t>広域顧客</t>
    <rPh sb="0" eb="2">
      <t>コウイキ</t>
    </rPh>
    <rPh sb="2" eb="4">
      <t>コキャク</t>
    </rPh>
    <phoneticPr fontId="28"/>
  </si>
  <si>
    <t>○</t>
  </si>
  <si>
    <t>×</t>
  </si>
  <si>
    <t>権限</t>
    <rPh sb="0" eb="2">
      <t>ケンゲン</t>
    </rPh>
    <phoneticPr fontId="47"/>
  </si>
  <si>
    <t>処理結果</t>
    <rPh sb="0" eb="2">
      <t>ショリ</t>
    </rPh>
    <rPh sb="2" eb="4">
      <t>ケッカ</t>
    </rPh>
    <phoneticPr fontId="28"/>
  </si>
  <si>
    <t>昇順</t>
    <rPh sb="0" eb="2">
      <t>ショウジュン</t>
    </rPh>
    <phoneticPr fontId="28"/>
  </si>
  <si>
    <t>降順</t>
    <rPh sb="0" eb="2">
      <t>コウジュン</t>
    </rPh>
    <phoneticPr fontId="28"/>
  </si>
  <si>
    <t>クリック時の処理</t>
    <rPh sb="4" eb="5">
      <t>ジ</t>
    </rPh>
    <rPh sb="6" eb="8">
      <t>ショリ</t>
    </rPh>
    <phoneticPr fontId="28"/>
  </si>
  <si>
    <t>SMR</t>
  </si>
  <si>
    <t>画面項目制御</t>
    <rPh sb="0" eb="2">
      <t>ガメン</t>
    </rPh>
    <rPh sb="2" eb="4">
      <t>コウモク</t>
    </rPh>
    <rPh sb="4" eb="6">
      <t>セイギョ</t>
    </rPh>
    <phoneticPr fontId="28"/>
  </si>
  <si>
    <t>全選択</t>
    <rPh sb="0" eb="1">
      <t>ゼン</t>
    </rPh>
    <rPh sb="1" eb="3">
      <t>センタク</t>
    </rPh>
    <phoneticPr fontId="28"/>
  </si>
  <si>
    <t>全クリア</t>
    <rPh sb="0" eb="1">
      <t>ゼン</t>
    </rPh>
    <phoneticPr fontId="28"/>
  </si>
  <si>
    <t>入力チェック</t>
    <rPh sb="0" eb="2">
      <t>ニュウリョク</t>
    </rPh>
    <phoneticPr fontId="28"/>
  </si>
  <si>
    <t>数値以外入力できないこと</t>
    <rPh sb="0" eb="2">
      <t>スウチ</t>
    </rPh>
    <rPh sb="2" eb="4">
      <t>イガイ</t>
    </rPh>
    <rPh sb="4" eb="6">
      <t>ニュウリョク</t>
    </rPh>
    <phoneticPr fontId="28"/>
  </si>
  <si>
    <t>非表示になっていること</t>
    <rPh sb="0" eb="3">
      <t>ヒヒョウジ</t>
    </rPh>
    <phoneticPr fontId="28"/>
  </si>
  <si>
    <t>大項目5</t>
    <rPh sb="0" eb="3">
      <t>ダイコウモク</t>
    </rPh>
    <phoneticPr fontId="28"/>
  </si>
  <si>
    <t>前へボタン</t>
    <rPh sb="0" eb="1">
      <t>マエ</t>
    </rPh>
    <phoneticPr fontId="47"/>
  </si>
  <si>
    <t>次へボタン</t>
    <rPh sb="0" eb="1">
      <t>ツギ</t>
    </rPh>
    <phoneticPr fontId="47"/>
  </si>
  <si>
    <t>エラーになること</t>
    <phoneticPr fontId="28"/>
  </si>
  <si>
    <t>完全一致</t>
    <phoneticPr fontId="28"/>
  </si>
  <si>
    <t>お知らせ種類</t>
  </si>
  <si>
    <t>ｴﾘｱ</t>
  </si>
  <si>
    <t>ｴﾘｱｱｲｺﾝ</t>
  </si>
  <si>
    <t>ｾｷｭﾘﾃｨ</t>
  </si>
  <si>
    <t>ｾｷｭﾘﾃｨ旗</t>
  </si>
  <si>
    <t>ｾｷｭﾘﾃｨｱｲｺﾝ</t>
  </si>
  <si>
    <t>その他のお知らせ</t>
  </si>
  <si>
    <t>その他のお知らせ旗</t>
  </si>
  <si>
    <t>その他のお知らせｱｲｺﾝ</t>
  </si>
  <si>
    <t>ｴﾗｰ</t>
  </si>
  <si>
    <t>ｴﾗｰ旗</t>
  </si>
  <si>
    <t>ｱｸｼｮﾝﾚﾍﾞﾙ</t>
  </si>
  <si>
    <t>ｴﾗｰｺｰﾄﾞ選択ｱｲｺﾝ</t>
  </si>
  <si>
    <t>ｴﾝｼﾞﾝ始動直後のｴﾗｰを無視</t>
  </si>
  <si>
    <t>ｺｰｼｮﾝ</t>
  </si>
  <si>
    <t>ｺｰｼｮﾝ旗</t>
  </si>
  <si>
    <t>交換時期</t>
  </si>
  <si>
    <t>交換時期旗</t>
  </si>
  <si>
    <t>交換時期種類</t>
  </si>
  <si>
    <t>交換時期ｱｲｺﾝ</t>
  </si>
  <si>
    <t>SMRﾒｯｾｰｼﾞ追加ｱｲｺﾝ</t>
  </si>
  <si>
    <t>一度のみ</t>
  </si>
  <si>
    <t>送信SMR時間</t>
  </si>
  <si>
    <t>期日</t>
  </si>
  <si>
    <t>ｲﾝﾀｰﾊﾞﾙ</t>
  </si>
  <si>
    <t>ｲﾝﾀｰﾊﾞﾙ時間</t>
  </si>
  <si>
    <t>送信ﾘﾐｯﾄ</t>
  </si>
  <si>
    <t>ｵﾌｾｯﾄ</t>
  </si>
  <si>
    <t>ｺﾝﾃﾞｨｼｮﾝﾍﾞｰｽの送信に切り替える</t>
  </si>
  <si>
    <t>ｲﾝﾀｰﾊﾞﾙ送信ﾘﾐｯﾄ</t>
  </si>
  <si>
    <t>ｲﾝﾀｰﾊﾞﾙ送信(OR)期日設定</t>
  </si>
  <si>
    <t>期日 ※自動表示</t>
  </si>
  <si>
    <t>ﾒｰﾙﾀｲﾄﾙに旗色表示</t>
  </si>
  <si>
    <t>ﾒｰﾙﾀｲﾄﾙにｴﾗｰｺｰﾄﾞを表示</t>
  </si>
  <si>
    <t>ﾒｰﾙﾀｲﾄﾙにｾｷｭﾘﾃｨ区分を表示</t>
  </si>
  <si>
    <t>△</t>
  </si>
  <si>
    <t>顧客車両番号(ﾁｪｯｸﾎﾞｯｸｽ)</t>
    <phoneticPr fontId="28"/>
  </si>
  <si>
    <t>顧客車両番号(ｵﾌﾟｼｮﾝ)</t>
    <phoneticPr fontId="28"/>
  </si>
  <si>
    <t>チェックOFF</t>
    <phoneticPr fontId="28"/>
  </si>
  <si>
    <t>エリアプルダウン</t>
    <phoneticPr fontId="28"/>
  </si>
  <si>
    <t>非活性になること</t>
    <rPh sb="0" eb="1">
      <t>ヒ</t>
    </rPh>
    <rPh sb="1" eb="3">
      <t>カッセイ</t>
    </rPh>
    <phoneticPr fontId="28"/>
  </si>
  <si>
    <t>エリアプルダウン</t>
    <phoneticPr fontId="28"/>
  </si>
  <si>
    <t>プルダウン</t>
    <phoneticPr fontId="28"/>
  </si>
  <si>
    <t>選択エリア</t>
    <rPh sb="0" eb="2">
      <t>センタク</t>
    </rPh>
    <phoneticPr fontId="47"/>
  </si>
  <si>
    <t>チェックされていないこと</t>
    <phoneticPr fontId="28"/>
  </si>
  <si>
    <t>別シート"リクエストパラメータチェックシート：リソース取得API "参照</t>
    <phoneticPr fontId="28"/>
  </si>
  <si>
    <t>別シート"リクエストパラメータチェックシート：その他お知らせ項目取得API"参照</t>
    <phoneticPr fontId="28"/>
  </si>
  <si>
    <t>前ページボタン</t>
    <rPh sb="0" eb="1">
      <t>マエ</t>
    </rPh>
    <phoneticPr fontId="28"/>
  </si>
  <si>
    <t>非表示</t>
    <rPh sb="0" eb="3">
      <t>ヒヒョウジ</t>
    </rPh>
    <phoneticPr fontId="28"/>
  </si>
  <si>
    <t>次ページボタン</t>
    <rPh sb="0" eb="1">
      <t>ツギ</t>
    </rPh>
    <phoneticPr fontId="28"/>
  </si>
  <si>
    <t>ページ番号</t>
    <rPh sb="3" eb="5">
      <t>バンゴウ</t>
    </rPh>
    <phoneticPr fontId="28"/>
  </si>
  <si>
    <t>担当DB</t>
    <rPh sb="0" eb="2">
      <t>タントウ</t>
    </rPh>
    <phoneticPr fontId="28"/>
  </si>
  <si>
    <t>チェックボックス（ヘッダ部）</t>
    <rPh sb="12" eb="13">
      <t>ブ</t>
    </rPh>
    <phoneticPr fontId="47"/>
  </si>
  <si>
    <t>取得結果0件</t>
    <rPh sb="0" eb="2">
      <t>シュトク</t>
    </rPh>
    <rPh sb="2" eb="4">
      <t>ケッカ</t>
    </rPh>
    <rPh sb="5" eb="6">
      <t>ケン</t>
    </rPh>
    <phoneticPr fontId="28"/>
  </si>
  <si>
    <t>データテーブルに「データがありません。」と表示されること</t>
    <rPh sb="21" eb="23">
      <t>ヒョウジ</t>
    </rPh>
    <phoneticPr fontId="28"/>
  </si>
  <si>
    <t>取得結果1件以上</t>
    <rPh sb="0" eb="2">
      <t>シュトク</t>
    </rPh>
    <rPh sb="2" eb="4">
      <t>ケッカ</t>
    </rPh>
    <rPh sb="5" eb="6">
      <t>ケン</t>
    </rPh>
    <rPh sb="6" eb="8">
      <t>イジョウ</t>
    </rPh>
    <phoneticPr fontId="28"/>
  </si>
  <si>
    <t>チェックボックス(ヘッダ部)</t>
    <rPh sb="12" eb="13">
      <t>ブ</t>
    </rPh>
    <phoneticPr fontId="28"/>
  </si>
  <si>
    <t>No.</t>
    <phoneticPr fontId="28"/>
  </si>
  <si>
    <t>範囲名称</t>
    <rPh sb="0" eb="2">
      <t>ハンイ</t>
    </rPh>
    <rPh sb="2" eb="4">
      <t>メイショウ</t>
    </rPh>
    <phoneticPr fontId="28"/>
  </si>
  <si>
    <t>設定</t>
    <rPh sb="0" eb="2">
      <t>セッテイ</t>
    </rPh>
    <phoneticPr fontId="28"/>
  </si>
  <si>
    <t>東西</t>
    <rPh sb="0" eb="2">
      <t>トウザイ</t>
    </rPh>
    <phoneticPr fontId="28"/>
  </si>
  <si>
    <t>南北</t>
    <rPh sb="0" eb="2">
      <t>ナンボク</t>
    </rPh>
    <phoneticPr fontId="28"/>
  </si>
  <si>
    <t>NO.</t>
    <phoneticPr fontId="28"/>
  </si>
  <si>
    <t>データテーブルにAPIの取得結果が表示されること</t>
    <rPh sb="12" eb="14">
      <t>シュトク</t>
    </rPh>
    <rPh sb="14" eb="16">
      <t>ケッカ</t>
    </rPh>
    <rPh sb="17" eb="19">
      <t>ヒョウジ</t>
    </rPh>
    <phoneticPr fontId="28"/>
  </si>
  <si>
    <t>APIで取得した値がセットされること</t>
    <rPh sb="4" eb="6">
      <t>シュトク</t>
    </rPh>
    <rPh sb="8" eb="9">
      <t>アタイ</t>
    </rPh>
    <phoneticPr fontId="28"/>
  </si>
  <si>
    <t>APIで取得した値が一覧にセットされること</t>
    <rPh sb="4" eb="6">
      <t>シュトク</t>
    </rPh>
    <rPh sb="8" eb="9">
      <t>アタイ</t>
    </rPh>
    <rPh sb="10" eb="12">
      <t>イチラン</t>
    </rPh>
    <phoneticPr fontId="28"/>
  </si>
  <si>
    <t>エリア一覧</t>
    <rPh sb="3" eb="5">
      <t>イチラン</t>
    </rPh>
    <phoneticPr fontId="28"/>
  </si>
  <si>
    <t>件数</t>
    <rPh sb="0" eb="2">
      <t>ケンスウ</t>
    </rPh>
    <phoneticPr fontId="28"/>
  </si>
  <si>
    <t>クリック前から1ページ前になっていること</t>
    <rPh sb="4" eb="5">
      <t>マエ</t>
    </rPh>
    <rPh sb="11" eb="12">
      <t>マエ</t>
    </rPh>
    <phoneticPr fontId="28"/>
  </si>
  <si>
    <t>クリック前から1ページ分件数が減っていること</t>
    <rPh sb="4" eb="5">
      <t>マエ</t>
    </rPh>
    <rPh sb="11" eb="12">
      <t>ブン</t>
    </rPh>
    <rPh sb="12" eb="14">
      <t>ケンスウ</t>
    </rPh>
    <rPh sb="15" eb="16">
      <t>ヘ</t>
    </rPh>
    <phoneticPr fontId="28"/>
  </si>
  <si>
    <t>クリック前から1ページ後になっていること</t>
    <rPh sb="4" eb="5">
      <t>マエ</t>
    </rPh>
    <rPh sb="11" eb="12">
      <t>アト</t>
    </rPh>
    <phoneticPr fontId="28"/>
  </si>
  <si>
    <t>クリック前から1ページ分件数が増えていること</t>
    <rPh sb="4" eb="5">
      <t>マエ</t>
    </rPh>
    <rPh sb="11" eb="12">
      <t>ブン</t>
    </rPh>
    <rPh sb="12" eb="14">
      <t>ケンスウ</t>
    </rPh>
    <rPh sb="15" eb="16">
      <t>フ</t>
    </rPh>
    <phoneticPr fontId="28"/>
  </si>
  <si>
    <t>ユーザ：SAO/AO</t>
    <phoneticPr fontId="28"/>
  </si>
  <si>
    <t>ユーザ：共通</t>
    <rPh sb="4" eb="6">
      <t>キョウツウ</t>
    </rPh>
    <phoneticPr fontId="28"/>
  </si>
  <si>
    <t>並び順</t>
    <rPh sb="0" eb="1">
      <t>ナラ</t>
    </rPh>
    <rPh sb="2" eb="3">
      <t>ジュン</t>
    </rPh>
    <phoneticPr fontId="28"/>
  </si>
  <si>
    <t>リソース取得API
呼び出し</t>
    <rPh sb="4" eb="6">
      <t>シュトク</t>
    </rPh>
    <rPh sb="10" eb="11">
      <t>ヨ</t>
    </rPh>
    <rPh sb="12" eb="13">
      <t>ダ</t>
    </rPh>
    <phoneticPr fontId="28"/>
  </si>
  <si>
    <t>別シート"リクエストパラメータチェックシート：その他お知らせ項目取得API"参照</t>
    <phoneticPr fontId="28"/>
  </si>
  <si>
    <t>その他お知らせ項目取得API呼び出し</t>
    <rPh sb="2" eb="3">
      <t>タ</t>
    </rPh>
    <rPh sb="4" eb="5">
      <t>シ</t>
    </rPh>
    <rPh sb="7" eb="9">
      <t>コウモク</t>
    </rPh>
    <rPh sb="9" eb="11">
      <t>シュトク</t>
    </rPh>
    <rPh sb="14" eb="15">
      <t>ヨ</t>
    </rPh>
    <rPh sb="16" eb="17">
      <t>ダ</t>
    </rPh>
    <phoneticPr fontId="28"/>
  </si>
  <si>
    <t>-</t>
    <phoneticPr fontId="47"/>
  </si>
  <si>
    <t>セキュリティプルダウン</t>
  </si>
  <si>
    <t>セキュリティコード画面</t>
    <rPh sb="9" eb="11">
      <t>ガメン</t>
    </rPh>
    <phoneticPr fontId="28"/>
  </si>
  <si>
    <t>データテーブル</t>
    <phoneticPr fontId="28"/>
  </si>
  <si>
    <t>－</t>
    <phoneticPr fontId="47"/>
  </si>
  <si>
    <t>別シート"リクエストパラメータチェックシート：その他お知らせ項目取得API"参照</t>
    <phoneticPr fontId="28"/>
  </si>
  <si>
    <t>その他お知らせ項目取得APIで取得したデータが表示されていること</t>
    <rPh sb="2" eb="3">
      <t>タ</t>
    </rPh>
    <rPh sb="4" eb="5">
      <t>シ</t>
    </rPh>
    <rPh sb="7" eb="9">
      <t>コウモク</t>
    </rPh>
    <rPh sb="9" eb="11">
      <t>シュトク</t>
    </rPh>
    <rPh sb="15" eb="17">
      <t>シュトク</t>
    </rPh>
    <rPh sb="23" eb="25">
      <t>ヒョウジ</t>
    </rPh>
    <phoneticPr fontId="28"/>
  </si>
  <si>
    <t>OKボタン</t>
    <phoneticPr fontId="28"/>
  </si>
  <si>
    <t>セキュリティコード画面を閉じること</t>
    <rPh sb="9" eb="11">
      <t>ガメン</t>
    </rPh>
    <rPh sb="12" eb="13">
      <t>ト</t>
    </rPh>
    <phoneticPr fontId="28"/>
  </si>
  <si>
    <t>キャンセルボタン</t>
    <phoneticPr fontId="28"/>
  </si>
  <si>
    <t>お知らせ</t>
    <rPh sb="1" eb="2">
      <t>シ</t>
    </rPh>
    <phoneticPr fontId="28"/>
  </si>
  <si>
    <t>APIの値がセットされていること</t>
    <rPh sb="4" eb="5">
      <t>アタイ</t>
    </rPh>
    <phoneticPr fontId="28"/>
  </si>
  <si>
    <t>チェックON</t>
    <phoneticPr fontId="28"/>
  </si>
  <si>
    <t>表示されている明細部のチェックが全てONになること</t>
    <rPh sb="0" eb="2">
      <t>ヒョウジ</t>
    </rPh>
    <rPh sb="7" eb="9">
      <t>メイサイ</t>
    </rPh>
    <rPh sb="9" eb="10">
      <t>ブ</t>
    </rPh>
    <rPh sb="16" eb="17">
      <t>スベ</t>
    </rPh>
    <phoneticPr fontId="28"/>
  </si>
  <si>
    <t>表示されている明細部のチェックが全てOFFになること</t>
    <rPh sb="0" eb="2">
      <t>ヒョウジ</t>
    </rPh>
    <rPh sb="7" eb="9">
      <t>メイサイ</t>
    </rPh>
    <rPh sb="9" eb="10">
      <t>ブ</t>
    </rPh>
    <rPh sb="16" eb="17">
      <t>スベ</t>
    </rPh>
    <phoneticPr fontId="28"/>
  </si>
  <si>
    <t>チェックボックス（明細部）</t>
    <rPh sb="9" eb="11">
      <t>メイサイ</t>
    </rPh>
    <rPh sb="11" eb="12">
      <t>ブ</t>
    </rPh>
    <phoneticPr fontId="47"/>
  </si>
  <si>
    <t>ヘッダ部のチェックがONになること</t>
    <rPh sb="3" eb="4">
      <t>ブ</t>
    </rPh>
    <phoneticPr fontId="28"/>
  </si>
  <si>
    <t>ヘッダ部のチェックがOFFになること</t>
    <rPh sb="3" eb="4">
      <t>ブ</t>
    </rPh>
    <phoneticPr fontId="28"/>
  </si>
  <si>
    <t>初期値(新規作成時)</t>
    <rPh sb="4" eb="6">
      <t>シンキ</t>
    </rPh>
    <rPh sb="6" eb="8">
      <t>サクセイ</t>
    </rPh>
    <rPh sb="8" eb="9">
      <t>ジ</t>
    </rPh>
    <phoneticPr fontId="47"/>
  </si>
  <si>
    <t>その他のお知らせプルダウン</t>
  </si>
  <si>
    <t>再度画面を表示し、設定が変更されていないこと</t>
    <rPh sb="9" eb="11">
      <t>セッテイ</t>
    </rPh>
    <rPh sb="12" eb="14">
      <t>ヘンコウ</t>
    </rPh>
    <phoneticPr fontId="28"/>
  </si>
  <si>
    <t>再度画面を表示し、設定が保存されていること</t>
    <rPh sb="0" eb="2">
      <t>サイド</t>
    </rPh>
    <rPh sb="2" eb="4">
      <t>ガメン</t>
    </rPh>
    <rPh sb="5" eb="7">
      <t>ヒョウジ</t>
    </rPh>
    <rPh sb="9" eb="11">
      <t>セッテイ</t>
    </rPh>
    <rPh sb="12" eb="14">
      <t>ホゾン</t>
    </rPh>
    <phoneticPr fontId="28"/>
  </si>
  <si>
    <t>エラー旗プルダウン</t>
    <rPh sb="3" eb="4">
      <t>ハタ</t>
    </rPh>
    <phoneticPr fontId="28"/>
  </si>
  <si>
    <t>エラー旗プルダウン</t>
    <phoneticPr fontId="28"/>
  </si>
  <si>
    <t>アクションレベル</t>
    <phoneticPr fontId="28"/>
  </si>
  <si>
    <t>エンジン始動直後のエラー無視</t>
    <phoneticPr fontId="28"/>
  </si>
  <si>
    <t>車両エラー画面</t>
    <rPh sb="0" eb="2">
      <t>シャリョウ</t>
    </rPh>
    <rPh sb="5" eb="7">
      <t>ガメン</t>
    </rPh>
    <phoneticPr fontId="28"/>
  </si>
  <si>
    <t>クリック</t>
    <phoneticPr fontId="28"/>
  </si>
  <si>
    <t>空白になっていること</t>
    <rPh sb="0" eb="2">
      <t>クウハク</t>
    </rPh>
    <phoneticPr fontId="28"/>
  </si>
  <si>
    <t>必須チェック</t>
    <rPh sb="0" eb="2">
      <t>ヒッス</t>
    </rPh>
    <phoneticPr fontId="28"/>
  </si>
  <si>
    <t>車両エラー画面を閉じること</t>
    <rPh sb="5" eb="7">
      <t>ガメン</t>
    </rPh>
    <rPh sb="8" eb="9">
      <t>ト</t>
    </rPh>
    <phoneticPr fontId="28"/>
  </si>
  <si>
    <t>車両エラー画面が閉じること</t>
    <rPh sb="8" eb="9">
      <t>ト</t>
    </rPh>
    <phoneticPr fontId="28"/>
  </si>
  <si>
    <t>コーションプルダウン</t>
  </si>
  <si>
    <t>交換時期旗プルダウン</t>
    <rPh sb="4" eb="5">
      <t>ハタ</t>
    </rPh>
    <phoneticPr fontId="28"/>
  </si>
  <si>
    <t>大項目6</t>
    <rPh sb="0" eb="3">
      <t>ダイコウモク</t>
    </rPh>
    <phoneticPr fontId="28"/>
  </si>
  <si>
    <t>交換時期一覧</t>
    <rPh sb="0" eb="2">
      <t>コウカン</t>
    </rPh>
    <rPh sb="2" eb="4">
      <t>ジキ</t>
    </rPh>
    <rPh sb="4" eb="6">
      <t>イチラン</t>
    </rPh>
    <phoneticPr fontId="28"/>
  </si>
  <si>
    <t>全てのチェックボックスがチェックONになること</t>
    <rPh sb="0" eb="1">
      <t>スベ</t>
    </rPh>
    <phoneticPr fontId="28"/>
  </si>
  <si>
    <t>全てのチェックボックスがチェックOFFになること</t>
    <rPh sb="0" eb="1">
      <t>スベ</t>
    </rPh>
    <phoneticPr fontId="28"/>
  </si>
  <si>
    <t>必須入力チェック</t>
    <rPh sb="0" eb="2">
      <t>ヒッス</t>
    </rPh>
    <rPh sb="2" eb="4">
      <t>ニュウリョク</t>
    </rPh>
    <phoneticPr fontId="28"/>
  </si>
  <si>
    <t>-</t>
    <phoneticPr fontId="28"/>
  </si>
  <si>
    <t>一度のみ(ラジオボタン)</t>
    <rPh sb="0" eb="2">
      <t>イチド</t>
    </rPh>
    <phoneticPr fontId="28"/>
  </si>
  <si>
    <t>活性化すること</t>
    <rPh sb="0" eb="3">
      <t>カッセイカ</t>
    </rPh>
    <phoneticPr fontId="28"/>
  </si>
  <si>
    <t>ｲﾝﾀｰﾊﾞﾙ</t>
    <phoneticPr fontId="28"/>
  </si>
  <si>
    <t>大項目7</t>
    <rPh sb="0" eb="3">
      <t>ダイコウモク</t>
    </rPh>
    <phoneticPr fontId="28"/>
  </si>
  <si>
    <t>SMR画面</t>
    <rPh sb="3" eb="5">
      <t>ガメン</t>
    </rPh>
    <phoneticPr fontId="28"/>
  </si>
  <si>
    <t>タイトル</t>
    <phoneticPr fontId="47"/>
  </si>
  <si>
    <t>カスタムメッセージテキスト</t>
    <phoneticPr fontId="47"/>
  </si>
  <si>
    <t>開始</t>
    <rPh sb="0" eb="2">
      <t>カイシ</t>
    </rPh>
    <phoneticPr fontId="28"/>
  </si>
  <si>
    <t>終了</t>
    <rPh sb="0" eb="2">
      <t>シュウリョウ</t>
    </rPh>
    <phoneticPr fontId="28"/>
  </si>
  <si>
    <t>追加ボタンクリック時、空白の場合、エラーになること</t>
    <rPh sb="0" eb="1">
      <t>ツイカ</t>
    </rPh>
    <phoneticPr fontId="28"/>
  </si>
  <si>
    <t>追加ボタンクリック時、半角カナが含まれていた場合、エラーになること</t>
    <rPh sb="11" eb="13">
      <t>ハンカク</t>
    </rPh>
    <rPh sb="16" eb="17">
      <t>フク</t>
    </rPh>
    <rPh sb="22" eb="24">
      <t>バアイ</t>
    </rPh>
    <phoneticPr fontId="28"/>
  </si>
  <si>
    <t>別シート"リクエストパラメータチェックシート：SMRメッセージ一覧取得API"参照</t>
    <phoneticPr fontId="28"/>
  </si>
  <si>
    <t>エラーメッセージを表示する</t>
    <rPh sb="9" eb="11">
      <t>ヒョウジ</t>
    </rPh>
    <phoneticPr fontId="28"/>
  </si>
  <si>
    <t>タイトル</t>
    <phoneticPr fontId="28"/>
  </si>
  <si>
    <t>カスタムメッセージテキスト</t>
    <phoneticPr fontId="28"/>
  </si>
  <si>
    <t>SMRメッセージ一覧取得APIで取得したデータが反映されていること</t>
    <rPh sb="16" eb="18">
      <t>シュトク</t>
    </rPh>
    <rPh sb="24" eb="26">
      <t>ハンエイ</t>
    </rPh>
    <phoneticPr fontId="28"/>
  </si>
  <si>
    <t>画面項目制御（SMRメッセージの選択）</t>
    <rPh sb="0" eb="2">
      <t>ガメン</t>
    </rPh>
    <rPh sb="2" eb="4">
      <t>コウモク</t>
    </rPh>
    <rPh sb="4" eb="6">
      <t>セイギョ</t>
    </rPh>
    <phoneticPr fontId="28"/>
  </si>
  <si>
    <t>SMRメッセージ選択一覧</t>
    <rPh sb="8" eb="10">
      <t>センタク</t>
    </rPh>
    <rPh sb="10" eb="12">
      <t>イチラン</t>
    </rPh>
    <phoneticPr fontId="28"/>
  </si>
  <si>
    <t>ボタン制御</t>
    <rPh sb="3" eb="5">
      <t>セイギョ</t>
    </rPh>
    <phoneticPr fontId="28"/>
  </si>
  <si>
    <t>活性化していること</t>
    <rPh sb="0" eb="3">
      <t>カッセイカ</t>
    </rPh>
    <phoneticPr fontId="28"/>
  </si>
  <si>
    <t>初期表示</t>
    <phoneticPr fontId="28"/>
  </si>
  <si>
    <t>チェックボックス(明細部)</t>
    <rPh sb="9" eb="11">
      <t>メイサイ</t>
    </rPh>
    <rPh sb="11" eb="12">
      <t>ブ</t>
    </rPh>
    <phoneticPr fontId="28"/>
  </si>
  <si>
    <t>全てのチェックボックスがチェックされること</t>
    <rPh sb="0" eb="1">
      <t>スベ</t>
    </rPh>
    <phoneticPr fontId="28"/>
  </si>
  <si>
    <t>全てのチェックボックスのチェックが外れること</t>
    <rPh sb="0" eb="1">
      <t>スベ</t>
    </rPh>
    <rPh sb="17" eb="18">
      <t>ハズ</t>
    </rPh>
    <phoneticPr fontId="28"/>
  </si>
  <si>
    <t>下へボタン</t>
    <rPh sb="0" eb="1">
      <t>シタ</t>
    </rPh>
    <phoneticPr fontId="28"/>
  </si>
  <si>
    <t>削除アイコン</t>
    <rPh sb="0" eb="2">
      <t>サクジョ</t>
    </rPh>
    <phoneticPr fontId="28"/>
  </si>
  <si>
    <t>大項目8</t>
    <rPh sb="0" eb="3">
      <t>ダイコウモク</t>
    </rPh>
    <phoneticPr fontId="28"/>
  </si>
  <si>
    <t>SMR削除画面</t>
    <rPh sb="3" eb="5">
      <t>サクジョ</t>
    </rPh>
    <rPh sb="5" eb="7">
      <t>ガメン</t>
    </rPh>
    <phoneticPr fontId="28"/>
  </si>
  <si>
    <t>SMRメッセージ削除一覧</t>
    <rPh sb="8" eb="10">
      <t>サクジョ</t>
    </rPh>
    <rPh sb="10" eb="12">
      <t>イチラン</t>
    </rPh>
    <phoneticPr fontId="28"/>
  </si>
  <si>
    <t>（大項目1）</t>
    <phoneticPr fontId="47"/>
  </si>
  <si>
    <t>SMR画面の削除アイコンで選択したメッセージの情報が表示されていること</t>
    <rPh sb="3" eb="5">
      <t>ガメン</t>
    </rPh>
    <rPh sb="6" eb="8">
      <t>サクジョ</t>
    </rPh>
    <rPh sb="13" eb="15">
      <t>センタク</t>
    </rPh>
    <rPh sb="23" eb="25">
      <t>ジョウホウ</t>
    </rPh>
    <rPh sb="26" eb="28">
      <t>ヒョウジ</t>
    </rPh>
    <phoneticPr fontId="28"/>
  </si>
  <si>
    <t>SMR削除画面を閉じること</t>
    <rPh sb="3" eb="5">
      <t>サクジョ</t>
    </rPh>
    <rPh sb="5" eb="7">
      <t>ガメン</t>
    </rPh>
    <rPh sb="8" eb="9">
      <t>ト</t>
    </rPh>
    <phoneticPr fontId="28"/>
  </si>
  <si>
    <t>SMR画面のSMRメッセージの選択一覧から、データが削除されていないこと</t>
    <rPh sb="3" eb="5">
      <t>ガメン</t>
    </rPh>
    <rPh sb="17" eb="19">
      <t>イチラン</t>
    </rPh>
    <rPh sb="26" eb="28">
      <t>サクジョ</t>
    </rPh>
    <phoneticPr fontId="28"/>
  </si>
  <si>
    <t>エラーになること</t>
    <phoneticPr fontId="28"/>
  </si>
  <si>
    <t>SMR画面の削除アイコンで選択したメッセージが削除されていること</t>
    <rPh sb="3" eb="5">
      <t>ガメン</t>
    </rPh>
    <rPh sb="6" eb="8">
      <t>サクジョ</t>
    </rPh>
    <rPh sb="13" eb="15">
      <t>センタク</t>
    </rPh>
    <rPh sb="23" eb="25">
      <t>サクジョ</t>
    </rPh>
    <phoneticPr fontId="28"/>
  </si>
  <si>
    <t>チェックされること</t>
    <phoneticPr fontId="28"/>
  </si>
  <si>
    <t>チェックされないこと</t>
    <phoneticPr fontId="28"/>
  </si>
  <si>
    <t>選択されたSMRメッセージ一覧</t>
    <rPh sb="0" eb="2">
      <t>センタク</t>
    </rPh>
    <rPh sb="13" eb="15">
      <t>イチラン</t>
    </rPh>
    <phoneticPr fontId="47"/>
  </si>
  <si>
    <t>SMRメッセージの選択一覧で選択したデータが表示されること</t>
    <rPh sb="11" eb="13">
      <t>イチラン</t>
    </rPh>
    <rPh sb="14" eb="16">
      <t>センタク</t>
    </rPh>
    <rPh sb="22" eb="24">
      <t>ヒョウジ</t>
    </rPh>
    <phoneticPr fontId="28"/>
  </si>
  <si>
    <t>上へボタン</t>
    <rPh sb="0" eb="1">
      <t>ウエ</t>
    </rPh>
    <phoneticPr fontId="28"/>
  </si>
  <si>
    <t>SMRメッセージの選択一覧</t>
    <rPh sb="9" eb="11">
      <t>センタク</t>
    </rPh>
    <rPh sb="11" eb="13">
      <t>イチラン</t>
    </rPh>
    <phoneticPr fontId="47"/>
  </si>
  <si>
    <t>選択したデータが表示されていないこと</t>
    <rPh sb="0" eb="2">
      <t>センタク</t>
    </rPh>
    <rPh sb="8" eb="10">
      <t>ヒョウジ</t>
    </rPh>
    <phoneticPr fontId="28"/>
  </si>
  <si>
    <t>選択されたSMRメッセージ一覧で選択したデータが表示されること</t>
    <rPh sb="0" eb="2">
      <t>センタク</t>
    </rPh>
    <rPh sb="13" eb="15">
      <t>イチラン</t>
    </rPh>
    <rPh sb="16" eb="18">
      <t>センタク</t>
    </rPh>
    <rPh sb="24" eb="26">
      <t>ヒョウジ</t>
    </rPh>
    <phoneticPr fontId="28"/>
  </si>
  <si>
    <t>画面項目制御（選択されたSMRメッセージ）</t>
    <rPh sb="0" eb="2">
      <t>ガメン</t>
    </rPh>
    <rPh sb="2" eb="4">
      <t>コウモク</t>
    </rPh>
    <rPh sb="4" eb="6">
      <t>セイギョ</t>
    </rPh>
    <phoneticPr fontId="28"/>
  </si>
  <si>
    <t>OKボタン</t>
    <phoneticPr fontId="47"/>
  </si>
  <si>
    <t>モニタ表示、お知らせ表示のどちらかがチェックされていなければエラーになること</t>
    <rPh sb="7" eb="8">
      <t>シ</t>
    </rPh>
    <rPh sb="10" eb="12">
      <t>ヒョウジ</t>
    </rPh>
    <phoneticPr fontId="28"/>
  </si>
  <si>
    <t>SMR画面を閉じること</t>
    <rPh sb="6" eb="7">
      <t>ト</t>
    </rPh>
    <phoneticPr fontId="28"/>
  </si>
  <si>
    <t>メールタイトルに旗色表示</t>
    <phoneticPr fontId="28"/>
  </si>
  <si>
    <t>メールタイトルにエラーコードを表示</t>
    <phoneticPr fontId="28"/>
  </si>
  <si>
    <t>送信SMR時間</t>
    <phoneticPr fontId="28"/>
  </si>
  <si>
    <t>期日</t>
    <phoneticPr fontId="28"/>
  </si>
  <si>
    <t>ｲﾝﾀｰﾊﾞﾙ時間</t>
    <phoneticPr fontId="28"/>
  </si>
  <si>
    <t>送信ﾘﾐｯﾄ</t>
    <phoneticPr fontId="28"/>
  </si>
  <si>
    <t>ｵﾌｾｯﾄ</t>
    <phoneticPr fontId="28"/>
  </si>
  <si>
    <t>ｺﾝﾃﾞｨｼｮﾝﾍﾞｰｽの送信に切り替える</t>
    <phoneticPr fontId="28"/>
  </si>
  <si>
    <t>ｲﾝﾀｰﾊﾞﾙ送信(OR)期日設定</t>
    <phoneticPr fontId="28"/>
  </si>
  <si>
    <t>チェックOFF</t>
    <phoneticPr fontId="28"/>
  </si>
  <si>
    <t>数値制御</t>
    <rPh sb="0" eb="2">
      <t>スウチ</t>
    </rPh>
    <rPh sb="2" eb="4">
      <t>セイギョ</t>
    </rPh>
    <phoneticPr fontId="28"/>
  </si>
  <si>
    <t>文字数制御</t>
    <rPh sb="0" eb="3">
      <t>モジスウ</t>
    </rPh>
    <rPh sb="3" eb="5">
      <t>セイギョ</t>
    </rPh>
    <phoneticPr fontId="28"/>
  </si>
  <si>
    <t>-</t>
    <phoneticPr fontId="28"/>
  </si>
  <si>
    <t>最大入力文字数が2文字であること</t>
    <rPh sb="0" eb="2">
      <t>サイダイ</t>
    </rPh>
    <rPh sb="2" eb="4">
      <t>ニュウリョク</t>
    </rPh>
    <rPh sb="4" eb="7">
      <t>モジスウ</t>
    </rPh>
    <rPh sb="9" eb="11">
      <t>モジ</t>
    </rPh>
    <phoneticPr fontId="28"/>
  </si>
  <si>
    <t>最大入力文字数が5文字であること</t>
    <rPh sb="0" eb="2">
      <t>サイダイ</t>
    </rPh>
    <rPh sb="2" eb="4">
      <t>ニュウリョク</t>
    </rPh>
    <rPh sb="4" eb="7">
      <t>モジスウ</t>
    </rPh>
    <rPh sb="9" eb="11">
      <t>モジ</t>
    </rPh>
    <phoneticPr fontId="28"/>
  </si>
  <si>
    <t>最大入力文字数が3文字であること</t>
    <rPh sb="0" eb="2">
      <t>サイダイ</t>
    </rPh>
    <rPh sb="2" eb="4">
      <t>ニュウリョク</t>
    </rPh>
    <rPh sb="4" eb="7">
      <t>モジスウ</t>
    </rPh>
    <rPh sb="9" eb="11">
      <t>モジ</t>
    </rPh>
    <phoneticPr fontId="28"/>
  </si>
  <si>
    <t>インターバル送信リミット</t>
    <phoneticPr fontId="28"/>
  </si>
  <si>
    <t>チェックOFFになっていること</t>
    <phoneticPr fontId="28"/>
  </si>
  <si>
    <t>入力値チェック</t>
    <rPh sb="0" eb="3">
      <t>ニュウリョクチ</t>
    </rPh>
    <phoneticPr fontId="28"/>
  </si>
  <si>
    <t>表示確認</t>
    <rPh sb="0" eb="2">
      <t>ヒョウジ</t>
    </rPh>
    <rPh sb="2" eb="4">
      <t>カクニン</t>
    </rPh>
    <phoneticPr fontId="28"/>
  </si>
  <si>
    <t>時間の最大値は、10000になっていること</t>
    <rPh sb="0" eb="2">
      <t>ジカン</t>
    </rPh>
    <rPh sb="3" eb="6">
      <t>サイダイチ</t>
    </rPh>
    <phoneticPr fontId="28"/>
  </si>
  <si>
    <t>時間の最大値は、送信リミットになっていること</t>
    <rPh sb="0" eb="2">
      <t>ジカン</t>
    </rPh>
    <rPh sb="3" eb="6">
      <t>サイダイチ</t>
    </rPh>
    <phoneticPr fontId="28"/>
  </si>
  <si>
    <t>期日が表示されないこと</t>
    <rPh sb="0" eb="2">
      <t>キジツ</t>
    </rPh>
    <rPh sb="3" eb="5">
      <t>ヒョウジ</t>
    </rPh>
    <phoneticPr fontId="28"/>
  </si>
  <si>
    <t>チェックONになっていること</t>
    <phoneticPr fontId="28"/>
  </si>
  <si>
    <t>別シート"リクエストパラメータチェックシート：車両一覧取得API"参照</t>
    <phoneticPr fontId="28"/>
  </si>
  <si>
    <t>別シート"リクエストパラメータチェックシート：エラーコードチェックAPI"参照</t>
    <phoneticPr fontId="28"/>
  </si>
  <si>
    <t>チェックOFFになっていること</t>
    <phoneticPr fontId="28"/>
  </si>
  <si>
    <t>チェックOFFになっていること</t>
    <phoneticPr fontId="28"/>
  </si>
  <si>
    <t>チェックON：0件</t>
    <rPh sb="8" eb="9">
      <t>ケン</t>
    </rPh>
    <phoneticPr fontId="47"/>
  </si>
  <si>
    <t>クリック
以下の項目がいずれも未選択
・エリア
・セキュリティ
・その他のお知らせ
・エラー
・コーション
・交換時期</t>
    <rPh sb="6" eb="8">
      <t>イカ</t>
    </rPh>
    <rPh sb="9" eb="11">
      <t>コウモク</t>
    </rPh>
    <rPh sb="16" eb="17">
      <t>ミ</t>
    </rPh>
    <rPh sb="17" eb="19">
      <t>センタク</t>
    </rPh>
    <rPh sb="36" eb="37">
      <t>タ</t>
    </rPh>
    <rPh sb="39" eb="40">
      <t>シ</t>
    </rPh>
    <rPh sb="56" eb="58">
      <t>コウカン</t>
    </rPh>
    <rPh sb="58" eb="60">
      <t>ジキ</t>
    </rPh>
    <phoneticPr fontId="28"/>
  </si>
  <si>
    <t>受信者画面が表示されること</t>
    <rPh sb="0" eb="3">
      <t>ジュシンシャ</t>
    </rPh>
    <rPh sb="3" eb="5">
      <t>ガメン</t>
    </rPh>
    <rPh sb="6" eb="8">
      <t>ヒョウジ</t>
    </rPh>
    <phoneticPr fontId="28"/>
  </si>
  <si>
    <t>ボタン連打</t>
    <rPh sb="3" eb="5">
      <t>レンダ</t>
    </rPh>
    <phoneticPr fontId="28"/>
  </si>
  <si>
    <t>ホーム画面が表示されること</t>
    <rPh sb="3" eb="5">
      <t>ガメン</t>
    </rPh>
    <rPh sb="6" eb="8">
      <t>ヒョウジ</t>
    </rPh>
    <phoneticPr fontId="28"/>
  </si>
  <si>
    <t>ブラウザ戻るボタン操作</t>
    <phoneticPr fontId="28"/>
  </si>
  <si>
    <t>-</t>
    <phoneticPr fontId="47"/>
  </si>
  <si>
    <t>タブブラウザのセッション復元機能によるページ呼び出し</t>
    <phoneticPr fontId="28"/>
  </si>
  <si>
    <t>ログを確認し、リクエスト情報を1回のみ受信していること</t>
    <rPh sb="3" eb="5">
      <t>カクニン</t>
    </rPh>
    <phoneticPr fontId="28"/>
  </si>
  <si>
    <t>example: opa_car_management_car_list</t>
    <phoneticPr fontId="28"/>
  </si>
  <si>
    <t>pattern: 対象項目を示すオブジェクトの階層を"."で連結した文字列
example: cars.identification.id</t>
    <phoneticPr fontId="28"/>
  </si>
  <si>
    <t>SMRメッセージ一覧取得API 　（get: /emn/smr_messages）</t>
    <phoneticPr fontId="28"/>
  </si>
  <si>
    <t>メッセージ確認</t>
    <rPh sb="5" eb="7">
      <t>カクニン</t>
    </rPh>
    <phoneticPr fontId="28"/>
  </si>
  <si>
    <t>モーダルで、確認メッセージを表示する</t>
    <rPh sb="6" eb="8">
      <t>カクニン</t>
    </rPh>
    <rPh sb="14" eb="16">
      <t>ヒョウジ</t>
    </rPh>
    <phoneticPr fontId="28"/>
  </si>
  <si>
    <t>-</t>
    <phoneticPr fontId="47"/>
  </si>
  <si>
    <t>モーダルを閉じる</t>
    <rPh sb="5" eb="6">
      <t>ト</t>
    </rPh>
    <phoneticPr fontId="28"/>
  </si>
  <si>
    <t>最大入力文字数が6文字であること</t>
    <rPh sb="0" eb="2">
      <t>サイダイ</t>
    </rPh>
    <rPh sb="2" eb="4">
      <t>ニュウリョク</t>
    </rPh>
    <rPh sb="4" eb="7">
      <t>モジスウ</t>
    </rPh>
    <rPh sb="9" eb="11">
      <t>モジ</t>
    </rPh>
    <phoneticPr fontId="28"/>
  </si>
  <si>
    <t>前提条件：画面描画は1秒以内で完了すること※APIの処理時間は除く</t>
    <rPh sb="0" eb="2">
      <t>ゼンテイ</t>
    </rPh>
    <rPh sb="2" eb="4">
      <t>ジョウケン</t>
    </rPh>
    <rPh sb="5" eb="7">
      <t>ガメン</t>
    </rPh>
    <rPh sb="7" eb="9">
      <t>ビョウガ</t>
    </rPh>
    <rPh sb="11" eb="12">
      <t>ビョウ</t>
    </rPh>
    <rPh sb="12" eb="14">
      <t>イナイ</t>
    </rPh>
    <rPh sb="15" eb="17">
      <t>カンリョウ</t>
    </rPh>
    <rPh sb="26" eb="28">
      <t>ショリ</t>
    </rPh>
    <rPh sb="28" eb="30">
      <t>ジカン</t>
    </rPh>
    <rPh sb="31" eb="32">
      <t>ノゾ</t>
    </rPh>
    <phoneticPr fontId="28"/>
  </si>
  <si>
    <t>１.車両画面 「次へ」ボタンクリック</t>
    <rPh sb="2" eb="4">
      <t>シャリョウ</t>
    </rPh>
    <rPh sb="4" eb="6">
      <t>ガメン</t>
    </rPh>
    <phoneticPr fontId="47"/>
  </si>
  <si>
    <t>お知らせタブが起動すること</t>
    <rPh sb="1" eb="2">
      <t>シ</t>
    </rPh>
    <rPh sb="7" eb="9">
      <t>キドウ</t>
    </rPh>
    <phoneticPr fontId="47"/>
  </si>
  <si>
    <t>F5ボタンクリック時</t>
    <rPh sb="9" eb="10">
      <t>ジ</t>
    </rPh>
    <phoneticPr fontId="47"/>
  </si>
  <si>
    <t>前へボタンクリック時</t>
    <rPh sb="0" eb="1">
      <t>マエ</t>
    </rPh>
    <rPh sb="9" eb="10">
      <t>ジ</t>
    </rPh>
    <phoneticPr fontId="28"/>
  </si>
  <si>
    <t>－</t>
    <phoneticPr fontId="47"/>
  </si>
  <si>
    <t>リサイズ</t>
    <phoneticPr fontId="47"/>
  </si>
  <si>
    <t>指定画面サイズ（横768）で表示した際、JSエラーなく表示されること</t>
    <rPh sb="0" eb="2">
      <t>シテイ</t>
    </rPh>
    <rPh sb="2" eb="4">
      <t>ガメン</t>
    </rPh>
    <rPh sb="8" eb="9">
      <t>ヨコ</t>
    </rPh>
    <rPh sb="14" eb="16">
      <t>ヒョウジ</t>
    </rPh>
    <rPh sb="18" eb="19">
      <t>サイ</t>
    </rPh>
    <phoneticPr fontId="47"/>
  </si>
  <si>
    <t>リサイズ</t>
    <phoneticPr fontId="47"/>
  </si>
  <si>
    <t>　　チェックON</t>
  </si>
  <si>
    <t>　　チェックOFF</t>
  </si>
  <si>
    <t>　　　　交換時期旗プルダウン：選択された交換時期を選択済み</t>
    <rPh sb="8" eb="9">
      <t>ハタ</t>
    </rPh>
    <rPh sb="15" eb="17">
      <t>センタク</t>
    </rPh>
    <rPh sb="20" eb="22">
      <t>コウカン</t>
    </rPh>
    <rPh sb="22" eb="24">
      <t>ジキ</t>
    </rPh>
    <rPh sb="25" eb="27">
      <t>センタク</t>
    </rPh>
    <rPh sb="27" eb="28">
      <t>ズ</t>
    </rPh>
    <phoneticPr fontId="47"/>
  </si>
  <si>
    <t>　　　　交換時期旗プルダウン：選択された交換時期以外を選択済み</t>
    <rPh sb="8" eb="9">
      <t>ハタ</t>
    </rPh>
    <rPh sb="24" eb="26">
      <t>イガイ</t>
    </rPh>
    <rPh sb="27" eb="29">
      <t>センタク</t>
    </rPh>
    <phoneticPr fontId="47"/>
  </si>
  <si>
    <t>　　エラー確認</t>
    <rPh sb="5" eb="7">
      <t>カクニン</t>
    </rPh>
    <phoneticPr fontId="28"/>
  </si>
  <si>
    <t>　　OKクリック</t>
  </si>
  <si>
    <t>　　キャンセルクリック</t>
  </si>
  <si>
    <t>　　正常確認</t>
    <rPh sb="2" eb="4">
      <t>セイジョウ</t>
    </rPh>
    <rPh sb="4" eb="6">
      <t>カクニン</t>
    </rPh>
    <phoneticPr fontId="28"/>
  </si>
  <si>
    <t>　　クリック
　　　　ユーザ：SAOもしくはAO</t>
  </si>
  <si>
    <t>　　　　　　正常確認</t>
    <rPh sb="6" eb="8">
      <t>セイジョウ</t>
    </rPh>
    <rPh sb="8" eb="10">
      <t>カクニン</t>
    </rPh>
    <phoneticPr fontId="28"/>
  </si>
  <si>
    <t>　　　　ユーザ：共通</t>
    <rPh sb="8" eb="10">
      <t>キョウツウ</t>
    </rPh>
    <phoneticPr fontId="47"/>
  </si>
  <si>
    <t>　　全件チェックON</t>
    <rPh sb="2" eb="4">
      <t>ゼンケン</t>
    </rPh>
    <phoneticPr fontId="28"/>
  </si>
  <si>
    <t>　　全件チェックON　　→
　　　　1件チェックOFF</t>
    <rPh sb="19" eb="20">
      <t>ケン</t>
    </rPh>
    <phoneticPr fontId="28"/>
  </si>
  <si>
    <t>各ヘッダ項目
　　クリック</t>
    <rPh sb="0" eb="1">
      <t>カク</t>
    </rPh>
    <rPh sb="4" eb="6">
      <t>コウモク</t>
    </rPh>
    <phoneticPr fontId="47"/>
  </si>
  <si>
    <t>追加ボタン
　　クリック</t>
    <rPh sb="0" eb="2">
      <t>ツイカ</t>
    </rPh>
    <phoneticPr fontId="28"/>
  </si>
  <si>
    <t>　　ページ番号：前ページ有り</t>
    <rPh sb="5" eb="7">
      <t>バンゴウ</t>
    </rPh>
    <rPh sb="8" eb="9">
      <t>マエ</t>
    </rPh>
    <rPh sb="12" eb="13">
      <t>ア</t>
    </rPh>
    <phoneticPr fontId="47"/>
  </si>
  <si>
    <t>　　ページ番号：前ページ無し</t>
    <rPh sb="5" eb="7">
      <t>バンゴウ</t>
    </rPh>
    <rPh sb="8" eb="9">
      <t>マエ</t>
    </rPh>
    <rPh sb="12" eb="13">
      <t>ナ</t>
    </rPh>
    <phoneticPr fontId="47"/>
  </si>
  <si>
    <t>　　クリック</t>
  </si>
  <si>
    <t>次ページボタン
　　ページ番号：次ページ無し</t>
    <rPh sb="0" eb="1">
      <t>ツギ</t>
    </rPh>
    <rPh sb="16" eb="17">
      <t>ジ</t>
    </rPh>
    <rPh sb="20" eb="21">
      <t>ナ</t>
    </rPh>
    <phoneticPr fontId="28"/>
  </si>
  <si>
    <t>　　ページ番号：次ページ有り</t>
    <rPh sb="8" eb="9">
      <t>ジ</t>
    </rPh>
    <rPh sb="12" eb="13">
      <t>ア</t>
    </rPh>
    <phoneticPr fontId="47"/>
  </si>
  <si>
    <t>　　</t>
  </si>
  <si>
    <t>間隔
　　クリック</t>
    <rPh sb="0" eb="2">
      <t>カンカク</t>
    </rPh>
    <phoneticPr fontId="47"/>
  </si>
  <si>
    <t>タイトル
　　クリック</t>
  </si>
  <si>
    <t>メッセージ
　　クリック</t>
  </si>
  <si>
    <t>チェックボックス(明細部)
　　チェック1件</t>
    <rPh sb="9" eb="11">
      <t>メイサイ</t>
    </rPh>
    <rPh sb="11" eb="12">
      <t>ブ</t>
    </rPh>
    <rPh sb="21" eb="22">
      <t>ケン</t>
    </rPh>
    <phoneticPr fontId="28"/>
  </si>
  <si>
    <t>チェックボックス(明細部)
　　チェック全件</t>
    <rPh sb="9" eb="11">
      <t>メイサイ</t>
    </rPh>
    <rPh sb="11" eb="12">
      <t>ブ</t>
    </rPh>
    <rPh sb="20" eb="22">
      <t>ゼンケン</t>
    </rPh>
    <rPh sb="21" eb="22">
      <t>ケン</t>
    </rPh>
    <phoneticPr fontId="28"/>
  </si>
  <si>
    <t>チェックボックス(明細部)
　　チェック全件→チェック1件</t>
    <rPh sb="9" eb="11">
      <t>メイサイ</t>
    </rPh>
    <rPh sb="11" eb="12">
      <t>ブ</t>
    </rPh>
    <rPh sb="20" eb="22">
      <t>ゼンケン</t>
    </rPh>
    <rPh sb="21" eb="22">
      <t>ケン</t>
    </rPh>
    <rPh sb="28" eb="29">
      <t>ケン</t>
    </rPh>
    <phoneticPr fontId="28"/>
  </si>
  <si>
    <t>チェックボックス(明細部)
　　チェック0件</t>
    <rPh sb="9" eb="11">
      <t>メイサイ</t>
    </rPh>
    <rPh sb="11" eb="12">
      <t>ブ</t>
    </rPh>
    <rPh sb="21" eb="22">
      <t>ケン</t>
    </rPh>
    <phoneticPr fontId="28"/>
  </si>
  <si>
    <t>処理結果SMRメッセージ削除API　　</t>
    <rPh sb="0" eb="2">
      <t>ショリ</t>
    </rPh>
    <rPh sb="2" eb="4">
      <t>ケッカ</t>
    </rPh>
    <phoneticPr fontId="47"/>
  </si>
  <si>
    <t>リクエストパラメータ　確認①</t>
    <rPh sb="11" eb="13">
      <t>カクニン</t>
    </rPh>
    <phoneticPr fontId="28"/>
  </si>
  <si>
    <t>リクエストパラメータ　確認②</t>
    <rPh sb="11" eb="13">
      <t>カクニン</t>
    </rPh>
    <phoneticPr fontId="28"/>
  </si>
  <si>
    <t>リクエストパラメータ　確認③</t>
    <rPh sb="11" eb="13">
      <t>カクニン</t>
    </rPh>
    <phoneticPr fontId="28"/>
  </si>
  <si>
    <t>リクエストパラメータ　確認④</t>
    <phoneticPr fontId="47"/>
  </si>
  <si>
    <t>リクエストパラメータ　確認⑤</t>
    <phoneticPr fontId="47"/>
  </si>
  <si>
    <t>リクエストパラメータ　確認⑥</t>
    <rPh sb="11" eb="13">
      <t>カクニン</t>
    </rPh>
    <phoneticPr fontId="28"/>
  </si>
  <si>
    <t>リクエストパラメータ　確認⑦</t>
    <rPh sb="11" eb="13">
      <t>カクニン</t>
    </rPh>
    <phoneticPr fontId="28"/>
  </si>
  <si>
    <t>リクエストパラメータ　確認⑤</t>
    <rPh sb="11" eb="13">
      <t>カクニン</t>
    </rPh>
    <phoneticPr fontId="28"/>
  </si>
  <si>
    <t>プロファイル取得APIで取得した値が表示されること</t>
    <rPh sb="12" eb="14">
      <t>シュトク</t>
    </rPh>
    <rPh sb="16" eb="17">
      <t>アタイ</t>
    </rPh>
    <rPh sb="18" eb="20">
      <t>ヒョウジ</t>
    </rPh>
    <phoneticPr fontId="28"/>
  </si>
  <si>
    <t>セキュリティコード画面が起動すること</t>
    <rPh sb="9" eb="11">
      <t>ガメン</t>
    </rPh>
    <rPh sb="12" eb="14">
      <t>キドウ</t>
    </rPh>
    <phoneticPr fontId="47"/>
  </si>
  <si>
    <t>車両エラー画面が起動すること</t>
    <rPh sb="5" eb="7">
      <t>ガメン</t>
    </rPh>
    <rPh sb="8" eb="10">
      <t>キドウ</t>
    </rPh>
    <phoneticPr fontId="47"/>
  </si>
  <si>
    <t>SMR画面が起動すること</t>
    <rPh sb="3" eb="5">
      <t>ガメン</t>
    </rPh>
    <rPh sb="6" eb="8">
      <t>キドウ</t>
    </rPh>
    <phoneticPr fontId="47"/>
  </si>
  <si>
    <t>SMR削除が起動すること</t>
    <rPh sb="3" eb="5">
      <t>サクジョ</t>
    </rPh>
    <rPh sb="6" eb="8">
      <t>キドウ</t>
    </rPh>
    <phoneticPr fontId="47"/>
  </si>
  <si>
    <t>チェック欄</t>
    <rPh sb="4" eb="5">
      <t>ラン</t>
    </rPh>
    <phoneticPr fontId="28"/>
  </si>
  <si>
    <t>Authorization</t>
    <phoneticPr fontId="28"/>
  </si>
  <si>
    <t>Bearerトークン</t>
    <phoneticPr fontId="28"/>
  </si>
  <si>
    <t>Content-Type</t>
    <phoneticPr fontId="28"/>
  </si>
  <si>
    <t>データ形式</t>
    <phoneticPr fontId="28"/>
  </si>
  <si>
    <t>Accept</t>
    <phoneticPr fontId="28"/>
  </si>
  <si>
    <t>Accept</t>
    <phoneticPr fontId="28"/>
  </si>
  <si>
    <t>メディアタイプ</t>
    <phoneticPr fontId="28"/>
  </si>
  <si>
    <t>X-Lang</t>
    <phoneticPr fontId="28"/>
  </si>
  <si>
    <t>言語タグ</t>
    <phoneticPr fontId="28"/>
  </si>
  <si>
    <t>言語タグ</t>
    <phoneticPr fontId="28"/>
  </si>
  <si>
    <t>X-AppCode</t>
    <phoneticPr fontId="28"/>
  </si>
  <si>
    <t>アプリコード</t>
    <phoneticPr fontId="28"/>
  </si>
  <si>
    <t>グループID</t>
    <phoneticPr fontId="28"/>
  </si>
  <si>
    <t>X-DateFormat</t>
    <phoneticPr fontId="28"/>
  </si>
  <si>
    <t>日付形式</t>
    <phoneticPr fontId="28"/>
  </si>
  <si>
    <t>距離単位</t>
    <phoneticPr fontId="28"/>
  </si>
  <si>
    <t>X-TemperatureUnit</t>
    <phoneticPr fontId="28"/>
  </si>
  <si>
    <t>温度単位</t>
    <phoneticPr fontId="28"/>
  </si>
  <si>
    <t>X-Fields</t>
    <phoneticPr fontId="28"/>
  </si>
  <si>
    <t>車種</t>
    <rPh sb="0" eb="2">
      <t>シャシュ</t>
    </rPh>
    <phoneticPr fontId="28"/>
  </si>
  <si>
    <t>X-From</t>
    <phoneticPr fontId="28"/>
  </si>
  <si>
    <t>一覧取得系APIの取得開始位置</t>
    <rPh sb="0" eb="2">
      <t>イチラン</t>
    </rPh>
    <rPh sb="2" eb="4">
      <t>シュトク</t>
    </rPh>
    <rPh sb="4" eb="5">
      <t>ケイ</t>
    </rPh>
    <rPh sb="9" eb="11">
      <t>シュトク</t>
    </rPh>
    <rPh sb="11" eb="13">
      <t>カイシ</t>
    </rPh>
    <rPh sb="13" eb="15">
      <t>イチ</t>
    </rPh>
    <phoneticPr fontId="28"/>
  </si>
  <si>
    <t>一覧取得系APIの取得件数</t>
    <rPh sb="0" eb="2">
      <t>イチラン</t>
    </rPh>
    <rPh sb="2" eb="4">
      <t>シュトク</t>
    </rPh>
    <rPh sb="4" eb="5">
      <t>ケイ</t>
    </rPh>
    <rPh sb="9" eb="11">
      <t>シュトク</t>
    </rPh>
    <rPh sb="11" eb="13">
      <t>ケンスウ</t>
    </rPh>
    <phoneticPr fontId="28"/>
  </si>
  <si>
    <t>一覧取得系APIのソートを指定</t>
    <rPh sb="0" eb="2">
      <t>イチラン</t>
    </rPh>
    <rPh sb="2" eb="4">
      <t>シュトク</t>
    </rPh>
    <rPh sb="4" eb="5">
      <t>ケイ</t>
    </rPh>
    <rPh sb="13" eb="15">
      <t>シテイ</t>
    </rPh>
    <phoneticPr fontId="28"/>
  </si>
  <si>
    <t>body</t>
    <phoneticPr fontId="28"/>
  </si>
  <si>
    <t>①</t>
    <phoneticPr fontId="28"/>
  </si>
  <si>
    <t>③</t>
    <phoneticPr fontId="28"/>
  </si>
  <si>
    <t>④</t>
    <phoneticPr fontId="28"/>
  </si>
  <si>
    <t>⑤</t>
    <phoneticPr fontId="28"/>
  </si>
  <si>
    <t>画面コード</t>
    <phoneticPr fontId="28"/>
  </si>
  <si>
    <t>search_parameters</t>
    <phoneticPr fontId="28"/>
  </si>
  <si>
    <t>区分</t>
    <phoneticPr fontId="28"/>
  </si>
  <si>
    <t>　condition_sets</t>
    <phoneticPr fontId="28"/>
  </si>
  <si>
    <t>グループID</t>
    <phoneticPr fontId="28"/>
  </si>
  <si>
    <t>温度単位</t>
    <phoneticPr fontId="28"/>
  </si>
  <si>
    <t>X-Count</t>
    <phoneticPr fontId="28"/>
  </si>
  <si>
    <t>X-Sort</t>
    <phoneticPr fontId="28"/>
  </si>
  <si>
    <t>リソース取得ＡＰＩ(post:/applications/views/resources/search)</t>
    <phoneticPr fontId="28"/>
  </si>
  <si>
    <t>header</t>
    <phoneticPr fontId="28"/>
  </si>
  <si>
    <t>①</t>
    <phoneticPr fontId="28"/>
  </si>
  <si>
    <t>②</t>
    <phoneticPr fontId="28"/>
  </si>
  <si>
    <t>Bearerトークン</t>
    <phoneticPr fontId="28"/>
  </si>
  <si>
    <t>Content-Type</t>
    <phoneticPr fontId="28"/>
  </si>
  <si>
    <t>データ形式</t>
    <phoneticPr fontId="28"/>
  </si>
  <si>
    <t>メディアタイプ</t>
    <phoneticPr fontId="28"/>
  </si>
  <si>
    <t>X-AppCode</t>
    <phoneticPr fontId="28"/>
  </si>
  <si>
    <t>アプリコード</t>
    <phoneticPr fontId="28"/>
  </si>
  <si>
    <t>X-DateFormat</t>
    <phoneticPr fontId="28"/>
  </si>
  <si>
    <t>X-DistanceUnit</t>
    <phoneticPr fontId="28"/>
  </si>
  <si>
    <t>指定項目</t>
    <phoneticPr fontId="28"/>
  </si>
  <si>
    <t>X-Count</t>
    <phoneticPr fontId="28"/>
  </si>
  <si>
    <t>X-Sort</t>
    <phoneticPr fontId="28"/>
  </si>
  <si>
    <t>body</t>
    <phoneticPr fontId="28"/>
  </si>
  <si>
    <t>③</t>
    <phoneticPr fontId="28"/>
  </si>
  <si>
    <t>screen_code</t>
    <phoneticPr fontId="28"/>
  </si>
  <si>
    <t>絞り込み条件</t>
    <phoneticPr fontId="28"/>
  </si>
  <si>
    <t>　resource_path</t>
    <phoneticPr fontId="28"/>
  </si>
  <si>
    <t>リソースパス</t>
    <phoneticPr fontId="28"/>
  </si>
  <si>
    <t>　kinds</t>
    <phoneticPr fontId="28"/>
  </si>
  <si>
    <t>絞り込み設定</t>
    <phoneticPr fontId="28"/>
  </si>
  <si>
    <t>　　condition</t>
    <phoneticPr fontId="28"/>
  </si>
  <si>
    <t>絞り込み条件</t>
    <phoneticPr fontId="28"/>
  </si>
  <si>
    <t>　　values</t>
    <phoneticPr fontId="28"/>
  </si>
  <si>
    <t>絞り込み値</t>
    <phoneticPr fontId="28"/>
  </si>
  <si>
    <t>車両一覧取得API　（post: /emn/profile_cars/search）</t>
    <phoneticPr fontId="28"/>
  </si>
  <si>
    <t>⑦</t>
    <phoneticPr fontId="28"/>
  </si>
  <si>
    <t>Authorization</t>
    <phoneticPr fontId="28"/>
  </si>
  <si>
    <t>X-Lang</t>
    <phoneticPr fontId="28"/>
  </si>
  <si>
    <t>X-DistanceUnit</t>
    <phoneticPr fontId="28"/>
  </si>
  <si>
    <t>距離単位</t>
    <phoneticPr fontId="28"/>
  </si>
  <si>
    <t>X-TemperatureUnit</t>
    <phoneticPr fontId="28"/>
  </si>
  <si>
    <t>X-Fields</t>
    <phoneticPr fontId="28"/>
  </si>
  <si>
    <t>指定項目</t>
    <phoneticPr fontId="28"/>
  </si>
  <si>
    <t>X-From</t>
    <phoneticPr fontId="28"/>
  </si>
  <si>
    <t>①</t>
    <phoneticPr fontId="28"/>
  </si>
  <si>
    <t>⑥</t>
    <phoneticPr fontId="28"/>
  </si>
  <si>
    <t>search_condition</t>
    <phoneticPr fontId="28"/>
  </si>
  <si>
    <t>　common</t>
  </si>
  <si>
    <t>　　car_identification</t>
  </si>
  <si>
    <t>フリート共通検索条件</t>
    <phoneticPr fontId="28"/>
  </si>
  <si>
    <t>　　　car_ids</t>
  </si>
  <si>
    <t>車両ID</t>
    <phoneticPr fontId="28"/>
  </si>
  <si>
    <t>　　　maker_ids</t>
  </si>
  <si>
    <t>メーカID</t>
    <phoneticPr fontId="28"/>
  </si>
  <si>
    <t>　　　division_ids</t>
  </si>
  <si>
    <t>車種ID</t>
    <phoneticPr fontId="28"/>
  </si>
  <si>
    <t>通常の車種IDまたはカスタム車種IDを指定可能 カスタム車種IDを指定する際はprefixに"C"を付与する</t>
    <phoneticPr fontId="28"/>
  </si>
  <si>
    <t>　　　models</t>
  </si>
  <si>
    <t>機種</t>
    <phoneticPr fontId="28"/>
  </si>
  <si>
    <t>ワイルドカード使用可能</t>
    <phoneticPr fontId="28"/>
  </si>
  <si>
    <t>　　　types</t>
  </si>
  <si>
    <t>ワイルドカード使用可能</t>
    <phoneticPr fontId="28"/>
  </si>
  <si>
    <t>　　　revs</t>
  </si>
  <si>
    <t>小変形</t>
    <phoneticPr fontId="28"/>
  </si>
  <si>
    <t>　　　type_revs</t>
  </si>
  <si>
    <t>型式(小変形含む)</t>
    <phoneticPr fontId="28"/>
  </si>
  <si>
    <t>　　　serials</t>
  </si>
  <si>
    <t>機番</t>
    <phoneticPr fontId="28"/>
  </si>
  <si>
    <t xml:space="preserve">ワイルドカード使用可能/ハイフンマイナス区切り:From-To検索 </t>
    <phoneticPr fontId="28"/>
  </si>
  <si>
    <t>　　　pins</t>
  </si>
  <si>
    <t>車両PIN</t>
    <phoneticPr fontId="28"/>
  </si>
  <si>
    <t>　　　model_type_revs</t>
  </si>
  <si>
    <t>機種-型式(小変形含む)</t>
    <phoneticPr fontId="28"/>
  </si>
  <si>
    <t>機種、型式(小変形含む)をハイフンマイナス区切りで指定。ワイルドカード指定不可</t>
    <phoneticPr fontId="28"/>
  </si>
  <si>
    <t>　　komtrax_unit</t>
  </si>
  <si>
    <t>　　　terminal</t>
  </si>
  <si>
    <t>端末</t>
    <phoneticPr fontId="28"/>
  </si>
  <si>
    <t>1:KOMTRAXのみ/2:VHMSつき/-99:未指定と同等 TBD 端末種別の概要検討</t>
    <phoneticPr fontId="28"/>
  </si>
  <si>
    <t>　　target_cars</t>
  </si>
  <si>
    <t>　　　id</t>
  </si>
  <si>
    <t>注目車両グループID</t>
    <phoneticPr fontId="28"/>
  </si>
  <si>
    <t>-5:プライベート/-99:未指定と同等 TBD 注目車両グループの「プライベート」概要確認 TBD 注目車両グループ　条件登録の実現方法検討</t>
    <phoneticPr fontId="28"/>
  </si>
  <si>
    <t>　　support_distributor</t>
  </si>
  <si>
    <t>担当代理店</t>
    <phoneticPr fontId="28"/>
  </si>
  <si>
    <t>　　　ids</t>
  </si>
  <si>
    <t>-99:未指定と同等</t>
    <phoneticPr fontId="28"/>
  </si>
  <si>
    <t>　　　organization_codes</t>
  </si>
  <si>
    <t>組織コード</t>
    <phoneticPr fontId="28"/>
  </si>
  <si>
    <t>-99:未指定と同等</t>
    <phoneticPr fontId="28"/>
  </si>
  <si>
    <t>　　service_distributor</t>
  </si>
  <si>
    <t>サービス代理店</t>
    <phoneticPr fontId="28"/>
  </si>
  <si>
    <t>グループID</t>
    <phoneticPr fontId="28"/>
  </si>
  <si>
    <t>-19：サービス責任車両/-3：サービス代理店契約あり/-4：サービス代理店契約なし/-99:未指定と同等</t>
    <phoneticPr fontId="28"/>
  </si>
  <si>
    <t>　　bank</t>
  </si>
  <si>
    <t>銀行</t>
    <phoneticPr fontId="28"/>
  </si>
  <si>
    <t>グループID -2:is null(not exists)検索/-99:未指定と同等</t>
    <phoneticPr fontId="28"/>
  </si>
  <si>
    <t>　　insurance</t>
  </si>
  <si>
    <t>保険</t>
    <phoneticPr fontId="28"/>
  </si>
  <si>
    <t>　　finance</t>
  </si>
  <si>
    <t>ファイナンス</t>
    <phoneticPr fontId="28"/>
  </si>
  <si>
    <t>　　customer</t>
  </si>
  <si>
    <t>グループID</t>
    <phoneticPr fontId="28"/>
  </si>
  <si>
    <t xml:space="preserve">-2:is null(not exists)検索/-99:未指定と同等 </t>
    <phoneticPr fontId="28"/>
  </si>
  <si>
    <t>組織コード</t>
    <phoneticPr fontId="28"/>
  </si>
  <si>
    <t>-99:未指定と同等</t>
    <phoneticPr fontId="28"/>
  </si>
  <si>
    <t>　　user_permission</t>
  </si>
  <si>
    <t>ユーザ車両パーミッション</t>
    <phoneticPr fontId="28"/>
  </si>
  <si>
    <t>　　　sub_group_ids</t>
  </si>
  <si>
    <t>サブグループID</t>
    <phoneticPr fontId="28"/>
  </si>
  <si>
    <t>-99:未指定と同等</t>
    <phoneticPr fontId="28"/>
  </si>
  <si>
    <t>　　customer_attribute</t>
  </si>
  <si>
    <t>顧客車両属性</t>
    <phoneticPr fontId="28"/>
  </si>
  <si>
    <t>　　　operator_labels</t>
  </si>
  <si>
    <t>オペレータ名</t>
    <phoneticPr fontId="28"/>
  </si>
  <si>
    <t>　　　mainte_in_charge</t>
  </si>
  <si>
    <t>保守責任者</t>
    <phoneticPr fontId="28"/>
  </si>
  <si>
    <t>　　　customer_car_no</t>
  </si>
  <si>
    <t>顧客車両番号</t>
    <phoneticPr fontId="28"/>
  </si>
  <si>
    <t xml:space="preserve">ワイルドカード使用可能 </t>
    <phoneticPr fontId="28"/>
  </si>
  <si>
    <t>　　　customer_management_no</t>
  </si>
  <si>
    <t>顧客管理番号</t>
    <phoneticPr fontId="28"/>
  </si>
  <si>
    <t xml:space="preserve">ワイルドカード使用可能 </t>
    <phoneticPr fontId="28"/>
  </si>
  <si>
    <t>　　distributor_attribute</t>
  </si>
  <si>
    <t>代理店車両属性</t>
    <phoneticPr fontId="28"/>
  </si>
  <si>
    <t>　　　debit_kinds</t>
  </si>
  <si>
    <t>債権区分</t>
    <phoneticPr fontId="28"/>
  </si>
  <si>
    <t>Enum:[ 1:債権あり, 2:債権なし, -99:未指定と同等 ]</t>
    <phoneticPr fontId="28"/>
  </si>
  <si>
    <t>　　　elapsed_months_from</t>
  </si>
  <si>
    <t>経過月数(From)</t>
    <phoneticPr fontId="28"/>
  </si>
  <si>
    <t>　　　elapsed_months_to</t>
  </si>
  <si>
    <t>経過月数(To)</t>
    <phoneticPr fontId="28"/>
  </si>
  <si>
    <t>　　　new_used_kind</t>
  </si>
  <si>
    <t>新車中古車区分</t>
    <phoneticPr fontId="28"/>
  </si>
  <si>
    <t>Enum:[ 0:新車, 1:中古車, -99:未指定と同等 ]</t>
    <phoneticPr fontId="28"/>
  </si>
  <si>
    <t>　　　delivery_date_from</t>
  </si>
  <si>
    <t>車両納入日(From)</t>
    <phoneticPr fontId="28"/>
  </si>
  <si>
    <t>　　　delivery_date_to</t>
  </si>
  <si>
    <t>車両納入日(To)</t>
    <phoneticPr fontId="28"/>
  </si>
  <si>
    <t>　　　eqp_delivery_date_from</t>
  </si>
  <si>
    <t>EQP車両納入日(From)</t>
    <phoneticPr fontId="28"/>
  </si>
  <si>
    <t>　　　eqp_delivery_date_to</t>
  </si>
  <si>
    <t>EQP車両納入日(To)</t>
    <phoneticPr fontId="28"/>
  </si>
  <si>
    <t>　　　used_delivery_date_from</t>
  </si>
  <si>
    <t>中古車両納入日(From)</t>
    <phoneticPr fontId="28"/>
  </si>
  <si>
    <t>　　　used_delivery_date_to</t>
  </si>
  <si>
    <t>中古車両納入日(To)</t>
    <phoneticPr fontId="28"/>
  </si>
  <si>
    <t>　　　eqp_used_delivery_date_from</t>
  </si>
  <si>
    <t>EQP中古車両納入日(From)</t>
    <phoneticPr fontId="28"/>
  </si>
  <si>
    <t>　　　eqp_used_delivery_date_to</t>
  </si>
  <si>
    <t>EQP中古車両納入日(To)</t>
    <phoneticPr fontId="28"/>
  </si>
  <si>
    <t>　　　production_year_month_from</t>
  </si>
  <si>
    <t>製造年月(From)</t>
    <phoneticPr fontId="28"/>
  </si>
  <si>
    <t>　　　production_year_month_to</t>
  </si>
  <si>
    <t>製造年月(To)</t>
    <phoneticPr fontId="28"/>
  </si>
  <si>
    <t>　　　asset_status_kinds</t>
  </si>
  <si>
    <t>資産状態区分</t>
    <phoneticPr fontId="28"/>
  </si>
  <si>
    <t>　　　asset_owner_ids</t>
  </si>
  <si>
    <t>資産所有者ID</t>
    <phoneticPr fontId="28"/>
  </si>
  <si>
    <t>　　　note_1</t>
  </si>
  <si>
    <t>備考１</t>
    <phoneticPr fontId="28"/>
  </si>
  <si>
    <t>　　　note_2</t>
  </si>
  <si>
    <t>ワイルドカード使用可能</t>
    <phoneticPr fontId="28"/>
  </si>
  <si>
    <t>　　　note_3</t>
  </si>
  <si>
    <t>　　　note_4</t>
  </si>
  <si>
    <t>　　　note_5</t>
  </si>
  <si>
    <t>ワイルドカード使用可能</t>
    <phoneticPr fontId="28"/>
  </si>
  <si>
    <t>　　　class_1_ids</t>
  </si>
  <si>
    <t>分類１ID</t>
    <phoneticPr fontId="28"/>
  </si>
  <si>
    <t xml:space="preserve">-2:is null(not exists)検索/-99:未指定と同等 </t>
    <phoneticPr fontId="28"/>
  </si>
  <si>
    <t>　　　class_2_ids</t>
  </si>
  <si>
    <t xml:space="preserve">-2:is null(not exists)検索/-99:未指定と同等 </t>
    <phoneticPr fontId="28"/>
  </si>
  <si>
    <t>　　　class_3_ids</t>
  </si>
  <si>
    <t xml:space="preserve">-2:is null(not exists)検索/-99:未指定と同等 </t>
    <phoneticPr fontId="28"/>
  </si>
  <si>
    <t>　　　class_4_ids</t>
  </si>
  <si>
    <t>　　　class_5_ids</t>
  </si>
  <si>
    <t xml:space="preserve">-2:is null(not exists)検索/-99:未指定と同等 </t>
    <phoneticPr fontId="28"/>
  </si>
  <si>
    <t>　　　custom_car_attribute_1_detail_ids</t>
  </si>
  <si>
    <t>カスタム車両属性１詳細ID</t>
    <phoneticPr fontId="28"/>
  </si>
  <si>
    <t>　　　custom_car_attribute_2_detail_ids</t>
  </si>
  <si>
    <t>　　　custom_car_attribute_3_detail_ids</t>
  </si>
  <si>
    <t>　　　custom_car_attribute_4_detail_ids</t>
  </si>
  <si>
    <t>　　　custom_car_attribute_5_detail_ids</t>
  </si>
  <si>
    <t>　　　custom_car_attribute_6_detail_ids</t>
  </si>
  <si>
    <t>　　　custom_car_attribute_7_detail_ids</t>
  </si>
  <si>
    <t>　　　custom_car_attribute_8_detail_ids</t>
  </si>
  <si>
    <t>　　　custom_car_attribute_9_detail_ids</t>
  </si>
  <si>
    <t>　　　custom_car_attribute_10_detail_ids</t>
  </si>
  <si>
    <t>　　lock_status</t>
  </si>
  <si>
    <t>ロック状態</t>
    <phoneticPr fontId="28"/>
  </si>
  <si>
    <t>　　　forced_lock_kind</t>
  </si>
  <si>
    <t>強制ロック状態区分</t>
    <phoneticPr fontId="28"/>
  </si>
  <si>
    <t>0:ロック設定なし, 1:ロック設定あり, 2:現在ロック中, 3:ロック解除要求, 4:ロック設定要求中, -99:未指定と同等</t>
    <phoneticPr fontId="28"/>
  </si>
  <si>
    <t>　　　night_lock_kind</t>
  </si>
  <si>
    <t>0:ロック設定なし, 1:ロック設定あり, 2:現在ロック中, 3:ロック解除要求, 4:ロック設定要求中, -99:未指定と同等</t>
    <phoneticPr fontId="28"/>
  </si>
  <si>
    <t>　　　calendar_lock_kind</t>
  </si>
  <si>
    <t>カレンダ予約ロック状態区分</t>
    <phoneticPr fontId="28"/>
  </si>
  <si>
    <t>0:ロック設定なし, 1:ロック設定あり, 2:現在ロック中, 3:ロック解除要求, 4:ロック設定要求中, -99:未指定と同等</t>
    <phoneticPr fontId="28"/>
  </si>
  <si>
    <t>　　latest_status</t>
  </si>
  <si>
    <t>車両最新状態</t>
    <phoneticPr fontId="28"/>
  </si>
  <si>
    <t>　　　smr_from</t>
  </si>
  <si>
    <t>SMR(From)</t>
    <phoneticPr fontId="28"/>
  </si>
  <si>
    <t>　　　smr_to</t>
  </si>
  <si>
    <t>SMR(To)</t>
    <phoneticPr fontId="28"/>
  </si>
  <si>
    <t>　　　odometer_from</t>
  </si>
  <si>
    <t>オドメータ(From)</t>
    <phoneticPr fontId="28"/>
  </si>
  <si>
    <t>[km] or [mile]単位。X-DistanceUnitヘッダ指定単位に基づく</t>
    <phoneticPr fontId="28"/>
  </si>
  <si>
    <t>　　　odometer_to</t>
  </si>
  <si>
    <t>オドメータ(To)</t>
    <phoneticPr fontId="28"/>
  </si>
  <si>
    <t>[km] or [mile]単位。X-DistanceUnitヘッダ指定単位に基づく</t>
    <phoneticPr fontId="28"/>
  </si>
  <si>
    <t>　　　places</t>
  </si>
  <si>
    <t>現在地</t>
    <phoneticPr fontId="28"/>
  </si>
  <si>
    <t>　　　place_search_method</t>
  </si>
  <si>
    <t>現在地検索方法</t>
    <phoneticPr fontId="28"/>
  </si>
  <si>
    <t>0:一致しない, 1:一致する</t>
    <phoneticPr fontId="28"/>
  </si>
  <si>
    <t>　　　point_bounds</t>
  </si>
  <si>
    <t>現在位置境界</t>
    <phoneticPr fontId="28"/>
  </si>
  <si>
    <t>　　　　south_west_point</t>
  </si>
  <si>
    <t>南西位置(世界測地系)</t>
    <phoneticPr fontId="28"/>
  </si>
  <si>
    <t>　　　　　type</t>
  </si>
  <si>
    <t>　　　　　coordinates</t>
  </si>
  <si>
    <t>　　　　north_east_point</t>
  </si>
  <si>
    <t>北東位置(世界測地系)</t>
    <phoneticPr fontId="28"/>
  </si>
  <si>
    <t>　　　communication_date_from</t>
  </si>
  <si>
    <t>通信日(From)</t>
    <phoneticPr fontId="28"/>
  </si>
  <si>
    <t>　　　communication_date_to</t>
  </si>
  <si>
    <t>通信日(To)</t>
    <phoneticPr fontId="28"/>
  </si>
  <si>
    <t>　　　operator_identification_kind</t>
  </si>
  <si>
    <t>オペレータ識別区分</t>
    <phoneticPr fontId="28"/>
  </si>
  <si>
    <t>Enum:-1:未対応, 0:無効, 1:有効, 2:不明, -99:未指定と同等</t>
    <phoneticPr fontId="28"/>
  </si>
  <si>
    <t>　　current_status</t>
  </si>
  <si>
    <t>車両現在状態</t>
    <phoneticPr fontId="28"/>
  </si>
  <si>
    <t>　　　engine_status_kind</t>
  </si>
  <si>
    <t>エンジン状態区分</t>
    <phoneticPr fontId="28"/>
  </si>
  <si>
    <t>Enum:[ 0:OFF, 1:ON, -99:未指定と同等 ]</t>
    <phoneticPr fontId="28"/>
  </si>
  <si>
    <t>　　　caution_kind</t>
  </si>
  <si>
    <t>コーションON/OFF区分</t>
    <phoneticPr fontId="28"/>
  </si>
  <si>
    <t>Enum:[ 0:OFF, 1:ON, -99:未指定と同等 ]</t>
    <phoneticPr fontId="28"/>
  </si>
  <si>
    <t>　　site_current_entry</t>
  </si>
  <si>
    <t>現在サイト</t>
    <phoneticPr fontId="28"/>
  </si>
  <si>
    <t>サイトID</t>
    <phoneticPr fontId="28"/>
  </si>
  <si>
    <t xml:space="preserve">-99:未指定と同等 </t>
    <phoneticPr fontId="28"/>
  </si>
  <si>
    <t>　selected_car_ids</t>
  </si>
  <si>
    <t>選択済み車両ID</t>
    <phoneticPr fontId="28"/>
  </si>
  <si>
    <t>セキュリティコード画面が表示されること。
※セキュリティコード画面のテストは大項目3で実施する</t>
    <rPh sb="9" eb="11">
      <t>ガメン</t>
    </rPh>
    <rPh sb="12" eb="14">
      <t>ヒョウジ</t>
    </rPh>
    <rPh sb="31" eb="33">
      <t>ガメン</t>
    </rPh>
    <rPh sb="38" eb="41">
      <t>ダイコウモク</t>
    </rPh>
    <rPh sb="43" eb="45">
      <t>ジッシ</t>
    </rPh>
    <phoneticPr fontId="28"/>
  </si>
  <si>
    <t>その他のお知らせコード画面が表示されること
※その他のお知らせ画面のテストは大項目4で実施する</t>
    <rPh sb="11" eb="13">
      <t>ガメン</t>
    </rPh>
    <rPh sb="14" eb="16">
      <t>ヒョウジ</t>
    </rPh>
    <rPh sb="31" eb="33">
      <t>ガメン</t>
    </rPh>
    <rPh sb="38" eb="41">
      <t>ダイコウモク</t>
    </rPh>
    <rPh sb="43" eb="45">
      <t>ジッシ</t>
    </rPh>
    <phoneticPr fontId="28"/>
  </si>
  <si>
    <t>その他のお知らせ画面</t>
    <phoneticPr fontId="28"/>
  </si>
  <si>
    <t>その他のお知らせ画面が起動すること</t>
    <rPh sb="11" eb="13">
      <t>キドウ</t>
    </rPh>
    <phoneticPr fontId="47"/>
  </si>
  <si>
    <t>その他のお知らせ画面を閉じること</t>
    <rPh sb="11" eb="12">
      <t>ト</t>
    </rPh>
    <phoneticPr fontId="28"/>
  </si>
  <si>
    <t>車両エラー画面が表示されること
※車両エラー画面のテストは大項目5で実施する</t>
    <rPh sb="0" eb="2">
      <t>シャリョウ</t>
    </rPh>
    <rPh sb="5" eb="7">
      <t>ガメン</t>
    </rPh>
    <rPh sb="8" eb="10">
      <t>ヒョウジ</t>
    </rPh>
    <rPh sb="17" eb="19">
      <t>シャリョウ</t>
    </rPh>
    <rPh sb="22" eb="24">
      <t>ガメン</t>
    </rPh>
    <rPh sb="29" eb="32">
      <t>ダイコウモク</t>
    </rPh>
    <rPh sb="34" eb="36">
      <t>ジッシ</t>
    </rPh>
    <phoneticPr fontId="28"/>
  </si>
  <si>
    <t>交換時期画面が表示されること
※交換時期画面のテストは大項目6で実施する</t>
    <rPh sb="0" eb="2">
      <t>コウカン</t>
    </rPh>
    <rPh sb="2" eb="4">
      <t>ジキ</t>
    </rPh>
    <rPh sb="4" eb="6">
      <t>ガメン</t>
    </rPh>
    <rPh sb="7" eb="9">
      <t>ヒョウジ</t>
    </rPh>
    <rPh sb="16" eb="18">
      <t>コウカン</t>
    </rPh>
    <rPh sb="18" eb="20">
      <t>ジキ</t>
    </rPh>
    <rPh sb="20" eb="22">
      <t>ガメン</t>
    </rPh>
    <rPh sb="27" eb="30">
      <t>ダイコウモク</t>
    </rPh>
    <rPh sb="32" eb="34">
      <t>ジッシ</t>
    </rPh>
    <phoneticPr fontId="28"/>
  </si>
  <si>
    <t>交換時期画面</t>
    <phoneticPr fontId="28"/>
  </si>
  <si>
    <t>交換時期画面が起動すること</t>
    <rPh sb="7" eb="9">
      <t>キドウ</t>
    </rPh>
    <phoneticPr fontId="47"/>
  </si>
  <si>
    <t>交換時期画面を閉じること</t>
    <rPh sb="7" eb="8">
      <t>ト</t>
    </rPh>
    <phoneticPr fontId="28"/>
  </si>
  <si>
    <t>SMR画面が表示されること
※SMR画面のテストは大項目７で実施する</t>
    <rPh sb="3" eb="5">
      <t>ガメン</t>
    </rPh>
    <rPh sb="6" eb="8">
      <t>ヒョウジ</t>
    </rPh>
    <rPh sb="25" eb="28">
      <t>ダイコウモク</t>
    </rPh>
    <rPh sb="30" eb="32">
      <t>ジッシ</t>
    </rPh>
    <phoneticPr fontId="28"/>
  </si>
  <si>
    <t>SMR削除画面を表示する
※SMR削除画面のテストは大項目8で実施する</t>
    <rPh sb="3" eb="5">
      <t>サクジョ</t>
    </rPh>
    <rPh sb="5" eb="7">
      <t>ガメン</t>
    </rPh>
    <rPh sb="8" eb="10">
      <t>ヒョウジ</t>
    </rPh>
    <rPh sb="26" eb="29">
      <t>ダイコウモク</t>
    </rPh>
    <rPh sb="31" eb="33">
      <t>ジッシ</t>
    </rPh>
    <phoneticPr fontId="28"/>
  </si>
  <si>
    <t>エリア画面</t>
    <rPh sb="3" eb="5">
      <t>ガメン</t>
    </rPh>
    <phoneticPr fontId="28"/>
  </si>
  <si>
    <t>エリア画面が表示されること。
※エリア画面の確認は大項目2で実施する</t>
    <rPh sb="6" eb="8">
      <t>ヒョウジ</t>
    </rPh>
    <rPh sb="22" eb="24">
      <t>カクニン</t>
    </rPh>
    <rPh sb="25" eb="28">
      <t>ダイコウモク</t>
    </rPh>
    <rPh sb="30" eb="32">
      <t>ジッシ</t>
    </rPh>
    <phoneticPr fontId="28"/>
  </si>
  <si>
    <t>エリア画面が起動すること</t>
    <rPh sb="6" eb="8">
      <t>キドウ</t>
    </rPh>
    <phoneticPr fontId="47"/>
  </si>
  <si>
    <t>エリアボタン</t>
  </si>
  <si>
    <t>セキュリティボタン</t>
  </si>
  <si>
    <t>その他のお知らせボタン</t>
  </si>
  <si>
    <t>車両エラーボタン</t>
  </si>
  <si>
    <t>交換時期ボタン</t>
  </si>
  <si>
    <t>SMRボタン</t>
  </si>
  <si>
    <t>１、お知らせ画面の「エリア」ボタンクリック時</t>
    <rPh sb="3" eb="4">
      <t>シ</t>
    </rPh>
    <rPh sb="6" eb="8">
      <t>ガメン</t>
    </rPh>
    <rPh sb="21" eb="22">
      <t>ジ</t>
    </rPh>
    <phoneticPr fontId="28"/>
  </si>
  <si>
    <t>１．お知らせ画面の「セキュリティ」ボタンクリック</t>
    <rPh sb="3" eb="4">
      <t>シ</t>
    </rPh>
    <rPh sb="6" eb="8">
      <t>ガメン</t>
    </rPh>
    <phoneticPr fontId="28"/>
  </si>
  <si>
    <t>１．お知らせ画面の「その他のお知らせ」ボタンクリック</t>
    <rPh sb="3" eb="4">
      <t>シ</t>
    </rPh>
    <rPh sb="6" eb="8">
      <t>ガメン</t>
    </rPh>
    <phoneticPr fontId="28"/>
  </si>
  <si>
    <t>１．お知らせ画面の「車両エラー」ボタンクリック時</t>
    <rPh sb="3" eb="4">
      <t>シ</t>
    </rPh>
    <rPh sb="6" eb="8">
      <t>ガメン</t>
    </rPh>
    <rPh sb="10" eb="12">
      <t>シャリョウ</t>
    </rPh>
    <rPh sb="23" eb="24">
      <t>ジ</t>
    </rPh>
    <phoneticPr fontId="28"/>
  </si>
  <si>
    <t>１．お知らせ画面の「交換時期」ボタンクリック時</t>
    <rPh sb="3" eb="4">
      <t>シ</t>
    </rPh>
    <rPh sb="6" eb="8">
      <t>ガメン</t>
    </rPh>
    <rPh sb="10" eb="12">
      <t>コウカン</t>
    </rPh>
    <rPh sb="12" eb="14">
      <t>ジキ</t>
    </rPh>
    <rPh sb="22" eb="23">
      <t>ジ</t>
    </rPh>
    <phoneticPr fontId="28"/>
  </si>
  <si>
    <t>１．お知らせ画面の「SMR」ボタンクリック時</t>
    <rPh sb="3" eb="4">
      <t>シ</t>
    </rPh>
    <rPh sb="6" eb="8">
      <t>ガメン</t>
    </rPh>
    <rPh sb="21" eb="22">
      <t>ジ</t>
    </rPh>
    <phoneticPr fontId="28"/>
  </si>
  <si>
    <t>１．SMR画面の「削除」アイコンクリック</t>
    <rPh sb="5" eb="7">
      <t>ガメン</t>
    </rPh>
    <rPh sb="9" eb="11">
      <t>サクジョ</t>
    </rPh>
    <phoneticPr fontId="28"/>
  </si>
  <si>
    <t>リクエストパラメータ　確認</t>
    <rPh sb="11" eb="13">
      <t>カクニン</t>
    </rPh>
    <phoneticPr fontId="28"/>
  </si>
  <si>
    <t>エラーコードチェックAPI(post: /emn/utility/abnormality_codes/search)</t>
    <phoneticPr fontId="28"/>
  </si>
  <si>
    <t>abnormality_codes</t>
    <phoneticPr fontId="28"/>
  </si>
  <si>
    <t>エラーコード</t>
    <phoneticPr fontId="28"/>
  </si>
  <si>
    <t>※リクエストはheaderのみ</t>
    <phoneticPr fontId="28"/>
  </si>
  <si>
    <t>その他お知らせ項目取得API 　（get: /emn/resources/other_notifications）</t>
    <phoneticPr fontId="28"/>
  </si>
  <si>
    <t>脆弱性診断</t>
    <rPh sb="0" eb="3">
      <t>ゼイジャクセイ</t>
    </rPh>
    <rPh sb="3" eb="5">
      <t>シンダン</t>
    </rPh>
    <phoneticPr fontId="28"/>
  </si>
  <si>
    <t>セキュリティテスト</t>
    <phoneticPr fontId="28"/>
  </si>
  <si>
    <t>OWASP ZAPを実行し、セキュリティに問題がないことを確認する</t>
    <rPh sb="10" eb="12">
      <t>ジッコウ</t>
    </rPh>
    <rPh sb="21" eb="23">
      <t>モンダイ</t>
    </rPh>
    <rPh sb="29" eb="31">
      <t>カクニン</t>
    </rPh>
    <phoneticPr fontId="28"/>
  </si>
  <si>
    <t>　　エリアプルダウン</t>
  </si>
  <si>
    <t>　　エリアプルダウン</t>
    <phoneticPr fontId="28"/>
  </si>
  <si>
    <t>画面項目制御(新規作成時)
　　エリア</t>
    <rPh sb="0" eb="2">
      <t>ガメン</t>
    </rPh>
    <rPh sb="2" eb="4">
      <t>コウモク</t>
    </rPh>
    <rPh sb="4" eb="6">
      <t>セイギョ</t>
    </rPh>
    <rPh sb="7" eb="9">
      <t>シンキ</t>
    </rPh>
    <rPh sb="9" eb="11">
      <t>サクセイ</t>
    </rPh>
    <rPh sb="11" eb="12">
      <t>ジ</t>
    </rPh>
    <phoneticPr fontId="47"/>
  </si>
  <si>
    <t>OKボタンクリック時にエラーになること</t>
    <rPh sb="9" eb="10">
      <t>ジ</t>
    </rPh>
    <phoneticPr fontId="28"/>
  </si>
  <si>
    <t>1-1</t>
  </si>
  <si>
    <t>1-2</t>
  </si>
  <si>
    <t>1-3</t>
  </si>
  <si>
    <t>1-4</t>
  </si>
  <si>
    <t>1-5</t>
  </si>
  <si>
    <t>1-9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</si>
  <si>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</si>
  <si>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</si>
  <si>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</si>
  <si>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</si>
  <si>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</si>
  <si>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</si>
  <si>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</si>
  <si>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</si>
  <si>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</si>
  <si>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</si>
  <si>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</si>
  <si>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</si>
  <si>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</si>
  <si>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</si>
  <si>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</si>
  <si>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</si>
  <si>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</si>
  <si>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</si>
  <si>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</si>
  <si>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</si>
  <si>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</si>
  <si>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</si>
  <si>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</si>
  <si>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</si>
  <si>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</si>
  <si>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</si>
  <si>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</si>
  <si>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</si>
  <si>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</si>
  <si>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</si>
  <si>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</si>
  <si>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</si>
  <si>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</si>
  <si>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</si>
  <si>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</si>
  <si>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</si>
  <si>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</si>
  <si>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</si>
  <si>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</si>
  <si>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</si>
  <si>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</si>
  <si>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</si>
  <si>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</si>
  <si>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</si>
  <si>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</si>
  <si>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</si>
  <si>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</si>
  <si>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</si>
  <si>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</si>
  <si>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</si>
  <si>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</si>
  <si>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</si>
  <si>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</si>
  <si>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</si>
  <si>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</si>
  <si>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</si>
  <si>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</si>
  <si>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</si>
  <si>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</si>
  <si>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</si>
  <si>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</si>
  <si>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</si>
  <si>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</si>
  <si>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</si>
  <si>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</si>
  <si>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</si>
  <si>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</si>
  <si>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</si>
  <si>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</si>
  <si>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</si>
  <si>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</si>
  <si>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</si>
  <si>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</si>
  <si>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</si>
  <si>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</si>
  <si>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</si>
  <si>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</si>
  <si>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</si>
  <si>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</si>
  <si>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</si>
  <si>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</si>
  <si>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</si>
  <si>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</si>
  <si>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</si>
  <si>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</si>
  <si>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</si>
  <si>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</si>
  <si>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</si>
  <si>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</si>
  <si>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</si>
  <si>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1-100</t>
  </si>
  <si>
    <t>1-101</t>
  </si>
  <si>
    <t>1-102</t>
  </si>
  <si>
    <t>1-103</t>
  </si>
  <si>
    <t>1-104</t>
  </si>
  <si>
    <t>1-106</t>
  </si>
  <si>
    <t>1-107</t>
  </si>
  <si>
    <t>1-108</t>
  </si>
  <si>
    <t>1-109</t>
  </si>
  <si>
    <t>1-110</t>
  </si>
  <si>
    <t>1-112</t>
  </si>
  <si>
    <t>1-113</t>
  </si>
  <si>
    <t>1-114</t>
  </si>
  <si>
    <t>1-115</t>
  </si>
  <si>
    <t>1-116</t>
  </si>
  <si>
    <t>1-117</t>
  </si>
  <si>
    <t>1-118</t>
  </si>
  <si>
    <t>1-119</t>
  </si>
  <si>
    <t>1-120</t>
  </si>
  <si>
    <t>1-121</t>
  </si>
  <si>
    <t>1-122</t>
  </si>
  <si>
    <t>1-123</t>
  </si>
  <si>
    <t>1-124</t>
  </si>
  <si>
    <t>1-125</t>
  </si>
  <si>
    <t>1-126</t>
  </si>
  <si>
    <t>1-127</t>
  </si>
  <si>
    <t>1-128</t>
  </si>
  <si>
    <t>1-129</t>
  </si>
  <si>
    <t>1-133</t>
  </si>
  <si>
    <t>1-134</t>
  </si>
  <si>
    <t>1-135</t>
  </si>
  <si>
    <t>1-136</t>
  </si>
  <si>
    <t>1-137</t>
  </si>
  <si>
    <t>1-138</t>
  </si>
  <si>
    <t>1-139</t>
  </si>
  <si>
    <t>1-140</t>
  </si>
  <si>
    <t>1-141</t>
  </si>
  <si>
    <t>1-142</t>
  </si>
  <si>
    <t>1-143</t>
  </si>
  <si>
    <t>1-144</t>
  </si>
  <si>
    <t>1-145</t>
  </si>
  <si>
    <t>1-146</t>
  </si>
  <si>
    <t>1-147</t>
  </si>
  <si>
    <t>1-148</t>
  </si>
  <si>
    <t>1-149</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</si>
  <si>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</si>
  <si>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</si>
  <si>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</si>
  <si>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</si>
  <si>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</si>
  <si>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</si>
  <si>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</si>
  <si>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</si>
  <si>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</si>
  <si>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</si>
  <si>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</si>
  <si>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</si>
  <si>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</si>
  <si>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</si>
  <si>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</si>
  <si>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</si>
  <si>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</si>
  <si>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</si>
  <si>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</si>
  <si>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</si>
  <si>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</si>
  <si>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</si>
  <si>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</si>
  <si>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</si>
  <si>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</si>
  <si>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</si>
  <si>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</si>
  <si>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</si>
  <si>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</si>
  <si>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</si>
  <si>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</si>
  <si>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</si>
  <si>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</si>
  <si>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</si>
  <si>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</si>
  <si>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</si>
  <si>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</si>
  <si>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</si>
  <si>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</si>
  <si>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</si>
  <si>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</si>
  <si>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</si>
  <si>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</si>
  <si>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</si>
  <si>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</si>
  <si>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</si>
  <si>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</si>
  <si>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</si>
  <si>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</si>
  <si>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</si>
  <si>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</si>
  <si>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</si>
  <si>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</si>
  <si>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</si>
  <si>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</si>
  <si>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</si>
  <si>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</si>
  <si>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</si>
  <si>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</si>
  <si>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</si>
  <si>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</si>
  <si>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</si>
  <si>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</si>
  <si>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</si>
  <si>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</si>
  <si>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</si>
  <si>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</si>
  <si>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</si>
  <si>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</si>
  <si>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</si>
  <si>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</si>
  <si>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</si>
  <si>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1-225</t>
  </si>
  <si>
    <t>1-228</t>
  </si>
  <si>
    <t>1-229</t>
  </si>
  <si>
    <t>1-230</t>
  </si>
  <si>
    <t>2-1</t>
  </si>
  <si>
    <t>2-2</t>
  </si>
  <si>
    <t>2-3</t>
  </si>
  <si>
    <t>2-4</t>
  </si>
  <si>
    <t>2-5</t>
  </si>
  <si>
    <t>2-6</t>
  </si>
  <si>
    <t>2-7</t>
  </si>
  <si>
    <t>2-8</t>
  </si>
  <si>
    <t>2-9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</si>
  <si>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</si>
  <si>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</si>
  <si>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</si>
  <si>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</si>
  <si>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</si>
  <si>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</si>
  <si>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</si>
  <si>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</si>
  <si>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</si>
  <si>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</si>
  <si>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</si>
  <si>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</si>
  <si>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</si>
  <si>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</si>
  <si>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</si>
  <si>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</si>
  <si>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</si>
  <si>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</si>
  <si>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</si>
  <si>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</si>
  <si>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</si>
  <si>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</si>
  <si>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</si>
  <si>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</si>
  <si>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</si>
  <si>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</si>
  <si>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</si>
  <si>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</si>
  <si>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</si>
  <si>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</si>
  <si>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</si>
  <si>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</si>
  <si>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</si>
  <si>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</si>
  <si>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</si>
  <si>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</si>
  <si>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</si>
  <si>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</si>
  <si>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</si>
  <si>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</si>
  <si>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</si>
  <si>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</si>
  <si>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</si>
  <si>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</si>
  <si>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</si>
  <si>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</si>
  <si>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</si>
  <si>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</si>
  <si>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</si>
  <si>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</si>
  <si>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</si>
  <si>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</si>
  <si>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</si>
  <si>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</si>
  <si>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</si>
  <si>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</si>
  <si>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</si>
  <si>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</si>
  <si>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</si>
  <si>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</si>
  <si>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</si>
  <si>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</si>
  <si>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</si>
  <si>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</si>
  <si>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</si>
  <si>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</si>
  <si>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</si>
  <si>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</si>
  <si>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</si>
  <si>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</si>
  <si>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</si>
  <si>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</si>
  <si>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</si>
  <si>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</si>
  <si>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</si>
  <si>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</si>
  <si>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8-1</t>
  </si>
  <si>
    <t>8-2</t>
  </si>
  <si>
    <t>8-3</t>
  </si>
  <si>
    <t>8-4</t>
  </si>
  <si>
    <t>8-5</t>
  </si>
  <si>
    <t>8-6</t>
  </si>
  <si>
    <t>8-7</t>
  </si>
  <si>
    <t>8-8</t>
  </si>
  <si>
    <t>8-9</t>
  </si>
  <si>
    <t>8-10</t>
  </si>
  <si>
    <t>8-11</t>
  </si>
  <si>
    <t>8-12</t>
  </si>
  <si>
    <t>8-13</t>
  </si>
  <si>
    <t>8-14</t>
  </si>
  <si>
    <t>8-15</t>
  </si>
  <si>
    <t>－</t>
    <phoneticPr fontId="47"/>
  </si>
  <si>
    <t>－</t>
    <phoneticPr fontId="47"/>
  </si>
  <si>
    <t>リサイズ</t>
    <phoneticPr fontId="47"/>
  </si>
  <si>
    <t>リサイズ</t>
    <phoneticPr fontId="47"/>
  </si>
  <si>
    <t>－</t>
    <phoneticPr fontId="47"/>
  </si>
  <si>
    <t>リサイズ</t>
    <phoneticPr fontId="47"/>
  </si>
  <si>
    <t>6文字までしか入力できないこと</t>
    <rPh sb="1" eb="3">
      <t>モジ</t>
    </rPh>
    <rPh sb="7" eb="9">
      <t>ニュウリョク</t>
    </rPh>
    <phoneticPr fontId="28"/>
  </si>
  <si>
    <t>　　エリアボタン</t>
    <phoneticPr fontId="28"/>
  </si>
  <si>
    <t>クリック</t>
    <phoneticPr fontId="28"/>
  </si>
  <si>
    <t>　　セキュリティ</t>
  </si>
  <si>
    <t>　　セキュリティ</t>
    <phoneticPr fontId="28"/>
  </si>
  <si>
    <t>チェックON</t>
    <phoneticPr fontId="28"/>
  </si>
  <si>
    <t>チェックOFF</t>
    <phoneticPr fontId="28"/>
  </si>
  <si>
    <t>クリック</t>
    <phoneticPr fontId="28"/>
  </si>
  <si>
    <t>-</t>
    <phoneticPr fontId="28"/>
  </si>
  <si>
    <t>チェックON</t>
    <phoneticPr fontId="28"/>
  </si>
  <si>
    <t>チェックOFF</t>
    <phoneticPr fontId="28"/>
  </si>
  <si>
    <t>　　エラー旗プルダウン：すべてを選択済み</t>
    <rPh sb="5" eb="6">
      <t>ハタ</t>
    </rPh>
    <rPh sb="16" eb="18">
      <t>センタク</t>
    </rPh>
    <rPh sb="18" eb="19">
      <t>ズ</t>
    </rPh>
    <phoneticPr fontId="47"/>
  </si>
  <si>
    <t>　　エラー旗プルダウン：すべて以外を選択済み</t>
    <rPh sb="5" eb="6">
      <t>ハタ</t>
    </rPh>
    <rPh sb="15" eb="17">
      <t>イガイ</t>
    </rPh>
    <rPh sb="18" eb="20">
      <t>センタク</t>
    </rPh>
    <phoneticPr fontId="47"/>
  </si>
  <si>
    <t>チェックOFF</t>
    <phoneticPr fontId="28"/>
  </si>
  <si>
    <t>リソース取得APIで取得した最初の値が表示されること</t>
    <rPh sb="14" eb="16">
      <t>サイショ</t>
    </rPh>
    <rPh sb="17" eb="18">
      <t>アタイ</t>
    </rPh>
    <rPh sb="19" eb="21">
      <t>ヒョウジ</t>
    </rPh>
    <phoneticPr fontId="28"/>
  </si>
  <si>
    <t>リソース取得APIで取得した値が表示されること</t>
    <rPh sb="14" eb="15">
      <t>アタイ</t>
    </rPh>
    <rPh sb="16" eb="18">
      <t>ヒョウジ</t>
    </rPh>
    <phoneticPr fontId="28"/>
  </si>
  <si>
    <t>リソース取得APIで取得した値が表示されること</t>
    <rPh sb="4" eb="6">
      <t>シュトク</t>
    </rPh>
    <rPh sb="10" eb="12">
      <t>シュトク</t>
    </rPh>
    <rPh sb="14" eb="15">
      <t>アタイ</t>
    </rPh>
    <rPh sb="16" eb="18">
      <t>ヒョウジ</t>
    </rPh>
    <phoneticPr fontId="28"/>
  </si>
  <si>
    <t>プルダウン選択：すべてを選択</t>
    <rPh sb="5" eb="7">
      <t>センタク</t>
    </rPh>
    <rPh sb="12" eb="14">
      <t>センタク</t>
    </rPh>
    <phoneticPr fontId="47"/>
  </si>
  <si>
    <t>プルダウン：すべて以外を選択</t>
    <rPh sb="9" eb="11">
      <t>イガイ</t>
    </rPh>
    <phoneticPr fontId="47"/>
  </si>
  <si>
    <t>プルダウン選択：選択されたコードを選択</t>
    <rPh sb="5" eb="7">
      <t>センタク</t>
    </rPh>
    <rPh sb="8" eb="10">
      <t>センタク</t>
    </rPh>
    <rPh sb="17" eb="19">
      <t>センタク</t>
    </rPh>
    <phoneticPr fontId="47"/>
  </si>
  <si>
    <t>プルダウン選択：選択されたコード以外を選択</t>
    <rPh sb="5" eb="7">
      <t>センタク</t>
    </rPh>
    <rPh sb="16" eb="18">
      <t>イガイ</t>
    </rPh>
    <rPh sb="19" eb="21">
      <t>センタク</t>
    </rPh>
    <phoneticPr fontId="47"/>
  </si>
  <si>
    <t>クリック</t>
    <phoneticPr fontId="47"/>
  </si>
  <si>
    <t>-</t>
    <phoneticPr fontId="47"/>
  </si>
  <si>
    <t>チェックON</t>
    <phoneticPr fontId="28"/>
  </si>
  <si>
    <t>チェックOFF</t>
    <phoneticPr fontId="28"/>
  </si>
  <si>
    <t>SMR選択かつ
一度のみ(ラジオボタン)選択時</t>
    <rPh sb="3" eb="5">
      <t>センタク</t>
    </rPh>
    <rPh sb="20" eb="22">
      <t>センタク</t>
    </rPh>
    <rPh sb="22" eb="23">
      <t>ジ</t>
    </rPh>
    <phoneticPr fontId="28"/>
  </si>
  <si>
    <t>チェックON</t>
    <phoneticPr fontId="28"/>
  </si>
  <si>
    <t>チェックOFF</t>
    <phoneticPr fontId="28"/>
  </si>
  <si>
    <t>SMR選択かつ
インターバル選択時</t>
    <rPh sb="3" eb="5">
      <t>センタク</t>
    </rPh>
    <rPh sb="14" eb="16">
      <t>センタク</t>
    </rPh>
    <rPh sb="16" eb="17">
      <t>ジ</t>
    </rPh>
    <phoneticPr fontId="28"/>
  </si>
  <si>
    <t>チェックOFF</t>
    <phoneticPr fontId="28"/>
  </si>
  <si>
    <t>SMR選択かつ
ｺﾝﾃﾞｨｼｮﾝﾍﾞｰｽの送信に切り替える選択時</t>
    <rPh sb="3" eb="5">
      <t>センタク</t>
    </rPh>
    <rPh sb="29" eb="31">
      <t>センタク</t>
    </rPh>
    <rPh sb="31" eb="32">
      <t>ジ</t>
    </rPh>
    <phoneticPr fontId="28"/>
  </si>
  <si>
    <t>インターバル送信リミット　　&lt;
インターバル　　-　　オフセット</t>
    <rPh sb="6" eb="8">
      <t>ソウシン</t>
    </rPh>
    <phoneticPr fontId="28"/>
  </si>
  <si>
    <t>送信リミット　　&gt;　　10000</t>
    <rPh sb="0" eb="2">
      <t>ソウシン</t>
    </rPh>
    <phoneticPr fontId="28"/>
  </si>
  <si>
    <t>送信リミット　　&lt;=　　10000</t>
    <rPh sb="0" eb="2">
      <t>ソウシン</t>
    </rPh>
    <phoneticPr fontId="28"/>
  </si>
  <si>
    <t>オフセット　　&gt;　　0　　かつ
インターバル　　&lt;　　オフセット</t>
    <phoneticPr fontId="28"/>
  </si>
  <si>
    <t>-</t>
    <phoneticPr fontId="28"/>
  </si>
  <si>
    <t>画面項目制御(更新時)
　　エリア</t>
    <rPh sb="0" eb="2">
      <t>ガメン</t>
    </rPh>
    <rPh sb="2" eb="4">
      <t>コウモク</t>
    </rPh>
    <rPh sb="4" eb="6">
      <t>セイギョ</t>
    </rPh>
    <rPh sb="7" eb="9">
      <t>コウシン</t>
    </rPh>
    <rPh sb="9" eb="10">
      <t>ジ</t>
    </rPh>
    <phoneticPr fontId="47"/>
  </si>
  <si>
    <t>　　セキュリティプルダウン</t>
  </si>
  <si>
    <t>　　－</t>
  </si>
  <si>
    <t>　　セキュリティボタン</t>
  </si>
  <si>
    <t>　　その他のお知らせ</t>
  </si>
  <si>
    <t>　　その他のお知らせプルダウン</t>
  </si>
  <si>
    <t>　　その他のお知らせボタン</t>
  </si>
  <si>
    <t>　　エラー</t>
  </si>
  <si>
    <t>　　エラー旗プルダウン</t>
  </si>
  <si>
    <t>　　アクションレベルプルダウン</t>
  </si>
  <si>
    <t>　　車両エラーボタン</t>
  </si>
  <si>
    <t>　　コーション</t>
  </si>
  <si>
    <t>　　コーションプルダウン</t>
  </si>
  <si>
    <t>　　交換時期</t>
  </si>
  <si>
    <t>　　交換時期旗プルダウン</t>
  </si>
  <si>
    <t>　　交換時期種類プルダウン</t>
  </si>
  <si>
    <t>　　交換時期ボタン</t>
  </si>
  <si>
    <t>　　SMR</t>
  </si>
  <si>
    <t>　　SMRボタン</t>
  </si>
  <si>
    <t>　　一度のみ(ラジオボタン)</t>
  </si>
  <si>
    <t>　　送信SMR時間</t>
  </si>
  <si>
    <t>　　期日</t>
  </si>
  <si>
    <t>　　ｲﾝﾀｰﾊﾞﾙ</t>
  </si>
  <si>
    <t>　　ｲﾝﾀｰﾊﾞﾙ時間</t>
  </si>
  <si>
    <t>　　送信リミット</t>
  </si>
  <si>
    <t>　　オフセット</t>
  </si>
  <si>
    <t>　　ｺﾝﾃﾞｨｼｮﾝﾍﾞｰｽの送信に切り替える</t>
  </si>
  <si>
    <t>　　インターバル送信リミット</t>
  </si>
  <si>
    <t>　　ｲﾝﾀｰﾊﾞﾙ送信(OR)期日設定</t>
  </si>
  <si>
    <t>　　メールタイトルに旗色表示</t>
  </si>
  <si>
    <t>　　メールタイトルにエラーコードを表示</t>
  </si>
  <si>
    <t>　　メールタイトルにセキュリティ区分を表示</t>
  </si>
  <si>
    <t>　　顧客車両暗号(ラジオボタン)</t>
  </si>
  <si>
    <t>　　顧客管理暗号(ラジオボタン)</t>
  </si>
  <si>
    <t>　　顧客車両暗号(チェックボックス)</t>
  </si>
  <si>
    <t>　　分類1</t>
  </si>
  <si>
    <t>　　分類2</t>
  </si>
  <si>
    <t>　　分類3</t>
  </si>
  <si>
    <t>　　分類4</t>
  </si>
  <si>
    <t>　　分類5</t>
  </si>
  <si>
    <t>エンジン始動直後のエラー無視チェックボックス</t>
    <phoneticPr fontId="28"/>
  </si>
  <si>
    <t>エンジン始動直後のエラー無視チェックボックス</t>
    <phoneticPr fontId="28"/>
  </si>
  <si>
    <t>メールタイトルにセキュリティ区分を表示チェックボックス</t>
    <phoneticPr fontId="28"/>
  </si>
  <si>
    <t>　　進入</t>
  </si>
  <si>
    <t>　　保税エリアのみ</t>
  </si>
  <si>
    <t>　　保税エリア以外</t>
  </si>
  <si>
    <t>　　保税エリア含む</t>
  </si>
  <si>
    <t>　　全エリア</t>
  </si>
  <si>
    <t>画面項目制御
　　転出</t>
    <rPh sb="0" eb="2">
      <t>ガメン</t>
    </rPh>
    <rPh sb="2" eb="4">
      <t>コウモク</t>
    </rPh>
    <rPh sb="4" eb="6">
      <t>セイギョ</t>
    </rPh>
    <phoneticPr fontId="47"/>
  </si>
  <si>
    <t>チェックON</t>
    <phoneticPr fontId="28"/>
  </si>
  <si>
    <t>別シート"リクエストパラメータチェックシート：リソース取得API "参照</t>
    <phoneticPr fontId="28"/>
  </si>
  <si>
    <t>　　　呼び出し失敗</t>
    <rPh sb="3" eb="4">
      <t>ヨ</t>
    </rPh>
    <rPh sb="5" eb="6">
      <t>ダ</t>
    </rPh>
    <rPh sb="7" eb="9">
      <t>シッパイ</t>
    </rPh>
    <phoneticPr fontId="28"/>
  </si>
  <si>
    <t>　　　エラー確認</t>
    <rPh sb="6" eb="8">
      <t>カクニン</t>
    </rPh>
    <phoneticPr fontId="28"/>
  </si>
  <si>
    <t>クリック
　　ユーザ：SAOもしくはAO</t>
    <phoneticPr fontId="28"/>
  </si>
  <si>
    <t>別シート"リクエストパラメータチェックシート：リソース取得API "参照</t>
    <phoneticPr fontId="28"/>
  </si>
  <si>
    <t>リソース取得APIで取得した値がセットされること</t>
    <rPh sb="10" eb="12">
      <t>シュトク</t>
    </rPh>
    <rPh sb="14" eb="15">
      <t>アタイ</t>
    </rPh>
    <phoneticPr fontId="28"/>
  </si>
  <si>
    <t>プルダウン選択</t>
    <rPh sb="5" eb="7">
      <t>センタク</t>
    </rPh>
    <phoneticPr fontId="28"/>
  </si>
  <si>
    <t>車両タブ</t>
    <rPh sb="0" eb="2">
      <t>シャリョウ</t>
    </rPh>
    <phoneticPr fontId="47"/>
  </si>
  <si>
    <t>車両画面に遷移すること</t>
    <rPh sb="0" eb="2">
      <t>シャリョウ</t>
    </rPh>
    <rPh sb="2" eb="4">
      <t>ガメン</t>
    </rPh>
    <rPh sb="5" eb="7">
      <t>センイ</t>
    </rPh>
    <phoneticPr fontId="28"/>
  </si>
  <si>
    <t>－</t>
    <phoneticPr fontId="47"/>
  </si>
  <si>
    <t>　　必須項目すべて入力済み</t>
    <rPh sb="2" eb="4">
      <t>ヒッス</t>
    </rPh>
    <rPh sb="4" eb="6">
      <t>コウモク</t>
    </rPh>
    <rPh sb="9" eb="11">
      <t>ニュウリョク</t>
    </rPh>
    <rPh sb="11" eb="12">
      <t>ズ</t>
    </rPh>
    <phoneticPr fontId="47"/>
  </si>
  <si>
    <t>ボタン制御</t>
    <rPh sb="3" eb="5">
      <t>セイギョ</t>
    </rPh>
    <phoneticPr fontId="47"/>
  </si>
  <si>
    <t>確定ボタンが活性化すること</t>
    <rPh sb="0" eb="2">
      <t>カクテイ</t>
    </rPh>
    <rPh sb="6" eb="9">
      <t>カッセイカ</t>
    </rPh>
    <phoneticPr fontId="28"/>
  </si>
  <si>
    <t>確定ボタンが非活性になること</t>
    <rPh sb="0" eb="2">
      <t>カクテイ</t>
    </rPh>
    <rPh sb="6" eb="7">
      <t>ヒ</t>
    </rPh>
    <rPh sb="7" eb="9">
      <t>カッセイ</t>
    </rPh>
    <phoneticPr fontId="28"/>
  </si>
  <si>
    <t>－</t>
    <phoneticPr fontId="47"/>
  </si>
  <si>
    <t>クリック</t>
    <phoneticPr fontId="47"/>
  </si>
  <si>
    <t>－</t>
    <phoneticPr fontId="47"/>
  </si>
  <si>
    <t>－</t>
    <phoneticPr fontId="47"/>
  </si>
  <si>
    <t>受信者タブ</t>
    <rPh sb="0" eb="3">
      <t>ジュシンシャ</t>
    </rPh>
    <phoneticPr fontId="47"/>
  </si>
  <si>
    <t>受信者画面に遷移すること</t>
    <rPh sb="0" eb="3">
      <t>ジュシンシャ</t>
    </rPh>
    <rPh sb="3" eb="5">
      <t>ガメン</t>
    </rPh>
    <rPh sb="6" eb="8">
      <t>センイ</t>
    </rPh>
    <phoneticPr fontId="28"/>
  </si>
  <si>
    <t>プロファイルタブ</t>
    <phoneticPr fontId="47"/>
  </si>
  <si>
    <t>初期表示：登録時</t>
    <rPh sb="0" eb="2">
      <t>ショキ</t>
    </rPh>
    <rPh sb="2" eb="4">
      <t>ヒョウジ</t>
    </rPh>
    <rPh sb="5" eb="7">
      <t>トウロク</t>
    </rPh>
    <rPh sb="7" eb="8">
      <t>ジ</t>
    </rPh>
    <phoneticPr fontId="47"/>
  </si>
  <si>
    <t>初期表示：編集時</t>
    <rPh sb="0" eb="2">
      <t>ショキ</t>
    </rPh>
    <rPh sb="2" eb="4">
      <t>ヒョウジ</t>
    </rPh>
    <rPh sb="5" eb="7">
      <t>ヘンシュウ</t>
    </rPh>
    <rPh sb="7" eb="8">
      <t>ジ</t>
    </rPh>
    <phoneticPr fontId="47"/>
  </si>
  <si>
    <t>－</t>
    <phoneticPr fontId="47"/>
  </si>
  <si>
    <t>確定ボタン</t>
    <rPh sb="0" eb="2">
      <t>カクテイ</t>
    </rPh>
    <phoneticPr fontId="47"/>
  </si>
  <si>
    <t>初期表示(登録時)</t>
    <rPh sb="0" eb="2">
      <t>ショキ</t>
    </rPh>
    <rPh sb="2" eb="4">
      <t>ヒョウジ</t>
    </rPh>
    <rPh sb="5" eb="7">
      <t>トウロク</t>
    </rPh>
    <rPh sb="7" eb="8">
      <t>ジ</t>
    </rPh>
    <phoneticPr fontId="47"/>
  </si>
  <si>
    <t>非活性</t>
    <rPh sb="0" eb="1">
      <t>ヒ</t>
    </rPh>
    <rPh sb="1" eb="3">
      <t>カッセイ</t>
    </rPh>
    <phoneticPr fontId="28"/>
  </si>
  <si>
    <t>初期表示(編集時)</t>
    <rPh sb="0" eb="2">
      <t>ショキ</t>
    </rPh>
    <rPh sb="2" eb="4">
      <t>ヒョウジ</t>
    </rPh>
    <rPh sb="5" eb="7">
      <t>ヘンシュウ</t>
    </rPh>
    <phoneticPr fontId="47"/>
  </si>
  <si>
    <t>－</t>
    <phoneticPr fontId="47"/>
  </si>
  <si>
    <t>クリック</t>
    <phoneticPr fontId="47"/>
  </si>
  <si>
    <t>確認画面に遷移すること</t>
    <rPh sb="0" eb="2">
      <t>カクニン</t>
    </rPh>
    <rPh sb="2" eb="4">
      <t>ガメン</t>
    </rPh>
    <rPh sb="5" eb="7">
      <t>センイ</t>
    </rPh>
    <phoneticPr fontId="28"/>
  </si>
  <si>
    <t>初期表示（登録時）</t>
    <rPh sb="0" eb="2">
      <t>ショキ</t>
    </rPh>
    <rPh sb="2" eb="4">
      <t>ヒョウジ</t>
    </rPh>
    <rPh sb="5" eb="7">
      <t>トウロク</t>
    </rPh>
    <rPh sb="7" eb="8">
      <t>ジ</t>
    </rPh>
    <phoneticPr fontId="28"/>
  </si>
  <si>
    <t>以下のようになっていること
・SMRチェックボックスON
・インターバルチェックボックスON
・インターバル時間入力
・送信リミット入力
・ｲﾝﾀｰﾊﾞﾙ送信(OR)期日設定チェックボックスON</t>
    <rPh sb="0" eb="2">
      <t>イカ</t>
    </rPh>
    <rPh sb="54" eb="56">
      <t>ジカン</t>
    </rPh>
    <rPh sb="56" eb="58">
      <t>ニュウリョク</t>
    </rPh>
    <rPh sb="60" eb="62">
      <t>ソウシン</t>
    </rPh>
    <rPh sb="66" eb="68">
      <t>ニュウリョク</t>
    </rPh>
    <phoneticPr fontId="28"/>
  </si>
  <si>
    <t>自動表示確認</t>
    <rPh sb="0" eb="2">
      <t>ジドウ</t>
    </rPh>
    <rPh sb="2" eb="4">
      <t>ヒョウジ</t>
    </rPh>
    <rPh sb="4" eb="6">
      <t>カクニン</t>
    </rPh>
    <phoneticPr fontId="28"/>
  </si>
  <si>
    <t>以下のいずれかがチェックOFFもしくは空白になっていること
・SMRチェックボックスON
・インターバルチェックボックスON
・インターバル時間入力
・送信リミット入力
・ｲﾝﾀｰﾊﾞﾙ送信(OR)期日設定チェックボックスON</t>
    <rPh sb="0" eb="2">
      <t>イカ</t>
    </rPh>
    <rPh sb="19" eb="21">
      <t>クウハク</t>
    </rPh>
    <rPh sb="70" eb="72">
      <t>ジカン</t>
    </rPh>
    <rPh sb="72" eb="74">
      <t>ニュウリョク</t>
    </rPh>
    <rPh sb="76" eb="78">
      <t>ソウシン</t>
    </rPh>
    <rPh sb="82" eb="84">
      <t>ニュウリョク</t>
    </rPh>
    <phoneticPr fontId="28"/>
  </si>
  <si>
    <t>　　一度のみ(ラジオボタン)</t>
    <phoneticPr fontId="28"/>
  </si>
  <si>
    <t>　　送信SMR時間（一度のみ）</t>
    <phoneticPr fontId="28"/>
  </si>
  <si>
    <t>　　期日（一度のみ）</t>
    <phoneticPr fontId="28"/>
  </si>
  <si>
    <t>　　期日（インターバル送信 (OR) 期日設定）</t>
    <phoneticPr fontId="28"/>
  </si>
  <si>
    <t>インターバル送信時間（初回）</t>
    <rPh sb="6" eb="8">
      <t>ソウシン</t>
    </rPh>
    <rPh sb="8" eb="10">
      <t>ジカン</t>
    </rPh>
    <rPh sb="11" eb="13">
      <t>ショカイ</t>
    </rPh>
    <phoneticPr fontId="28"/>
  </si>
  <si>
    <t>インターバル送信時間(2回目以降)</t>
    <phoneticPr fontId="28"/>
  </si>
  <si>
    <t>インターバル時間－オフセット（オフセット未入力の場合はインターバル時間）になっていること</t>
    <phoneticPr fontId="28"/>
  </si>
  <si>
    <t>一つ前のインターバル送信時間＋インターバル時間単位で表示されていること</t>
    <rPh sb="0" eb="1">
      <t>ヒト</t>
    </rPh>
    <rPh sb="2" eb="3">
      <t>マエ</t>
    </rPh>
    <rPh sb="10" eb="12">
      <t>ソウシン</t>
    </rPh>
    <rPh sb="12" eb="14">
      <t>ジカン</t>
    </rPh>
    <rPh sb="21" eb="23">
      <t>ジカン</t>
    </rPh>
    <rPh sb="23" eb="25">
      <t>タンイ</t>
    </rPh>
    <rPh sb="26" eb="28">
      <t>ヒョウジ</t>
    </rPh>
    <phoneticPr fontId="28"/>
  </si>
  <si>
    <t>　　インターバル送信リミット未設定</t>
    <phoneticPr fontId="28"/>
  </si>
  <si>
    <t>インターバル送信時間(最後)
　　インターバル送信リミット設定済</t>
    <phoneticPr fontId="28"/>
  </si>
  <si>
    <t>インターバル送信リミットの範囲で、最初のインターバル送信時間からインターバル時間単位で表示されること</t>
    <rPh sb="6" eb="8">
      <t>ソウシン</t>
    </rPh>
    <rPh sb="13" eb="15">
      <t>ハンイ</t>
    </rPh>
    <rPh sb="17" eb="19">
      <t>サイショ</t>
    </rPh>
    <rPh sb="43" eb="45">
      <t>ヒョウジ</t>
    </rPh>
    <phoneticPr fontId="28"/>
  </si>
  <si>
    <t>インターバル送信の範囲で、最初のインターバル送信時間からインターバル時間単位で表示されること</t>
    <rPh sb="6" eb="8">
      <t>ソウシン</t>
    </rPh>
    <rPh sb="9" eb="11">
      <t>ハンイ</t>
    </rPh>
    <rPh sb="13" eb="15">
      <t>サイショ</t>
    </rPh>
    <rPh sb="39" eb="41">
      <t>ヒョウジ</t>
    </rPh>
    <phoneticPr fontId="28"/>
  </si>
  <si>
    <t>入力時に1～99以外の値の場合、エラーになること</t>
    <rPh sb="0" eb="3">
      <t>ニュウリョクジ</t>
    </rPh>
    <rPh sb="8" eb="10">
      <t>イガイ</t>
    </rPh>
    <rPh sb="11" eb="12">
      <t>アタイ</t>
    </rPh>
    <rPh sb="13" eb="15">
      <t>バアイ</t>
    </rPh>
    <phoneticPr fontId="28"/>
  </si>
  <si>
    <t>入力時に1～99999999以外の値の場合、エラーになること</t>
    <rPh sb="0" eb="3">
      <t>ニュウリョクジ</t>
    </rPh>
    <rPh sb="14" eb="16">
      <t>イガイ</t>
    </rPh>
    <rPh sb="17" eb="18">
      <t>アタイ</t>
    </rPh>
    <rPh sb="19" eb="21">
      <t>バアイ</t>
    </rPh>
    <phoneticPr fontId="28"/>
  </si>
  <si>
    <t>次へボタンもしくは別タブ選択時に空白の場合、エラーになること</t>
    <rPh sb="0" eb="1">
      <t>ツギ</t>
    </rPh>
    <rPh sb="9" eb="10">
      <t>ベツ</t>
    </rPh>
    <rPh sb="12" eb="14">
      <t>センタク</t>
    </rPh>
    <rPh sb="14" eb="15">
      <t>ジ</t>
    </rPh>
    <rPh sb="16" eb="18">
      <t>クウハク</t>
    </rPh>
    <rPh sb="19" eb="21">
      <t>バアイ</t>
    </rPh>
    <phoneticPr fontId="28"/>
  </si>
  <si>
    <t>次へボタンもしくは別タブ選択時に空白の場合、エラーになること</t>
    <rPh sb="16" eb="18">
      <t>クウハク</t>
    </rPh>
    <rPh sb="19" eb="21">
      <t>バアイ</t>
    </rPh>
    <phoneticPr fontId="28"/>
  </si>
  <si>
    <t>次へボタンもしくは別タブ選択時にエラーになること</t>
    <phoneticPr fontId="28"/>
  </si>
  <si>
    <t>オフセット　　＞　　インターバル時間</t>
    <rPh sb="16" eb="18">
      <t>ジカン</t>
    </rPh>
    <phoneticPr fontId="28"/>
  </si>
  <si>
    <t>次へボタンもしくは別タブ選択時にエラーになること</t>
    <phoneticPr fontId="28"/>
  </si>
  <si>
    <t>入力時にエラーになること</t>
    <rPh sb="0" eb="3">
      <t>ニュウリョクジ</t>
    </rPh>
    <phoneticPr fontId="28"/>
  </si>
  <si>
    <t>-</t>
    <phoneticPr fontId="28"/>
  </si>
  <si>
    <t>入力時に500～10000以外の値の場合、エラーになること</t>
    <rPh sb="0" eb="3">
      <t>ニュウリョクジ</t>
    </rPh>
    <rPh sb="18" eb="20">
      <t>バアイ</t>
    </rPh>
    <phoneticPr fontId="28"/>
  </si>
  <si>
    <t>入力時に500～99999999以外の値の場合、エラーになること</t>
    <rPh sb="0" eb="3">
      <t>ニュウリョクジ</t>
    </rPh>
    <rPh sb="21" eb="23">
      <t>バアイ</t>
    </rPh>
    <phoneticPr fontId="28"/>
  </si>
  <si>
    <t>次へボタンもしくは別タブ押下時に空白の場合、エラーになること</t>
    <rPh sb="9" eb="10">
      <t>ベツ</t>
    </rPh>
    <rPh sb="16" eb="18">
      <t>クウハク</t>
    </rPh>
    <rPh sb="19" eb="21">
      <t>バアイ</t>
    </rPh>
    <phoneticPr fontId="28"/>
  </si>
  <si>
    <t>次へボタンもしくは別タブ押下時に期日を前後して入力していた場合、エラーになること</t>
    <rPh sb="0" eb="1">
      <t>ツギ</t>
    </rPh>
    <rPh sb="9" eb="10">
      <t>ベツ</t>
    </rPh>
    <rPh sb="12" eb="14">
      <t>オウカ</t>
    </rPh>
    <rPh sb="14" eb="15">
      <t>ジ</t>
    </rPh>
    <rPh sb="16" eb="18">
      <t>キジツ</t>
    </rPh>
    <rPh sb="19" eb="21">
      <t>ゼンゴ</t>
    </rPh>
    <rPh sb="23" eb="25">
      <t>ニュウリョク</t>
    </rPh>
    <rPh sb="29" eb="31">
      <t>バアイ</t>
    </rPh>
    <phoneticPr fontId="28"/>
  </si>
  <si>
    <t>　　インターバル送信リミット</t>
    <phoneticPr fontId="28"/>
  </si>
  <si>
    <t>画面項目制御
　　+ボタン</t>
    <rPh sb="0" eb="2">
      <t>ガメン</t>
    </rPh>
    <rPh sb="2" eb="4">
      <t>コウモク</t>
    </rPh>
    <rPh sb="4" eb="6">
      <t>セイギョ</t>
    </rPh>
    <phoneticPr fontId="28"/>
  </si>
  <si>
    <t>クリック</t>
    <phoneticPr fontId="28"/>
  </si>
  <si>
    <t>　　呼び出し失敗</t>
    <phoneticPr fontId="28"/>
  </si>
  <si>
    <t>エラーコード入力項目が追加されること</t>
    <rPh sb="6" eb="8">
      <t>ニュウリョク</t>
    </rPh>
    <rPh sb="8" eb="10">
      <t>コウモク</t>
    </rPh>
    <rPh sb="11" eb="13">
      <t>ツイカ</t>
    </rPh>
    <phoneticPr fontId="28"/>
  </si>
  <si>
    <t>　　－ボタン</t>
    <phoneticPr fontId="28"/>
  </si>
  <si>
    <t>　　エラーコード（テキスト）</t>
    <phoneticPr fontId="28"/>
  </si>
  <si>
    <t>エラーコード（テキスト）</t>
    <phoneticPr fontId="28"/>
  </si>
  <si>
    <t>ーボタンをクリックしたエラーコード（テキスト）と―ボタンが削除されること</t>
    <phoneticPr fontId="28"/>
  </si>
  <si>
    <t>+ボタンクリック時、空白の場合、エラーになること</t>
    <phoneticPr fontId="28"/>
  </si>
  <si>
    <t>　　OKボタン</t>
    <phoneticPr fontId="28"/>
  </si>
  <si>
    <t>　　呼び出し失敗</t>
    <phoneticPr fontId="47"/>
  </si>
  <si>
    <t>　　エラー確認</t>
    <rPh sb="5" eb="7">
      <t>カクニン</t>
    </rPh>
    <phoneticPr fontId="28"/>
  </si>
  <si>
    <t>　　キャンセルボタン</t>
    <phoneticPr fontId="28"/>
  </si>
  <si>
    <t>クリック（エラーコード（2つ））</t>
    <phoneticPr fontId="47"/>
  </si>
  <si>
    <t>クリック（エラーコード（3つ以上））</t>
    <rPh sb="14" eb="16">
      <t>イジョウ</t>
    </rPh>
    <phoneticPr fontId="47"/>
  </si>
  <si>
    <t>最初のエラーコード（テキスト）に―ボタンが表示されていないこと</t>
    <rPh sb="0" eb="2">
      <t>サイショ</t>
    </rPh>
    <rPh sb="21" eb="23">
      <t>ヒョウジ</t>
    </rPh>
    <phoneticPr fontId="28"/>
  </si>
  <si>
    <t>結合テスト仕様書 お知らせ</t>
    <rPh sb="0" eb="2">
      <t>ケツゴウ</t>
    </rPh>
    <rPh sb="5" eb="7">
      <t>シヨウ</t>
    </rPh>
    <rPh sb="7" eb="8">
      <t>ショ</t>
    </rPh>
    <rPh sb="10" eb="11">
      <t>シ</t>
    </rPh>
    <phoneticPr fontId="145"/>
  </si>
  <si>
    <t>未実施</t>
    <rPh sb="0" eb="3">
      <t>ミジッシ</t>
    </rPh>
    <phoneticPr fontId="28"/>
  </si>
  <si>
    <t>エビデンス</t>
    <phoneticPr fontId="28"/>
  </si>
  <si>
    <t>　　顧客管理暗号(ラジオボタン)</t>
    <phoneticPr fontId="28"/>
  </si>
  <si>
    <t>2-89</t>
  </si>
  <si>
    <t>2-90</t>
  </si>
  <si>
    <t>2-91</t>
  </si>
  <si>
    <t>2-92</t>
  </si>
  <si>
    <t>2-93</t>
  </si>
  <si>
    <t>2-94</t>
  </si>
  <si>
    <t>2-95</t>
  </si>
  <si>
    <t>2-96</t>
  </si>
  <si>
    <t>2-97</t>
  </si>
  <si>
    <t>登録時</t>
    <rPh sb="0" eb="2">
      <t>トウロク</t>
    </rPh>
    <rPh sb="2" eb="3">
      <t>ジ</t>
    </rPh>
    <phoneticPr fontId="47"/>
  </si>
  <si>
    <t>更新時</t>
    <rPh sb="0" eb="3">
      <t>コウシンジ</t>
    </rPh>
    <phoneticPr fontId="28"/>
  </si>
  <si>
    <t>チェックOFFになっていること</t>
    <phoneticPr fontId="28"/>
  </si>
  <si>
    <t>　　グループエリア取得API呼出し</t>
    <rPh sb="14" eb="16">
      <t>ヨビダ</t>
    </rPh>
    <phoneticPr fontId="47"/>
  </si>
  <si>
    <t>別シート"リクエストパラメータチェックシート：グループエリア取得API "参照</t>
    <phoneticPr fontId="28"/>
  </si>
  <si>
    <t xml:space="preserve">group_id </t>
    <phoneticPr fontId="28"/>
  </si>
  <si>
    <t>area_id</t>
    <phoneticPr fontId="28"/>
  </si>
  <si>
    <t>access_type</t>
    <phoneticPr fontId="28"/>
  </si>
  <si>
    <t>グループエリアID</t>
    <phoneticPr fontId="28"/>
  </si>
  <si>
    <t>アクセス形式</t>
    <phoneticPr fontId="28"/>
  </si>
  <si>
    <t>X-GroupId</t>
  </si>
  <si>
    <t>X-CarDivision</t>
  </si>
  <si>
    <t>別シート"リクエストパラメータチェックシート：グループエリア取得I"参照</t>
    <phoneticPr fontId="28"/>
  </si>
  <si>
    <t>メールタイトルにセキュリティ区分を表示</t>
    <phoneticPr fontId="28"/>
  </si>
  <si>
    <t>セキュリティ項目取得APIで取得したデータが表示されていること</t>
    <rPh sb="14" eb="16">
      <t>シュトク</t>
    </rPh>
    <rPh sb="22" eb="24">
      <t>ヒョウジ</t>
    </rPh>
    <phoneticPr fontId="28"/>
  </si>
  <si>
    <t>別シート"リクエストパラメータチェックシート：エラーコードチェックAPI"参照</t>
    <phoneticPr fontId="28"/>
  </si>
  <si>
    <t>　　交換時期旗プルダウン</t>
    <phoneticPr fontId="28"/>
  </si>
  <si>
    <t>プルダウン選択：選択された交換時期を選択</t>
    <rPh sb="5" eb="7">
      <t>センタク</t>
    </rPh>
    <rPh sb="8" eb="10">
      <t>センタク</t>
    </rPh>
    <rPh sb="13" eb="15">
      <t>コウカン</t>
    </rPh>
    <rPh sb="15" eb="17">
      <t>ジキ</t>
    </rPh>
    <rPh sb="18" eb="20">
      <t>センタク</t>
    </rPh>
    <phoneticPr fontId="47"/>
  </si>
  <si>
    <t>プルダウン選択：選択された交換時期以外を選択</t>
    <rPh sb="5" eb="7">
      <t>センタク</t>
    </rPh>
    <rPh sb="13" eb="15">
      <t>コウカン</t>
    </rPh>
    <rPh sb="15" eb="17">
      <t>ジキ</t>
    </rPh>
    <rPh sb="17" eb="19">
      <t>イガイ</t>
    </rPh>
    <rPh sb="20" eb="22">
      <t>センタク</t>
    </rPh>
    <phoneticPr fontId="47"/>
  </si>
  <si>
    <t xml:space="preserve">function_code </t>
    <phoneticPr fontId="28"/>
  </si>
  <si>
    <t>機能コード</t>
    <phoneticPr fontId="28"/>
  </si>
  <si>
    <t>半角英数字、半角記号</t>
    <phoneticPr fontId="28"/>
  </si>
  <si>
    <t xml:space="preserve">search_parameter </t>
    <phoneticPr fontId="28"/>
  </si>
  <si>
    <t>絞り込み条件</t>
    <phoneticPr fontId="28"/>
  </si>
  <si>
    <t>使用可能文字：半角英数記号(半角カンマ以外) + 半角カンマ + ALL
絞り込み条件キー、絞り込み値をカンマ区切りで設定する
　　　　　　　絞り込み値にカンマの使用も許容する
　　　　　　　(パラメータ内の先頭カンマにてキー、値の分割を行う)</t>
    <phoneticPr fontId="28"/>
  </si>
  <si>
    <t>指定項目リソース取得API 　（get: /applications/fields/resources）</t>
    <rPh sb="0" eb="2">
      <t>シテイ</t>
    </rPh>
    <rPh sb="2" eb="4">
      <t>コウモク</t>
    </rPh>
    <phoneticPr fontId="28"/>
  </si>
  <si>
    <t>指定項目リソース取得APIで取得したデータが表示されていること</t>
    <rPh sb="0" eb="2">
      <t>シテイ</t>
    </rPh>
    <rPh sb="2" eb="4">
      <t>コウモク</t>
    </rPh>
    <rPh sb="14" eb="16">
      <t>シュトク</t>
    </rPh>
    <rPh sb="22" eb="24">
      <t>ヒョウジ</t>
    </rPh>
    <phoneticPr fontId="28"/>
  </si>
  <si>
    <t>SMRメッセージ登録API 　（post: /emn/smr_messages）</t>
    <rPh sb="8" eb="10">
      <t>トウロク</t>
    </rPh>
    <phoneticPr fontId="28"/>
  </si>
  <si>
    <t>smr_message</t>
    <phoneticPr fontId="28"/>
  </si>
  <si>
    <t>SMRメッセージ</t>
    <phoneticPr fontId="28"/>
  </si>
  <si>
    <t>　　title</t>
    <phoneticPr fontId="28"/>
  </si>
  <si>
    <t xml:space="preserve">メッセージタイトル </t>
    <phoneticPr fontId="28"/>
  </si>
  <si>
    <t>　　text</t>
    <phoneticPr fontId="28"/>
  </si>
  <si>
    <t xml:space="preserve">メッセージテキスト </t>
    <phoneticPr fontId="28"/>
  </si>
  <si>
    <t>　　smr_range_from</t>
    <phoneticPr fontId="28"/>
  </si>
  <si>
    <t>SMR範囲(From)</t>
    <phoneticPr fontId="28"/>
  </si>
  <si>
    <t>SMR範囲(To)</t>
    <phoneticPr fontId="28"/>
  </si>
  <si>
    <t>　　smr_range_to</t>
    <phoneticPr fontId="28"/>
  </si>
  <si>
    <t>未指定の場合、999999が設定される</t>
    <phoneticPr fontId="28"/>
  </si>
  <si>
    <t>未指定の場合、0が設定される</t>
    <phoneticPr fontId="28"/>
  </si>
  <si>
    <t>SMRメッセージ登録APIで取得したデータが反映されていること</t>
    <rPh sb="8" eb="10">
      <t>トウロク</t>
    </rPh>
    <rPh sb="14" eb="16">
      <t>シュトク</t>
    </rPh>
    <rPh sb="22" eb="24">
      <t>ハンエイ</t>
    </rPh>
    <phoneticPr fontId="28"/>
  </si>
  <si>
    <t>昇順で表示されている場合、▲のアイコンになること</t>
    <rPh sb="0" eb="2">
      <t>ショウジュン</t>
    </rPh>
    <rPh sb="3" eb="5">
      <t>ヒョウジ</t>
    </rPh>
    <rPh sb="10" eb="12">
      <t>バアイ</t>
    </rPh>
    <phoneticPr fontId="28"/>
  </si>
  <si>
    <t>降順で表示されている場合、▼のアイコンになること</t>
    <rPh sb="3" eb="5">
      <t>ヒョウジ</t>
    </rPh>
    <rPh sb="10" eb="12">
      <t>バアイ</t>
    </rPh>
    <phoneticPr fontId="28"/>
  </si>
  <si>
    <t>送信リミット　　&lt;　　インターバル時間</t>
    <rPh sb="0" eb="2">
      <t>ソウシン</t>
    </rPh>
    <rPh sb="17" eb="19">
      <t>ジカン</t>
    </rPh>
    <phoneticPr fontId="28"/>
  </si>
  <si>
    <t>インターバル送信リミット　　&gt;
送信リミット</t>
    <rPh sb="6" eb="8">
      <t>ソウシン</t>
    </rPh>
    <rPh sb="16" eb="18">
      <t>ソウシン</t>
    </rPh>
    <phoneticPr fontId="28"/>
  </si>
  <si>
    <t>車両画面が表示されること</t>
    <rPh sb="0" eb="2">
      <t>シャリョウ</t>
    </rPh>
    <rPh sb="2" eb="4">
      <t>ガメン</t>
    </rPh>
    <rPh sb="5" eb="7">
      <t>ヒョウジ</t>
    </rPh>
    <phoneticPr fontId="28"/>
  </si>
  <si>
    <t>プロファイル画面に遷移すること</t>
    <rPh sb="6" eb="8">
      <t>ガメン</t>
    </rPh>
    <rPh sb="9" eb="11">
      <t>センイ</t>
    </rPh>
    <phoneticPr fontId="28"/>
  </si>
  <si>
    <t>　　必須項目すべて入力済み→エリアのチェックボックスOFF</t>
    <rPh sb="2" eb="4">
      <t>ヒッス</t>
    </rPh>
    <rPh sb="4" eb="6">
      <t>コウモク</t>
    </rPh>
    <rPh sb="9" eb="11">
      <t>ニュウリョク</t>
    </rPh>
    <rPh sb="11" eb="12">
      <t>ズ</t>
    </rPh>
    <phoneticPr fontId="47"/>
  </si>
  <si>
    <t>SMRメッセージ削除API 　（delete: /emn/smr_messages）</t>
    <rPh sb="8" eb="10">
      <t>サクジョ</t>
    </rPh>
    <phoneticPr fontId="28"/>
  </si>
  <si>
    <t>別シート"リクエストパラメータチェックシート：SMRメッセージ削除API"参照</t>
    <rPh sb="31" eb="33">
      <t>サクジョ</t>
    </rPh>
    <phoneticPr fontId="28"/>
  </si>
  <si>
    <t>SMRメッセージID、更新日時をカンマ区切りで設定する</t>
    <phoneticPr fontId="28"/>
  </si>
  <si>
    <t>smr_message</t>
    <phoneticPr fontId="28"/>
  </si>
  <si>
    <t>別シート"リクエストパラメータチェックシート：SMRメッセージ一覧取得API"参照</t>
    <phoneticPr fontId="28"/>
  </si>
  <si>
    <t>最初に入力したエラー項目に「ー」ボタンが表示されること</t>
    <rPh sb="0" eb="2">
      <t>サイショ</t>
    </rPh>
    <rPh sb="3" eb="5">
      <t>ニュウリョク</t>
    </rPh>
    <rPh sb="10" eb="12">
      <t>コウモク</t>
    </rPh>
    <rPh sb="20" eb="22">
      <t>ヒョウジ</t>
    </rPh>
    <phoneticPr fontId="28"/>
  </si>
  <si>
    <t>ｴﾘｱ旗</t>
    <phoneticPr fontId="28"/>
  </si>
  <si>
    <t>分類3</t>
  </si>
  <si>
    <t>分類4</t>
  </si>
  <si>
    <t>分類5</t>
  </si>
  <si>
    <t>164文字までしか入力できないこと</t>
    <rPh sb="3" eb="5">
      <t>モジ</t>
    </rPh>
    <rPh sb="9" eb="11">
      <t>ニュウリョク</t>
    </rPh>
    <phoneticPr fontId="28"/>
  </si>
  <si>
    <t>38文字までしか入力できないこと</t>
    <rPh sb="2" eb="4">
      <t>モジ</t>
    </rPh>
    <rPh sb="8" eb="10">
      <t>ニュウリョク</t>
    </rPh>
    <phoneticPr fontId="28"/>
  </si>
  <si>
    <t>塚田</t>
    <rPh sb="0" eb="2">
      <t>ツカダ</t>
    </rPh>
    <phoneticPr fontId="28"/>
  </si>
  <si>
    <t>唐鎌</t>
    <rPh sb="0" eb="2">
      <t>カラカマ</t>
    </rPh>
    <phoneticPr fontId="28"/>
  </si>
  <si>
    <t>増田</t>
    <rPh sb="0" eb="2">
      <t>マスダ</t>
    </rPh>
    <phoneticPr fontId="28"/>
  </si>
  <si>
    <t>グループエリア取得API 　（get: /areas）</t>
    <phoneticPr fontId="28"/>
  </si>
  <si>
    <t>エラーメッセージが表示されること</t>
    <rPh sb="9" eb="11">
      <t>ヒョウジ</t>
    </rPh>
    <phoneticPr fontId="28"/>
  </si>
  <si>
    <t>次世代対応を反映した画面設計書と画面を照らし合わせ、権限に合った項目が表示されていること。
テスト結果は「画面項目マトリクス」シートに記入</t>
    <rPh sb="0" eb="3">
      <t>ジセダイ</t>
    </rPh>
    <rPh sb="3" eb="5">
      <t>タイオウ</t>
    </rPh>
    <rPh sb="6" eb="8">
      <t>ハンエイ</t>
    </rPh>
    <rPh sb="10" eb="12">
      <t>ガメン</t>
    </rPh>
    <rPh sb="12" eb="15">
      <t>セッケイショ</t>
    </rPh>
    <rPh sb="16" eb="18">
      <t>ガメン</t>
    </rPh>
    <rPh sb="19" eb="20">
      <t>テ</t>
    </rPh>
    <rPh sb="22" eb="23">
      <t>ア</t>
    </rPh>
    <rPh sb="26" eb="28">
      <t>ケンゲン</t>
    </rPh>
    <rPh sb="29" eb="30">
      <t>ア</t>
    </rPh>
    <rPh sb="32" eb="34">
      <t>コウモク</t>
    </rPh>
    <rPh sb="35" eb="37">
      <t>ヒョウジ</t>
    </rPh>
    <rPh sb="50" eb="52">
      <t>ケッカ</t>
    </rPh>
    <rPh sb="68" eb="70">
      <t>キニュウ</t>
    </rPh>
    <phoneticPr fontId="47"/>
  </si>
  <si>
    <t>「ヘッダ項目クリック_マトリクス」シートが全てOKになること</t>
    <rPh sb="21" eb="22">
      <t>スベ</t>
    </rPh>
    <phoneticPr fontId="2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</si>
</sst>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48">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s>
  <fills count="65">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theme="0" tint="-0.499984740745262"/>
        <bgColor indexed="64"/>
      </patternFill>
    </fill>
    <fill>
      <patternFill patternType="solid">
        <fgColor rgb="FF92D050"/>
        <bgColor indexed="64"/>
      </patternFill>
    </fill>
    <fill>
      <patternFill patternType="solid">
        <fgColor rgb="FFFFFFCC"/>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63">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194" fontId="91" fillId="0" borderId="0" xfId="210" applyNumberFormat="1" applyFont="1" applyAlignment="1">
      <alignment horizontal="right" vertical="center"/>
    </xf>
    <xf numFmtId="194" fontId="91" fillId="0" borderId="0" xfId="210" applyNumberFormat="1" applyFont="1" applyAlignment="1">
      <alignment horizontal="right" vertical="center" wrapText="1"/>
    </xf>
    <xf numFmtId="0" fontId="0" fillId="0" borderId="0" xfId="0" applyAlignment="1"/>
    <xf numFmtId="0" fontId="0" fillId="61" borderId="3" xfId="0" applyFill="1" applyBorder="1"/>
    <xf numFmtId="0" fontId="23" fillId="0" borderId="0" xfId="0" applyFont="1" applyAlignment="1">
      <alignment vertical="top" wrapText="1"/>
    </xf>
    <xf numFmtId="0" fontId="0" fillId="0" borderId="3" xfId="0" applyFont="1" applyBorder="1" applyAlignment="1">
      <alignment vertical="top" wrapText="1"/>
    </xf>
    <xf numFmtId="0" fontId="0" fillId="0" borderId="3" xfId="0" applyBorder="1"/>
    <xf numFmtId="0" fontId="0" fillId="0" borderId="0" xfId="0" applyFont="1" applyFill="1" applyBorder="1" applyAlignment="1">
      <alignment vertical="top" wrapText="1"/>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60" borderId="3" xfId="210" applyFont="1" applyFill="1" applyBorder="1" applyAlignment="1">
      <alignment horizontal="left" vertical="center"/>
    </xf>
    <xf numFmtId="0" fontId="91" fillId="60" borderId="3" xfId="210" applyFont="1" applyFill="1" applyBorder="1" applyAlignment="1">
      <alignment horizontal="left" vertical="center" wrapText="1"/>
    </xf>
    <xf numFmtId="0" fontId="91" fillId="0" borderId="0" xfId="210" applyFont="1" applyFill="1" applyBorder="1" applyAlignment="1">
      <alignment horizontal="center" vertical="center"/>
    </xf>
    <xf numFmtId="0" fontId="0" fillId="0" borderId="3" xfId="0" applyBorder="1" applyAlignment="1">
      <alignment wrapText="1"/>
    </xf>
    <xf numFmtId="0" fontId="0" fillId="0" borderId="0" xfId="0" applyFont="1" applyBorder="1" applyAlignment="1">
      <alignment vertical="top" wrapText="1"/>
    </xf>
    <xf numFmtId="0" fontId="0" fillId="0" borderId="0" xfId="0" applyBorder="1"/>
    <xf numFmtId="0" fontId="91" fillId="60" borderId="17" xfId="210" applyFont="1" applyFill="1" applyBorder="1" applyAlignment="1">
      <alignment horizontal="center" vertical="center"/>
    </xf>
    <xf numFmtId="14" fontId="91" fillId="60" borderId="17" xfId="210" applyNumberFormat="1" applyFont="1" applyFill="1" applyBorder="1" applyAlignment="1">
      <alignment horizontal="center" vertical="center"/>
    </xf>
    <xf numFmtId="0" fontId="91" fillId="0" borderId="17" xfId="210" applyFont="1" applyFill="1" applyBorder="1" applyAlignment="1">
      <alignment vertical="center"/>
    </xf>
    <xf numFmtId="0" fontId="91" fillId="60" borderId="17" xfId="210" applyFont="1" applyFill="1" applyBorder="1" applyAlignment="1">
      <alignment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0" fillId="0" borderId="0" xfId="0" applyAlignment="1">
      <alignment horizontal="left"/>
    </xf>
    <xf numFmtId="0" fontId="0" fillId="60" borderId="3" xfId="0" applyFont="1" applyFill="1" applyBorder="1" applyAlignment="1">
      <alignment vertical="top" wrapText="1"/>
    </xf>
    <xf numFmtId="0" fontId="0" fillId="0" borderId="0" xfId="0" applyAlignment="1">
      <alignment vertical="top" wrapText="1"/>
    </xf>
    <xf numFmtId="0" fontId="0" fillId="0" borderId="56" xfId="0" applyFont="1" applyBorder="1" applyAlignment="1">
      <alignment vertical="top" wrapText="1"/>
    </xf>
    <xf numFmtId="0" fontId="0" fillId="60" borderId="56" xfId="0" applyFont="1" applyFill="1" applyBorder="1" applyAlignment="1">
      <alignment vertical="top" wrapText="1"/>
    </xf>
    <xf numFmtId="0" fontId="0" fillId="60" borderId="0" xfId="0" applyFont="1" applyFill="1" applyBorder="1" applyAlignment="1">
      <alignment vertical="top" wrapText="1"/>
    </xf>
    <xf numFmtId="0" fontId="0" fillId="0" borderId="3" xfId="0" applyFill="1" applyBorder="1"/>
    <xf numFmtId="0" fontId="0" fillId="0" borderId="3" xfId="0" quotePrefix="1" applyBorder="1" applyAlignment="1">
      <alignment wrapText="1"/>
    </xf>
    <xf numFmtId="0" fontId="0" fillId="61" borderId="3" xfId="0" applyFill="1" applyBorder="1" applyAlignment="1">
      <alignment horizontal="center" vertical="center" wrapText="1"/>
    </xf>
    <xf numFmtId="0" fontId="91" fillId="2" borderId="3" xfId="210" applyFont="1" applyFill="1" applyBorder="1" applyAlignment="1">
      <alignment horizontal="center" vertical="center"/>
    </xf>
    <xf numFmtId="0" fontId="91" fillId="59" borderId="3" xfId="210" applyFont="1" applyFill="1" applyBorder="1" applyAlignment="1">
      <alignment horizontal="center" vertical="center"/>
    </xf>
    <xf numFmtId="0" fontId="0" fillId="61" borderId="3" xfId="0" applyFill="1" applyBorder="1" applyAlignment="1">
      <alignment horizontal="center" vertical="center"/>
    </xf>
    <xf numFmtId="0" fontId="91" fillId="2" borderId="3" xfId="210" applyFont="1" applyFill="1" applyBorder="1" applyAlignment="1">
      <alignment horizontal="center" vertical="center"/>
    </xf>
    <xf numFmtId="0" fontId="91" fillId="59"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0" fillId="0" borderId="3" xfId="0" applyBorder="1" applyAlignment="1">
      <alignment horizontal="center" vertical="center"/>
    </xf>
    <xf numFmtId="0" fontId="0" fillId="61" borderId="3" xfId="0" applyFill="1" applyBorder="1" applyAlignment="1">
      <alignment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3" xfId="210" quotePrefix="1" applyFont="1" applyFill="1" applyBorder="1" applyAlignment="1">
      <alignment horizontal="left" vertical="center" wrapText="1"/>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62" borderId="17" xfId="210" applyFont="1" applyFill="1" applyBorder="1" applyAlignment="1">
      <alignment horizontal="center" vertical="center"/>
    </xf>
    <xf numFmtId="14" fontId="91" fillId="62" borderId="17" xfId="210" applyNumberFormat="1"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0" fillId="0" borderId="0" xfId="0" applyFill="1" applyAlignment="1">
      <alignment horizontal="left"/>
    </xf>
    <xf numFmtId="0" fontId="0" fillId="0" borderId="0" xfId="0" applyFill="1"/>
    <xf numFmtId="0" fontId="91" fillId="0" borderId="0" xfId="210" applyFont="1" applyFill="1" applyBorder="1" applyAlignment="1">
      <alignment horizontal="center" vertical="center"/>
    </xf>
    <xf numFmtId="0" fontId="91" fillId="0" borderId="3" xfId="210" applyNumberFormat="1" applyFont="1" applyFill="1" applyBorder="1" applyAlignment="1">
      <alignment horizontal="center" vertical="center"/>
    </xf>
    <xf numFmtId="0" fontId="0" fillId="0" borderId="0" xfId="0" applyAlignment="1">
      <alignment wrapText="1"/>
    </xf>
    <xf numFmtId="0" fontId="0" fillId="63" borderId="0" xfId="0" applyFill="1" applyAlignment="1">
      <alignment horizontal="center"/>
    </xf>
    <xf numFmtId="0" fontId="0" fillId="61" borderId="3" xfId="0" applyFill="1" applyBorder="1" applyAlignment="1">
      <alignment wrapText="1"/>
    </xf>
    <xf numFmtId="0" fontId="0" fillId="63" borderId="3" xfId="0" applyFill="1" applyBorder="1"/>
    <xf numFmtId="0" fontId="0" fillId="60" borderId="3" xfId="0" applyFill="1" applyBorder="1"/>
    <xf numFmtId="0" fontId="0" fillId="0" borderId="0" xfId="0" applyBorder="1" applyAlignment="1">
      <alignment wrapText="1"/>
    </xf>
    <xf numFmtId="0" fontId="0" fillId="0" borderId="3" xfId="0" applyFill="1" applyBorder="1" applyAlignment="1">
      <alignment wrapText="1"/>
    </xf>
    <xf numFmtId="0" fontId="0" fillId="0" borderId="56" xfId="0" applyBorder="1" applyAlignment="1">
      <alignment wrapText="1"/>
    </xf>
    <xf numFmtId="0" fontId="91" fillId="0" borderId="0" xfId="210" applyFont="1" applyFill="1" applyBorder="1" applyAlignment="1">
      <alignment horizontal="center" vertical="center"/>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0" borderId="0" xfId="210" applyFont="1" applyAlignment="1">
      <alignment vertical="center" wrapText="1"/>
    </xf>
    <xf numFmtId="0" fontId="91" fillId="0" borderId="0"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0" borderId="17" xfId="210" applyFont="1" applyFill="1" applyBorder="1" applyAlignment="1">
      <alignment horizontal="center" vertical="center" wrapText="1"/>
    </xf>
    <xf numFmtId="0" fontId="0" fillId="62" borderId="3" xfId="0" applyFill="1" applyBorder="1"/>
    <xf numFmtId="0" fontId="0" fillId="64" borderId="83" xfId="0" applyFill="1" applyBorder="1" applyAlignment="1">
      <alignment vertical="center"/>
    </xf>
    <xf numFmtId="0" fontId="0" fillId="64" borderId="3" xfId="0" applyFill="1" applyBorder="1"/>
    <xf numFmtId="0" fontId="91" fillId="62" borderId="3" xfId="210" applyNumberFormat="1" applyFont="1" applyFill="1" applyBorder="1" applyAlignment="1">
      <alignment horizontal="center" vertical="center"/>
    </xf>
    <xf numFmtId="0" fontId="91" fillId="62" borderId="3" xfId="210" applyFont="1" applyFill="1" applyBorder="1" applyAlignment="1">
      <alignment horizontal="left" vertical="center"/>
    </xf>
    <xf numFmtId="0" fontId="91" fillId="62" borderId="3" xfId="210" applyFont="1" applyFill="1" applyBorder="1" applyAlignment="1">
      <alignment horizontal="left" vertical="center" wrapText="1"/>
    </xf>
    <xf numFmtId="0" fontId="91" fillId="62" borderId="3" xfId="210" applyFont="1" applyFill="1" applyBorder="1" applyAlignment="1">
      <alignment horizontal="center" vertical="center"/>
    </xf>
    <xf numFmtId="0" fontId="91" fillId="62" borderId="17" xfId="210" applyFont="1" applyFill="1" applyBorder="1" applyAlignment="1">
      <alignment horizontal="center" vertical="center" wrapText="1"/>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201" fontId="84" fillId="0" borderId="76" xfId="886" applyNumberFormat="1" applyBorder="1" applyAlignment="1">
      <alignment horizontal="right" vertical="center"/>
    </xf>
    <xf numFmtId="201" fontId="84" fillId="0" borderId="77" xfId="886" applyNumberFormat="1" applyBorder="1" applyAlignment="1">
      <alignment horizontal="right" vertical="center"/>
    </xf>
    <xf numFmtId="0" fontId="0" fillId="0" borderId="77" xfId="0" applyBorder="1"/>
    <xf numFmtId="0" fontId="0" fillId="0" borderId="78" xfId="0" applyBorder="1"/>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8" xfId="886" applyNumberFormat="1" applyBorder="1" applyAlignment="1">
      <alignment horizontal="right" vertical="center"/>
    </xf>
    <xf numFmtId="0" fontId="91" fillId="0" borderId="18" xfId="210" applyFont="1" applyFill="1" applyBorder="1" applyAlignment="1">
      <alignment vertical="center" wrapText="1"/>
    </xf>
    <xf numFmtId="0" fontId="91" fillId="0" borderId="20" xfId="210" applyFont="1" applyFill="1" applyBorder="1" applyAlignment="1">
      <alignment vertical="center" wrapText="1"/>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17" xfId="210" applyFont="1" applyFill="1" applyBorder="1" applyAlignment="1">
      <alignment horizontal="center" vertical="center"/>
    </xf>
    <xf numFmtId="0" fontId="91" fillId="2" borderId="83" xfId="210" applyFont="1" applyFill="1" applyBorder="1" applyAlignment="1">
      <alignment horizontal="center" vertical="center" wrapText="1"/>
    </xf>
    <xf numFmtId="0" fontId="91" fillId="2" borderId="17" xfId="210" applyFont="1" applyFill="1" applyBorder="1" applyAlignment="1">
      <alignment horizontal="center" vertical="center" wrapText="1"/>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91" fillId="2" borderId="3" xfId="210" applyFont="1" applyFill="1" applyBorder="1" applyAlignment="1">
      <alignment horizontal="center" vertical="center"/>
    </xf>
    <xf numFmtId="0" fontId="91" fillId="59" borderId="3" xfId="210" applyFont="1" applyFill="1" applyBorder="1" applyAlignment="1">
      <alignment horizontal="center" vertical="center"/>
    </xf>
    <xf numFmtId="0" fontId="91" fillId="0" borderId="18" xfId="210" quotePrefix="1" applyFont="1" applyFill="1" applyBorder="1" applyAlignment="1">
      <alignment horizontal="left" vertical="center" wrapText="1"/>
    </xf>
    <xf numFmtId="0" fontId="91" fillId="60" borderId="18" xfId="210" applyFont="1" applyFill="1" applyBorder="1" applyAlignment="1">
      <alignment vertical="center" wrapText="1"/>
    </xf>
    <xf numFmtId="0" fontId="91" fillId="60" borderId="20" xfId="210" applyFont="1" applyFill="1" applyBorder="1" applyAlignment="1">
      <alignment vertical="center" wrapText="1"/>
    </xf>
    <xf numFmtId="0" fontId="91" fillId="62" borderId="18" xfId="210" applyFont="1" applyFill="1" applyBorder="1" applyAlignment="1">
      <alignment horizontal="left" vertical="center" wrapText="1"/>
    </xf>
    <xf numFmtId="0" fontId="91" fillId="62" borderId="20" xfId="210" applyFont="1" applyFill="1" applyBorder="1" applyAlignment="1">
      <alignment horizontal="left" vertical="center" wrapText="1"/>
    </xf>
    <xf numFmtId="0" fontId="0" fillId="61" borderId="3" xfId="0" applyFill="1" applyBorder="1" applyAlignment="1">
      <alignment horizontal="center" vertical="center"/>
    </xf>
    <xf numFmtId="0" fontId="0" fillId="61" borderId="3" xfId="0" applyFill="1" applyBorder="1" applyAlignment="1">
      <alignment horizontal="center"/>
    </xf>
    <xf numFmtId="0" fontId="91" fillId="2" borderId="3" xfId="210" applyFont="1" applyFill="1" applyBorder="1" applyAlignment="1">
      <alignment horizontal="center" vertical="center" wrapText="1"/>
    </xf>
    <xf numFmtId="0" fontId="0" fillId="60" borderId="3" xfId="0" applyFill="1" applyBorder="1" applyAlignment="1">
      <alignment horizontal="center" vertical="center" wrapText="1"/>
    </xf>
    <xf numFmtId="0" fontId="0" fillId="0" borderId="0" xfId="0" applyFont="1" applyFill="1" applyBorder="1" applyAlignment="1">
      <alignment horizontal="left" vertical="top" wrapText="1"/>
    </xf>
    <xf numFmtId="0" fontId="91" fillId="2" borderId="19" xfId="210" applyFont="1" applyFill="1" applyBorder="1" applyAlignment="1">
      <alignment horizontal="center" vertical="center"/>
    </xf>
    <xf numFmtId="0" fontId="0" fillId="0" borderId="20" xfId="0" applyBorder="1" applyAlignment="1">
      <alignment horizontal="left" vertical="center" wrapText="1"/>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xf numFmtId="49" fontId="91" fillId="2" borderId="19" xfId="210" applyNumberFormat="1"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FFFCC"/>
      <color rgb="FFFBDFA7"/>
      <color rgb="FF6F6F33"/>
      <color rgb="FF757535"/>
      <color rgb="FF008000"/>
      <color rgb="FFF2DCDB"/>
      <color rgb="FF0000FF"/>
      <color rgb="FFC5D9F1"/>
      <color rgb="FFFDE9D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sharedStrings" Target="sharedStrings.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 val="CA_ZFBBR001（請求書）＿"/>
      <sheetName val="DATA-COMMUNICATION-FORMAT"/>
      <sheetName val="実施スケジュール"/>
      <sheetName val="I-O FLOW"/>
      <sheetName val="入力"/>
      <sheetName val="設定"/>
      <sheetName val="W Claim smt2"/>
      <sheetName val="Claim ratio smt I"/>
      <sheetName val="TableDesign"/>
      <sheetName val="Graphs"/>
      <sheetName val="工数詳細（ＲＤ・ＥＤ）"/>
      <sheetName val="社員リスト"/>
      <sheetName val="処理概説"/>
      <sheetName val="データブロックの各ヘッダサイズ"/>
      <sheetName val="ブロックサイズ"/>
      <sheetName val="エントリサイズ"/>
      <sheetName val="Datasheet"/>
      <sheetName val="ZAAM取り込み"/>
      <sheetName val="README"/>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 val="I_O FLOW"/>
      <sheetName val="Dictionary"/>
      <sheetName val="CA_ZFBC001(自動入金消込：仮受金自動計上部）"/>
      <sheetName val="W Claim smt2"/>
      <sheetName val="Claim ratio smt I"/>
      <sheetName val="DATA-COMMUNICATION-FORMAT"/>
      <sheetName val="TableDesign"/>
      <sheetName val="実施スケジュール"/>
      <sheetName val="油圧馬力"/>
      <sheetName val="CA_ZFBC001(自動入金消込_仮受金自動計上部）"/>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ZAAM取り込み"/>
      <sheetName val="I-O FLOW"/>
      <sheetName val="Dictionary"/>
      <sheetName val="ENG完品"/>
      <sheetName val="W Claim smt2"/>
      <sheetName val="SALES"/>
      <sheetName val="GLOBAL1"/>
      <sheetName val="Overview"/>
      <sheetName val="General Assumptions"/>
      <sheetName val="TaskCounter"/>
      <sheetName val="Job Code"/>
      <sheetName val="README"/>
      <sheetName val="新旧対照"/>
      <sheetName val="実施スケジュー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tabSelected="1" zoomScaleNormal="100" zoomScaleSheetLayoutView="85" workbookViewId="0"/>
  </sheetViews>
  <sheetFormatPr defaultColWidth="0.75" defaultRowHeight="12"/>
  <cols>
    <col min="1" max="16384" width="0.75" style="61"/>
  </cols>
  <sheetData>
    <row r="4" spans="1:168" ht="13.5">
      <c r="EM4" s="187"/>
      <c r="EN4" s="188"/>
      <c r="EO4" s="188"/>
      <c r="EP4" s="188"/>
      <c r="EQ4" s="188"/>
      <c r="ER4" s="188"/>
      <c r="ES4" s="188"/>
      <c r="ET4" s="188"/>
      <c r="EU4" s="188"/>
      <c r="EV4" s="188"/>
      <c r="EW4" s="188"/>
      <c r="EX4" s="188"/>
      <c r="EY4" s="188"/>
      <c r="EZ4" s="188"/>
      <c r="FA4" s="188"/>
      <c r="FB4" s="188"/>
      <c r="FC4" s="188"/>
      <c r="FD4" s="188"/>
      <c r="FE4" s="188"/>
      <c r="FF4" s="188"/>
      <c r="FG4" s="188"/>
      <c r="FH4" s="188"/>
      <c r="FI4" s="188"/>
      <c r="FJ4" s="188"/>
      <c r="FK4" s="188"/>
      <c r="FL4" s="188"/>
    </row>
    <row r="5" spans="1:168">
      <c r="A5" s="62"/>
      <c r="B5" s="62"/>
      <c r="C5" s="62"/>
      <c r="D5" s="62"/>
      <c r="E5" s="62"/>
      <c r="F5" s="62"/>
      <c r="G5" s="62"/>
      <c r="H5" s="62"/>
      <c r="I5" s="189" t="s">
        <v>63</v>
      </c>
      <c r="J5" s="189"/>
      <c r="K5" s="189"/>
      <c r="L5" s="189"/>
      <c r="M5" s="189"/>
      <c r="N5" s="189"/>
      <c r="O5" s="189"/>
      <c r="P5" s="189"/>
      <c r="Q5" s="189"/>
      <c r="R5" s="189"/>
      <c r="S5" s="189"/>
      <c r="T5" s="189"/>
      <c r="U5" s="189"/>
      <c r="V5" s="189"/>
      <c r="W5" s="189"/>
      <c r="X5" s="189"/>
      <c r="Y5" s="189"/>
      <c r="Z5" s="189"/>
      <c r="AA5" s="189"/>
      <c r="AB5" s="189"/>
      <c r="AC5" s="189"/>
      <c r="AD5" s="189"/>
      <c r="AE5" s="189"/>
      <c r="AF5" s="189"/>
      <c r="AG5" s="189"/>
      <c r="AH5" s="189"/>
      <c r="AI5" s="189"/>
      <c r="AJ5" s="189"/>
      <c r="AK5" s="189"/>
      <c r="AL5" s="189"/>
      <c r="AM5" s="189"/>
      <c r="AN5" s="189"/>
      <c r="AO5" s="189"/>
      <c r="AP5" s="189"/>
      <c r="AQ5" s="189"/>
      <c r="AR5" s="189"/>
      <c r="AS5" s="189"/>
      <c r="AT5" s="189"/>
      <c r="AU5" s="189"/>
      <c r="AV5" s="189"/>
      <c r="AW5" s="189"/>
      <c r="AX5" s="189"/>
      <c r="AY5" s="189"/>
      <c r="AZ5" s="189"/>
      <c r="BA5" s="189"/>
      <c r="BB5" s="189"/>
      <c r="BC5" s="189"/>
      <c r="BD5" s="189"/>
      <c r="BE5" s="189"/>
      <c r="BF5" s="189"/>
      <c r="BG5" s="189"/>
      <c r="BH5" s="189"/>
      <c r="BI5" s="189"/>
      <c r="BJ5" s="189"/>
      <c r="BK5" s="189"/>
      <c r="BL5" s="189"/>
      <c r="BM5" s="189"/>
      <c r="BN5" s="189"/>
      <c r="BO5" s="189"/>
      <c r="BP5" s="189"/>
      <c r="BQ5" s="189"/>
      <c r="BR5" s="189"/>
      <c r="BS5" s="189"/>
      <c r="BT5" s="189"/>
      <c r="BU5" s="189"/>
      <c r="BV5" s="189"/>
      <c r="BW5" s="189"/>
      <c r="BX5" s="189"/>
      <c r="BY5" s="189"/>
      <c r="BZ5" s="189"/>
      <c r="CA5" s="189"/>
      <c r="CB5" s="189"/>
      <c r="CC5" s="189"/>
      <c r="CD5" s="189"/>
      <c r="CE5" s="189"/>
      <c r="CF5" s="189"/>
      <c r="CG5" s="189"/>
      <c r="CH5" s="189"/>
      <c r="CI5" s="189"/>
      <c r="CJ5" s="189"/>
      <c r="CK5" s="189"/>
      <c r="CL5" s="189"/>
      <c r="CM5" s="189"/>
      <c r="CN5" s="189"/>
      <c r="CO5" s="189"/>
      <c r="CP5" s="189"/>
      <c r="CQ5" s="189"/>
      <c r="CR5" s="189"/>
      <c r="CS5" s="189"/>
      <c r="CT5" s="189"/>
      <c r="CU5" s="189"/>
      <c r="CV5" s="189"/>
      <c r="CW5" s="189"/>
      <c r="CX5" s="189"/>
      <c r="CY5" s="189"/>
      <c r="CZ5" s="189"/>
      <c r="DA5" s="189"/>
      <c r="DB5" s="189"/>
      <c r="DC5" s="189"/>
      <c r="DD5" s="189"/>
      <c r="DE5" s="189"/>
      <c r="DF5" s="189"/>
      <c r="DG5" s="189"/>
      <c r="DH5" s="189"/>
      <c r="DI5" s="189"/>
      <c r="DJ5" s="189"/>
      <c r="DK5" s="189"/>
      <c r="DL5" s="189"/>
      <c r="DM5" s="189"/>
      <c r="DN5" s="189"/>
      <c r="DO5" s="189"/>
      <c r="DP5" s="189"/>
      <c r="DQ5" s="189"/>
      <c r="DR5" s="189"/>
      <c r="DS5" s="189"/>
      <c r="DT5" s="189"/>
      <c r="DU5" s="189"/>
      <c r="DV5" s="189"/>
      <c r="DW5" s="189"/>
      <c r="DX5" s="189"/>
      <c r="DY5" s="189"/>
      <c r="DZ5" s="189"/>
      <c r="EA5" s="189"/>
      <c r="EB5" s="189"/>
      <c r="EC5" s="189"/>
      <c r="ED5" s="189"/>
      <c r="EE5" s="189"/>
      <c r="EF5" s="189"/>
      <c r="EG5" s="189"/>
      <c r="EH5" s="189"/>
      <c r="EI5" s="189"/>
      <c r="EJ5" s="189"/>
      <c r="EK5" s="189"/>
      <c r="EL5" s="189"/>
      <c r="EM5" s="189"/>
      <c r="EN5" s="189"/>
      <c r="EO5" s="189"/>
      <c r="EP5" s="189"/>
      <c r="EQ5" s="189"/>
      <c r="ER5" s="189"/>
      <c r="ES5" s="189"/>
      <c r="ET5" s="189"/>
      <c r="EU5" s="189"/>
      <c r="EV5" s="189"/>
      <c r="EW5" s="189"/>
      <c r="EX5" s="189"/>
      <c r="EY5" s="189"/>
      <c r="EZ5" s="189"/>
      <c r="FA5" s="189"/>
      <c r="FB5" s="189"/>
      <c r="FC5" s="189"/>
      <c r="FD5" s="189"/>
      <c r="FE5" s="62"/>
      <c r="FF5" s="62"/>
      <c r="FG5" s="62"/>
      <c r="FH5" s="62"/>
      <c r="FI5" s="62"/>
      <c r="FJ5" s="62"/>
      <c r="FK5" s="62"/>
      <c r="FL5" s="62"/>
    </row>
    <row r="6" spans="1:168">
      <c r="A6" s="62"/>
      <c r="B6" s="62"/>
      <c r="C6" s="62"/>
      <c r="D6" s="62"/>
      <c r="E6" s="62"/>
      <c r="F6" s="62"/>
      <c r="G6" s="62"/>
      <c r="H6" s="62"/>
      <c r="I6" s="189"/>
      <c r="J6" s="189"/>
      <c r="K6" s="189"/>
      <c r="L6" s="189"/>
      <c r="M6" s="189"/>
      <c r="N6" s="189"/>
      <c r="O6" s="189"/>
      <c r="P6" s="189"/>
      <c r="Q6" s="189"/>
      <c r="R6" s="189"/>
      <c r="S6" s="189"/>
      <c r="T6" s="189"/>
      <c r="U6" s="189"/>
      <c r="V6" s="189"/>
      <c r="W6" s="189"/>
      <c r="X6" s="189"/>
      <c r="Y6" s="189"/>
      <c r="Z6" s="189"/>
      <c r="AA6" s="189"/>
      <c r="AB6" s="189"/>
      <c r="AC6" s="189"/>
      <c r="AD6" s="189"/>
      <c r="AE6" s="189"/>
      <c r="AF6" s="189"/>
      <c r="AG6" s="189"/>
      <c r="AH6" s="189"/>
      <c r="AI6" s="189"/>
      <c r="AJ6" s="189"/>
      <c r="AK6" s="189"/>
      <c r="AL6" s="189"/>
      <c r="AM6" s="189"/>
      <c r="AN6" s="189"/>
      <c r="AO6" s="189"/>
      <c r="AP6" s="189"/>
      <c r="AQ6" s="189"/>
      <c r="AR6" s="189"/>
      <c r="AS6" s="189"/>
      <c r="AT6" s="189"/>
      <c r="AU6" s="189"/>
      <c r="AV6" s="189"/>
      <c r="AW6" s="189"/>
      <c r="AX6" s="189"/>
      <c r="AY6" s="189"/>
      <c r="AZ6" s="189"/>
      <c r="BA6" s="189"/>
      <c r="BB6" s="189"/>
      <c r="BC6" s="189"/>
      <c r="BD6" s="189"/>
      <c r="BE6" s="189"/>
      <c r="BF6" s="189"/>
      <c r="BG6" s="189"/>
      <c r="BH6" s="189"/>
      <c r="BI6" s="189"/>
      <c r="BJ6" s="189"/>
      <c r="BK6" s="189"/>
      <c r="BL6" s="189"/>
      <c r="BM6" s="189"/>
      <c r="BN6" s="189"/>
      <c r="BO6" s="189"/>
      <c r="BP6" s="189"/>
      <c r="BQ6" s="189"/>
      <c r="BR6" s="189"/>
      <c r="BS6" s="189"/>
      <c r="BT6" s="189"/>
      <c r="BU6" s="189"/>
      <c r="BV6" s="189"/>
      <c r="BW6" s="189"/>
      <c r="BX6" s="189"/>
      <c r="BY6" s="189"/>
      <c r="BZ6" s="189"/>
      <c r="CA6" s="189"/>
      <c r="CB6" s="189"/>
      <c r="CC6" s="189"/>
      <c r="CD6" s="189"/>
      <c r="CE6" s="189"/>
      <c r="CF6" s="189"/>
      <c r="CG6" s="189"/>
      <c r="CH6" s="189"/>
      <c r="CI6" s="189"/>
      <c r="CJ6" s="189"/>
      <c r="CK6" s="189"/>
      <c r="CL6" s="189"/>
      <c r="CM6" s="189"/>
      <c r="CN6" s="189"/>
      <c r="CO6" s="189"/>
      <c r="CP6" s="189"/>
      <c r="CQ6" s="189"/>
      <c r="CR6" s="189"/>
      <c r="CS6" s="189"/>
      <c r="CT6" s="189"/>
      <c r="CU6" s="189"/>
      <c r="CV6" s="189"/>
      <c r="CW6" s="189"/>
      <c r="CX6" s="189"/>
      <c r="CY6" s="189"/>
      <c r="CZ6" s="189"/>
      <c r="DA6" s="189"/>
      <c r="DB6" s="189"/>
      <c r="DC6" s="189"/>
      <c r="DD6" s="189"/>
      <c r="DE6" s="189"/>
      <c r="DF6" s="189"/>
      <c r="DG6" s="189"/>
      <c r="DH6" s="189"/>
      <c r="DI6" s="189"/>
      <c r="DJ6" s="189"/>
      <c r="DK6" s="189"/>
      <c r="DL6" s="189"/>
      <c r="DM6" s="189"/>
      <c r="DN6" s="189"/>
      <c r="DO6" s="189"/>
      <c r="DP6" s="189"/>
      <c r="DQ6" s="189"/>
      <c r="DR6" s="189"/>
      <c r="DS6" s="189"/>
      <c r="DT6" s="189"/>
      <c r="DU6" s="189"/>
      <c r="DV6" s="189"/>
      <c r="DW6" s="189"/>
      <c r="DX6" s="189"/>
      <c r="DY6" s="189"/>
      <c r="DZ6" s="189"/>
      <c r="EA6" s="189"/>
      <c r="EB6" s="189"/>
      <c r="EC6" s="189"/>
      <c r="ED6" s="189"/>
      <c r="EE6" s="189"/>
      <c r="EF6" s="189"/>
      <c r="EG6" s="189"/>
      <c r="EH6" s="189"/>
      <c r="EI6" s="189"/>
      <c r="EJ6" s="189"/>
      <c r="EK6" s="189"/>
      <c r="EL6" s="189"/>
      <c r="EM6" s="189"/>
      <c r="EN6" s="189"/>
      <c r="EO6" s="189"/>
      <c r="EP6" s="189"/>
      <c r="EQ6" s="189"/>
      <c r="ER6" s="189"/>
      <c r="ES6" s="189"/>
      <c r="ET6" s="189"/>
      <c r="EU6" s="189"/>
      <c r="EV6" s="189"/>
      <c r="EW6" s="189"/>
      <c r="EX6" s="189"/>
      <c r="EY6" s="189"/>
      <c r="EZ6" s="189"/>
      <c r="FA6" s="189"/>
      <c r="FB6" s="189"/>
      <c r="FC6" s="189"/>
      <c r="FD6" s="189"/>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190" t="s">
        <v>81</v>
      </c>
      <c r="J8" s="190"/>
      <c r="K8" s="190"/>
      <c r="L8" s="190"/>
      <c r="M8" s="190"/>
      <c r="N8" s="190"/>
      <c r="O8" s="190"/>
      <c r="P8" s="190"/>
      <c r="Q8" s="190"/>
      <c r="R8" s="190"/>
      <c r="S8" s="190"/>
      <c r="T8" s="190"/>
      <c r="U8" s="190"/>
      <c r="V8" s="190"/>
      <c r="W8" s="190"/>
      <c r="X8" s="190"/>
      <c r="Y8" s="190"/>
      <c r="Z8" s="190"/>
      <c r="AA8" s="190"/>
      <c r="AB8" s="190"/>
      <c r="AC8" s="190"/>
      <c r="AD8" s="190"/>
      <c r="AE8" s="190"/>
      <c r="AF8" s="190"/>
      <c r="AG8" s="190"/>
      <c r="AH8" s="190"/>
      <c r="AI8" s="190"/>
      <c r="AJ8" s="190"/>
      <c r="AK8" s="190"/>
      <c r="AL8" s="190"/>
      <c r="AM8" s="190"/>
      <c r="AN8" s="190"/>
      <c r="AO8" s="190"/>
      <c r="AP8" s="190"/>
      <c r="AQ8" s="190"/>
      <c r="AR8" s="190"/>
      <c r="AS8" s="190"/>
      <c r="AT8" s="190"/>
      <c r="AU8" s="190"/>
      <c r="AV8" s="190"/>
      <c r="AW8" s="190"/>
      <c r="AX8" s="190"/>
      <c r="AY8" s="190"/>
      <c r="AZ8" s="190"/>
      <c r="BA8" s="190"/>
      <c r="BB8" s="190"/>
      <c r="BC8" s="190"/>
      <c r="BD8" s="190"/>
      <c r="BE8" s="190"/>
      <c r="BF8" s="190"/>
      <c r="BG8" s="190"/>
      <c r="BH8" s="190"/>
      <c r="BI8" s="190"/>
      <c r="BJ8" s="190"/>
      <c r="BK8" s="190"/>
      <c r="BL8" s="190"/>
      <c r="BM8" s="190"/>
      <c r="BN8" s="190"/>
      <c r="BO8" s="190"/>
      <c r="BP8" s="190"/>
      <c r="BQ8" s="190"/>
      <c r="BR8" s="190"/>
      <c r="BS8" s="190"/>
      <c r="BT8" s="190"/>
      <c r="BU8" s="190"/>
      <c r="BV8" s="190"/>
      <c r="BW8" s="190"/>
      <c r="BX8" s="190"/>
      <c r="BY8" s="190"/>
      <c r="BZ8" s="190"/>
      <c r="CA8" s="190"/>
      <c r="CB8" s="190"/>
      <c r="CC8" s="190"/>
      <c r="CD8" s="190"/>
      <c r="CE8" s="190"/>
      <c r="CF8" s="190"/>
      <c r="CG8" s="190"/>
      <c r="CH8" s="190"/>
      <c r="CI8" s="190"/>
      <c r="CJ8" s="190"/>
      <c r="CK8" s="190"/>
      <c r="CL8" s="190"/>
      <c r="CM8" s="190"/>
      <c r="CN8" s="190"/>
      <c r="CO8" s="190"/>
      <c r="CP8" s="190"/>
      <c r="CQ8" s="190"/>
      <c r="CR8" s="190"/>
      <c r="CS8" s="190"/>
      <c r="CT8" s="190"/>
      <c r="CU8" s="190"/>
      <c r="CV8" s="190"/>
      <c r="CW8" s="190"/>
      <c r="CX8" s="190"/>
      <c r="CY8" s="190"/>
      <c r="CZ8" s="190"/>
      <c r="DA8" s="190"/>
      <c r="DB8" s="190"/>
      <c r="DC8" s="190"/>
      <c r="DD8" s="190"/>
      <c r="DE8" s="190"/>
      <c r="DF8" s="190"/>
      <c r="DG8" s="190"/>
      <c r="DH8" s="190"/>
      <c r="DI8" s="190"/>
      <c r="DJ8" s="190"/>
      <c r="DK8" s="190"/>
      <c r="DL8" s="190"/>
      <c r="DM8" s="190"/>
      <c r="DN8" s="190"/>
      <c r="DO8" s="190"/>
      <c r="DP8" s="190"/>
      <c r="DQ8" s="190"/>
      <c r="DR8" s="190"/>
      <c r="DS8" s="190"/>
      <c r="DT8" s="190"/>
      <c r="DU8" s="190"/>
      <c r="DV8" s="190"/>
      <c r="DW8" s="190"/>
      <c r="DX8" s="190"/>
      <c r="DY8" s="190"/>
      <c r="DZ8" s="190"/>
      <c r="EA8" s="190"/>
      <c r="EB8" s="190"/>
      <c r="EC8" s="190"/>
      <c r="ED8" s="190"/>
      <c r="EE8" s="190"/>
      <c r="EF8" s="190"/>
      <c r="EG8" s="190"/>
      <c r="EH8" s="190"/>
      <c r="EI8" s="190"/>
      <c r="EJ8" s="190"/>
      <c r="EK8" s="190"/>
      <c r="EL8" s="190"/>
      <c r="EM8" s="190"/>
      <c r="EN8" s="190"/>
      <c r="EO8" s="190"/>
      <c r="EP8" s="190"/>
      <c r="EQ8" s="190"/>
      <c r="ER8" s="190"/>
      <c r="ES8" s="190"/>
      <c r="ET8" s="190"/>
      <c r="EU8" s="190"/>
      <c r="EV8" s="190"/>
      <c r="EW8" s="190"/>
      <c r="EX8" s="190"/>
      <c r="EY8" s="190"/>
      <c r="EZ8" s="190"/>
      <c r="FA8" s="190"/>
      <c r="FB8" s="190"/>
      <c r="FC8" s="190"/>
      <c r="FD8" s="190"/>
      <c r="FE8" s="62"/>
      <c r="FF8" s="62"/>
      <c r="FG8" s="62"/>
      <c r="FH8" s="62"/>
      <c r="FI8" s="62"/>
      <c r="FJ8" s="62"/>
      <c r="FK8" s="62"/>
      <c r="FL8" s="62"/>
    </row>
    <row r="9" spans="1:168">
      <c r="A9" s="62"/>
      <c r="B9" s="62"/>
      <c r="C9" s="62"/>
      <c r="D9" s="62"/>
      <c r="E9" s="62"/>
      <c r="F9" s="62"/>
      <c r="G9" s="62"/>
      <c r="H9" s="62"/>
      <c r="I9" s="190"/>
      <c r="J9" s="190"/>
      <c r="K9" s="190"/>
      <c r="L9" s="190"/>
      <c r="M9" s="190"/>
      <c r="N9" s="190"/>
      <c r="O9" s="190"/>
      <c r="P9" s="190"/>
      <c r="Q9" s="190"/>
      <c r="R9" s="190"/>
      <c r="S9" s="190"/>
      <c r="T9" s="190"/>
      <c r="U9" s="190"/>
      <c r="V9" s="190"/>
      <c r="W9" s="190"/>
      <c r="X9" s="190"/>
      <c r="Y9" s="190"/>
      <c r="Z9" s="190"/>
      <c r="AA9" s="190"/>
      <c r="AB9" s="190"/>
      <c r="AC9" s="190"/>
      <c r="AD9" s="190"/>
      <c r="AE9" s="190"/>
      <c r="AF9" s="190"/>
      <c r="AG9" s="190"/>
      <c r="AH9" s="190"/>
      <c r="AI9" s="190"/>
      <c r="AJ9" s="190"/>
      <c r="AK9" s="190"/>
      <c r="AL9" s="190"/>
      <c r="AM9" s="190"/>
      <c r="AN9" s="190"/>
      <c r="AO9" s="190"/>
      <c r="AP9" s="190"/>
      <c r="AQ9" s="190"/>
      <c r="AR9" s="190"/>
      <c r="AS9" s="190"/>
      <c r="AT9" s="190"/>
      <c r="AU9" s="190"/>
      <c r="AV9" s="190"/>
      <c r="AW9" s="190"/>
      <c r="AX9" s="190"/>
      <c r="AY9" s="190"/>
      <c r="AZ9" s="190"/>
      <c r="BA9" s="190"/>
      <c r="BB9" s="190"/>
      <c r="BC9" s="190"/>
      <c r="BD9" s="190"/>
      <c r="BE9" s="190"/>
      <c r="BF9" s="190"/>
      <c r="BG9" s="190"/>
      <c r="BH9" s="190"/>
      <c r="BI9" s="190"/>
      <c r="BJ9" s="190"/>
      <c r="BK9" s="190"/>
      <c r="BL9" s="190"/>
      <c r="BM9" s="190"/>
      <c r="BN9" s="190"/>
      <c r="BO9" s="190"/>
      <c r="BP9" s="190"/>
      <c r="BQ9" s="190"/>
      <c r="BR9" s="190"/>
      <c r="BS9" s="190"/>
      <c r="BT9" s="190"/>
      <c r="BU9" s="190"/>
      <c r="BV9" s="190"/>
      <c r="BW9" s="190"/>
      <c r="BX9" s="190"/>
      <c r="BY9" s="190"/>
      <c r="BZ9" s="190"/>
      <c r="CA9" s="190"/>
      <c r="CB9" s="190"/>
      <c r="CC9" s="190"/>
      <c r="CD9" s="190"/>
      <c r="CE9" s="190"/>
      <c r="CF9" s="190"/>
      <c r="CG9" s="190"/>
      <c r="CH9" s="190"/>
      <c r="CI9" s="190"/>
      <c r="CJ9" s="190"/>
      <c r="CK9" s="190"/>
      <c r="CL9" s="190"/>
      <c r="CM9" s="190"/>
      <c r="CN9" s="190"/>
      <c r="CO9" s="190"/>
      <c r="CP9" s="190"/>
      <c r="CQ9" s="190"/>
      <c r="CR9" s="190"/>
      <c r="CS9" s="190"/>
      <c r="CT9" s="190"/>
      <c r="CU9" s="190"/>
      <c r="CV9" s="190"/>
      <c r="CW9" s="190"/>
      <c r="CX9" s="190"/>
      <c r="CY9" s="190"/>
      <c r="CZ9" s="190"/>
      <c r="DA9" s="190"/>
      <c r="DB9" s="190"/>
      <c r="DC9" s="190"/>
      <c r="DD9" s="190"/>
      <c r="DE9" s="190"/>
      <c r="DF9" s="190"/>
      <c r="DG9" s="190"/>
      <c r="DH9" s="190"/>
      <c r="DI9" s="190"/>
      <c r="DJ9" s="190"/>
      <c r="DK9" s="190"/>
      <c r="DL9" s="190"/>
      <c r="DM9" s="190"/>
      <c r="DN9" s="190"/>
      <c r="DO9" s="190"/>
      <c r="DP9" s="190"/>
      <c r="DQ9" s="190"/>
      <c r="DR9" s="190"/>
      <c r="DS9" s="190"/>
      <c r="DT9" s="190"/>
      <c r="DU9" s="190"/>
      <c r="DV9" s="190"/>
      <c r="DW9" s="190"/>
      <c r="DX9" s="190"/>
      <c r="DY9" s="190"/>
      <c r="DZ9" s="190"/>
      <c r="EA9" s="190"/>
      <c r="EB9" s="190"/>
      <c r="EC9" s="190"/>
      <c r="ED9" s="190"/>
      <c r="EE9" s="190"/>
      <c r="EF9" s="190"/>
      <c r="EG9" s="190"/>
      <c r="EH9" s="190"/>
      <c r="EI9" s="190"/>
      <c r="EJ9" s="190"/>
      <c r="EK9" s="190"/>
      <c r="EL9" s="190"/>
      <c r="EM9" s="190"/>
      <c r="EN9" s="190"/>
      <c r="EO9" s="190"/>
      <c r="EP9" s="190"/>
      <c r="EQ9" s="190"/>
      <c r="ER9" s="190"/>
      <c r="ES9" s="190"/>
      <c r="ET9" s="190"/>
      <c r="EU9" s="190"/>
      <c r="EV9" s="190"/>
      <c r="EW9" s="190"/>
      <c r="EX9" s="190"/>
      <c r="EY9" s="190"/>
      <c r="EZ9" s="190"/>
      <c r="FA9" s="190"/>
      <c r="FB9" s="190"/>
      <c r="FC9" s="190"/>
      <c r="FD9" s="190"/>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191" t="s">
        <v>1251</v>
      </c>
      <c r="R11" s="191"/>
      <c r="S11" s="191"/>
      <c r="T11" s="191"/>
      <c r="U11" s="191"/>
      <c r="V11" s="191"/>
      <c r="W11" s="191"/>
      <c r="X11" s="191"/>
      <c r="Y11" s="191"/>
      <c r="Z11" s="191"/>
      <c r="AA11" s="191"/>
      <c r="AB11" s="191"/>
      <c r="AC11" s="191"/>
      <c r="AD11" s="191"/>
      <c r="AE11" s="191"/>
      <c r="AF11" s="191"/>
      <c r="AG11" s="191"/>
      <c r="AH11" s="191"/>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c r="BE11" s="191"/>
      <c r="BF11" s="191"/>
      <c r="BG11" s="191"/>
      <c r="BH11" s="191"/>
      <c r="BI11" s="191"/>
      <c r="BJ11" s="191"/>
      <c r="BK11" s="191"/>
      <c r="BL11" s="191"/>
      <c r="BM11" s="191"/>
      <c r="BN11" s="191"/>
      <c r="BO11" s="191"/>
      <c r="BP11" s="191"/>
      <c r="BQ11" s="191"/>
      <c r="BR11" s="191"/>
      <c r="BS11" s="191"/>
      <c r="BT11" s="191"/>
      <c r="BU11" s="191"/>
      <c r="BV11" s="191"/>
      <c r="BW11" s="191"/>
      <c r="BX11" s="191"/>
      <c r="BY11" s="191"/>
      <c r="BZ11" s="191"/>
      <c r="CA11" s="191"/>
      <c r="CB11" s="191"/>
      <c r="CC11" s="191"/>
      <c r="CD11" s="191"/>
      <c r="CE11" s="191"/>
      <c r="CF11" s="191"/>
      <c r="CG11" s="191"/>
      <c r="CH11" s="191"/>
      <c r="CI11" s="191"/>
      <c r="CJ11" s="191"/>
      <c r="CK11" s="191"/>
      <c r="CL11" s="191"/>
      <c r="CM11" s="191"/>
      <c r="CN11" s="191"/>
      <c r="CO11" s="191"/>
      <c r="CP11" s="191"/>
      <c r="CQ11" s="191"/>
      <c r="CR11" s="191"/>
      <c r="CS11" s="191"/>
      <c r="CT11" s="191"/>
      <c r="CU11" s="191"/>
      <c r="CV11" s="191"/>
      <c r="CW11" s="191"/>
      <c r="CX11" s="191"/>
      <c r="CY11" s="191"/>
      <c r="CZ11" s="191"/>
      <c r="DA11" s="191"/>
      <c r="DB11" s="191"/>
      <c r="DC11" s="191"/>
      <c r="DD11" s="191"/>
      <c r="DE11" s="191"/>
      <c r="DF11" s="191"/>
      <c r="DG11" s="191"/>
      <c r="DH11" s="191"/>
      <c r="DI11" s="191"/>
      <c r="DJ11" s="191"/>
      <c r="DK11" s="191"/>
      <c r="DL11" s="191"/>
      <c r="DM11" s="191"/>
      <c r="DN11" s="191"/>
      <c r="DO11" s="191"/>
      <c r="DP11" s="191"/>
      <c r="DQ11" s="191"/>
      <c r="DR11" s="191"/>
      <c r="DS11" s="191"/>
      <c r="DT11" s="191"/>
      <c r="DU11" s="191"/>
      <c r="DV11" s="191"/>
      <c r="DW11" s="191"/>
      <c r="DX11" s="191"/>
      <c r="DY11" s="191"/>
      <c r="DZ11" s="191"/>
      <c r="EA11" s="191"/>
      <c r="EB11" s="191"/>
      <c r="EC11" s="191"/>
      <c r="ED11" s="191"/>
      <c r="EE11" s="191"/>
      <c r="EF11" s="191"/>
      <c r="EG11" s="191"/>
      <c r="EH11" s="191"/>
      <c r="EI11" s="191"/>
      <c r="EJ11" s="191"/>
      <c r="EK11" s="191"/>
      <c r="EL11" s="191"/>
      <c r="EM11" s="191"/>
      <c r="EN11" s="191"/>
      <c r="EO11" s="191"/>
      <c r="EP11" s="191"/>
      <c r="EQ11" s="191"/>
      <c r="ER11" s="191"/>
      <c r="ES11" s="191"/>
      <c r="ET11" s="191"/>
      <c r="EU11" s="191"/>
      <c r="EV11" s="191"/>
      <c r="EW11" s="191"/>
      <c r="EX11" s="191"/>
      <c r="EY11" s="191"/>
      <c r="EZ11" s="191"/>
      <c r="FA11" s="191"/>
      <c r="FB11" s="191"/>
      <c r="FC11" s="191"/>
      <c r="FD11" s="191"/>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191"/>
      <c r="R12" s="191"/>
      <c r="S12" s="191"/>
      <c r="T12" s="191"/>
      <c r="U12" s="191"/>
      <c r="V12" s="191"/>
      <c r="W12" s="191"/>
      <c r="X12" s="191"/>
      <c r="Y12" s="191"/>
      <c r="Z12" s="191"/>
      <c r="AA12" s="191"/>
      <c r="AB12" s="191"/>
      <c r="AC12" s="191"/>
      <c r="AD12" s="191"/>
      <c r="AE12" s="191"/>
      <c r="AF12" s="191"/>
      <c r="AG12" s="191"/>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c r="BE12" s="191"/>
      <c r="BF12" s="191"/>
      <c r="BG12" s="191"/>
      <c r="BH12" s="191"/>
      <c r="BI12" s="191"/>
      <c r="BJ12" s="191"/>
      <c r="BK12" s="191"/>
      <c r="BL12" s="191"/>
      <c r="BM12" s="191"/>
      <c r="BN12" s="191"/>
      <c r="BO12" s="191"/>
      <c r="BP12" s="191"/>
      <c r="BQ12" s="191"/>
      <c r="BR12" s="191"/>
      <c r="BS12" s="191"/>
      <c r="BT12" s="191"/>
      <c r="BU12" s="191"/>
      <c r="BV12" s="191"/>
      <c r="BW12" s="191"/>
      <c r="BX12" s="191"/>
      <c r="BY12" s="191"/>
      <c r="BZ12" s="191"/>
      <c r="CA12" s="191"/>
      <c r="CB12" s="191"/>
      <c r="CC12" s="191"/>
      <c r="CD12" s="191"/>
      <c r="CE12" s="191"/>
      <c r="CF12" s="191"/>
      <c r="CG12" s="191"/>
      <c r="CH12" s="191"/>
      <c r="CI12" s="191"/>
      <c r="CJ12" s="191"/>
      <c r="CK12" s="191"/>
      <c r="CL12" s="191"/>
      <c r="CM12" s="191"/>
      <c r="CN12" s="191"/>
      <c r="CO12" s="191"/>
      <c r="CP12" s="191"/>
      <c r="CQ12" s="191"/>
      <c r="CR12" s="191"/>
      <c r="CS12" s="191"/>
      <c r="CT12" s="191"/>
      <c r="CU12" s="191"/>
      <c r="CV12" s="191"/>
      <c r="CW12" s="191"/>
      <c r="CX12" s="191"/>
      <c r="CY12" s="191"/>
      <c r="CZ12" s="191"/>
      <c r="DA12" s="191"/>
      <c r="DB12" s="191"/>
      <c r="DC12" s="191"/>
      <c r="DD12" s="191"/>
      <c r="DE12" s="191"/>
      <c r="DF12" s="191"/>
      <c r="DG12" s="191"/>
      <c r="DH12" s="191"/>
      <c r="DI12" s="191"/>
      <c r="DJ12" s="191"/>
      <c r="DK12" s="191"/>
      <c r="DL12" s="191"/>
      <c r="DM12" s="191"/>
      <c r="DN12" s="191"/>
      <c r="DO12" s="191"/>
      <c r="DP12" s="191"/>
      <c r="DQ12" s="191"/>
      <c r="DR12" s="191"/>
      <c r="DS12" s="191"/>
      <c r="DT12" s="191"/>
      <c r="DU12" s="191"/>
      <c r="DV12" s="191"/>
      <c r="DW12" s="191"/>
      <c r="DX12" s="191"/>
      <c r="DY12" s="191"/>
      <c r="DZ12" s="191"/>
      <c r="EA12" s="191"/>
      <c r="EB12" s="191"/>
      <c r="EC12" s="191"/>
      <c r="ED12" s="191"/>
      <c r="EE12" s="191"/>
      <c r="EF12" s="191"/>
      <c r="EG12" s="191"/>
      <c r="EH12" s="191"/>
      <c r="EI12" s="191"/>
      <c r="EJ12" s="191"/>
      <c r="EK12" s="191"/>
      <c r="EL12" s="191"/>
      <c r="EM12" s="191"/>
      <c r="EN12" s="191"/>
      <c r="EO12" s="191"/>
      <c r="EP12" s="191"/>
      <c r="EQ12" s="191"/>
      <c r="ER12" s="191"/>
      <c r="ES12" s="191"/>
      <c r="ET12" s="191"/>
      <c r="EU12" s="191"/>
      <c r="EV12" s="191"/>
      <c r="EW12" s="191"/>
      <c r="EX12" s="191"/>
      <c r="EY12" s="191"/>
      <c r="EZ12" s="191"/>
      <c r="FA12" s="191"/>
      <c r="FB12" s="191"/>
      <c r="FC12" s="191"/>
      <c r="FD12" s="191"/>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192" t="s">
        <v>64</v>
      </c>
      <c r="AH28" s="193"/>
      <c r="AI28" s="193"/>
      <c r="AJ28" s="193"/>
      <c r="AK28" s="193"/>
      <c r="AL28" s="193"/>
      <c r="AM28" s="193"/>
      <c r="AN28" s="193"/>
      <c r="AO28" s="193"/>
      <c r="AP28" s="193"/>
      <c r="AQ28" s="193"/>
      <c r="AR28" s="193"/>
      <c r="AS28" s="193"/>
      <c r="AT28" s="193"/>
      <c r="AU28" s="193"/>
      <c r="AV28" s="193"/>
      <c r="AW28" s="193"/>
      <c r="AX28" s="193"/>
      <c r="AY28" s="193"/>
      <c r="AZ28" s="193"/>
      <c r="BA28" s="193"/>
      <c r="BB28" s="193"/>
      <c r="BC28" s="194"/>
      <c r="BD28" s="198" t="s">
        <v>65</v>
      </c>
      <c r="BE28" s="193"/>
      <c r="BF28" s="193"/>
      <c r="BG28" s="193"/>
      <c r="BH28" s="193"/>
      <c r="BI28" s="193"/>
      <c r="BJ28" s="193"/>
      <c r="BK28" s="193"/>
      <c r="BL28" s="193"/>
      <c r="BM28" s="193"/>
      <c r="BN28" s="193"/>
      <c r="BO28" s="193"/>
      <c r="BP28" s="193"/>
      <c r="BQ28" s="193"/>
      <c r="BR28" s="193"/>
      <c r="BS28" s="193"/>
      <c r="BT28" s="193"/>
      <c r="BU28" s="193"/>
      <c r="BV28" s="193"/>
      <c r="BW28" s="193"/>
      <c r="BX28" s="193"/>
      <c r="BY28" s="193"/>
      <c r="BZ28" s="194"/>
      <c r="CA28" s="198" t="s">
        <v>66</v>
      </c>
      <c r="CB28" s="193"/>
      <c r="CC28" s="193"/>
      <c r="CD28" s="193"/>
      <c r="CE28" s="193"/>
      <c r="CF28" s="193"/>
      <c r="CG28" s="193"/>
      <c r="CH28" s="193"/>
      <c r="CI28" s="193"/>
      <c r="CJ28" s="193"/>
      <c r="CK28" s="193"/>
      <c r="CL28" s="193"/>
      <c r="CM28" s="193"/>
      <c r="CN28" s="193"/>
      <c r="CO28" s="193"/>
      <c r="CP28" s="193"/>
      <c r="CQ28" s="193"/>
      <c r="CR28" s="193"/>
      <c r="CS28" s="193"/>
      <c r="CT28" s="193"/>
      <c r="CU28" s="193"/>
      <c r="CV28" s="193"/>
      <c r="CW28" s="200"/>
      <c r="CX28" s="65"/>
      <c r="CY28" s="65"/>
      <c r="CZ28" s="65"/>
      <c r="DA28" s="65"/>
      <c r="DB28" s="65"/>
      <c r="DC28" s="65"/>
      <c r="DD28" s="65"/>
      <c r="DE28" s="65"/>
      <c r="DF28" s="65"/>
      <c r="DG28" s="65"/>
      <c r="DH28" s="65"/>
    </row>
    <row r="29" spans="3:112" s="92" customFormat="1" ht="12.75" customHeight="1" thickBot="1">
      <c r="C29" s="66"/>
      <c r="AG29" s="195"/>
      <c r="AH29" s="196"/>
      <c r="AI29" s="196"/>
      <c r="AJ29" s="196"/>
      <c r="AK29" s="196"/>
      <c r="AL29" s="196"/>
      <c r="AM29" s="196"/>
      <c r="AN29" s="196"/>
      <c r="AO29" s="196"/>
      <c r="AP29" s="196"/>
      <c r="AQ29" s="196"/>
      <c r="AR29" s="196"/>
      <c r="AS29" s="196"/>
      <c r="AT29" s="196"/>
      <c r="AU29" s="196"/>
      <c r="AV29" s="196"/>
      <c r="AW29" s="196"/>
      <c r="AX29" s="196"/>
      <c r="AY29" s="196"/>
      <c r="AZ29" s="196"/>
      <c r="BA29" s="196"/>
      <c r="BB29" s="196"/>
      <c r="BC29" s="197"/>
      <c r="BD29" s="199"/>
      <c r="BE29" s="196"/>
      <c r="BF29" s="196"/>
      <c r="BG29" s="196"/>
      <c r="BH29" s="196"/>
      <c r="BI29" s="196"/>
      <c r="BJ29" s="196"/>
      <c r="BK29" s="196"/>
      <c r="BL29" s="196"/>
      <c r="BM29" s="196"/>
      <c r="BN29" s="196"/>
      <c r="BO29" s="196"/>
      <c r="BP29" s="196"/>
      <c r="BQ29" s="196"/>
      <c r="BR29" s="196"/>
      <c r="BS29" s="196"/>
      <c r="BT29" s="196"/>
      <c r="BU29" s="196"/>
      <c r="BV29" s="196"/>
      <c r="BW29" s="196"/>
      <c r="BX29" s="196"/>
      <c r="BY29" s="196"/>
      <c r="BZ29" s="197"/>
      <c r="CA29" s="199"/>
      <c r="CB29" s="196"/>
      <c r="CC29" s="196"/>
      <c r="CD29" s="196"/>
      <c r="CE29" s="196"/>
      <c r="CF29" s="196"/>
      <c r="CG29" s="196"/>
      <c r="CH29" s="196"/>
      <c r="CI29" s="196"/>
      <c r="CJ29" s="196"/>
      <c r="CK29" s="196"/>
      <c r="CL29" s="196"/>
      <c r="CM29" s="196"/>
      <c r="CN29" s="196"/>
      <c r="CO29" s="196"/>
      <c r="CP29" s="196"/>
      <c r="CQ29" s="196"/>
      <c r="CR29" s="196"/>
      <c r="CS29" s="196"/>
      <c r="CT29" s="196"/>
      <c r="CU29" s="196"/>
      <c r="CV29" s="196"/>
      <c r="CW29" s="201"/>
      <c r="CX29" s="66"/>
      <c r="CY29" s="66"/>
      <c r="CZ29" s="65"/>
      <c r="DA29" s="65"/>
      <c r="DB29" s="65"/>
      <c r="DC29" s="65"/>
      <c r="DD29" s="65"/>
      <c r="DE29" s="65"/>
      <c r="DF29" s="65"/>
      <c r="DG29" s="65"/>
      <c r="DH29" s="65"/>
    </row>
    <row r="30" spans="3:112" s="92" customFormat="1" ht="12.75" customHeight="1" thickTop="1">
      <c r="C30" s="66"/>
      <c r="AG30" s="202" t="s">
        <v>1326</v>
      </c>
      <c r="AH30" s="203"/>
      <c r="AI30" s="203"/>
      <c r="AJ30" s="203"/>
      <c r="AK30" s="203"/>
      <c r="AL30" s="203"/>
      <c r="AM30" s="203"/>
      <c r="AN30" s="203"/>
      <c r="AO30" s="203"/>
      <c r="AP30" s="203"/>
      <c r="AQ30" s="203"/>
      <c r="AR30" s="203"/>
      <c r="AS30" s="203"/>
      <c r="AT30" s="203"/>
      <c r="AU30" s="203"/>
      <c r="AV30" s="203"/>
      <c r="AW30" s="203"/>
      <c r="AX30" s="203"/>
      <c r="AY30" s="203"/>
      <c r="AZ30" s="203"/>
      <c r="BA30" s="203"/>
      <c r="BB30" s="203"/>
      <c r="BC30" s="204"/>
      <c r="BD30" s="208" t="s">
        <v>1325</v>
      </c>
      <c r="BE30" s="203"/>
      <c r="BF30" s="203"/>
      <c r="BG30" s="203"/>
      <c r="BH30" s="203"/>
      <c r="BI30" s="203"/>
      <c r="BJ30" s="203"/>
      <c r="BK30" s="203"/>
      <c r="BL30" s="203"/>
      <c r="BM30" s="203"/>
      <c r="BN30" s="203"/>
      <c r="BO30" s="203"/>
      <c r="BP30" s="203"/>
      <c r="BQ30" s="203"/>
      <c r="BR30" s="203"/>
      <c r="BS30" s="203"/>
      <c r="BT30" s="203"/>
      <c r="BU30" s="203"/>
      <c r="BV30" s="203"/>
      <c r="BW30" s="203"/>
      <c r="BX30" s="203"/>
      <c r="BY30" s="203"/>
      <c r="BZ30" s="204"/>
      <c r="CA30" s="208" t="s">
        <v>1324</v>
      </c>
      <c r="CB30" s="203"/>
      <c r="CC30" s="203"/>
      <c r="CD30" s="203"/>
      <c r="CE30" s="203"/>
      <c r="CF30" s="203"/>
      <c r="CG30" s="203"/>
      <c r="CH30" s="203"/>
      <c r="CI30" s="203"/>
      <c r="CJ30" s="203"/>
      <c r="CK30" s="203"/>
      <c r="CL30" s="203"/>
      <c r="CM30" s="203"/>
      <c r="CN30" s="203"/>
      <c r="CO30" s="203"/>
      <c r="CP30" s="203"/>
      <c r="CQ30" s="203"/>
      <c r="CR30" s="203"/>
      <c r="CS30" s="203"/>
      <c r="CT30" s="203"/>
      <c r="CU30" s="203"/>
      <c r="CV30" s="203"/>
      <c r="CW30" s="210"/>
      <c r="CX30" s="66"/>
      <c r="CY30" s="66"/>
      <c r="CZ30" s="65"/>
      <c r="DA30" s="65"/>
      <c r="DB30" s="65"/>
      <c r="DC30" s="65"/>
      <c r="DD30" s="65"/>
      <c r="DE30" s="65"/>
      <c r="DF30" s="65"/>
      <c r="DG30" s="65"/>
      <c r="DH30" s="65"/>
    </row>
    <row r="31" spans="3:112" s="92" customFormat="1" ht="12" customHeight="1">
      <c r="C31" s="65"/>
      <c r="AG31" s="205"/>
      <c r="AH31" s="206"/>
      <c r="AI31" s="206"/>
      <c r="AJ31" s="206"/>
      <c r="AK31" s="206"/>
      <c r="AL31" s="206"/>
      <c r="AM31" s="206"/>
      <c r="AN31" s="206"/>
      <c r="AO31" s="206"/>
      <c r="AP31" s="206"/>
      <c r="AQ31" s="206"/>
      <c r="AR31" s="206"/>
      <c r="AS31" s="206"/>
      <c r="AT31" s="206"/>
      <c r="AU31" s="206"/>
      <c r="AV31" s="206"/>
      <c r="AW31" s="206"/>
      <c r="AX31" s="206"/>
      <c r="AY31" s="206"/>
      <c r="AZ31" s="206"/>
      <c r="BA31" s="206"/>
      <c r="BB31" s="206"/>
      <c r="BC31" s="207"/>
      <c r="BD31" s="209"/>
      <c r="BE31" s="206"/>
      <c r="BF31" s="206"/>
      <c r="BG31" s="206"/>
      <c r="BH31" s="206"/>
      <c r="BI31" s="206"/>
      <c r="BJ31" s="206"/>
      <c r="BK31" s="206"/>
      <c r="BL31" s="206"/>
      <c r="BM31" s="206"/>
      <c r="BN31" s="206"/>
      <c r="BO31" s="206"/>
      <c r="BP31" s="206"/>
      <c r="BQ31" s="206"/>
      <c r="BR31" s="206"/>
      <c r="BS31" s="206"/>
      <c r="BT31" s="206"/>
      <c r="BU31" s="206"/>
      <c r="BV31" s="206"/>
      <c r="BW31" s="206"/>
      <c r="BX31" s="206"/>
      <c r="BY31" s="206"/>
      <c r="BZ31" s="207"/>
      <c r="CA31" s="209"/>
      <c r="CB31" s="206"/>
      <c r="CC31" s="206"/>
      <c r="CD31" s="206"/>
      <c r="CE31" s="206"/>
      <c r="CF31" s="206"/>
      <c r="CG31" s="206"/>
      <c r="CH31" s="206"/>
      <c r="CI31" s="206"/>
      <c r="CJ31" s="206"/>
      <c r="CK31" s="206"/>
      <c r="CL31" s="206"/>
      <c r="CM31" s="206"/>
      <c r="CN31" s="206"/>
      <c r="CO31" s="206"/>
      <c r="CP31" s="206"/>
      <c r="CQ31" s="206"/>
      <c r="CR31" s="206"/>
      <c r="CS31" s="206"/>
      <c r="CT31" s="206"/>
      <c r="CU31" s="206"/>
      <c r="CV31" s="206"/>
      <c r="CW31" s="211"/>
      <c r="CX31" s="65"/>
      <c r="CY31" s="65"/>
      <c r="CZ31" s="65"/>
      <c r="DA31" s="65"/>
      <c r="DB31" s="65"/>
      <c r="DC31" s="65"/>
      <c r="DD31" s="65"/>
      <c r="DE31" s="65"/>
      <c r="DF31" s="65"/>
      <c r="DG31" s="65"/>
      <c r="DH31" s="65"/>
    </row>
    <row r="32" spans="3:112" s="92" customFormat="1" ht="12" customHeight="1">
      <c r="C32" s="65"/>
      <c r="AG32" s="205"/>
      <c r="AH32" s="206"/>
      <c r="AI32" s="206"/>
      <c r="AJ32" s="206"/>
      <c r="AK32" s="206"/>
      <c r="AL32" s="206"/>
      <c r="AM32" s="206"/>
      <c r="AN32" s="206"/>
      <c r="AO32" s="206"/>
      <c r="AP32" s="206"/>
      <c r="AQ32" s="206"/>
      <c r="AR32" s="206"/>
      <c r="AS32" s="206"/>
      <c r="AT32" s="206"/>
      <c r="AU32" s="206"/>
      <c r="AV32" s="206"/>
      <c r="AW32" s="206"/>
      <c r="AX32" s="206"/>
      <c r="AY32" s="206"/>
      <c r="AZ32" s="206"/>
      <c r="BA32" s="206"/>
      <c r="BB32" s="206"/>
      <c r="BC32" s="207"/>
      <c r="BD32" s="209"/>
      <c r="BE32" s="206"/>
      <c r="BF32" s="206"/>
      <c r="BG32" s="206"/>
      <c r="BH32" s="206"/>
      <c r="BI32" s="206"/>
      <c r="BJ32" s="206"/>
      <c r="BK32" s="206"/>
      <c r="BL32" s="206"/>
      <c r="BM32" s="206"/>
      <c r="BN32" s="206"/>
      <c r="BO32" s="206"/>
      <c r="BP32" s="206"/>
      <c r="BQ32" s="206"/>
      <c r="BR32" s="206"/>
      <c r="BS32" s="206"/>
      <c r="BT32" s="206"/>
      <c r="BU32" s="206"/>
      <c r="BV32" s="206"/>
      <c r="BW32" s="206"/>
      <c r="BX32" s="206"/>
      <c r="BY32" s="206"/>
      <c r="BZ32" s="207"/>
      <c r="CA32" s="209"/>
      <c r="CB32" s="206"/>
      <c r="CC32" s="206"/>
      <c r="CD32" s="206"/>
      <c r="CE32" s="206"/>
      <c r="CF32" s="206"/>
      <c r="CG32" s="206"/>
      <c r="CH32" s="206"/>
      <c r="CI32" s="206"/>
      <c r="CJ32" s="206"/>
      <c r="CK32" s="206"/>
      <c r="CL32" s="206"/>
      <c r="CM32" s="206"/>
      <c r="CN32" s="206"/>
      <c r="CO32" s="206"/>
      <c r="CP32" s="206"/>
      <c r="CQ32" s="206"/>
      <c r="CR32" s="206"/>
      <c r="CS32" s="206"/>
      <c r="CT32" s="206"/>
      <c r="CU32" s="206"/>
      <c r="CV32" s="206"/>
      <c r="CW32" s="211"/>
      <c r="CX32" s="65"/>
      <c r="CY32" s="65"/>
      <c r="CZ32" s="65"/>
      <c r="DA32" s="65"/>
      <c r="DB32" s="65"/>
      <c r="DC32" s="65"/>
      <c r="DD32" s="65"/>
      <c r="DE32" s="65"/>
      <c r="DF32" s="65"/>
      <c r="DG32" s="65"/>
      <c r="DH32" s="65"/>
    </row>
    <row r="33" spans="3:164" s="92" customFormat="1" ht="12" customHeight="1" thickBot="1">
      <c r="C33" s="65"/>
      <c r="AG33" s="212">
        <v>42955</v>
      </c>
      <c r="AH33" s="213"/>
      <c r="AI33" s="213"/>
      <c r="AJ33" s="213"/>
      <c r="AK33" s="213"/>
      <c r="AL33" s="213"/>
      <c r="AM33" s="213"/>
      <c r="AN33" s="213"/>
      <c r="AO33" s="213"/>
      <c r="AP33" s="213"/>
      <c r="AQ33" s="213"/>
      <c r="AR33" s="213"/>
      <c r="AS33" s="213"/>
      <c r="AT33" s="213"/>
      <c r="AU33" s="213"/>
      <c r="AV33" s="213"/>
      <c r="AW33" s="213"/>
      <c r="AX33" s="213"/>
      <c r="AY33" s="213"/>
      <c r="AZ33" s="213"/>
      <c r="BA33" s="213"/>
      <c r="BB33" s="213"/>
      <c r="BC33" s="213"/>
      <c r="BD33" s="213">
        <v>42955</v>
      </c>
      <c r="BE33" s="213"/>
      <c r="BF33" s="213"/>
      <c r="BG33" s="213"/>
      <c r="BH33" s="213"/>
      <c r="BI33" s="213"/>
      <c r="BJ33" s="213"/>
      <c r="BK33" s="213"/>
      <c r="BL33" s="213"/>
      <c r="BM33" s="213"/>
      <c r="BN33" s="213"/>
      <c r="BO33" s="213"/>
      <c r="BP33" s="213"/>
      <c r="BQ33" s="213"/>
      <c r="BR33" s="213"/>
      <c r="BS33" s="213"/>
      <c r="BT33" s="213"/>
      <c r="BU33" s="213"/>
      <c r="BV33" s="213"/>
      <c r="BW33" s="213"/>
      <c r="BX33" s="213"/>
      <c r="BY33" s="213"/>
      <c r="BZ33" s="213"/>
      <c r="CA33" s="213">
        <v>42955</v>
      </c>
      <c r="CB33" s="214"/>
      <c r="CC33" s="214"/>
      <c r="CD33" s="214"/>
      <c r="CE33" s="214"/>
      <c r="CF33" s="214"/>
      <c r="CG33" s="214"/>
      <c r="CH33" s="214"/>
      <c r="CI33" s="214"/>
      <c r="CJ33" s="214"/>
      <c r="CK33" s="214"/>
      <c r="CL33" s="214"/>
      <c r="CM33" s="214"/>
      <c r="CN33" s="214"/>
      <c r="CO33" s="214"/>
      <c r="CP33" s="214"/>
      <c r="CQ33" s="214"/>
      <c r="CR33" s="214"/>
      <c r="CS33" s="214"/>
      <c r="CT33" s="214"/>
      <c r="CU33" s="214"/>
      <c r="CV33" s="214"/>
      <c r="CW33" s="215"/>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192" t="s">
        <v>74</v>
      </c>
      <c r="K35" s="193"/>
      <c r="L35" s="193"/>
      <c r="M35" s="193"/>
      <c r="N35" s="193"/>
      <c r="O35" s="193"/>
      <c r="P35" s="193"/>
      <c r="Q35" s="193"/>
      <c r="R35" s="193"/>
      <c r="S35" s="193"/>
      <c r="T35" s="193"/>
      <c r="U35" s="193"/>
      <c r="V35" s="193"/>
      <c r="W35" s="193"/>
      <c r="X35" s="193"/>
      <c r="Y35" s="193"/>
      <c r="Z35" s="193"/>
      <c r="AA35" s="193"/>
      <c r="AB35" s="193"/>
      <c r="AC35" s="193"/>
      <c r="AD35" s="193"/>
      <c r="AE35" s="193"/>
      <c r="AF35" s="194"/>
      <c r="AG35" s="198" t="s">
        <v>75</v>
      </c>
      <c r="AH35" s="193"/>
      <c r="AI35" s="193"/>
      <c r="AJ35" s="193"/>
      <c r="AK35" s="193"/>
      <c r="AL35" s="193"/>
      <c r="AM35" s="193"/>
      <c r="AN35" s="193"/>
      <c r="AO35" s="193"/>
      <c r="AP35" s="193"/>
      <c r="AQ35" s="193"/>
      <c r="AR35" s="193"/>
      <c r="AS35" s="193"/>
      <c r="AT35" s="193"/>
      <c r="AU35" s="193"/>
      <c r="AV35" s="193"/>
      <c r="AW35" s="193"/>
      <c r="AX35" s="193"/>
      <c r="AY35" s="193"/>
      <c r="AZ35" s="193"/>
      <c r="BA35" s="193"/>
      <c r="BB35" s="193"/>
      <c r="BC35" s="194"/>
      <c r="BD35" s="198" t="s">
        <v>76</v>
      </c>
      <c r="BE35" s="193"/>
      <c r="BF35" s="193"/>
      <c r="BG35" s="193"/>
      <c r="BH35" s="193"/>
      <c r="BI35" s="193"/>
      <c r="BJ35" s="193"/>
      <c r="BK35" s="193"/>
      <c r="BL35" s="193"/>
      <c r="BM35" s="193"/>
      <c r="BN35" s="193"/>
      <c r="BO35" s="193"/>
      <c r="BP35" s="193"/>
      <c r="BQ35" s="193"/>
      <c r="BR35" s="193"/>
      <c r="BS35" s="193"/>
      <c r="BT35" s="193"/>
      <c r="BU35" s="193"/>
      <c r="BV35" s="193"/>
      <c r="BW35" s="193"/>
      <c r="BX35" s="193"/>
      <c r="BY35" s="193"/>
      <c r="BZ35" s="194"/>
      <c r="CA35" s="198" t="s">
        <v>77</v>
      </c>
      <c r="CB35" s="193"/>
      <c r="CC35" s="193"/>
      <c r="CD35" s="193"/>
      <c r="CE35" s="193"/>
      <c r="CF35" s="193"/>
      <c r="CG35" s="193"/>
      <c r="CH35" s="193"/>
      <c r="CI35" s="193"/>
      <c r="CJ35" s="193"/>
      <c r="CK35" s="193"/>
      <c r="CL35" s="193"/>
      <c r="CM35" s="193"/>
      <c r="CN35" s="193"/>
      <c r="CO35" s="193"/>
      <c r="CP35" s="193"/>
      <c r="CQ35" s="193"/>
      <c r="CR35" s="193"/>
      <c r="CS35" s="193"/>
      <c r="CT35" s="193"/>
      <c r="CU35" s="193"/>
      <c r="CV35" s="193"/>
      <c r="CW35" s="200"/>
      <c r="CX35" s="65"/>
      <c r="CY35" s="65"/>
      <c r="CZ35" s="65"/>
      <c r="DA35" s="65"/>
      <c r="DB35" s="65"/>
      <c r="DC35" s="65"/>
      <c r="DD35" s="65"/>
      <c r="DE35" s="65"/>
      <c r="DF35" s="65"/>
      <c r="DG35" s="65"/>
      <c r="DH35" s="65"/>
    </row>
    <row r="36" spans="3:164" s="92" customFormat="1" ht="12" customHeight="1" thickBot="1">
      <c r="C36" s="65"/>
      <c r="J36" s="195"/>
      <c r="K36" s="196"/>
      <c r="L36" s="196"/>
      <c r="M36" s="196"/>
      <c r="N36" s="196"/>
      <c r="O36" s="196"/>
      <c r="P36" s="196"/>
      <c r="Q36" s="196"/>
      <c r="R36" s="196"/>
      <c r="S36" s="196"/>
      <c r="T36" s="196"/>
      <c r="U36" s="196"/>
      <c r="V36" s="196"/>
      <c r="W36" s="196"/>
      <c r="X36" s="196"/>
      <c r="Y36" s="196"/>
      <c r="Z36" s="196"/>
      <c r="AA36" s="196"/>
      <c r="AB36" s="196"/>
      <c r="AC36" s="196"/>
      <c r="AD36" s="196"/>
      <c r="AE36" s="196"/>
      <c r="AF36" s="197"/>
      <c r="AG36" s="199"/>
      <c r="AH36" s="196"/>
      <c r="AI36" s="196"/>
      <c r="AJ36" s="196"/>
      <c r="AK36" s="196"/>
      <c r="AL36" s="196"/>
      <c r="AM36" s="196"/>
      <c r="AN36" s="196"/>
      <c r="AO36" s="196"/>
      <c r="AP36" s="196"/>
      <c r="AQ36" s="196"/>
      <c r="AR36" s="196"/>
      <c r="AS36" s="196"/>
      <c r="AT36" s="196"/>
      <c r="AU36" s="196"/>
      <c r="AV36" s="196"/>
      <c r="AW36" s="196"/>
      <c r="AX36" s="196"/>
      <c r="AY36" s="196"/>
      <c r="AZ36" s="196"/>
      <c r="BA36" s="196"/>
      <c r="BB36" s="196"/>
      <c r="BC36" s="197"/>
      <c r="BD36" s="199"/>
      <c r="BE36" s="196"/>
      <c r="BF36" s="196"/>
      <c r="BG36" s="196"/>
      <c r="BH36" s="196"/>
      <c r="BI36" s="196"/>
      <c r="BJ36" s="196"/>
      <c r="BK36" s="196"/>
      <c r="BL36" s="196"/>
      <c r="BM36" s="196"/>
      <c r="BN36" s="196"/>
      <c r="BO36" s="196"/>
      <c r="BP36" s="196"/>
      <c r="BQ36" s="196"/>
      <c r="BR36" s="196"/>
      <c r="BS36" s="196"/>
      <c r="BT36" s="196"/>
      <c r="BU36" s="196"/>
      <c r="BV36" s="196"/>
      <c r="BW36" s="196"/>
      <c r="BX36" s="196"/>
      <c r="BY36" s="196"/>
      <c r="BZ36" s="197"/>
      <c r="CA36" s="199"/>
      <c r="CB36" s="196"/>
      <c r="CC36" s="196"/>
      <c r="CD36" s="196"/>
      <c r="CE36" s="196"/>
      <c r="CF36" s="196"/>
      <c r="CG36" s="196"/>
      <c r="CH36" s="196"/>
      <c r="CI36" s="196"/>
      <c r="CJ36" s="196"/>
      <c r="CK36" s="196"/>
      <c r="CL36" s="196"/>
      <c r="CM36" s="196"/>
      <c r="CN36" s="196"/>
      <c r="CO36" s="196"/>
      <c r="CP36" s="196"/>
      <c r="CQ36" s="196"/>
      <c r="CR36" s="196"/>
      <c r="CS36" s="196"/>
      <c r="CT36" s="196"/>
      <c r="CU36" s="196"/>
      <c r="CV36" s="196"/>
      <c r="CW36" s="201"/>
      <c r="CX36" s="65"/>
      <c r="CY36" s="65"/>
      <c r="CZ36" s="65"/>
      <c r="DA36" s="65"/>
      <c r="DB36" s="65"/>
      <c r="DC36" s="65"/>
      <c r="DD36" s="65"/>
      <c r="DE36" s="65"/>
      <c r="DF36" s="65"/>
      <c r="DG36" s="65"/>
      <c r="DH36" s="65"/>
    </row>
    <row r="37" spans="3:164" s="92" customFormat="1" ht="12" customHeight="1" thickTop="1">
      <c r="C37" s="65"/>
      <c r="J37" s="202"/>
      <c r="K37" s="203"/>
      <c r="L37" s="203"/>
      <c r="M37" s="203"/>
      <c r="N37" s="203"/>
      <c r="O37" s="203"/>
      <c r="P37" s="203"/>
      <c r="Q37" s="203"/>
      <c r="R37" s="203"/>
      <c r="S37" s="203"/>
      <c r="T37" s="203"/>
      <c r="U37" s="203"/>
      <c r="V37" s="203"/>
      <c r="W37" s="203"/>
      <c r="X37" s="203"/>
      <c r="Y37" s="203"/>
      <c r="Z37" s="203"/>
      <c r="AA37" s="203"/>
      <c r="AB37" s="203"/>
      <c r="AC37" s="203"/>
      <c r="AD37" s="203"/>
      <c r="AE37" s="203"/>
      <c r="AF37" s="204"/>
      <c r="AG37" s="208"/>
      <c r="AH37" s="203"/>
      <c r="AI37" s="203"/>
      <c r="AJ37" s="203"/>
      <c r="AK37" s="203"/>
      <c r="AL37" s="203"/>
      <c r="AM37" s="203"/>
      <c r="AN37" s="203"/>
      <c r="AO37" s="203"/>
      <c r="AP37" s="203"/>
      <c r="AQ37" s="203"/>
      <c r="AR37" s="203"/>
      <c r="AS37" s="203"/>
      <c r="AT37" s="203"/>
      <c r="AU37" s="203"/>
      <c r="AV37" s="203"/>
      <c r="AW37" s="203"/>
      <c r="AX37" s="203"/>
      <c r="AY37" s="203"/>
      <c r="AZ37" s="203"/>
      <c r="BA37" s="203"/>
      <c r="BB37" s="203"/>
      <c r="BC37" s="204"/>
      <c r="BD37" s="208"/>
      <c r="BE37" s="203"/>
      <c r="BF37" s="203"/>
      <c r="BG37" s="203"/>
      <c r="BH37" s="203"/>
      <c r="BI37" s="203"/>
      <c r="BJ37" s="203"/>
      <c r="BK37" s="203"/>
      <c r="BL37" s="203"/>
      <c r="BM37" s="203"/>
      <c r="BN37" s="203"/>
      <c r="BO37" s="203"/>
      <c r="BP37" s="203"/>
      <c r="BQ37" s="203"/>
      <c r="BR37" s="203"/>
      <c r="BS37" s="203"/>
      <c r="BT37" s="203"/>
      <c r="BU37" s="203"/>
      <c r="BV37" s="203"/>
      <c r="BW37" s="203"/>
      <c r="BX37" s="203"/>
      <c r="BY37" s="203"/>
      <c r="BZ37" s="204"/>
      <c r="CA37" s="208"/>
      <c r="CB37" s="203"/>
      <c r="CC37" s="203"/>
      <c r="CD37" s="203"/>
      <c r="CE37" s="203"/>
      <c r="CF37" s="203"/>
      <c r="CG37" s="203"/>
      <c r="CH37" s="203"/>
      <c r="CI37" s="203"/>
      <c r="CJ37" s="203"/>
      <c r="CK37" s="203"/>
      <c r="CL37" s="203"/>
      <c r="CM37" s="203"/>
      <c r="CN37" s="203"/>
      <c r="CO37" s="203"/>
      <c r="CP37" s="203"/>
      <c r="CQ37" s="203"/>
      <c r="CR37" s="203"/>
      <c r="CS37" s="203"/>
      <c r="CT37" s="203"/>
      <c r="CU37" s="203"/>
      <c r="CV37" s="203"/>
      <c r="CW37" s="210"/>
      <c r="CX37" s="65"/>
      <c r="CY37" s="65"/>
      <c r="CZ37" s="65"/>
      <c r="DA37" s="65"/>
      <c r="DB37" s="65"/>
      <c r="DC37" s="65"/>
      <c r="DD37" s="65"/>
      <c r="DE37" s="65"/>
      <c r="DF37" s="65"/>
      <c r="DG37" s="65"/>
      <c r="DH37" s="65"/>
      <c r="DK37" s="219" t="s">
        <v>67</v>
      </c>
      <c r="DL37" s="219"/>
      <c r="DM37" s="219"/>
      <c r="DN37" s="219"/>
      <c r="DO37" s="219"/>
      <c r="DP37" s="219"/>
      <c r="DQ37" s="219"/>
      <c r="DR37" s="219"/>
      <c r="DS37" s="219"/>
      <c r="DT37" s="219"/>
      <c r="DU37" s="219"/>
      <c r="DV37" s="219"/>
      <c r="DW37" s="219"/>
      <c r="DX37" s="219"/>
      <c r="DY37" s="219"/>
      <c r="DZ37" s="219"/>
      <c r="EA37" s="219"/>
      <c r="EB37" s="219"/>
      <c r="EC37" s="219"/>
      <c r="ED37" s="219"/>
      <c r="EE37" s="219"/>
      <c r="EF37" s="219"/>
      <c r="EG37" s="219"/>
      <c r="EH37" s="219"/>
      <c r="EI37" s="219"/>
      <c r="EJ37" s="219"/>
      <c r="EK37" s="219"/>
      <c r="EL37" s="219"/>
      <c r="EM37" s="219"/>
      <c r="EN37" s="219"/>
      <c r="EO37" s="219"/>
      <c r="EP37" s="219"/>
      <c r="EQ37" s="219"/>
      <c r="ER37" s="219"/>
      <c r="ES37" s="219"/>
      <c r="ET37" s="219"/>
      <c r="EU37" s="219"/>
      <c r="EV37" s="219"/>
      <c r="EW37" s="219"/>
      <c r="EX37" s="219"/>
      <c r="EY37" s="219"/>
      <c r="EZ37" s="219"/>
      <c r="FA37" s="219"/>
      <c r="FB37" s="219"/>
      <c r="FC37" s="219"/>
      <c r="FD37" s="219"/>
      <c r="FE37" s="219"/>
      <c r="FF37" s="219"/>
      <c r="FG37" s="219"/>
      <c r="FH37" s="219"/>
    </row>
    <row r="38" spans="3:164" s="92" customFormat="1">
      <c r="C38" s="65"/>
      <c r="J38" s="205"/>
      <c r="K38" s="206"/>
      <c r="L38" s="206"/>
      <c r="M38" s="206"/>
      <c r="N38" s="206"/>
      <c r="O38" s="206"/>
      <c r="P38" s="206"/>
      <c r="Q38" s="206"/>
      <c r="R38" s="206"/>
      <c r="S38" s="206"/>
      <c r="T38" s="206"/>
      <c r="U38" s="206"/>
      <c r="V38" s="206"/>
      <c r="W38" s="206"/>
      <c r="X38" s="206"/>
      <c r="Y38" s="206"/>
      <c r="Z38" s="206"/>
      <c r="AA38" s="206"/>
      <c r="AB38" s="206"/>
      <c r="AC38" s="206"/>
      <c r="AD38" s="206"/>
      <c r="AE38" s="206"/>
      <c r="AF38" s="207"/>
      <c r="AG38" s="209"/>
      <c r="AH38" s="206"/>
      <c r="AI38" s="206"/>
      <c r="AJ38" s="206"/>
      <c r="AK38" s="206"/>
      <c r="AL38" s="206"/>
      <c r="AM38" s="206"/>
      <c r="AN38" s="206"/>
      <c r="AO38" s="206"/>
      <c r="AP38" s="206"/>
      <c r="AQ38" s="206"/>
      <c r="AR38" s="206"/>
      <c r="AS38" s="206"/>
      <c r="AT38" s="206"/>
      <c r="AU38" s="206"/>
      <c r="AV38" s="206"/>
      <c r="AW38" s="206"/>
      <c r="AX38" s="206"/>
      <c r="AY38" s="206"/>
      <c r="AZ38" s="206"/>
      <c r="BA38" s="206"/>
      <c r="BB38" s="206"/>
      <c r="BC38" s="207"/>
      <c r="BD38" s="209"/>
      <c r="BE38" s="206"/>
      <c r="BF38" s="206"/>
      <c r="BG38" s="206"/>
      <c r="BH38" s="206"/>
      <c r="BI38" s="206"/>
      <c r="BJ38" s="206"/>
      <c r="BK38" s="206"/>
      <c r="BL38" s="206"/>
      <c r="BM38" s="206"/>
      <c r="BN38" s="206"/>
      <c r="BO38" s="206"/>
      <c r="BP38" s="206"/>
      <c r="BQ38" s="206"/>
      <c r="BR38" s="206"/>
      <c r="BS38" s="206"/>
      <c r="BT38" s="206"/>
      <c r="BU38" s="206"/>
      <c r="BV38" s="206"/>
      <c r="BW38" s="206"/>
      <c r="BX38" s="206"/>
      <c r="BY38" s="206"/>
      <c r="BZ38" s="207"/>
      <c r="CA38" s="209"/>
      <c r="CB38" s="206"/>
      <c r="CC38" s="206"/>
      <c r="CD38" s="206"/>
      <c r="CE38" s="206"/>
      <c r="CF38" s="206"/>
      <c r="CG38" s="206"/>
      <c r="CH38" s="206"/>
      <c r="CI38" s="206"/>
      <c r="CJ38" s="206"/>
      <c r="CK38" s="206"/>
      <c r="CL38" s="206"/>
      <c r="CM38" s="206"/>
      <c r="CN38" s="206"/>
      <c r="CO38" s="206"/>
      <c r="CP38" s="206"/>
      <c r="CQ38" s="206"/>
      <c r="CR38" s="206"/>
      <c r="CS38" s="206"/>
      <c r="CT38" s="206"/>
      <c r="CU38" s="206"/>
      <c r="CV38" s="206"/>
      <c r="CW38" s="211"/>
      <c r="CX38" s="65"/>
      <c r="CY38" s="65"/>
      <c r="CZ38" s="65"/>
      <c r="DA38" s="65"/>
      <c r="DB38" s="65"/>
      <c r="DC38" s="65"/>
      <c r="DD38" s="65"/>
      <c r="DE38" s="65"/>
      <c r="DF38" s="65"/>
      <c r="DG38" s="65"/>
      <c r="DH38" s="65"/>
      <c r="DK38" s="219"/>
      <c r="DL38" s="219"/>
      <c r="DM38" s="219"/>
      <c r="DN38" s="219"/>
      <c r="DO38" s="219"/>
      <c r="DP38" s="219"/>
      <c r="DQ38" s="219"/>
      <c r="DR38" s="219"/>
      <c r="DS38" s="219"/>
      <c r="DT38" s="219"/>
      <c r="DU38" s="219"/>
      <c r="DV38" s="219"/>
      <c r="DW38" s="219"/>
      <c r="DX38" s="219"/>
      <c r="DY38" s="219"/>
      <c r="DZ38" s="219"/>
      <c r="EA38" s="219"/>
      <c r="EB38" s="219"/>
      <c r="EC38" s="219"/>
      <c r="ED38" s="219"/>
      <c r="EE38" s="219"/>
      <c r="EF38" s="219"/>
      <c r="EG38" s="219"/>
      <c r="EH38" s="219"/>
      <c r="EI38" s="219"/>
      <c r="EJ38" s="219"/>
      <c r="EK38" s="219"/>
      <c r="EL38" s="219"/>
      <c r="EM38" s="219"/>
      <c r="EN38" s="219"/>
      <c r="EO38" s="219"/>
      <c r="EP38" s="219"/>
      <c r="EQ38" s="219"/>
      <c r="ER38" s="219"/>
      <c r="ES38" s="219"/>
      <c r="ET38" s="219"/>
      <c r="EU38" s="219"/>
      <c r="EV38" s="219"/>
      <c r="EW38" s="219"/>
      <c r="EX38" s="219"/>
      <c r="EY38" s="219"/>
      <c r="EZ38" s="219"/>
      <c r="FA38" s="219"/>
      <c r="FB38" s="219"/>
      <c r="FC38" s="219"/>
      <c r="FD38" s="219"/>
      <c r="FE38" s="219"/>
      <c r="FF38" s="219"/>
      <c r="FG38" s="219"/>
      <c r="FH38" s="219"/>
    </row>
    <row r="39" spans="3:164" s="92" customFormat="1">
      <c r="J39" s="216"/>
      <c r="K39" s="217"/>
      <c r="L39" s="217"/>
      <c r="M39" s="217"/>
      <c r="N39" s="217"/>
      <c r="O39" s="217"/>
      <c r="P39" s="217"/>
      <c r="Q39" s="217"/>
      <c r="R39" s="217"/>
      <c r="S39" s="217"/>
      <c r="T39" s="217"/>
      <c r="U39" s="217"/>
      <c r="V39" s="217"/>
      <c r="W39" s="217"/>
      <c r="X39" s="217"/>
      <c r="Y39" s="217"/>
      <c r="Z39" s="217"/>
      <c r="AA39" s="217"/>
      <c r="AB39" s="217"/>
      <c r="AC39" s="217"/>
      <c r="AD39" s="217"/>
      <c r="AE39" s="217"/>
      <c r="AF39" s="218"/>
      <c r="AG39" s="209"/>
      <c r="AH39" s="206"/>
      <c r="AI39" s="206"/>
      <c r="AJ39" s="206"/>
      <c r="AK39" s="206"/>
      <c r="AL39" s="206"/>
      <c r="AM39" s="206"/>
      <c r="AN39" s="206"/>
      <c r="AO39" s="206"/>
      <c r="AP39" s="206"/>
      <c r="AQ39" s="206"/>
      <c r="AR39" s="206"/>
      <c r="AS39" s="206"/>
      <c r="AT39" s="206"/>
      <c r="AU39" s="206"/>
      <c r="AV39" s="206"/>
      <c r="AW39" s="206"/>
      <c r="AX39" s="206"/>
      <c r="AY39" s="206"/>
      <c r="AZ39" s="206"/>
      <c r="BA39" s="206"/>
      <c r="BB39" s="206"/>
      <c r="BC39" s="207"/>
      <c r="BD39" s="209"/>
      <c r="BE39" s="206"/>
      <c r="BF39" s="206"/>
      <c r="BG39" s="206"/>
      <c r="BH39" s="206"/>
      <c r="BI39" s="206"/>
      <c r="BJ39" s="206"/>
      <c r="BK39" s="206"/>
      <c r="BL39" s="206"/>
      <c r="BM39" s="206"/>
      <c r="BN39" s="206"/>
      <c r="BO39" s="206"/>
      <c r="BP39" s="206"/>
      <c r="BQ39" s="206"/>
      <c r="BR39" s="206"/>
      <c r="BS39" s="206"/>
      <c r="BT39" s="206"/>
      <c r="BU39" s="206"/>
      <c r="BV39" s="206"/>
      <c r="BW39" s="206"/>
      <c r="BX39" s="206"/>
      <c r="BY39" s="206"/>
      <c r="BZ39" s="207"/>
      <c r="CA39" s="209"/>
      <c r="CB39" s="206"/>
      <c r="CC39" s="206"/>
      <c r="CD39" s="206"/>
      <c r="CE39" s="206"/>
      <c r="CF39" s="206"/>
      <c r="CG39" s="206"/>
      <c r="CH39" s="206"/>
      <c r="CI39" s="206"/>
      <c r="CJ39" s="206"/>
      <c r="CK39" s="206"/>
      <c r="CL39" s="206"/>
      <c r="CM39" s="206"/>
      <c r="CN39" s="206"/>
      <c r="CO39" s="206"/>
      <c r="CP39" s="206"/>
      <c r="CQ39" s="206"/>
      <c r="CR39" s="206"/>
      <c r="CS39" s="206"/>
      <c r="CT39" s="206"/>
      <c r="CU39" s="206"/>
      <c r="CV39" s="206"/>
      <c r="CW39" s="211"/>
      <c r="DK39" s="220"/>
      <c r="DL39" s="220"/>
      <c r="DM39" s="220"/>
      <c r="DN39" s="220"/>
      <c r="DO39" s="220"/>
      <c r="DP39" s="220"/>
      <c r="DQ39" s="220"/>
      <c r="DR39" s="220"/>
      <c r="DS39" s="220"/>
      <c r="DT39" s="220"/>
      <c r="DU39" s="220"/>
      <c r="DV39" s="220"/>
      <c r="DW39" s="220"/>
      <c r="DX39" s="220"/>
      <c r="DY39" s="220"/>
      <c r="DZ39" s="220"/>
      <c r="EA39" s="220"/>
      <c r="EB39" s="220"/>
      <c r="EC39" s="220"/>
      <c r="ED39" s="220"/>
      <c r="EE39" s="220"/>
      <c r="EF39" s="220"/>
      <c r="EG39" s="220"/>
      <c r="EH39" s="220"/>
      <c r="EI39" s="220"/>
      <c r="EJ39" s="220"/>
      <c r="EK39" s="220"/>
      <c r="EL39" s="220"/>
      <c r="EM39" s="220"/>
      <c r="EN39" s="220"/>
      <c r="EO39" s="220"/>
      <c r="EP39" s="220"/>
      <c r="EQ39" s="220"/>
      <c r="ER39" s="220"/>
      <c r="ES39" s="220"/>
      <c r="ET39" s="220"/>
      <c r="EU39" s="220"/>
      <c r="EV39" s="220"/>
      <c r="EW39" s="220"/>
      <c r="EX39" s="220"/>
      <c r="EY39" s="220"/>
      <c r="EZ39" s="220"/>
      <c r="FA39" s="220"/>
      <c r="FB39" s="220"/>
      <c r="FC39" s="220"/>
      <c r="FD39" s="220"/>
      <c r="FE39" s="220"/>
      <c r="FF39" s="220"/>
      <c r="FG39" s="220"/>
      <c r="FH39" s="220"/>
    </row>
    <row r="40" spans="3:164" s="92" customFormat="1" ht="12.75" thickBot="1">
      <c r="J40" s="221"/>
      <c r="K40" s="222"/>
      <c r="L40" s="222"/>
      <c r="M40" s="222"/>
      <c r="N40" s="222"/>
      <c r="O40" s="222"/>
      <c r="P40" s="222"/>
      <c r="Q40" s="222"/>
      <c r="R40" s="222"/>
      <c r="S40" s="222"/>
      <c r="T40" s="222"/>
      <c r="U40" s="222"/>
      <c r="V40" s="222"/>
      <c r="W40" s="222"/>
      <c r="X40" s="222"/>
      <c r="Y40" s="222"/>
      <c r="Z40" s="222"/>
      <c r="AA40" s="222"/>
      <c r="AB40" s="222"/>
      <c r="AC40" s="222"/>
      <c r="AD40" s="222"/>
      <c r="AE40" s="222"/>
      <c r="AF40" s="223"/>
      <c r="AG40" s="213"/>
      <c r="AH40" s="213"/>
      <c r="AI40" s="213"/>
      <c r="AJ40" s="213"/>
      <c r="AK40" s="213"/>
      <c r="AL40" s="213"/>
      <c r="AM40" s="213"/>
      <c r="AN40" s="213"/>
      <c r="AO40" s="213"/>
      <c r="AP40" s="213"/>
      <c r="AQ40" s="213"/>
      <c r="AR40" s="213"/>
      <c r="AS40" s="213"/>
      <c r="AT40" s="213"/>
      <c r="AU40" s="213"/>
      <c r="AV40" s="213"/>
      <c r="AW40" s="213"/>
      <c r="AX40" s="213"/>
      <c r="AY40" s="213"/>
      <c r="AZ40" s="213"/>
      <c r="BA40" s="213"/>
      <c r="BB40" s="213"/>
      <c r="BC40" s="213"/>
      <c r="BD40" s="213"/>
      <c r="BE40" s="213"/>
      <c r="BF40" s="213"/>
      <c r="BG40" s="213"/>
      <c r="BH40" s="213"/>
      <c r="BI40" s="213"/>
      <c r="BJ40" s="213"/>
      <c r="BK40" s="213"/>
      <c r="BL40" s="213"/>
      <c r="BM40" s="213"/>
      <c r="BN40" s="213"/>
      <c r="BO40" s="213"/>
      <c r="BP40" s="213"/>
      <c r="BQ40" s="213"/>
      <c r="BR40" s="213"/>
      <c r="BS40" s="213"/>
      <c r="BT40" s="213"/>
      <c r="BU40" s="213"/>
      <c r="BV40" s="213"/>
      <c r="BW40" s="213"/>
      <c r="BX40" s="213"/>
      <c r="BY40" s="213"/>
      <c r="BZ40" s="213"/>
      <c r="CA40" s="213"/>
      <c r="CB40" s="213"/>
      <c r="CC40" s="213"/>
      <c r="CD40" s="213"/>
      <c r="CE40" s="213"/>
      <c r="CF40" s="213"/>
      <c r="CG40" s="213"/>
      <c r="CH40" s="213"/>
      <c r="CI40" s="213"/>
      <c r="CJ40" s="213"/>
      <c r="CK40" s="213"/>
      <c r="CL40" s="213"/>
      <c r="CM40" s="213"/>
      <c r="CN40" s="213"/>
      <c r="CO40" s="213"/>
      <c r="CP40" s="213"/>
      <c r="CQ40" s="213"/>
      <c r="CR40" s="213"/>
      <c r="CS40" s="213"/>
      <c r="CT40" s="213"/>
      <c r="CU40" s="213"/>
      <c r="CV40" s="213"/>
      <c r="CW40" s="224"/>
      <c r="DK40" s="220"/>
      <c r="DL40" s="220"/>
      <c r="DM40" s="220"/>
      <c r="DN40" s="220"/>
      <c r="DO40" s="220"/>
      <c r="DP40" s="220"/>
      <c r="DQ40" s="220"/>
      <c r="DR40" s="220"/>
      <c r="DS40" s="220"/>
      <c r="DT40" s="220"/>
      <c r="DU40" s="220"/>
      <c r="DV40" s="220"/>
      <c r="DW40" s="220"/>
      <c r="DX40" s="220"/>
      <c r="DY40" s="220"/>
      <c r="DZ40" s="220"/>
      <c r="EA40" s="220"/>
      <c r="EB40" s="220"/>
      <c r="EC40" s="220"/>
      <c r="ED40" s="220"/>
      <c r="EE40" s="220"/>
      <c r="EF40" s="220"/>
      <c r="EG40" s="220"/>
      <c r="EH40" s="220"/>
      <c r="EI40" s="220"/>
      <c r="EJ40" s="220"/>
      <c r="EK40" s="220"/>
      <c r="EL40" s="220"/>
      <c r="EM40" s="220"/>
      <c r="EN40" s="220"/>
      <c r="EO40" s="220"/>
      <c r="EP40" s="220"/>
      <c r="EQ40" s="220"/>
      <c r="ER40" s="220"/>
      <c r="ES40" s="220"/>
      <c r="ET40" s="220"/>
      <c r="EU40" s="220"/>
      <c r="EV40" s="220"/>
      <c r="EW40" s="220"/>
      <c r="EX40" s="220"/>
      <c r="EY40" s="220"/>
      <c r="EZ40" s="220"/>
      <c r="FA40" s="220"/>
      <c r="FB40" s="220"/>
      <c r="FC40" s="220"/>
      <c r="FD40" s="220"/>
      <c r="FE40" s="220"/>
      <c r="FF40" s="220"/>
      <c r="FG40" s="220"/>
      <c r="FH40" s="220"/>
    </row>
  </sheetData>
  <mergeCells count="27">
    <mergeCell ref="DK37:FH38"/>
    <mergeCell ref="DK39:FH40"/>
    <mergeCell ref="J40:AF40"/>
    <mergeCell ref="AG40:BC40"/>
    <mergeCell ref="BD40:BZ40"/>
    <mergeCell ref="CA40:CW40"/>
    <mergeCell ref="CA33:CW33"/>
    <mergeCell ref="J37:AF39"/>
    <mergeCell ref="AG37:BC39"/>
    <mergeCell ref="BD37:BZ39"/>
    <mergeCell ref="CA37:CW39"/>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election activeCell="A5" sqref="A5"/>
    </sheetView>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42955</v>
      </c>
      <c r="B4" s="77" t="s">
        <v>72</v>
      </c>
      <c r="C4" s="78" t="s">
        <v>73</v>
      </c>
      <c r="D4" s="90" t="s">
        <v>98</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555"/>
  <sheetViews>
    <sheetView zoomScale="70" zoomScaleNormal="70" workbookViewId="0">
      <pane ySplit="8" topLeftCell="A9" activePane="bottomLeft" state="frozen"/>
      <selection pane="bottomLeft" activeCell="B1" sqref="B1"/>
    </sheetView>
  </sheetViews>
  <sheetFormatPr defaultColWidth="6.875" defaultRowHeight="13.5"/>
  <cols>
    <col min="1" max="1" width="4.5" style="99" bestFit="1" customWidth="1"/>
    <col min="2" max="2" width="9" style="2" customWidth="1"/>
    <col min="3" max="3" width="38.25" style="99" customWidth="1"/>
    <col min="4" max="4" width="38.25" style="175" customWidth="1"/>
    <col min="5" max="5" width="35.75" style="175" customWidth="1"/>
    <col min="6" max="6" width="21.5" style="5" customWidth="1"/>
    <col min="7" max="7" width="21.5" style="14" customWidth="1"/>
    <col min="8" max="8" width="8.75" style="4" customWidth="1"/>
    <col min="9" max="9" width="11.625" style="4" bestFit="1" customWidth="1"/>
    <col min="10" max="11" width="7.5" style="4" bestFit="1" customWidth="1"/>
    <col min="12" max="12" width="10.5" style="8" bestFit="1" customWidth="1"/>
    <col min="13" max="14" width="7.5" style="99" bestFit="1" customWidth="1"/>
    <col min="15" max="15" width="10.5" style="99" bestFit="1" customWidth="1"/>
    <col min="16" max="16" width="7.5" style="99" bestFit="1" customWidth="1"/>
    <col min="17" max="18" width="35.875" style="99" customWidth="1"/>
    <col min="19" max="19" width="16.75" style="99" customWidth="1"/>
    <col min="20" max="20" width="20" style="99" customWidth="1"/>
    <col min="21" max="21" width="18" style="99" customWidth="1"/>
    <col min="22" max="16384" width="6.875" style="99"/>
  </cols>
  <sheetData>
    <row r="1" spans="1:24">
      <c r="N1" s="99" t="s">
        <v>0</v>
      </c>
      <c r="O1" s="99" t="s">
        <v>86</v>
      </c>
      <c r="P1" s="99" t="s">
        <v>87</v>
      </c>
      <c r="Q1" s="99" t="s">
        <v>1252</v>
      </c>
    </row>
    <row r="2" spans="1:24">
      <c r="A2" s="98"/>
      <c r="G2" s="6" t="s">
        <v>1</v>
      </c>
      <c r="H2" s="7" t="s">
        <v>0</v>
      </c>
      <c r="I2" s="7" t="s">
        <v>17</v>
      </c>
      <c r="J2" s="7" t="s">
        <v>21</v>
      </c>
      <c r="K2" s="96"/>
      <c r="L2" s="104" t="s">
        <v>88</v>
      </c>
      <c r="M2" s="12">
        <f>COUNTA(B8:B965)-14</f>
        <v>519</v>
      </c>
      <c r="N2" s="99">
        <f>COUNTIF($H$9:$H$965,"OK")+COUNTIF($H$9:$H965,"－")</f>
        <v>0</v>
      </c>
      <c r="O2" s="99">
        <f>COUNTIF($H$9:$H$965,"NG")</f>
        <v>0</v>
      </c>
      <c r="P2" s="99">
        <f>COUNTIF($H$9:$H$965,"NG（済）")</f>
        <v>0</v>
      </c>
      <c r="Q2" s="99">
        <f>COUNTIF($H$9:$H$965,"未実施")</f>
        <v>0</v>
      </c>
    </row>
    <row r="3" spans="1:24">
      <c r="A3" s="98" t="s">
        <v>2</v>
      </c>
      <c r="B3" s="9" t="s">
        <v>80</v>
      </c>
      <c r="G3" s="10">
        <f>SUM(M2:M5)</f>
        <v>1557</v>
      </c>
      <c r="H3" s="10">
        <f>SUM(N2:N5)</f>
        <v>0</v>
      </c>
      <c r="I3" s="10">
        <f>SUM(O2:O5)</f>
        <v>0</v>
      </c>
      <c r="J3" s="10">
        <f>SUM(P2:P5)</f>
        <v>0</v>
      </c>
      <c r="K3" s="96"/>
      <c r="L3" s="105" t="s">
        <v>89</v>
      </c>
      <c r="M3" s="12">
        <f>COUNTA(B8:B965)-14</f>
        <v>519</v>
      </c>
      <c r="N3" s="99">
        <f>COUNTIF($K$9:$K$965,"OK")+COUNTIF($K$9:$K$965,"－")</f>
        <v>0</v>
      </c>
      <c r="O3" s="99">
        <f>COUNTIF($K$9:$K$965,"NG")</f>
        <v>0</v>
      </c>
      <c r="P3" s="99">
        <f>COUNTIF($K$9:$K$965,"NG（済）")</f>
        <v>0</v>
      </c>
      <c r="Q3" s="99">
        <f>COUNTIF($K$9:$K$965,"未実施")</f>
        <v>0</v>
      </c>
    </row>
    <row r="4" spans="1:24">
      <c r="A4" s="13"/>
      <c r="B4" s="99" t="s">
        <v>399</v>
      </c>
      <c r="L4" s="105" t="s">
        <v>90</v>
      </c>
      <c r="M4" s="12">
        <f>COUNTA(B8:B965)-14</f>
        <v>519</v>
      </c>
      <c r="N4" s="99">
        <f>COUNTIF($N$9:$N$965,"OK")+COUNTIF($N$11:$N$965,"－")</f>
        <v>0</v>
      </c>
      <c r="O4" s="99">
        <f>COUNTIF($N$9:$N$965,"NG")</f>
        <v>0</v>
      </c>
      <c r="P4" s="99">
        <f>COUNTIF($N$9:$N$965,"NG（済）")</f>
        <v>0</v>
      </c>
      <c r="Q4" s="99">
        <f>COUNTIF($N$9:$N$965,"未実施")</f>
        <v>0</v>
      </c>
    </row>
    <row r="5" spans="1:24">
      <c r="A5" s="13" t="s">
        <v>3</v>
      </c>
      <c r="B5" s="98" t="s">
        <v>336</v>
      </c>
      <c r="C5" s="97" t="s">
        <v>277</v>
      </c>
      <c r="D5" s="176"/>
      <c r="L5" s="105"/>
      <c r="M5" s="12"/>
      <c r="Q5" s="13"/>
      <c r="R5" s="13"/>
    </row>
    <row r="6" spans="1:24">
      <c r="A6" s="13"/>
      <c r="B6" s="98"/>
      <c r="L6" s="105"/>
      <c r="Q6" s="13"/>
      <c r="R6" s="13"/>
    </row>
    <row r="7" spans="1:24">
      <c r="B7" s="231" t="s">
        <v>4</v>
      </c>
      <c r="C7" s="233" t="s">
        <v>5</v>
      </c>
      <c r="D7" s="235" t="s">
        <v>79</v>
      </c>
      <c r="E7" s="235" t="s">
        <v>6</v>
      </c>
      <c r="F7" s="237" t="s">
        <v>7</v>
      </c>
      <c r="G7" s="238"/>
      <c r="H7" s="241" t="s">
        <v>91</v>
      </c>
      <c r="I7" s="241"/>
      <c r="J7" s="241"/>
      <c r="K7" s="241" t="s">
        <v>84</v>
      </c>
      <c r="L7" s="241"/>
      <c r="M7" s="241"/>
      <c r="N7" s="241" t="s">
        <v>85</v>
      </c>
      <c r="O7" s="241"/>
      <c r="P7" s="241"/>
      <c r="Q7" s="235" t="s">
        <v>1253</v>
      </c>
      <c r="R7" s="235" t="s">
        <v>78</v>
      </c>
      <c r="S7" s="242" t="s">
        <v>14</v>
      </c>
      <c r="T7" s="242"/>
      <c r="U7" s="242"/>
      <c r="V7" s="113"/>
    </row>
    <row r="8" spans="1:24">
      <c r="B8" s="232"/>
      <c r="C8" s="234"/>
      <c r="D8" s="236"/>
      <c r="E8" s="236"/>
      <c r="F8" s="239"/>
      <c r="G8" s="240"/>
      <c r="H8" s="112" t="s">
        <v>8</v>
      </c>
      <c r="I8" s="112" t="s">
        <v>9</v>
      </c>
      <c r="J8" s="112" t="s">
        <v>10</v>
      </c>
      <c r="K8" s="112" t="s">
        <v>8</v>
      </c>
      <c r="L8" s="112" t="s">
        <v>9</v>
      </c>
      <c r="M8" s="112" t="s">
        <v>10</v>
      </c>
      <c r="N8" s="112" t="s">
        <v>8</v>
      </c>
      <c r="O8" s="112" t="s">
        <v>9</v>
      </c>
      <c r="P8" s="112" t="s">
        <v>10</v>
      </c>
      <c r="Q8" s="234"/>
      <c r="R8" s="234"/>
      <c r="S8" s="93"/>
      <c r="T8" s="94"/>
      <c r="U8" s="95"/>
      <c r="V8" s="113"/>
    </row>
    <row r="9" spans="1:24" ht="47.1" customHeight="1">
      <c r="B9" s="162" t="s">
        <v>765</v>
      </c>
      <c r="C9" s="42" t="s">
        <v>400</v>
      </c>
      <c r="D9" s="42" t="s">
        <v>83</v>
      </c>
      <c r="E9" s="42" t="s">
        <v>62</v>
      </c>
      <c r="F9" s="227" t="s">
        <v>401</v>
      </c>
      <c r="G9" s="228"/>
      <c r="H9" s="102"/>
      <c r="I9" s="20"/>
      <c r="J9" s="102"/>
      <c r="K9" s="102"/>
      <c r="L9" s="20"/>
      <c r="M9" s="102"/>
      <c r="N9" s="102"/>
      <c r="O9" s="20"/>
      <c r="P9" s="102"/>
      <c r="Q9" s="178"/>
      <c r="R9" s="102"/>
      <c r="S9" s="100"/>
      <c r="T9" s="103"/>
      <c r="U9" s="103"/>
      <c r="V9" s="142"/>
    </row>
    <row r="10" spans="1:24" ht="34.5" customHeight="1">
      <c r="B10" s="162" t="s">
        <v>766</v>
      </c>
      <c r="C10" s="100" t="s">
        <v>83</v>
      </c>
      <c r="D10" s="42" t="s">
        <v>83</v>
      </c>
      <c r="E10" s="42" t="s">
        <v>62</v>
      </c>
      <c r="F10" s="227" t="s">
        <v>82</v>
      </c>
      <c r="G10" s="228"/>
      <c r="H10" s="102"/>
      <c r="I10" s="20"/>
      <c r="J10" s="102"/>
      <c r="K10" s="102"/>
      <c r="L10" s="20"/>
      <c r="M10" s="102"/>
      <c r="N10" s="155"/>
      <c r="O10" s="156"/>
      <c r="P10" s="155"/>
      <c r="Q10" s="102"/>
      <c r="R10" s="102"/>
      <c r="S10" s="100"/>
      <c r="T10" s="103"/>
      <c r="U10" s="103"/>
      <c r="V10" s="142"/>
    </row>
    <row r="11" spans="1:24" ht="34.5" customHeight="1">
      <c r="B11" s="162" t="s">
        <v>767</v>
      </c>
      <c r="C11" s="100" t="s">
        <v>83</v>
      </c>
      <c r="D11" s="42" t="s">
        <v>83</v>
      </c>
      <c r="E11" s="42" t="s">
        <v>62</v>
      </c>
      <c r="F11" s="227" t="s">
        <v>92</v>
      </c>
      <c r="G11" s="228"/>
      <c r="H11" s="102"/>
      <c r="I11" s="20"/>
      <c r="J11" s="102"/>
      <c r="K11" s="102"/>
      <c r="L11" s="20"/>
      <c r="M11" s="102"/>
      <c r="N11" s="102"/>
      <c r="O11" s="20"/>
      <c r="P11" s="102"/>
      <c r="Q11" s="178"/>
      <c r="R11" s="102"/>
      <c r="S11" s="100"/>
      <c r="T11" s="103"/>
      <c r="U11" s="103"/>
      <c r="V11" s="142"/>
      <c r="W11" s="142"/>
      <c r="X11" s="142"/>
    </row>
    <row r="12" spans="1:24" ht="34.5" customHeight="1">
      <c r="B12" s="162" t="s">
        <v>768</v>
      </c>
      <c r="C12" s="100" t="s">
        <v>83</v>
      </c>
      <c r="D12" s="42" t="s">
        <v>83</v>
      </c>
      <c r="E12" s="115" t="s">
        <v>62</v>
      </c>
      <c r="F12" s="229" t="s">
        <v>93</v>
      </c>
      <c r="G12" s="230"/>
      <c r="H12" s="102"/>
      <c r="I12" s="20"/>
      <c r="J12" s="102"/>
      <c r="K12" s="102"/>
      <c r="L12" s="20"/>
      <c r="M12" s="102"/>
      <c r="N12" s="102"/>
      <c r="O12" s="20"/>
      <c r="P12" s="102"/>
      <c r="Q12" s="178"/>
      <c r="R12" s="102"/>
      <c r="S12" s="100"/>
      <c r="T12" s="103"/>
      <c r="U12" s="103"/>
      <c r="V12" s="142"/>
      <c r="W12" s="142"/>
      <c r="X12" s="142"/>
    </row>
    <row r="13" spans="1:24" ht="55.5" customHeight="1">
      <c r="B13" s="162" t="s">
        <v>769</v>
      </c>
      <c r="C13" s="100" t="s">
        <v>83</v>
      </c>
      <c r="D13" s="42" t="s">
        <v>172</v>
      </c>
      <c r="E13" s="42" t="s">
        <v>62</v>
      </c>
      <c r="F13" s="227" t="s">
        <v>1329</v>
      </c>
      <c r="G13" s="228"/>
      <c r="H13" s="102"/>
      <c r="I13" s="20"/>
      <c r="J13" s="102"/>
      <c r="K13" s="102"/>
      <c r="L13" s="20"/>
      <c r="M13" s="102"/>
      <c r="N13" s="102"/>
      <c r="O13" s="20"/>
      <c r="P13" s="102"/>
      <c r="Q13" s="178"/>
      <c r="R13" s="102"/>
      <c r="S13" s="100"/>
      <c r="T13" s="103"/>
      <c r="U13" s="103"/>
      <c r="V13" s="142"/>
      <c r="W13" s="142"/>
      <c r="X13" s="142"/>
    </row>
    <row r="14" spans="1:24" ht="34.5" customHeight="1">
      <c r="B14" s="162" t="s">
        <v>18</v>
      </c>
      <c r="C14" s="100" t="s">
        <v>83</v>
      </c>
      <c r="D14" s="42" t="s">
        <v>404</v>
      </c>
      <c r="E14" s="42" t="s">
        <v>405</v>
      </c>
      <c r="F14" s="227" t="s">
        <v>406</v>
      </c>
      <c r="G14" s="228"/>
      <c r="H14" s="102"/>
      <c r="I14" s="20"/>
      <c r="J14" s="102"/>
      <c r="K14" s="102"/>
      <c r="L14" s="20"/>
      <c r="M14" s="102"/>
      <c r="N14" s="155"/>
      <c r="O14" s="156"/>
      <c r="P14" s="155"/>
      <c r="Q14" s="178"/>
      <c r="R14" s="102"/>
      <c r="S14" s="100"/>
      <c r="T14" s="103"/>
      <c r="U14" s="103"/>
      <c r="V14" s="161"/>
      <c r="W14" s="161"/>
      <c r="X14" s="161"/>
    </row>
    <row r="15" spans="1:24" ht="87" customHeight="1">
      <c r="B15" s="162" t="s">
        <v>19</v>
      </c>
      <c r="C15" s="100" t="s">
        <v>83</v>
      </c>
      <c r="D15" s="42" t="s">
        <v>83</v>
      </c>
      <c r="E15" s="42" t="s">
        <v>407</v>
      </c>
      <c r="F15" s="227" t="s">
        <v>92</v>
      </c>
      <c r="G15" s="228"/>
      <c r="H15" s="102"/>
      <c r="I15" s="20"/>
      <c r="J15" s="102"/>
      <c r="K15" s="102"/>
      <c r="L15" s="20"/>
      <c r="M15" s="102"/>
      <c r="N15" s="102"/>
      <c r="O15" s="20"/>
      <c r="P15" s="102"/>
      <c r="Q15" s="178"/>
      <c r="R15" s="102"/>
      <c r="S15" s="100"/>
      <c r="T15" s="103"/>
      <c r="U15" s="103"/>
      <c r="V15" s="161"/>
      <c r="W15" s="161"/>
      <c r="X15" s="161"/>
    </row>
    <row r="16" spans="1:24" ht="57" customHeight="1">
      <c r="B16" s="162" t="s">
        <v>20</v>
      </c>
      <c r="C16" s="100" t="s">
        <v>83</v>
      </c>
      <c r="D16" s="42" t="s">
        <v>83</v>
      </c>
      <c r="E16" s="42" t="s">
        <v>407</v>
      </c>
      <c r="F16" s="227" t="s">
        <v>93</v>
      </c>
      <c r="G16" s="228"/>
      <c r="H16" s="102"/>
      <c r="I16" s="20"/>
      <c r="J16" s="102"/>
      <c r="K16" s="102"/>
      <c r="L16" s="20"/>
      <c r="M16" s="102"/>
      <c r="N16" s="102"/>
      <c r="O16" s="20"/>
      <c r="P16" s="102"/>
      <c r="Q16" s="178"/>
      <c r="R16" s="102"/>
      <c r="S16" s="100"/>
      <c r="T16" s="103"/>
      <c r="U16" s="103"/>
      <c r="V16" s="161"/>
      <c r="W16" s="161"/>
      <c r="X16" s="161"/>
    </row>
    <row r="17" spans="2:22" ht="45" customHeight="1">
      <c r="B17" s="162" t="s">
        <v>770</v>
      </c>
      <c r="C17" s="42" t="s">
        <v>763</v>
      </c>
      <c r="D17" s="42" t="s">
        <v>83</v>
      </c>
      <c r="E17" s="115" t="s">
        <v>132</v>
      </c>
      <c r="F17" s="244" t="s">
        <v>380</v>
      </c>
      <c r="G17" s="245"/>
      <c r="H17" s="102"/>
      <c r="I17" s="20"/>
      <c r="J17" s="102"/>
      <c r="K17" s="102"/>
      <c r="L17" s="20"/>
      <c r="M17" s="102"/>
      <c r="N17" s="102"/>
      <c r="O17" s="20"/>
      <c r="P17" s="102"/>
      <c r="Q17" s="102"/>
      <c r="R17" s="102"/>
      <c r="S17" s="100"/>
      <c r="T17" s="103"/>
      <c r="U17" s="103"/>
      <c r="V17" s="141"/>
    </row>
    <row r="18" spans="2:22" ht="45" customHeight="1">
      <c r="B18" s="162" t="s">
        <v>771</v>
      </c>
      <c r="C18" s="100" t="s">
        <v>83</v>
      </c>
      <c r="D18" s="42" t="s">
        <v>408</v>
      </c>
      <c r="E18" s="42" t="s">
        <v>230</v>
      </c>
      <c r="F18" s="244" t="s">
        <v>133</v>
      </c>
      <c r="G18" s="245"/>
      <c r="H18" s="102"/>
      <c r="I18" s="20"/>
      <c r="J18" s="102"/>
      <c r="K18" s="102"/>
      <c r="L18" s="20"/>
      <c r="M18" s="102"/>
      <c r="N18" s="102"/>
      <c r="O18" s="20"/>
      <c r="P18" s="102"/>
      <c r="Q18" s="102"/>
      <c r="R18" s="102"/>
      <c r="S18" s="100"/>
      <c r="T18" s="103"/>
      <c r="U18" s="103"/>
      <c r="V18" s="142"/>
    </row>
    <row r="19" spans="2:22" ht="45" customHeight="1">
      <c r="B19" s="162" t="s">
        <v>772</v>
      </c>
      <c r="C19" s="100" t="s">
        <v>83</v>
      </c>
      <c r="D19" s="42" t="s">
        <v>83</v>
      </c>
      <c r="E19" s="42" t="s">
        <v>739</v>
      </c>
      <c r="F19" s="244" t="s">
        <v>133</v>
      </c>
      <c r="G19" s="245"/>
      <c r="H19" s="102"/>
      <c r="I19" s="20"/>
      <c r="J19" s="102"/>
      <c r="K19" s="102"/>
      <c r="L19" s="20"/>
      <c r="M19" s="102"/>
      <c r="N19" s="102"/>
      <c r="O19" s="20"/>
      <c r="P19" s="102"/>
      <c r="Q19" s="102"/>
      <c r="R19" s="102"/>
      <c r="S19" s="100"/>
      <c r="T19" s="103"/>
      <c r="U19" s="103"/>
      <c r="V19" s="145"/>
    </row>
    <row r="20" spans="2:22" ht="45" customHeight="1">
      <c r="B20" s="162" t="s">
        <v>773</v>
      </c>
      <c r="C20" s="100" t="s">
        <v>83</v>
      </c>
      <c r="D20" s="42" t="s">
        <v>409</v>
      </c>
      <c r="E20" s="42" t="s">
        <v>228</v>
      </c>
      <c r="F20" s="244" t="s">
        <v>229</v>
      </c>
      <c r="G20" s="245"/>
      <c r="H20" s="102"/>
      <c r="I20" s="20"/>
      <c r="J20" s="102"/>
      <c r="K20" s="102"/>
      <c r="L20" s="20"/>
      <c r="M20" s="102"/>
      <c r="N20" s="102"/>
      <c r="O20" s="20"/>
      <c r="P20" s="102"/>
      <c r="Q20" s="102"/>
      <c r="R20" s="102"/>
      <c r="S20" s="100"/>
      <c r="T20" s="103"/>
      <c r="U20" s="103"/>
      <c r="V20" s="145"/>
    </row>
    <row r="21" spans="2:22" ht="45" customHeight="1">
      <c r="B21" s="162" t="s">
        <v>774</v>
      </c>
      <c r="C21" s="100" t="s">
        <v>83</v>
      </c>
      <c r="D21" s="42" t="s">
        <v>83</v>
      </c>
      <c r="E21" s="42" t="s">
        <v>739</v>
      </c>
      <c r="F21" s="244" t="s">
        <v>229</v>
      </c>
      <c r="G21" s="245"/>
      <c r="H21" s="102"/>
      <c r="I21" s="20"/>
      <c r="J21" s="102"/>
      <c r="K21" s="102"/>
      <c r="L21" s="20"/>
      <c r="M21" s="102"/>
      <c r="N21" s="102"/>
      <c r="O21" s="20"/>
      <c r="P21" s="102"/>
      <c r="Q21" s="102"/>
      <c r="R21" s="102"/>
      <c r="S21" s="100"/>
      <c r="T21" s="103"/>
      <c r="U21" s="103"/>
      <c r="V21" s="145"/>
    </row>
    <row r="22" spans="2:22" ht="45" customHeight="1">
      <c r="B22" s="162" t="s">
        <v>775</v>
      </c>
      <c r="C22" s="115" t="s">
        <v>762</v>
      </c>
      <c r="D22" s="115"/>
      <c r="E22" s="42" t="s">
        <v>285</v>
      </c>
      <c r="F22" s="225" t="s">
        <v>1102</v>
      </c>
      <c r="G22" s="226"/>
      <c r="H22" s="102"/>
      <c r="I22" s="20"/>
      <c r="J22" s="102"/>
      <c r="K22" s="102"/>
      <c r="L22" s="20"/>
      <c r="M22" s="102"/>
      <c r="N22" s="102"/>
      <c r="O22" s="20"/>
      <c r="P22" s="102"/>
      <c r="Q22" s="178"/>
      <c r="R22" s="102"/>
      <c r="S22" s="100"/>
      <c r="T22" s="103"/>
      <c r="U22" s="103"/>
      <c r="V22" s="150"/>
    </row>
    <row r="23" spans="2:22" ht="45" customHeight="1">
      <c r="B23" s="162" t="s">
        <v>776</v>
      </c>
      <c r="C23" s="100" t="s">
        <v>83</v>
      </c>
      <c r="D23" s="42" t="s">
        <v>83</v>
      </c>
      <c r="E23" s="115" t="s">
        <v>231</v>
      </c>
      <c r="F23" s="225" t="s">
        <v>1103</v>
      </c>
      <c r="G23" s="226"/>
      <c r="H23" s="102"/>
      <c r="I23" s="20"/>
      <c r="J23" s="102"/>
      <c r="K23" s="102"/>
      <c r="L23" s="20"/>
      <c r="M23" s="102"/>
      <c r="N23" s="102"/>
      <c r="O23" s="20"/>
      <c r="P23" s="102"/>
      <c r="Q23" s="178"/>
      <c r="R23" s="102"/>
      <c r="S23" s="100"/>
      <c r="T23" s="103"/>
      <c r="U23" s="103"/>
      <c r="V23" s="145"/>
    </row>
    <row r="24" spans="2:22" ht="45" customHeight="1">
      <c r="B24" s="162" t="s">
        <v>777</v>
      </c>
      <c r="C24" s="115" t="s">
        <v>1089</v>
      </c>
      <c r="D24" s="115" t="s">
        <v>1090</v>
      </c>
      <c r="E24" s="42" t="s">
        <v>62</v>
      </c>
      <c r="F24" s="225" t="s">
        <v>737</v>
      </c>
      <c r="G24" s="226"/>
      <c r="H24" s="102"/>
      <c r="I24" s="20"/>
      <c r="J24" s="102"/>
      <c r="K24" s="102"/>
      <c r="L24" s="20"/>
      <c r="M24" s="102"/>
      <c r="N24" s="102"/>
      <c r="O24" s="20"/>
      <c r="P24" s="102"/>
      <c r="Q24" s="178"/>
      <c r="R24" s="102"/>
      <c r="S24" s="100"/>
      <c r="T24" s="103"/>
      <c r="U24" s="103"/>
      <c r="V24" s="145"/>
    </row>
    <row r="25" spans="2:22" ht="45" customHeight="1">
      <c r="B25" s="162" t="s">
        <v>778</v>
      </c>
      <c r="C25" s="115" t="s">
        <v>1092</v>
      </c>
      <c r="D25" s="115"/>
      <c r="E25" s="115" t="s">
        <v>132</v>
      </c>
      <c r="F25" s="244" t="s">
        <v>380</v>
      </c>
      <c r="G25" s="245"/>
      <c r="H25" s="102"/>
      <c r="I25" s="20"/>
      <c r="J25" s="102"/>
      <c r="K25" s="102"/>
      <c r="L25" s="20"/>
      <c r="M25" s="102"/>
      <c r="N25" s="102"/>
      <c r="O25" s="20"/>
      <c r="P25" s="102"/>
      <c r="Q25" s="102"/>
      <c r="R25" s="102"/>
      <c r="S25" s="100"/>
      <c r="T25" s="103"/>
      <c r="U25" s="103"/>
      <c r="V25" s="150"/>
    </row>
    <row r="26" spans="2:22" ht="45" customHeight="1">
      <c r="B26" s="162" t="s">
        <v>779</v>
      </c>
      <c r="C26" s="100" t="s">
        <v>83</v>
      </c>
      <c r="D26" s="42" t="s">
        <v>1093</v>
      </c>
      <c r="E26" s="42" t="s">
        <v>268</v>
      </c>
      <c r="F26" s="244" t="s">
        <v>133</v>
      </c>
      <c r="G26" s="245"/>
      <c r="H26" s="102"/>
      <c r="I26" s="20"/>
      <c r="J26" s="102"/>
      <c r="K26" s="102"/>
      <c r="L26" s="20"/>
      <c r="M26" s="102"/>
      <c r="N26" s="102"/>
      <c r="O26" s="20"/>
      <c r="P26" s="102"/>
      <c r="Q26" s="178"/>
      <c r="R26" s="102"/>
      <c r="S26" s="100"/>
      <c r="T26" s="103"/>
      <c r="U26" s="103"/>
      <c r="V26" s="150"/>
    </row>
    <row r="27" spans="2:22" ht="45" customHeight="1">
      <c r="B27" s="162" t="s">
        <v>780</v>
      </c>
      <c r="C27" s="100" t="s">
        <v>83</v>
      </c>
      <c r="D27" s="42" t="s">
        <v>83</v>
      </c>
      <c r="E27" s="42" t="s">
        <v>740</v>
      </c>
      <c r="F27" s="244" t="s">
        <v>133</v>
      </c>
      <c r="G27" s="245"/>
      <c r="H27" s="102"/>
      <c r="I27" s="20"/>
      <c r="J27" s="102"/>
      <c r="K27" s="102"/>
      <c r="L27" s="20"/>
      <c r="M27" s="102"/>
      <c r="N27" s="102"/>
      <c r="O27" s="20"/>
      <c r="P27" s="102"/>
      <c r="Q27" s="178"/>
      <c r="R27" s="102"/>
      <c r="S27" s="100"/>
      <c r="T27" s="103"/>
      <c r="U27" s="103"/>
      <c r="V27" s="150"/>
    </row>
    <row r="28" spans="2:22" ht="45" customHeight="1">
      <c r="B28" s="162" t="s">
        <v>781</v>
      </c>
      <c r="C28" s="100" t="s">
        <v>83</v>
      </c>
      <c r="D28" s="42" t="s">
        <v>83</v>
      </c>
      <c r="E28" s="42" t="s">
        <v>1277</v>
      </c>
      <c r="F28" s="244" t="s">
        <v>133</v>
      </c>
      <c r="G28" s="245"/>
      <c r="H28" s="102"/>
      <c r="I28" s="20"/>
      <c r="J28" s="102"/>
      <c r="K28" s="102"/>
      <c r="L28" s="20"/>
      <c r="M28" s="102"/>
      <c r="N28" s="102"/>
      <c r="O28" s="20"/>
      <c r="P28" s="102"/>
      <c r="Q28" s="22"/>
      <c r="R28" s="102"/>
      <c r="S28" s="100"/>
      <c r="T28" s="103"/>
      <c r="U28" s="103"/>
      <c r="V28" s="151"/>
    </row>
    <row r="29" spans="2:22" ht="45" customHeight="1">
      <c r="B29" s="162" t="s">
        <v>782</v>
      </c>
      <c r="C29" s="100" t="s">
        <v>83</v>
      </c>
      <c r="D29" s="42" t="s">
        <v>1094</v>
      </c>
      <c r="E29" s="42" t="s">
        <v>268</v>
      </c>
      <c r="F29" s="244" t="s">
        <v>229</v>
      </c>
      <c r="G29" s="245"/>
      <c r="H29" s="102"/>
      <c r="I29" s="20"/>
      <c r="J29" s="102"/>
      <c r="K29" s="102"/>
      <c r="L29" s="20"/>
      <c r="M29" s="102"/>
      <c r="N29" s="102"/>
      <c r="O29" s="20"/>
      <c r="P29" s="102"/>
      <c r="Q29" s="178"/>
      <c r="R29" s="102"/>
      <c r="S29" s="100"/>
      <c r="T29" s="103"/>
      <c r="U29" s="103"/>
      <c r="V29" s="150"/>
    </row>
    <row r="30" spans="2:22" ht="45" customHeight="1">
      <c r="B30" s="162" t="s">
        <v>783</v>
      </c>
      <c r="C30" s="100" t="s">
        <v>83</v>
      </c>
      <c r="D30" s="42" t="s">
        <v>83</v>
      </c>
      <c r="E30" s="42" t="s">
        <v>740</v>
      </c>
      <c r="F30" s="244" t="s">
        <v>229</v>
      </c>
      <c r="G30" s="245"/>
      <c r="H30" s="102"/>
      <c r="I30" s="20"/>
      <c r="J30" s="102"/>
      <c r="K30" s="102"/>
      <c r="L30" s="20"/>
      <c r="M30" s="102"/>
      <c r="N30" s="102"/>
      <c r="O30" s="20"/>
      <c r="P30" s="102"/>
      <c r="Q30" s="178"/>
      <c r="R30" s="102"/>
      <c r="S30" s="100"/>
      <c r="T30" s="103"/>
      <c r="U30" s="103"/>
      <c r="V30" s="150"/>
    </row>
    <row r="31" spans="2:22" ht="45" customHeight="1">
      <c r="B31" s="162" t="s">
        <v>784</v>
      </c>
      <c r="C31" s="100"/>
      <c r="D31" s="42" t="s">
        <v>83</v>
      </c>
      <c r="E31" s="42" t="s">
        <v>1166</v>
      </c>
      <c r="F31" s="244" t="s">
        <v>229</v>
      </c>
      <c r="G31" s="245"/>
      <c r="H31" s="102"/>
      <c r="I31" s="20"/>
      <c r="J31" s="102"/>
      <c r="K31" s="102"/>
      <c r="L31" s="20"/>
      <c r="M31" s="102"/>
      <c r="N31" s="102"/>
      <c r="O31" s="20"/>
      <c r="P31" s="102"/>
      <c r="Q31" s="22"/>
      <c r="R31" s="102"/>
      <c r="S31" s="100"/>
      <c r="T31" s="103"/>
      <c r="U31" s="103"/>
      <c r="V31" s="151"/>
    </row>
    <row r="32" spans="2:22" ht="45" customHeight="1">
      <c r="B32" s="162" t="s">
        <v>785</v>
      </c>
      <c r="C32" s="115" t="s">
        <v>1125</v>
      </c>
      <c r="D32" s="42" t="s">
        <v>83</v>
      </c>
      <c r="E32" s="42" t="s">
        <v>285</v>
      </c>
      <c r="F32" s="225" t="s">
        <v>1102</v>
      </c>
      <c r="G32" s="226"/>
      <c r="H32" s="102"/>
      <c r="I32" s="20"/>
      <c r="J32" s="102"/>
      <c r="K32" s="102"/>
      <c r="L32" s="20"/>
      <c r="M32" s="102"/>
      <c r="N32" s="102"/>
      <c r="O32" s="20"/>
      <c r="P32" s="102"/>
      <c r="Q32" s="178"/>
      <c r="R32" s="102"/>
      <c r="S32" s="100"/>
      <c r="T32" s="103"/>
      <c r="U32" s="103"/>
      <c r="V32" s="150"/>
    </row>
    <row r="33" spans="2:22" ht="45" customHeight="1">
      <c r="B33" s="162" t="s">
        <v>786</v>
      </c>
      <c r="C33" s="100" t="s">
        <v>1126</v>
      </c>
      <c r="D33" s="42" t="s">
        <v>83</v>
      </c>
      <c r="E33" s="115" t="s">
        <v>231</v>
      </c>
      <c r="F33" s="225" t="s">
        <v>1103</v>
      </c>
      <c r="G33" s="226"/>
      <c r="H33" s="102"/>
      <c r="I33" s="20"/>
      <c r="J33" s="102"/>
      <c r="K33" s="102"/>
      <c r="L33" s="20"/>
      <c r="M33" s="102"/>
      <c r="N33" s="102"/>
      <c r="O33" s="20"/>
      <c r="P33" s="102"/>
      <c r="Q33" s="178"/>
      <c r="R33" s="102"/>
      <c r="S33" s="100"/>
      <c r="T33" s="103"/>
      <c r="U33" s="103"/>
      <c r="V33" s="150"/>
    </row>
    <row r="34" spans="2:22" ht="45" customHeight="1">
      <c r="B34" s="162" t="s">
        <v>787</v>
      </c>
      <c r="C34" s="115" t="s">
        <v>1127</v>
      </c>
      <c r="D34" s="115" t="s">
        <v>1095</v>
      </c>
      <c r="E34" s="42" t="s">
        <v>62</v>
      </c>
      <c r="F34" s="225" t="s">
        <v>724</v>
      </c>
      <c r="G34" s="226"/>
      <c r="H34" s="102"/>
      <c r="I34" s="20"/>
      <c r="J34" s="102"/>
      <c r="K34" s="102"/>
      <c r="L34" s="20"/>
      <c r="M34" s="102"/>
      <c r="N34" s="102"/>
      <c r="O34" s="20"/>
      <c r="P34" s="102"/>
      <c r="Q34" s="102"/>
      <c r="R34" s="102"/>
      <c r="S34" s="100"/>
      <c r="T34" s="103"/>
      <c r="U34" s="103"/>
      <c r="V34" s="150"/>
    </row>
    <row r="35" spans="2:22" ht="45" customHeight="1">
      <c r="B35" s="162" t="s">
        <v>788</v>
      </c>
      <c r="C35" s="115" t="s">
        <v>1128</v>
      </c>
      <c r="D35" s="115" t="s">
        <v>1096</v>
      </c>
      <c r="E35" s="115" t="s">
        <v>132</v>
      </c>
      <c r="F35" s="244" t="s">
        <v>380</v>
      </c>
      <c r="G35" s="245"/>
      <c r="H35" s="102"/>
      <c r="I35" s="20"/>
      <c r="J35" s="102"/>
      <c r="K35" s="102"/>
      <c r="L35" s="20"/>
      <c r="M35" s="102"/>
      <c r="N35" s="102"/>
      <c r="O35" s="20"/>
      <c r="P35" s="102"/>
      <c r="Q35" s="102"/>
      <c r="R35" s="102"/>
      <c r="S35" s="100"/>
      <c r="T35" s="103"/>
      <c r="U35" s="103"/>
      <c r="V35" s="150"/>
    </row>
    <row r="36" spans="2:22" ht="45" customHeight="1">
      <c r="B36" s="162" t="s">
        <v>789</v>
      </c>
      <c r="C36" s="100" t="s">
        <v>1126</v>
      </c>
      <c r="D36" s="42" t="s">
        <v>1097</v>
      </c>
      <c r="E36" s="42" t="s">
        <v>286</v>
      </c>
      <c r="F36" s="244" t="s">
        <v>133</v>
      </c>
      <c r="G36" s="245"/>
      <c r="H36" s="102"/>
      <c r="I36" s="20"/>
      <c r="J36" s="102"/>
      <c r="K36" s="102"/>
      <c r="L36" s="20"/>
      <c r="M36" s="102"/>
      <c r="N36" s="102"/>
      <c r="O36" s="20"/>
      <c r="P36" s="102"/>
      <c r="Q36" s="178"/>
      <c r="R36" s="102"/>
      <c r="S36" s="100"/>
      <c r="T36" s="103"/>
      <c r="U36" s="103"/>
      <c r="V36" s="150"/>
    </row>
    <row r="37" spans="2:22" ht="45" customHeight="1">
      <c r="B37" s="162" t="s">
        <v>790</v>
      </c>
      <c r="C37" s="100" t="s">
        <v>1126</v>
      </c>
      <c r="D37" s="42" t="s">
        <v>83</v>
      </c>
      <c r="E37" s="42" t="s">
        <v>741</v>
      </c>
      <c r="F37" s="244" t="s">
        <v>133</v>
      </c>
      <c r="G37" s="245"/>
      <c r="H37" s="102"/>
      <c r="I37" s="20"/>
      <c r="J37" s="102"/>
      <c r="K37" s="102"/>
      <c r="L37" s="20"/>
      <c r="M37" s="102"/>
      <c r="N37" s="102"/>
      <c r="O37" s="20"/>
      <c r="P37" s="102"/>
      <c r="Q37" s="178"/>
      <c r="R37" s="102"/>
      <c r="S37" s="100"/>
      <c r="T37" s="103"/>
      <c r="U37" s="103"/>
      <c r="V37" s="150"/>
    </row>
    <row r="38" spans="2:22" ht="45" customHeight="1">
      <c r="B38" s="162" t="s">
        <v>791</v>
      </c>
      <c r="C38" s="100" t="s">
        <v>1126</v>
      </c>
      <c r="D38" s="42" t="s">
        <v>1098</v>
      </c>
      <c r="E38" s="42" t="s">
        <v>286</v>
      </c>
      <c r="F38" s="244" t="s">
        <v>229</v>
      </c>
      <c r="G38" s="245"/>
      <c r="H38" s="102"/>
      <c r="I38" s="20"/>
      <c r="J38" s="102"/>
      <c r="K38" s="102"/>
      <c r="L38" s="20"/>
      <c r="M38" s="102"/>
      <c r="N38" s="102"/>
      <c r="O38" s="20"/>
      <c r="P38" s="102"/>
      <c r="Q38" s="178"/>
      <c r="R38" s="102"/>
      <c r="S38" s="100"/>
      <c r="T38" s="103"/>
      <c r="U38" s="103"/>
      <c r="V38" s="150"/>
    </row>
    <row r="39" spans="2:22" ht="45" customHeight="1">
      <c r="B39" s="162" t="s">
        <v>792</v>
      </c>
      <c r="C39" s="100" t="s">
        <v>1126</v>
      </c>
      <c r="D39" s="42" t="s">
        <v>83</v>
      </c>
      <c r="E39" s="42" t="s">
        <v>741</v>
      </c>
      <c r="F39" s="244" t="s">
        <v>229</v>
      </c>
      <c r="G39" s="245"/>
      <c r="H39" s="102"/>
      <c r="I39" s="20"/>
      <c r="J39" s="102"/>
      <c r="K39" s="102"/>
      <c r="L39" s="20"/>
      <c r="M39" s="102"/>
      <c r="N39" s="102"/>
      <c r="O39" s="20"/>
      <c r="P39" s="102"/>
      <c r="Q39" s="178"/>
      <c r="R39" s="102"/>
      <c r="S39" s="100"/>
      <c r="T39" s="103"/>
      <c r="U39" s="103"/>
      <c r="V39" s="150"/>
    </row>
    <row r="40" spans="2:22" ht="45" customHeight="1">
      <c r="B40" s="162" t="s">
        <v>793</v>
      </c>
      <c r="C40" s="115" t="s">
        <v>1129</v>
      </c>
      <c r="D40" s="42" t="s">
        <v>83</v>
      </c>
      <c r="E40" s="42" t="s">
        <v>285</v>
      </c>
      <c r="F40" s="225" t="s">
        <v>1102</v>
      </c>
      <c r="G40" s="226"/>
      <c r="H40" s="102"/>
      <c r="I40" s="20"/>
      <c r="J40" s="102"/>
      <c r="K40" s="102"/>
      <c r="L40" s="20"/>
      <c r="M40" s="102"/>
      <c r="N40" s="102"/>
      <c r="O40" s="20"/>
      <c r="P40" s="102"/>
      <c r="Q40" s="178"/>
      <c r="R40" s="102"/>
      <c r="S40" s="100"/>
      <c r="T40" s="103"/>
      <c r="U40" s="103"/>
      <c r="V40" s="150"/>
    </row>
    <row r="41" spans="2:22" ht="45" customHeight="1">
      <c r="B41" s="162" t="s">
        <v>794</v>
      </c>
      <c r="C41" s="100" t="s">
        <v>1126</v>
      </c>
      <c r="D41" s="42" t="s">
        <v>83</v>
      </c>
      <c r="E41" s="115" t="s">
        <v>231</v>
      </c>
      <c r="F41" s="225" t="s">
        <v>1103</v>
      </c>
      <c r="G41" s="226"/>
      <c r="H41" s="102"/>
      <c r="I41" s="20"/>
      <c r="J41" s="102"/>
      <c r="K41" s="102"/>
      <c r="L41" s="20"/>
      <c r="M41" s="102"/>
      <c r="N41" s="102"/>
      <c r="O41" s="20"/>
      <c r="P41" s="102"/>
      <c r="Q41" s="178"/>
      <c r="R41" s="102"/>
      <c r="S41" s="100"/>
      <c r="T41" s="103"/>
      <c r="U41" s="103"/>
      <c r="V41" s="150"/>
    </row>
    <row r="42" spans="2:22" ht="45" customHeight="1">
      <c r="B42" s="162" t="s">
        <v>795</v>
      </c>
      <c r="C42" s="115" t="s">
        <v>1130</v>
      </c>
      <c r="D42" s="115" t="s">
        <v>294</v>
      </c>
      <c r="E42" s="42" t="s">
        <v>62</v>
      </c>
      <c r="F42" s="225" t="s">
        <v>725</v>
      </c>
      <c r="G42" s="226"/>
      <c r="H42" s="102"/>
      <c r="I42" s="20"/>
      <c r="J42" s="102"/>
      <c r="K42" s="102"/>
      <c r="L42" s="20"/>
      <c r="M42" s="102"/>
      <c r="N42" s="102"/>
      <c r="O42" s="20"/>
      <c r="P42" s="102"/>
      <c r="Q42" s="102"/>
      <c r="R42" s="102"/>
      <c r="S42" s="100"/>
      <c r="T42" s="103"/>
      <c r="U42" s="103"/>
      <c r="V42" s="150"/>
    </row>
    <row r="43" spans="2:22" ht="45" customHeight="1">
      <c r="B43" s="162" t="s">
        <v>796</v>
      </c>
      <c r="C43" s="115" t="s">
        <v>1131</v>
      </c>
      <c r="D43" s="42" t="s">
        <v>83</v>
      </c>
      <c r="E43" s="115" t="s">
        <v>132</v>
      </c>
      <c r="F43" s="244" t="s">
        <v>380</v>
      </c>
      <c r="G43" s="245"/>
      <c r="H43" s="102"/>
      <c r="I43" s="20"/>
      <c r="J43" s="102"/>
      <c r="K43" s="102"/>
      <c r="L43" s="20"/>
      <c r="M43" s="102"/>
      <c r="N43" s="102"/>
      <c r="O43" s="20"/>
      <c r="P43" s="102"/>
      <c r="Q43" s="102"/>
      <c r="R43" s="102"/>
      <c r="S43" s="100"/>
      <c r="T43" s="103"/>
      <c r="U43" s="103"/>
      <c r="V43" s="150"/>
    </row>
    <row r="44" spans="2:22" ht="45" customHeight="1">
      <c r="B44" s="162" t="s">
        <v>797</v>
      </c>
      <c r="C44" s="100" t="s">
        <v>1126</v>
      </c>
      <c r="D44" s="42" t="s">
        <v>1093</v>
      </c>
      <c r="E44" s="42" t="s">
        <v>289</v>
      </c>
      <c r="F44" s="244" t="s">
        <v>133</v>
      </c>
      <c r="G44" s="245"/>
      <c r="H44" s="102"/>
      <c r="I44" s="20"/>
      <c r="J44" s="102"/>
      <c r="K44" s="102"/>
      <c r="L44" s="20"/>
      <c r="M44" s="102"/>
      <c r="N44" s="102"/>
      <c r="O44" s="20"/>
      <c r="P44" s="102"/>
      <c r="Q44" s="178"/>
      <c r="R44" s="102"/>
      <c r="S44" s="100"/>
      <c r="T44" s="103"/>
      <c r="U44" s="103"/>
      <c r="V44" s="150"/>
    </row>
    <row r="45" spans="2:22" ht="45" customHeight="1">
      <c r="B45" s="162" t="s">
        <v>798</v>
      </c>
      <c r="C45" s="100" t="s">
        <v>1126</v>
      </c>
      <c r="D45" s="42" t="s">
        <v>83</v>
      </c>
      <c r="E45" s="42" t="s">
        <v>354</v>
      </c>
      <c r="F45" s="244" t="s">
        <v>133</v>
      </c>
      <c r="G45" s="245"/>
      <c r="H45" s="102"/>
      <c r="I45" s="20"/>
      <c r="J45" s="102"/>
      <c r="K45" s="102"/>
      <c r="L45" s="20"/>
      <c r="M45" s="102"/>
      <c r="N45" s="102"/>
      <c r="O45" s="20"/>
      <c r="P45" s="102"/>
      <c r="Q45" s="102"/>
      <c r="R45" s="102"/>
      <c r="S45" s="100"/>
      <c r="T45" s="103"/>
      <c r="U45" s="103"/>
      <c r="V45" s="151"/>
    </row>
    <row r="46" spans="2:22" ht="45" customHeight="1">
      <c r="B46" s="162" t="s">
        <v>799</v>
      </c>
      <c r="C46" s="100" t="s">
        <v>1126</v>
      </c>
      <c r="D46" s="42" t="s">
        <v>83</v>
      </c>
      <c r="E46" s="42" t="s">
        <v>355</v>
      </c>
      <c r="F46" s="244" t="s">
        <v>133</v>
      </c>
      <c r="G46" s="245"/>
      <c r="H46" s="102"/>
      <c r="I46" s="20"/>
      <c r="J46" s="102"/>
      <c r="K46" s="102"/>
      <c r="L46" s="20"/>
      <c r="M46" s="102"/>
      <c r="N46" s="102"/>
      <c r="O46" s="20"/>
      <c r="P46" s="102"/>
      <c r="Q46" s="102"/>
      <c r="R46" s="102"/>
      <c r="S46" s="100"/>
      <c r="T46" s="103"/>
      <c r="U46" s="103"/>
      <c r="V46" s="151"/>
    </row>
    <row r="47" spans="2:22" ht="45" customHeight="1">
      <c r="B47" s="162" t="s">
        <v>800</v>
      </c>
      <c r="C47" s="100" t="s">
        <v>1126</v>
      </c>
      <c r="D47" s="42" t="s">
        <v>1099</v>
      </c>
      <c r="E47" s="42" t="s">
        <v>1164</v>
      </c>
      <c r="F47" s="244" t="s">
        <v>133</v>
      </c>
      <c r="G47" s="245"/>
      <c r="H47" s="102"/>
      <c r="I47" s="20"/>
      <c r="J47" s="102"/>
      <c r="K47" s="102"/>
      <c r="L47" s="20"/>
      <c r="M47" s="102"/>
      <c r="N47" s="102"/>
      <c r="O47" s="20"/>
      <c r="P47" s="102"/>
      <c r="Q47" s="102"/>
      <c r="R47" s="102"/>
      <c r="S47" s="100"/>
      <c r="T47" s="103"/>
      <c r="U47" s="103"/>
      <c r="V47" s="150"/>
    </row>
    <row r="48" spans="2:22" ht="45" customHeight="1">
      <c r="B48" s="162" t="s">
        <v>801</v>
      </c>
      <c r="C48" s="100" t="s">
        <v>1126</v>
      </c>
      <c r="D48" s="42" t="s">
        <v>1100</v>
      </c>
      <c r="E48" s="42" t="s">
        <v>1165</v>
      </c>
      <c r="F48" s="244" t="s">
        <v>229</v>
      </c>
      <c r="G48" s="245"/>
      <c r="H48" s="102"/>
      <c r="I48" s="20"/>
      <c r="J48" s="102"/>
      <c r="K48" s="102"/>
      <c r="L48" s="20"/>
      <c r="M48" s="102"/>
      <c r="N48" s="102"/>
      <c r="O48" s="20"/>
      <c r="P48" s="102"/>
      <c r="Q48" s="102"/>
      <c r="R48" s="102"/>
      <c r="S48" s="100"/>
      <c r="T48" s="103"/>
      <c r="U48" s="103"/>
      <c r="V48" s="150"/>
    </row>
    <row r="49" spans="2:22" ht="45" customHeight="1">
      <c r="B49" s="162" t="s">
        <v>802</v>
      </c>
      <c r="C49" s="100" t="s">
        <v>1126</v>
      </c>
      <c r="D49" s="42" t="s">
        <v>1101</v>
      </c>
      <c r="E49" s="42" t="s">
        <v>290</v>
      </c>
      <c r="F49" s="244" t="s">
        <v>229</v>
      </c>
      <c r="G49" s="245"/>
      <c r="H49" s="102"/>
      <c r="I49" s="20"/>
      <c r="J49" s="102"/>
      <c r="K49" s="102"/>
      <c r="L49" s="20"/>
      <c r="M49" s="102"/>
      <c r="N49" s="102"/>
      <c r="O49" s="20"/>
      <c r="P49" s="102"/>
      <c r="Q49" s="102"/>
      <c r="R49" s="102"/>
      <c r="S49" s="100"/>
      <c r="T49" s="103"/>
      <c r="U49" s="103"/>
      <c r="V49" s="150"/>
    </row>
    <row r="50" spans="2:22" ht="45" customHeight="1">
      <c r="B50" s="162" t="s">
        <v>803</v>
      </c>
      <c r="C50" s="100" t="s">
        <v>1126</v>
      </c>
      <c r="D50" s="42" t="s">
        <v>83</v>
      </c>
      <c r="E50" s="42" t="s">
        <v>292</v>
      </c>
      <c r="F50" s="244" t="s">
        <v>229</v>
      </c>
      <c r="G50" s="245"/>
      <c r="H50" s="102"/>
      <c r="I50" s="20"/>
      <c r="J50" s="102"/>
      <c r="K50" s="102"/>
      <c r="L50" s="20"/>
      <c r="M50" s="102"/>
      <c r="N50" s="102"/>
      <c r="O50" s="20"/>
      <c r="P50" s="102"/>
      <c r="Q50" s="102"/>
      <c r="R50" s="102"/>
      <c r="S50" s="100"/>
      <c r="T50" s="103"/>
      <c r="U50" s="103"/>
      <c r="V50" s="150"/>
    </row>
    <row r="51" spans="2:22" ht="45" customHeight="1">
      <c r="B51" s="162" t="s">
        <v>804</v>
      </c>
      <c r="C51" s="100" t="s">
        <v>1126</v>
      </c>
      <c r="D51" s="42" t="s">
        <v>83</v>
      </c>
      <c r="E51" s="42" t="s">
        <v>354</v>
      </c>
      <c r="F51" s="244" t="s">
        <v>229</v>
      </c>
      <c r="G51" s="245"/>
      <c r="H51" s="102"/>
      <c r="I51" s="20"/>
      <c r="J51" s="102"/>
      <c r="K51" s="102"/>
      <c r="L51" s="20"/>
      <c r="M51" s="102"/>
      <c r="N51" s="102"/>
      <c r="O51" s="20"/>
      <c r="P51" s="102"/>
      <c r="Q51" s="102"/>
      <c r="R51" s="102"/>
      <c r="S51" s="100"/>
      <c r="T51" s="103"/>
      <c r="U51" s="103"/>
      <c r="V51" s="151"/>
    </row>
    <row r="52" spans="2:22" ht="45" customHeight="1">
      <c r="B52" s="162" t="s">
        <v>805</v>
      </c>
      <c r="C52" s="100" t="s">
        <v>1126</v>
      </c>
      <c r="D52" s="42" t="s">
        <v>83</v>
      </c>
      <c r="E52" s="42" t="s">
        <v>355</v>
      </c>
      <c r="F52" s="244" t="s">
        <v>229</v>
      </c>
      <c r="G52" s="245"/>
      <c r="H52" s="102"/>
      <c r="I52" s="20"/>
      <c r="J52" s="102"/>
      <c r="K52" s="102"/>
      <c r="L52" s="20"/>
      <c r="M52" s="102"/>
      <c r="N52" s="102"/>
      <c r="O52" s="20"/>
      <c r="P52" s="102"/>
      <c r="Q52" s="102"/>
      <c r="R52" s="102"/>
      <c r="S52" s="100"/>
      <c r="T52" s="103"/>
      <c r="U52" s="103"/>
      <c r="V52" s="151"/>
    </row>
    <row r="53" spans="2:22" ht="45" customHeight="1">
      <c r="B53" s="162" t="s">
        <v>806</v>
      </c>
      <c r="C53" s="115" t="s">
        <v>1132</v>
      </c>
      <c r="D53" s="42" t="s">
        <v>83</v>
      </c>
      <c r="E53" s="42" t="s">
        <v>285</v>
      </c>
      <c r="F53" s="225" t="s">
        <v>1102</v>
      </c>
      <c r="G53" s="226"/>
      <c r="H53" s="102"/>
      <c r="I53" s="20"/>
      <c r="J53" s="102"/>
      <c r="K53" s="102"/>
      <c r="L53" s="20"/>
      <c r="M53" s="102"/>
      <c r="N53" s="102"/>
      <c r="O53" s="20"/>
      <c r="P53" s="102"/>
      <c r="Q53" s="178"/>
      <c r="R53" s="102"/>
      <c r="S53" s="100"/>
      <c r="T53" s="103"/>
      <c r="U53" s="103"/>
      <c r="V53" s="150"/>
    </row>
    <row r="54" spans="2:22" ht="45" customHeight="1">
      <c r="B54" s="162" t="s">
        <v>807</v>
      </c>
      <c r="C54" s="100" t="s">
        <v>1126</v>
      </c>
      <c r="D54" s="42" t="s">
        <v>83</v>
      </c>
      <c r="E54" s="115" t="s">
        <v>231</v>
      </c>
      <c r="F54" s="225" t="s">
        <v>1104</v>
      </c>
      <c r="G54" s="226"/>
      <c r="H54" s="102"/>
      <c r="I54" s="20"/>
      <c r="J54" s="102"/>
      <c r="K54" s="102"/>
      <c r="L54" s="20"/>
      <c r="M54" s="102"/>
      <c r="N54" s="102"/>
      <c r="O54" s="20"/>
      <c r="P54" s="102"/>
      <c r="Q54" s="178"/>
      <c r="R54" s="102"/>
      <c r="S54" s="100"/>
      <c r="T54" s="103"/>
      <c r="U54" s="103"/>
      <c r="V54" s="150"/>
    </row>
    <row r="55" spans="2:22" ht="45" customHeight="1">
      <c r="B55" s="162" t="s">
        <v>808</v>
      </c>
      <c r="C55" s="100" t="s">
        <v>1126</v>
      </c>
      <c r="D55" s="42" t="s">
        <v>1105</v>
      </c>
      <c r="E55" s="42" t="s">
        <v>291</v>
      </c>
      <c r="F55" s="244" t="s">
        <v>133</v>
      </c>
      <c r="G55" s="245"/>
      <c r="H55" s="102"/>
      <c r="I55" s="20"/>
      <c r="J55" s="102"/>
      <c r="K55" s="102"/>
      <c r="L55" s="20"/>
      <c r="M55" s="102"/>
      <c r="N55" s="102"/>
      <c r="O55" s="20"/>
      <c r="P55" s="102"/>
      <c r="Q55" s="102"/>
      <c r="R55" s="102"/>
      <c r="S55" s="100"/>
      <c r="T55" s="103"/>
      <c r="U55" s="103"/>
      <c r="V55" s="150"/>
    </row>
    <row r="56" spans="2:22" ht="45" customHeight="1">
      <c r="B56" s="162" t="s">
        <v>809</v>
      </c>
      <c r="C56" s="100" t="s">
        <v>1126</v>
      </c>
      <c r="D56" s="42" t="s">
        <v>83</v>
      </c>
      <c r="E56" s="42" t="s">
        <v>292</v>
      </c>
      <c r="F56" s="244" t="s">
        <v>133</v>
      </c>
      <c r="G56" s="245"/>
      <c r="H56" s="102"/>
      <c r="I56" s="20"/>
      <c r="J56" s="102"/>
      <c r="K56" s="102"/>
      <c r="L56" s="20"/>
      <c r="M56" s="102"/>
      <c r="N56" s="102"/>
      <c r="O56" s="20"/>
      <c r="P56" s="102"/>
      <c r="Q56" s="102"/>
      <c r="R56" s="102"/>
      <c r="S56" s="100"/>
      <c r="T56" s="103"/>
      <c r="U56" s="103"/>
      <c r="V56" s="150"/>
    </row>
    <row r="57" spans="2:22" ht="45" customHeight="1">
      <c r="B57" s="162" t="s">
        <v>810</v>
      </c>
      <c r="C57" s="100" t="s">
        <v>1126</v>
      </c>
      <c r="D57" s="42" t="s">
        <v>1106</v>
      </c>
      <c r="E57" s="42" t="s">
        <v>291</v>
      </c>
      <c r="F57" s="244" t="s">
        <v>229</v>
      </c>
      <c r="G57" s="245"/>
      <c r="H57" s="102"/>
      <c r="I57" s="20"/>
      <c r="J57" s="102"/>
      <c r="K57" s="102"/>
      <c r="L57" s="20"/>
      <c r="M57" s="102"/>
      <c r="N57" s="102"/>
      <c r="O57" s="20"/>
      <c r="P57" s="102"/>
      <c r="Q57" s="102"/>
      <c r="R57" s="102"/>
      <c r="S57" s="100"/>
      <c r="T57" s="103"/>
      <c r="U57" s="103"/>
      <c r="V57" s="150"/>
    </row>
    <row r="58" spans="2:22" ht="45" customHeight="1">
      <c r="B58" s="162" t="s">
        <v>811</v>
      </c>
      <c r="C58" s="100" t="s">
        <v>1126</v>
      </c>
      <c r="D58" s="42" t="s">
        <v>83</v>
      </c>
      <c r="E58" s="42" t="s">
        <v>292</v>
      </c>
      <c r="F58" s="244" t="s">
        <v>229</v>
      </c>
      <c r="G58" s="245"/>
      <c r="H58" s="102"/>
      <c r="I58" s="20"/>
      <c r="J58" s="102"/>
      <c r="K58" s="102"/>
      <c r="L58" s="20"/>
      <c r="M58" s="102"/>
      <c r="N58" s="102"/>
      <c r="O58" s="20"/>
      <c r="P58" s="102"/>
      <c r="Q58" s="102"/>
      <c r="R58" s="102"/>
      <c r="S58" s="100"/>
      <c r="T58" s="103"/>
      <c r="U58" s="103"/>
      <c r="V58" s="150"/>
    </row>
    <row r="59" spans="2:22" ht="45" customHeight="1">
      <c r="B59" s="162" t="s">
        <v>812</v>
      </c>
      <c r="C59" s="115" t="s">
        <v>1133</v>
      </c>
      <c r="D59" s="42" t="s">
        <v>83</v>
      </c>
      <c r="E59" s="42" t="s">
        <v>285</v>
      </c>
      <c r="F59" s="225" t="s">
        <v>1102</v>
      </c>
      <c r="G59" s="226"/>
      <c r="H59" s="102"/>
      <c r="I59" s="20"/>
      <c r="J59" s="102"/>
      <c r="K59" s="102"/>
      <c r="L59" s="20"/>
      <c r="M59" s="102"/>
      <c r="N59" s="102"/>
      <c r="O59" s="20"/>
      <c r="P59" s="102"/>
      <c r="Q59" s="178"/>
      <c r="R59" s="102"/>
      <c r="S59" s="100"/>
      <c r="T59" s="103"/>
      <c r="U59" s="103"/>
      <c r="V59" s="150"/>
    </row>
    <row r="60" spans="2:22" ht="45" customHeight="1">
      <c r="B60" s="162" t="s">
        <v>813</v>
      </c>
      <c r="C60" s="100" t="s">
        <v>1126</v>
      </c>
      <c r="D60" s="42" t="s">
        <v>83</v>
      </c>
      <c r="E60" s="115" t="s">
        <v>231</v>
      </c>
      <c r="F60" s="225" t="s">
        <v>1103</v>
      </c>
      <c r="G60" s="226"/>
      <c r="H60" s="102"/>
      <c r="I60" s="20"/>
      <c r="J60" s="102"/>
      <c r="K60" s="102"/>
      <c r="L60" s="20"/>
      <c r="M60" s="102"/>
      <c r="N60" s="102"/>
      <c r="O60" s="20"/>
      <c r="P60" s="102"/>
      <c r="Q60" s="178"/>
      <c r="R60" s="102"/>
      <c r="S60" s="100"/>
      <c r="T60" s="103"/>
      <c r="U60" s="103"/>
      <c r="V60" s="150"/>
    </row>
    <row r="61" spans="2:22" ht="45" customHeight="1">
      <c r="B61" s="162" t="s">
        <v>814</v>
      </c>
      <c r="C61" s="100" t="s">
        <v>1126</v>
      </c>
      <c r="D61" s="42" t="s">
        <v>1107</v>
      </c>
      <c r="E61" s="42" t="s">
        <v>742</v>
      </c>
      <c r="F61" s="244" t="s">
        <v>133</v>
      </c>
      <c r="G61" s="245"/>
      <c r="H61" s="102"/>
      <c r="I61" s="20"/>
      <c r="J61" s="102"/>
      <c r="K61" s="102"/>
      <c r="L61" s="20"/>
      <c r="M61" s="102"/>
      <c r="N61" s="102"/>
      <c r="O61" s="20"/>
      <c r="P61" s="102"/>
      <c r="Q61" s="102"/>
      <c r="R61" s="102"/>
      <c r="S61" s="100"/>
      <c r="T61" s="103"/>
      <c r="U61" s="103"/>
      <c r="V61" s="150"/>
    </row>
    <row r="62" spans="2:22" ht="45" customHeight="1">
      <c r="B62" s="162" t="s">
        <v>815</v>
      </c>
      <c r="C62" s="100" t="s">
        <v>1126</v>
      </c>
      <c r="D62" s="42" t="s">
        <v>1108</v>
      </c>
      <c r="E62" s="42" t="s">
        <v>742</v>
      </c>
      <c r="F62" s="244" t="s">
        <v>229</v>
      </c>
      <c r="G62" s="245"/>
      <c r="H62" s="102"/>
      <c r="I62" s="20"/>
      <c r="J62" s="102"/>
      <c r="K62" s="102"/>
      <c r="L62" s="20"/>
      <c r="M62" s="102"/>
      <c r="N62" s="102"/>
      <c r="O62" s="20"/>
      <c r="P62" s="102"/>
      <c r="Q62" s="102"/>
      <c r="R62" s="102"/>
      <c r="S62" s="100"/>
      <c r="T62" s="103"/>
      <c r="U62" s="103"/>
      <c r="V62" s="150"/>
    </row>
    <row r="63" spans="2:22" ht="45" customHeight="1">
      <c r="B63" s="162" t="s">
        <v>816</v>
      </c>
      <c r="C63" s="115" t="s">
        <v>1134</v>
      </c>
      <c r="D63" s="100" t="s">
        <v>1110</v>
      </c>
      <c r="E63" s="42" t="s">
        <v>103</v>
      </c>
      <c r="F63" s="225" t="s">
        <v>107</v>
      </c>
      <c r="G63" s="226"/>
      <c r="H63" s="102"/>
      <c r="I63" s="20"/>
      <c r="J63" s="102"/>
      <c r="K63" s="102"/>
      <c r="L63" s="20"/>
      <c r="M63" s="102"/>
      <c r="N63" s="102"/>
      <c r="O63" s="20"/>
      <c r="P63" s="102"/>
      <c r="Q63" s="102"/>
      <c r="R63" s="102"/>
      <c r="S63" s="100"/>
      <c r="T63" s="103"/>
      <c r="U63" s="103"/>
      <c r="V63" s="174"/>
    </row>
    <row r="64" spans="2:22" ht="45" customHeight="1">
      <c r="B64" s="162" t="s">
        <v>816</v>
      </c>
      <c r="C64" s="100" t="s">
        <v>1126</v>
      </c>
      <c r="D64" s="100" t="s">
        <v>1109</v>
      </c>
      <c r="E64" s="42" t="s">
        <v>62</v>
      </c>
      <c r="F64" s="225" t="s">
        <v>729</v>
      </c>
      <c r="G64" s="226"/>
      <c r="H64" s="102"/>
      <c r="I64" s="20"/>
      <c r="J64" s="102"/>
      <c r="K64" s="102"/>
      <c r="L64" s="20"/>
      <c r="M64" s="102"/>
      <c r="N64" s="102"/>
      <c r="O64" s="20"/>
      <c r="P64" s="102"/>
      <c r="Q64" s="102"/>
      <c r="R64" s="102"/>
      <c r="S64" s="100"/>
      <c r="T64" s="103"/>
      <c r="U64" s="103"/>
      <c r="V64" s="150"/>
    </row>
    <row r="65" spans="2:22" ht="45" customHeight="1">
      <c r="B65" s="162" t="s">
        <v>817</v>
      </c>
      <c r="C65" s="115" t="s">
        <v>1135</v>
      </c>
      <c r="D65" s="100" t="s">
        <v>83</v>
      </c>
      <c r="E65" s="115" t="s">
        <v>132</v>
      </c>
      <c r="F65" s="244" t="s">
        <v>380</v>
      </c>
      <c r="G65" s="245"/>
      <c r="H65" s="102"/>
      <c r="I65" s="20"/>
      <c r="J65" s="102"/>
      <c r="K65" s="102"/>
      <c r="L65" s="20"/>
      <c r="M65" s="102"/>
      <c r="N65" s="102"/>
      <c r="O65" s="20"/>
      <c r="P65" s="102"/>
      <c r="Q65" s="102"/>
      <c r="R65" s="102"/>
      <c r="S65" s="100"/>
      <c r="T65" s="103"/>
      <c r="U65" s="103"/>
      <c r="V65" s="150"/>
    </row>
    <row r="66" spans="2:22" ht="45" customHeight="1">
      <c r="B66" s="162" t="s">
        <v>818</v>
      </c>
      <c r="C66" s="100" t="s">
        <v>1126</v>
      </c>
      <c r="D66" s="42" t="s">
        <v>408</v>
      </c>
      <c r="E66" s="42" t="s">
        <v>299</v>
      </c>
      <c r="F66" s="244" t="s">
        <v>133</v>
      </c>
      <c r="G66" s="245"/>
      <c r="H66" s="102"/>
      <c r="I66" s="20"/>
      <c r="J66" s="102"/>
      <c r="K66" s="102"/>
      <c r="L66" s="20"/>
      <c r="M66" s="102"/>
      <c r="N66" s="102"/>
      <c r="O66" s="20"/>
      <c r="P66" s="102"/>
      <c r="Q66" s="178"/>
      <c r="R66" s="102"/>
      <c r="S66" s="100"/>
      <c r="T66" s="103"/>
      <c r="U66" s="103"/>
      <c r="V66" s="150"/>
    </row>
    <row r="67" spans="2:22" ht="45" customHeight="1">
      <c r="B67" s="162" t="s">
        <v>819</v>
      </c>
      <c r="C67" s="100" t="s">
        <v>1126</v>
      </c>
      <c r="D67" s="42" t="s">
        <v>409</v>
      </c>
      <c r="E67" s="42" t="s">
        <v>299</v>
      </c>
      <c r="F67" s="244" t="s">
        <v>229</v>
      </c>
      <c r="G67" s="245"/>
      <c r="H67" s="102"/>
      <c r="I67" s="20"/>
      <c r="J67" s="102"/>
      <c r="K67" s="102"/>
      <c r="L67" s="20"/>
      <c r="M67" s="102"/>
      <c r="N67" s="102"/>
      <c r="O67" s="20"/>
      <c r="P67" s="102"/>
      <c r="Q67" s="178"/>
      <c r="R67" s="102"/>
      <c r="S67" s="100"/>
      <c r="T67" s="103"/>
      <c r="U67" s="103"/>
      <c r="V67" s="150"/>
    </row>
    <row r="68" spans="2:22" ht="45" customHeight="1">
      <c r="B68" s="162" t="s">
        <v>820</v>
      </c>
      <c r="C68" s="115" t="s">
        <v>1136</v>
      </c>
      <c r="D68" s="42" t="s">
        <v>83</v>
      </c>
      <c r="E68" s="42" t="s">
        <v>285</v>
      </c>
      <c r="F68" s="225" t="s">
        <v>1102</v>
      </c>
      <c r="G68" s="226"/>
      <c r="H68" s="102"/>
      <c r="I68" s="20"/>
      <c r="J68" s="102"/>
      <c r="K68" s="102"/>
      <c r="L68" s="20"/>
      <c r="M68" s="102"/>
      <c r="N68" s="102"/>
      <c r="O68" s="20"/>
      <c r="P68" s="102"/>
      <c r="Q68" s="178"/>
      <c r="R68" s="102"/>
      <c r="S68" s="100"/>
      <c r="T68" s="103"/>
      <c r="U68" s="103"/>
      <c r="V68" s="150"/>
    </row>
    <row r="69" spans="2:22" ht="45" customHeight="1">
      <c r="B69" s="162" t="s">
        <v>821</v>
      </c>
      <c r="C69" s="100" t="s">
        <v>1126</v>
      </c>
      <c r="D69" s="42" t="s">
        <v>83</v>
      </c>
      <c r="E69" s="115" t="s">
        <v>231</v>
      </c>
      <c r="F69" s="225" t="s">
        <v>1103</v>
      </c>
      <c r="G69" s="226"/>
      <c r="H69" s="102"/>
      <c r="I69" s="20"/>
      <c r="J69" s="102"/>
      <c r="K69" s="102"/>
      <c r="L69" s="20"/>
      <c r="M69" s="102"/>
      <c r="N69" s="102"/>
      <c r="O69" s="20"/>
      <c r="P69" s="102"/>
      <c r="Q69" s="178"/>
      <c r="R69" s="102"/>
      <c r="S69" s="100"/>
      <c r="T69" s="103"/>
      <c r="U69" s="103"/>
      <c r="V69" s="150"/>
    </row>
    <row r="70" spans="2:22" ht="45" customHeight="1">
      <c r="B70" s="162" t="s">
        <v>822</v>
      </c>
      <c r="C70" s="115" t="s">
        <v>1137</v>
      </c>
      <c r="D70" s="42" t="s">
        <v>83</v>
      </c>
      <c r="E70" s="115" t="s">
        <v>132</v>
      </c>
      <c r="F70" s="244" t="s">
        <v>380</v>
      </c>
      <c r="G70" s="245"/>
      <c r="H70" s="102"/>
      <c r="I70" s="20"/>
      <c r="J70" s="102"/>
      <c r="K70" s="102"/>
      <c r="L70" s="20"/>
      <c r="M70" s="102"/>
      <c r="N70" s="102"/>
      <c r="O70" s="20"/>
      <c r="P70" s="102"/>
      <c r="Q70" s="102"/>
      <c r="R70" s="102"/>
      <c r="S70" s="100"/>
      <c r="T70" s="103"/>
      <c r="U70" s="103"/>
      <c r="V70" s="150"/>
    </row>
    <row r="71" spans="2:22" ht="45" customHeight="1">
      <c r="B71" s="162" t="s">
        <v>823</v>
      </c>
      <c r="C71" s="100" t="s">
        <v>1126</v>
      </c>
      <c r="D71" s="42" t="s">
        <v>408</v>
      </c>
      <c r="E71" s="42" t="s">
        <v>300</v>
      </c>
      <c r="F71" s="244" t="s">
        <v>133</v>
      </c>
      <c r="G71" s="245"/>
      <c r="H71" s="102"/>
      <c r="I71" s="20"/>
      <c r="J71" s="102"/>
      <c r="K71" s="102"/>
      <c r="L71" s="20"/>
      <c r="M71" s="102"/>
      <c r="N71" s="102"/>
      <c r="O71" s="20"/>
      <c r="P71" s="102"/>
      <c r="Q71" s="178"/>
      <c r="R71" s="102"/>
      <c r="S71" s="100"/>
      <c r="T71" s="103"/>
      <c r="U71" s="103"/>
      <c r="V71" s="150"/>
    </row>
    <row r="72" spans="2:22" ht="45" customHeight="1">
      <c r="B72" s="162" t="s">
        <v>824</v>
      </c>
      <c r="C72" s="100" t="s">
        <v>1126</v>
      </c>
      <c r="D72" s="42" t="s">
        <v>410</v>
      </c>
      <c r="E72" s="42" t="s">
        <v>743</v>
      </c>
      <c r="F72" s="244" t="s">
        <v>133</v>
      </c>
      <c r="G72" s="245"/>
      <c r="H72" s="102"/>
      <c r="I72" s="20"/>
      <c r="J72" s="102"/>
      <c r="K72" s="102"/>
      <c r="L72" s="20"/>
      <c r="M72" s="102"/>
      <c r="N72" s="102"/>
      <c r="O72" s="20"/>
      <c r="P72" s="102"/>
      <c r="Q72" s="102"/>
      <c r="R72" s="102"/>
      <c r="S72" s="100"/>
      <c r="T72" s="103"/>
      <c r="U72" s="103"/>
      <c r="V72" s="150"/>
    </row>
    <row r="73" spans="2:22" ht="45" customHeight="1">
      <c r="B73" s="162" t="s">
        <v>825</v>
      </c>
      <c r="C73" s="100" t="s">
        <v>1126</v>
      </c>
      <c r="D73" s="42" t="s">
        <v>411</v>
      </c>
      <c r="E73" s="42" t="s">
        <v>743</v>
      </c>
      <c r="F73" s="244" t="s">
        <v>229</v>
      </c>
      <c r="G73" s="245"/>
      <c r="H73" s="102"/>
      <c r="I73" s="20"/>
      <c r="J73" s="102"/>
      <c r="K73" s="102"/>
      <c r="L73" s="20"/>
      <c r="M73" s="102"/>
      <c r="N73" s="102"/>
      <c r="O73" s="20"/>
      <c r="P73" s="102"/>
      <c r="Q73" s="102"/>
      <c r="R73" s="102"/>
      <c r="S73" s="100"/>
      <c r="T73" s="103"/>
      <c r="U73" s="103"/>
      <c r="V73" s="150"/>
    </row>
    <row r="74" spans="2:22" ht="45" customHeight="1">
      <c r="B74" s="162" t="s">
        <v>826</v>
      </c>
      <c r="C74" s="100" t="s">
        <v>1126</v>
      </c>
      <c r="D74" s="42" t="s">
        <v>409</v>
      </c>
      <c r="E74" s="42" t="s">
        <v>300</v>
      </c>
      <c r="F74" s="244" t="s">
        <v>229</v>
      </c>
      <c r="G74" s="245"/>
      <c r="H74" s="102"/>
      <c r="I74" s="20"/>
      <c r="J74" s="102"/>
      <c r="K74" s="102"/>
      <c r="L74" s="20"/>
      <c r="M74" s="102"/>
      <c r="N74" s="102"/>
      <c r="O74" s="20"/>
      <c r="P74" s="102"/>
      <c r="Q74" s="178"/>
      <c r="R74" s="102"/>
      <c r="S74" s="100"/>
      <c r="T74" s="103"/>
      <c r="U74" s="103"/>
      <c r="V74" s="150"/>
    </row>
    <row r="75" spans="2:22" ht="45" customHeight="1">
      <c r="B75" s="162" t="s">
        <v>827</v>
      </c>
      <c r="C75" s="100" t="s">
        <v>1126</v>
      </c>
      <c r="D75" s="42" t="s">
        <v>83</v>
      </c>
      <c r="E75" s="42" t="s">
        <v>743</v>
      </c>
      <c r="F75" s="244" t="s">
        <v>229</v>
      </c>
      <c r="G75" s="245"/>
      <c r="H75" s="102"/>
      <c r="I75" s="20"/>
      <c r="J75" s="102"/>
      <c r="K75" s="102"/>
      <c r="L75" s="20"/>
      <c r="M75" s="102"/>
      <c r="N75" s="102"/>
      <c r="O75" s="20"/>
      <c r="P75" s="102"/>
      <c r="Q75" s="178"/>
      <c r="R75" s="102"/>
      <c r="S75" s="100"/>
      <c r="T75" s="103"/>
      <c r="U75" s="103"/>
      <c r="V75" s="150"/>
    </row>
    <row r="76" spans="2:22" ht="45" customHeight="1">
      <c r="B76" s="162" t="s">
        <v>828</v>
      </c>
      <c r="C76" s="115" t="s">
        <v>1280</v>
      </c>
      <c r="D76" s="100" t="s">
        <v>83</v>
      </c>
      <c r="E76" s="42" t="s">
        <v>285</v>
      </c>
      <c r="F76" s="225" t="s">
        <v>1102</v>
      </c>
      <c r="G76" s="226"/>
      <c r="H76" s="102"/>
      <c r="I76" s="20"/>
      <c r="J76" s="102"/>
      <c r="K76" s="102"/>
      <c r="L76" s="20"/>
      <c r="M76" s="102"/>
      <c r="N76" s="102"/>
      <c r="O76" s="20"/>
      <c r="P76" s="102"/>
      <c r="Q76" s="178"/>
      <c r="R76" s="102"/>
      <c r="S76" s="100"/>
      <c r="T76" s="103"/>
      <c r="U76" s="103"/>
      <c r="V76" s="150"/>
    </row>
    <row r="77" spans="2:22" ht="45" customHeight="1">
      <c r="B77" s="162" t="s">
        <v>829</v>
      </c>
      <c r="C77" s="100" t="s">
        <v>1126</v>
      </c>
      <c r="D77" s="42" t="s">
        <v>83</v>
      </c>
      <c r="E77" s="115" t="s">
        <v>231</v>
      </c>
      <c r="F77" s="225" t="s">
        <v>1103</v>
      </c>
      <c r="G77" s="226"/>
      <c r="H77" s="102"/>
      <c r="I77" s="20"/>
      <c r="J77" s="102"/>
      <c r="K77" s="102"/>
      <c r="L77" s="20"/>
      <c r="M77" s="102"/>
      <c r="N77" s="102"/>
      <c r="O77" s="20"/>
      <c r="P77" s="102"/>
      <c r="Q77" s="178"/>
      <c r="R77" s="102"/>
      <c r="S77" s="100"/>
      <c r="T77" s="103"/>
      <c r="U77" s="103"/>
      <c r="V77" s="150"/>
    </row>
    <row r="78" spans="2:22" ht="45" customHeight="1">
      <c r="B78" s="162" t="s">
        <v>830</v>
      </c>
      <c r="C78" s="115" t="s">
        <v>1139</v>
      </c>
      <c r="D78" s="42" t="s">
        <v>83</v>
      </c>
      <c r="E78" s="42" t="s">
        <v>285</v>
      </c>
      <c r="F78" s="225" t="s">
        <v>1102</v>
      </c>
      <c r="G78" s="226"/>
      <c r="H78" s="102"/>
      <c r="I78" s="20"/>
      <c r="J78" s="102"/>
      <c r="K78" s="102"/>
      <c r="L78" s="20"/>
      <c r="M78" s="102"/>
      <c r="N78" s="102"/>
      <c r="O78" s="20"/>
      <c r="P78" s="102"/>
      <c r="Q78" s="178"/>
      <c r="R78" s="102"/>
      <c r="S78" s="100"/>
      <c r="T78" s="103"/>
      <c r="U78" s="103"/>
      <c r="V78" s="150"/>
    </row>
    <row r="79" spans="2:22" ht="45" customHeight="1">
      <c r="B79" s="162" t="s">
        <v>831</v>
      </c>
      <c r="C79" s="100" t="s">
        <v>1126</v>
      </c>
      <c r="D79" s="42" t="s">
        <v>83</v>
      </c>
      <c r="E79" s="115" t="s">
        <v>231</v>
      </c>
      <c r="F79" s="225" t="s">
        <v>1103</v>
      </c>
      <c r="G79" s="226"/>
      <c r="H79" s="102"/>
      <c r="I79" s="20"/>
      <c r="J79" s="102"/>
      <c r="K79" s="102"/>
      <c r="L79" s="20"/>
      <c r="M79" s="102"/>
      <c r="N79" s="102"/>
      <c r="O79" s="20"/>
      <c r="P79" s="102"/>
      <c r="Q79" s="178"/>
      <c r="R79" s="102"/>
      <c r="S79" s="100"/>
      <c r="T79" s="103"/>
      <c r="U79" s="103"/>
      <c r="V79" s="150"/>
    </row>
    <row r="80" spans="2:22" ht="45" customHeight="1">
      <c r="B80" s="162" t="s">
        <v>832</v>
      </c>
      <c r="C80" s="100" t="s">
        <v>1126</v>
      </c>
      <c r="D80" s="42" t="s">
        <v>1281</v>
      </c>
      <c r="E80" s="42" t="s">
        <v>743</v>
      </c>
      <c r="F80" s="244" t="s">
        <v>133</v>
      </c>
      <c r="G80" s="245"/>
      <c r="H80" s="102"/>
      <c r="I80" s="20"/>
      <c r="J80" s="102"/>
      <c r="K80" s="102"/>
      <c r="L80" s="20"/>
      <c r="M80" s="102"/>
      <c r="N80" s="102"/>
      <c r="O80" s="20"/>
      <c r="P80" s="102"/>
      <c r="Q80" s="102"/>
      <c r="R80" s="102"/>
      <c r="S80" s="100"/>
      <c r="T80" s="103"/>
      <c r="U80" s="103"/>
      <c r="V80" s="150"/>
    </row>
    <row r="81" spans="2:22" ht="45" customHeight="1">
      <c r="B81" s="162" t="s">
        <v>833</v>
      </c>
      <c r="C81" s="100" t="s">
        <v>1126</v>
      </c>
      <c r="D81" s="42" t="s">
        <v>1282</v>
      </c>
      <c r="E81" s="42" t="s">
        <v>743</v>
      </c>
      <c r="F81" s="244" t="s">
        <v>229</v>
      </c>
      <c r="G81" s="245"/>
      <c r="H81" s="102"/>
      <c r="I81" s="20"/>
      <c r="J81" s="102"/>
      <c r="K81" s="102"/>
      <c r="L81" s="20"/>
      <c r="M81" s="102"/>
      <c r="N81" s="102"/>
      <c r="O81" s="20"/>
      <c r="P81" s="102"/>
      <c r="Q81" s="102"/>
      <c r="R81" s="102"/>
      <c r="S81" s="100"/>
      <c r="T81" s="103"/>
      <c r="U81" s="103"/>
      <c r="V81" s="150"/>
    </row>
    <row r="82" spans="2:22" ht="45" customHeight="1">
      <c r="B82" s="162" t="s">
        <v>834</v>
      </c>
      <c r="C82" s="100" t="s">
        <v>1140</v>
      </c>
      <c r="D82" s="115" t="s">
        <v>294</v>
      </c>
      <c r="E82" s="42" t="s">
        <v>62</v>
      </c>
      <c r="F82" s="225" t="s">
        <v>730</v>
      </c>
      <c r="G82" s="226"/>
      <c r="H82" s="102"/>
      <c r="I82" s="20"/>
      <c r="J82" s="102"/>
      <c r="K82" s="102"/>
      <c r="L82" s="20"/>
      <c r="M82" s="102"/>
      <c r="N82" s="102"/>
      <c r="O82" s="20"/>
      <c r="P82" s="102"/>
      <c r="Q82" s="102"/>
      <c r="R82" s="102"/>
      <c r="S82" s="100"/>
      <c r="T82" s="103"/>
      <c r="U82" s="103"/>
      <c r="V82" s="150"/>
    </row>
    <row r="83" spans="2:22" ht="45" customHeight="1">
      <c r="B83" s="162" t="s">
        <v>835</v>
      </c>
      <c r="C83" s="115" t="s">
        <v>1141</v>
      </c>
      <c r="D83" s="100" t="s">
        <v>306</v>
      </c>
      <c r="E83" s="42" t="s">
        <v>132</v>
      </c>
      <c r="F83" s="225" t="s">
        <v>381</v>
      </c>
      <c r="G83" s="226"/>
      <c r="H83" s="102"/>
      <c r="I83" s="20"/>
      <c r="J83" s="102"/>
      <c r="K83" s="102"/>
      <c r="L83" s="20"/>
      <c r="M83" s="102"/>
      <c r="N83" s="102"/>
      <c r="O83" s="20"/>
      <c r="P83" s="102"/>
      <c r="Q83" s="102"/>
      <c r="R83" s="102"/>
      <c r="S83" s="100"/>
      <c r="T83" s="103"/>
      <c r="U83" s="103"/>
      <c r="V83" s="150"/>
    </row>
    <row r="84" spans="2:22" ht="45" customHeight="1">
      <c r="B84" s="162" t="s">
        <v>836</v>
      </c>
      <c r="C84" s="100"/>
      <c r="D84" s="42" t="s">
        <v>1111</v>
      </c>
      <c r="E84" s="42" t="s">
        <v>744</v>
      </c>
      <c r="F84" s="225" t="s">
        <v>308</v>
      </c>
      <c r="G84" s="226"/>
      <c r="H84" s="102"/>
      <c r="I84" s="20"/>
      <c r="J84" s="102"/>
      <c r="K84" s="102"/>
      <c r="L84" s="20"/>
      <c r="M84" s="102"/>
      <c r="N84" s="102"/>
      <c r="O84" s="20"/>
      <c r="P84" s="102"/>
      <c r="Q84" s="178"/>
      <c r="R84" s="102"/>
      <c r="S84" s="100"/>
      <c r="T84" s="103"/>
      <c r="U84" s="103"/>
      <c r="V84" s="150"/>
    </row>
    <row r="85" spans="2:22" ht="45" customHeight="1">
      <c r="B85" s="162" t="s">
        <v>837</v>
      </c>
      <c r="C85" s="100"/>
      <c r="D85" s="42" t="s">
        <v>306</v>
      </c>
      <c r="E85" s="42" t="s">
        <v>307</v>
      </c>
      <c r="F85" s="225" t="s">
        <v>308</v>
      </c>
      <c r="G85" s="226"/>
      <c r="H85" s="102"/>
      <c r="I85" s="20"/>
      <c r="J85" s="102"/>
      <c r="K85" s="102"/>
      <c r="L85" s="20"/>
      <c r="M85" s="102"/>
      <c r="N85" s="102"/>
      <c r="O85" s="20"/>
      <c r="P85" s="102"/>
      <c r="Q85" s="178"/>
      <c r="R85" s="102"/>
      <c r="S85" s="100"/>
      <c r="T85" s="103"/>
      <c r="U85" s="103"/>
      <c r="V85" s="150"/>
    </row>
    <row r="86" spans="2:22" ht="45" customHeight="1">
      <c r="B86" s="162" t="s">
        <v>838</v>
      </c>
      <c r="C86" s="100"/>
      <c r="D86" s="42" t="s">
        <v>161</v>
      </c>
      <c r="E86" s="42" t="s">
        <v>356</v>
      </c>
      <c r="F86" s="225" t="s">
        <v>308</v>
      </c>
      <c r="G86" s="226"/>
      <c r="H86" s="102"/>
      <c r="I86" s="20"/>
      <c r="J86" s="102"/>
      <c r="K86" s="102"/>
      <c r="L86" s="20"/>
      <c r="M86" s="102"/>
      <c r="N86" s="102"/>
      <c r="O86" s="20"/>
      <c r="P86" s="102"/>
      <c r="Q86" s="178"/>
      <c r="R86" s="102"/>
      <c r="S86" s="100"/>
      <c r="T86" s="103"/>
      <c r="U86" s="103"/>
      <c r="V86" s="151"/>
    </row>
    <row r="87" spans="2:22" ht="45" customHeight="1">
      <c r="B87" s="162" t="s">
        <v>839</v>
      </c>
      <c r="C87" s="100"/>
      <c r="D87" s="42" t="s">
        <v>161</v>
      </c>
      <c r="E87" s="42" t="s">
        <v>357</v>
      </c>
      <c r="F87" s="225" t="s">
        <v>308</v>
      </c>
      <c r="G87" s="226"/>
      <c r="H87" s="102"/>
      <c r="I87" s="20"/>
      <c r="J87" s="102"/>
      <c r="K87" s="102"/>
      <c r="L87" s="20"/>
      <c r="M87" s="102"/>
      <c r="N87" s="102"/>
      <c r="O87" s="20"/>
      <c r="P87" s="102"/>
      <c r="Q87" s="178"/>
      <c r="R87" s="102"/>
      <c r="S87" s="100"/>
      <c r="T87" s="103"/>
      <c r="U87" s="103"/>
      <c r="V87" s="151"/>
    </row>
    <row r="88" spans="2:22" ht="45" customHeight="1">
      <c r="B88" s="162" t="s">
        <v>840</v>
      </c>
      <c r="C88" s="100"/>
      <c r="D88" s="42" t="s">
        <v>306</v>
      </c>
      <c r="E88" s="42" t="s">
        <v>309</v>
      </c>
      <c r="F88" s="225" t="s">
        <v>308</v>
      </c>
      <c r="G88" s="226"/>
      <c r="H88" s="102"/>
      <c r="I88" s="20"/>
      <c r="J88" s="102"/>
      <c r="K88" s="102"/>
      <c r="L88" s="20"/>
      <c r="M88" s="102"/>
      <c r="N88" s="102"/>
      <c r="O88" s="20"/>
      <c r="P88" s="102"/>
      <c r="Q88" s="178"/>
      <c r="R88" s="102"/>
      <c r="S88" s="100"/>
      <c r="T88" s="103"/>
      <c r="U88" s="103"/>
      <c r="V88" s="150"/>
    </row>
    <row r="89" spans="2:22" ht="45" customHeight="1">
      <c r="B89" s="162" t="s">
        <v>841</v>
      </c>
      <c r="C89" s="100"/>
      <c r="D89" s="42" t="s">
        <v>1112</v>
      </c>
      <c r="E89" s="42" t="s">
        <v>744</v>
      </c>
      <c r="F89" s="225" t="s">
        <v>229</v>
      </c>
      <c r="G89" s="226"/>
      <c r="H89" s="102"/>
      <c r="I89" s="20"/>
      <c r="J89" s="102"/>
      <c r="K89" s="102"/>
      <c r="L89" s="20"/>
      <c r="M89" s="102"/>
      <c r="N89" s="102"/>
      <c r="O89" s="20"/>
      <c r="P89" s="102"/>
      <c r="Q89" s="178"/>
      <c r="R89" s="102"/>
      <c r="S89" s="100"/>
      <c r="T89" s="103"/>
      <c r="U89" s="103"/>
      <c r="V89" s="151"/>
    </row>
    <row r="90" spans="2:22" ht="45" customHeight="1">
      <c r="B90" s="162" t="s">
        <v>842</v>
      </c>
      <c r="C90" s="100"/>
      <c r="D90" s="42" t="s">
        <v>161</v>
      </c>
      <c r="E90" s="42" t="s">
        <v>307</v>
      </c>
      <c r="F90" s="225" t="s">
        <v>229</v>
      </c>
      <c r="G90" s="226"/>
      <c r="H90" s="102"/>
      <c r="I90" s="20"/>
      <c r="J90" s="102"/>
      <c r="K90" s="102"/>
      <c r="L90" s="20"/>
      <c r="M90" s="102"/>
      <c r="N90" s="102"/>
      <c r="O90" s="20"/>
      <c r="P90" s="102"/>
      <c r="Q90" s="178"/>
      <c r="R90" s="102"/>
      <c r="S90" s="100"/>
      <c r="T90" s="103"/>
      <c r="U90" s="103"/>
      <c r="V90" s="151"/>
    </row>
    <row r="91" spans="2:22" ht="45" customHeight="1">
      <c r="B91" s="162" t="s">
        <v>843</v>
      </c>
      <c r="C91" s="100"/>
      <c r="D91" s="42" t="s">
        <v>161</v>
      </c>
      <c r="E91" s="42" t="s">
        <v>356</v>
      </c>
      <c r="F91" s="225" t="s">
        <v>229</v>
      </c>
      <c r="G91" s="226"/>
      <c r="H91" s="102"/>
      <c r="I91" s="20"/>
      <c r="J91" s="102"/>
      <c r="K91" s="102"/>
      <c r="L91" s="20"/>
      <c r="M91" s="102"/>
      <c r="N91" s="102"/>
      <c r="O91" s="20"/>
      <c r="P91" s="102"/>
      <c r="Q91" s="178"/>
      <c r="R91" s="102"/>
      <c r="S91" s="100"/>
      <c r="T91" s="103"/>
      <c r="U91" s="103"/>
      <c r="V91" s="151"/>
    </row>
    <row r="92" spans="2:22" ht="45" customHeight="1">
      <c r="B92" s="162" t="s">
        <v>844</v>
      </c>
      <c r="C92" s="100"/>
      <c r="D92" s="42" t="s">
        <v>161</v>
      </c>
      <c r="E92" s="42" t="s">
        <v>357</v>
      </c>
      <c r="F92" s="225" t="s">
        <v>229</v>
      </c>
      <c r="G92" s="226"/>
      <c r="H92" s="102"/>
      <c r="I92" s="20"/>
      <c r="J92" s="102"/>
      <c r="K92" s="102"/>
      <c r="L92" s="20"/>
      <c r="M92" s="102"/>
      <c r="N92" s="102"/>
      <c r="O92" s="20"/>
      <c r="P92" s="102"/>
      <c r="Q92" s="178"/>
      <c r="R92" s="102"/>
      <c r="S92" s="100"/>
      <c r="T92" s="103"/>
      <c r="U92" s="103"/>
      <c r="V92" s="151"/>
    </row>
    <row r="93" spans="2:22" ht="45" customHeight="1">
      <c r="B93" s="162" t="s">
        <v>845</v>
      </c>
      <c r="C93" s="100"/>
      <c r="D93" s="42" t="s">
        <v>161</v>
      </c>
      <c r="E93" s="42" t="s">
        <v>309</v>
      </c>
      <c r="F93" s="225" t="s">
        <v>229</v>
      </c>
      <c r="G93" s="226"/>
      <c r="H93" s="102"/>
      <c r="I93" s="20"/>
      <c r="J93" s="102"/>
      <c r="K93" s="102"/>
      <c r="L93" s="20"/>
      <c r="M93" s="102"/>
      <c r="N93" s="102"/>
      <c r="O93" s="20"/>
      <c r="P93" s="102"/>
      <c r="Q93" s="178"/>
      <c r="R93" s="102"/>
      <c r="S93" s="100"/>
      <c r="T93" s="103"/>
      <c r="U93" s="103"/>
      <c r="V93" s="151"/>
    </row>
    <row r="94" spans="2:22" ht="45" customHeight="1">
      <c r="B94" s="162" t="s">
        <v>846</v>
      </c>
      <c r="C94" s="42" t="s">
        <v>1142</v>
      </c>
      <c r="D94" s="100" t="s">
        <v>161</v>
      </c>
      <c r="E94" s="42" t="s">
        <v>294</v>
      </c>
      <c r="F94" s="225" t="s">
        <v>734</v>
      </c>
      <c r="G94" s="226"/>
      <c r="H94" s="102"/>
      <c r="I94" s="20"/>
      <c r="J94" s="102"/>
      <c r="K94" s="102"/>
      <c r="L94" s="20"/>
      <c r="M94" s="102"/>
      <c r="N94" s="102"/>
      <c r="O94" s="20"/>
      <c r="P94" s="102"/>
      <c r="Q94" s="178"/>
      <c r="R94" s="102"/>
      <c r="S94" s="100"/>
      <c r="T94" s="103"/>
      <c r="U94" s="103"/>
      <c r="V94" s="150"/>
    </row>
    <row r="95" spans="2:22" ht="45" customHeight="1">
      <c r="B95" s="162" t="s">
        <v>847</v>
      </c>
      <c r="C95" s="115" t="s">
        <v>1209</v>
      </c>
      <c r="D95" s="100" t="s">
        <v>161</v>
      </c>
      <c r="E95" s="42" t="s">
        <v>132</v>
      </c>
      <c r="F95" s="225" t="s">
        <v>363</v>
      </c>
      <c r="G95" s="226"/>
      <c r="H95" s="102"/>
      <c r="I95" s="20"/>
      <c r="J95" s="102"/>
      <c r="K95" s="102"/>
      <c r="L95" s="20"/>
      <c r="M95" s="102"/>
      <c r="N95" s="102"/>
      <c r="O95" s="20"/>
      <c r="P95" s="102"/>
      <c r="Q95" s="102"/>
      <c r="R95" s="102"/>
      <c r="S95" s="100"/>
      <c r="T95" s="103"/>
      <c r="U95" s="103"/>
      <c r="V95" s="150"/>
    </row>
    <row r="96" spans="2:22" ht="45" customHeight="1">
      <c r="B96" s="162" t="s">
        <v>848</v>
      </c>
      <c r="C96" s="100"/>
      <c r="D96" s="42" t="s">
        <v>161</v>
      </c>
      <c r="E96" s="42" t="s">
        <v>161</v>
      </c>
      <c r="F96" s="225" t="s">
        <v>229</v>
      </c>
      <c r="G96" s="226"/>
      <c r="H96" s="102"/>
      <c r="I96" s="20"/>
      <c r="J96" s="102"/>
      <c r="K96" s="102"/>
      <c r="L96" s="20"/>
      <c r="M96" s="102"/>
      <c r="N96" s="102"/>
      <c r="O96" s="20"/>
      <c r="P96" s="102"/>
      <c r="Q96" s="102"/>
      <c r="R96" s="102"/>
      <c r="S96" s="100"/>
      <c r="T96" s="103"/>
      <c r="U96" s="103"/>
      <c r="V96" s="150"/>
    </row>
    <row r="97" spans="2:22" ht="45" customHeight="1">
      <c r="B97" s="162" t="s">
        <v>849</v>
      </c>
      <c r="C97" s="115" t="s">
        <v>1210</v>
      </c>
      <c r="D97" s="100" t="s">
        <v>161</v>
      </c>
      <c r="E97" s="42" t="s">
        <v>132</v>
      </c>
      <c r="F97" s="225" t="s">
        <v>295</v>
      </c>
      <c r="G97" s="226"/>
      <c r="H97" s="102"/>
      <c r="I97" s="20"/>
      <c r="J97" s="102"/>
      <c r="K97" s="102"/>
      <c r="L97" s="20"/>
      <c r="M97" s="102"/>
      <c r="N97" s="102"/>
      <c r="O97" s="20"/>
      <c r="P97" s="102"/>
      <c r="Q97" s="102"/>
      <c r="R97" s="102"/>
      <c r="S97" s="100"/>
      <c r="T97" s="103"/>
      <c r="U97" s="103"/>
      <c r="V97" s="151"/>
    </row>
    <row r="98" spans="2:22" ht="45" customHeight="1">
      <c r="B98" s="162" t="s">
        <v>850</v>
      </c>
      <c r="C98" s="100"/>
      <c r="D98" s="42" t="s">
        <v>161</v>
      </c>
      <c r="E98" s="42" t="s">
        <v>161</v>
      </c>
      <c r="F98" s="225" t="s">
        <v>229</v>
      </c>
      <c r="G98" s="226"/>
      <c r="H98" s="102"/>
      <c r="I98" s="20"/>
      <c r="J98" s="102"/>
      <c r="K98" s="102"/>
      <c r="L98" s="20"/>
      <c r="M98" s="102"/>
      <c r="N98" s="102"/>
      <c r="O98" s="20"/>
      <c r="P98" s="102"/>
      <c r="Q98" s="102"/>
      <c r="R98" s="102"/>
      <c r="S98" s="100"/>
      <c r="T98" s="103"/>
      <c r="U98" s="103"/>
      <c r="V98" s="151"/>
    </row>
    <row r="99" spans="2:22" ht="45" customHeight="1">
      <c r="B99" s="162" t="s">
        <v>851</v>
      </c>
      <c r="C99" s="100"/>
      <c r="D99" s="42" t="s">
        <v>161</v>
      </c>
      <c r="E99" s="42" t="s">
        <v>364</v>
      </c>
      <c r="F99" s="229" t="s">
        <v>182</v>
      </c>
      <c r="G99" s="230"/>
      <c r="H99" s="102"/>
      <c r="I99" s="20"/>
      <c r="J99" s="102"/>
      <c r="K99" s="102"/>
      <c r="L99" s="20"/>
      <c r="M99" s="102"/>
      <c r="N99" s="102"/>
      <c r="O99" s="20"/>
      <c r="P99" s="102"/>
      <c r="Q99" s="102"/>
      <c r="R99" s="102"/>
      <c r="S99" s="100"/>
      <c r="T99" s="103"/>
      <c r="U99" s="103"/>
      <c r="V99" s="153"/>
    </row>
    <row r="100" spans="2:22" ht="45" customHeight="1">
      <c r="B100" s="162" t="s">
        <v>852</v>
      </c>
      <c r="C100" s="100"/>
      <c r="D100" s="42" t="s">
        <v>161</v>
      </c>
      <c r="E100" s="42" t="s">
        <v>365</v>
      </c>
      <c r="F100" s="229" t="s">
        <v>398</v>
      </c>
      <c r="G100" s="230"/>
      <c r="H100" s="102"/>
      <c r="I100" s="20"/>
      <c r="J100" s="102"/>
      <c r="K100" s="102"/>
      <c r="L100" s="20"/>
      <c r="M100" s="102"/>
      <c r="N100" s="102"/>
      <c r="O100" s="20"/>
      <c r="P100" s="102"/>
      <c r="Q100" s="102"/>
      <c r="R100" s="102"/>
      <c r="S100" s="100"/>
      <c r="T100" s="103"/>
      <c r="U100" s="103"/>
      <c r="V100" s="153"/>
    </row>
    <row r="101" spans="2:22" ht="45" customHeight="1">
      <c r="B101" s="162" t="s">
        <v>853</v>
      </c>
      <c r="C101" s="100"/>
      <c r="D101" s="42" t="s">
        <v>161</v>
      </c>
      <c r="E101" s="42" t="s">
        <v>372</v>
      </c>
      <c r="F101" s="229" t="s">
        <v>1222</v>
      </c>
      <c r="G101" s="230"/>
      <c r="H101" s="102"/>
      <c r="I101" s="20"/>
      <c r="J101" s="102"/>
      <c r="K101" s="155"/>
      <c r="L101" s="156"/>
      <c r="M101" s="155"/>
      <c r="N101" s="155"/>
      <c r="O101" s="156"/>
      <c r="P101" s="155"/>
      <c r="Q101" s="102"/>
      <c r="R101" s="102"/>
      <c r="S101" s="100"/>
      <c r="T101" s="103"/>
      <c r="U101" s="103"/>
      <c r="V101" s="153"/>
    </row>
    <row r="102" spans="2:22" ht="45" customHeight="1">
      <c r="B102" s="162" t="s">
        <v>854</v>
      </c>
      <c r="C102" s="100"/>
      <c r="D102" s="42" t="s">
        <v>1113</v>
      </c>
      <c r="E102" s="42" t="s">
        <v>305</v>
      </c>
      <c r="F102" s="225" t="s">
        <v>1223</v>
      </c>
      <c r="G102" s="226"/>
      <c r="H102" s="102"/>
      <c r="I102" s="20"/>
      <c r="J102" s="102"/>
      <c r="K102" s="155"/>
      <c r="L102" s="156"/>
      <c r="M102" s="155"/>
      <c r="N102" s="155"/>
      <c r="O102" s="156"/>
      <c r="P102" s="155"/>
      <c r="Q102" s="102"/>
      <c r="R102" s="102"/>
      <c r="S102" s="100"/>
      <c r="T102" s="103"/>
      <c r="U102" s="103"/>
      <c r="V102" s="151"/>
    </row>
    <row r="103" spans="2:22" ht="45" customHeight="1">
      <c r="B103" s="162" t="s">
        <v>855</v>
      </c>
      <c r="C103" s="115" t="s">
        <v>1211</v>
      </c>
      <c r="D103" s="42" t="s">
        <v>161</v>
      </c>
      <c r="E103" s="42" t="s">
        <v>132</v>
      </c>
      <c r="F103" s="225" t="s">
        <v>295</v>
      </c>
      <c r="G103" s="226"/>
      <c r="H103" s="102"/>
      <c r="I103" s="20"/>
      <c r="J103" s="102"/>
      <c r="K103" s="102"/>
      <c r="L103" s="20"/>
      <c r="M103" s="102"/>
      <c r="N103" s="102"/>
      <c r="O103" s="20"/>
      <c r="P103" s="102"/>
      <c r="Q103" s="102"/>
      <c r="R103" s="102"/>
      <c r="S103" s="100"/>
      <c r="T103" s="103"/>
      <c r="U103" s="103"/>
      <c r="V103" s="151"/>
    </row>
    <row r="104" spans="2:22" ht="45" customHeight="1">
      <c r="B104" s="162" t="s">
        <v>856</v>
      </c>
      <c r="C104" s="100"/>
      <c r="D104" s="42" t="s">
        <v>161</v>
      </c>
      <c r="E104" s="42" t="s">
        <v>161</v>
      </c>
      <c r="F104" s="225" t="s">
        <v>229</v>
      </c>
      <c r="G104" s="226"/>
      <c r="H104" s="102"/>
      <c r="I104" s="20"/>
      <c r="J104" s="102"/>
      <c r="K104" s="102"/>
      <c r="L104" s="20"/>
      <c r="M104" s="102"/>
      <c r="N104" s="102"/>
      <c r="O104" s="20"/>
      <c r="P104" s="102"/>
      <c r="Q104" s="102"/>
      <c r="R104" s="102"/>
      <c r="S104" s="100"/>
      <c r="T104" s="103"/>
      <c r="U104" s="103"/>
      <c r="V104" s="151"/>
    </row>
    <row r="105" spans="2:22" ht="45" customHeight="1">
      <c r="B105" s="162" t="s">
        <v>857</v>
      </c>
      <c r="C105" s="100"/>
      <c r="D105" s="42" t="s">
        <v>366</v>
      </c>
      <c r="E105" s="42" t="s">
        <v>364</v>
      </c>
      <c r="F105" s="229" t="s">
        <v>182</v>
      </c>
      <c r="G105" s="230"/>
      <c r="H105" s="102"/>
      <c r="I105" s="20"/>
      <c r="J105" s="102"/>
      <c r="K105" s="102"/>
      <c r="L105" s="20"/>
      <c r="M105" s="102"/>
      <c r="N105" s="102"/>
      <c r="O105" s="20"/>
      <c r="P105" s="102"/>
      <c r="Q105" s="102"/>
      <c r="R105" s="102"/>
      <c r="S105" s="100"/>
      <c r="T105" s="103"/>
      <c r="U105" s="103"/>
      <c r="V105" s="153"/>
    </row>
    <row r="106" spans="2:22" ht="45" customHeight="1">
      <c r="B106" s="162" t="s">
        <v>858</v>
      </c>
      <c r="C106" s="100"/>
      <c r="D106" s="42" t="s">
        <v>161</v>
      </c>
      <c r="E106" s="42" t="s">
        <v>365</v>
      </c>
      <c r="F106" s="229" t="s">
        <v>367</v>
      </c>
      <c r="G106" s="230"/>
      <c r="H106" s="102"/>
      <c r="I106" s="20"/>
      <c r="J106" s="102"/>
      <c r="K106" s="102"/>
      <c r="L106" s="20"/>
      <c r="M106" s="102"/>
      <c r="N106" s="102"/>
      <c r="O106" s="20"/>
      <c r="P106" s="102"/>
      <c r="Q106" s="102"/>
      <c r="R106" s="102"/>
      <c r="S106" s="100"/>
      <c r="T106" s="103"/>
      <c r="U106" s="103"/>
      <c r="V106" s="153"/>
    </row>
    <row r="107" spans="2:22" ht="45" customHeight="1">
      <c r="B107" s="162" t="s">
        <v>859</v>
      </c>
      <c r="C107" s="100"/>
      <c r="D107" s="42" t="s">
        <v>1229</v>
      </c>
      <c r="E107" s="42" t="s">
        <v>372</v>
      </c>
      <c r="F107" s="229" t="s">
        <v>1221</v>
      </c>
      <c r="G107" s="230"/>
      <c r="H107" s="102"/>
      <c r="I107" s="20"/>
      <c r="J107" s="102"/>
      <c r="K107" s="155"/>
      <c r="L107" s="156"/>
      <c r="M107" s="155"/>
      <c r="N107" s="155"/>
      <c r="O107" s="156"/>
      <c r="P107" s="155"/>
      <c r="Q107" s="102"/>
      <c r="R107" s="102"/>
      <c r="S107" s="100"/>
      <c r="T107" s="103"/>
      <c r="U107" s="103"/>
      <c r="V107" s="153"/>
    </row>
    <row r="108" spans="2:22" ht="45" customHeight="1">
      <c r="B108" s="162" t="s">
        <v>860</v>
      </c>
      <c r="C108" s="115" t="s">
        <v>1146</v>
      </c>
      <c r="D108" s="42" t="s">
        <v>161</v>
      </c>
      <c r="E108" s="42" t="s">
        <v>132</v>
      </c>
      <c r="F108" s="225" t="s">
        <v>363</v>
      </c>
      <c r="G108" s="226"/>
      <c r="H108" s="102"/>
      <c r="I108" s="20"/>
      <c r="J108" s="102"/>
      <c r="K108" s="102"/>
      <c r="L108" s="20"/>
      <c r="M108" s="102"/>
      <c r="N108" s="102"/>
      <c r="O108" s="20"/>
      <c r="P108" s="102"/>
      <c r="Q108" s="102"/>
      <c r="R108" s="102"/>
      <c r="S108" s="100"/>
      <c r="T108" s="103"/>
      <c r="U108" s="103"/>
      <c r="V108" s="151"/>
    </row>
    <row r="109" spans="2:22" ht="45" customHeight="1">
      <c r="B109" s="162" t="s">
        <v>861</v>
      </c>
      <c r="C109" s="100"/>
      <c r="D109" s="42" t="s">
        <v>161</v>
      </c>
      <c r="E109" s="42" t="s">
        <v>161</v>
      </c>
      <c r="F109" s="225" t="s">
        <v>229</v>
      </c>
      <c r="G109" s="226"/>
      <c r="H109" s="102"/>
      <c r="I109" s="20"/>
      <c r="J109" s="102"/>
      <c r="K109" s="102"/>
      <c r="L109" s="20"/>
      <c r="M109" s="102"/>
      <c r="N109" s="102"/>
      <c r="O109" s="20"/>
      <c r="P109" s="102"/>
      <c r="Q109" s="102"/>
      <c r="R109" s="102"/>
      <c r="S109" s="100"/>
      <c r="T109" s="103"/>
      <c r="U109" s="103"/>
      <c r="V109" s="151"/>
    </row>
    <row r="110" spans="2:22" ht="45" customHeight="1">
      <c r="B110" s="162" t="s">
        <v>862</v>
      </c>
      <c r="C110" s="100"/>
      <c r="D110" s="42" t="s">
        <v>1114</v>
      </c>
      <c r="E110" s="42" t="s">
        <v>358</v>
      </c>
      <c r="F110" s="225" t="s">
        <v>133</v>
      </c>
      <c r="G110" s="226"/>
      <c r="H110" s="102"/>
      <c r="I110" s="20"/>
      <c r="J110" s="102"/>
      <c r="K110" s="102"/>
      <c r="L110" s="20"/>
      <c r="M110" s="102"/>
      <c r="N110" s="102"/>
      <c r="O110" s="20"/>
      <c r="P110" s="102"/>
      <c r="Q110" s="178"/>
      <c r="R110" s="102"/>
      <c r="S110" s="100"/>
      <c r="T110" s="103"/>
      <c r="U110" s="103"/>
      <c r="V110" s="151"/>
    </row>
    <row r="111" spans="2:22" ht="45" customHeight="1">
      <c r="B111" s="162" t="s">
        <v>863</v>
      </c>
      <c r="C111" s="100"/>
      <c r="D111" s="42" t="s">
        <v>161</v>
      </c>
      <c r="E111" s="42" t="s">
        <v>359</v>
      </c>
      <c r="F111" s="225" t="s">
        <v>133</v>
      </c>
      <c r="G111" s="226"/>
      <c r="H111" s="102"/>
      <c r="I111" s="20"/>
      <c r="J111" s="102"/>
      <c r="K111" s="102"/>
      <c r="L111" s="20"/>
      <c r="M111" s="102"/>
      <c r="N111" s="102"/>
      <c r="O111" s="20"/>
      <c r="P111" s="102"/>
      <c r="Q111" s="178"/>
      <c r="R111" s="102"/>
      <c r="S111" s="100"/>
      <c r="T111" s="103"/>
      <c r="U111" s="103"/>
      <c r="V111" s="151"/>
    </row>
    <row r="112" spans="2:22" ht="45" customHeight="1">
      <c r="B112" s="162" t="s">
        <v>864</v>
      </c>
      <c r="C112" s="100"/>
      <c r="D112" s="42" t="s">
        <v>161</v>
      </c>
      <c r="E112" s="42" t="s">
        <v>360</v>
      </c>
      <c r="F112" s="225" t="s">
        <v>133</v>
      </c>
      <c r="G112" s="226"/>
      <c r="H112" s="102"/>
      <c r="I112" s="20"/>
      <c r="J112" s="102"/>
      <c r="K112" s="102"/>
      <c r="L112" s="20"/>
      <c r="M112" s="102"/>
      <c r="N112" s="102"/>
      <c r="O112" s="20"/>
      <c r="P112" s="102"/>
      <c r="Q112" s="178"/>
      <c r="R112" s="102"/>
      <c r="S112" s="100"/>
      <c r="T112" s="103"/>
      <c r="U112" s="103"/>
      <c r="V112" s="151"/>
    </row>
    <row r="113" spans="2:22" ht="45" customHeight="1">
      <c r="B113" s="162" t="s">
        <v>865</v>
      </c>
      <c r="C113" s="100"/>
      <c r="D113" s="42" t="s">
        <v>161</v>
      </c>
      <c r="E113" s="42" t="s">
        <v>361</v>
      </c>
      <c r="F113" s="225" t="s">
        <v>133</v>
      </c>
      <c r="G113" s="226"/>
      <c r="H113" s="102"/>
      <c r="I113" s="20"/>
      <c r="J113" s="102"/>
      <c r="K113" s="102"/>
      <c r="L113" s="20"/>
      <c r="M113" s="102"/>
      <c r="N113" s="102"/>
      <c r="O113" s="20"/>
      <c r="P113" s="102"/>
      <c r="Q113" s="178"/>
      <c r="R113" s="102"/>
      <c r="S113" s="100"/>
      <c r="T113" s="103"/>
      <c r="U113" s="103"/>
      <c r="V113" s="151"/>
    </row>
    <row r="114" spans="2:22" ht="45" customHeight="1">
      <c r="B114" s="162" t="s">
        <v>866</v>
      </c>
      <c r="C114" s="100"/>
      <c r="D114" s="42" t="s">
        <v>161</v>
      </c>
      <c r="E114" s="42" t="s">
        <v>362</v>
      </c>
      <c r="F114" s="225" t="s">
        <v>133</v>
      </c>
      <c r="G114" s="226"/>
      <c r="H114" s="102"/>
      <c r="I114" s="20"/>
      <c r="J114" s="102"/>
      <c r="K114" s="102"/>
      <c r="L114" s="20"/>
      <c r="M114" s="102"/>
      <c r="N114" s="102"/>
      <c r="O114" s="20"/>
      <c r="P114" s="102"/>
      <c r="Q114" s="178"/>
      <c r="R114" s="102"/>
      <c r="S114" s="100"/>
      <c r="T114" s="103"/>
      <c r="U114" s="103"/>
      <c r="V114" s="151"/>
    </row>
    <row r="115" spans="2:22" ht="45" customHeight="1">
      <c r="B115" s="162" t="s">
        <v>867</v>
      </c>
      <c r="C115" s="100"/>
      <c r="D115" s="42" t="s">
        <v>1115</v>
      </c>
      <c r="E115" s="42" t="s">
        <v>358</v>
      </c>
      <c r="F115" s="225" t="s">
        <v>229</v>
      </c>
      <c r="G115" s="226"/>
      <c r="H115" s="102"/>
      <c r="I115" s="20"/>
      <c r="J115" s="102"/>
      <c r="K115" s="102"/>
      <c r="L115" s="20"/>
      <c r="M115" s="102"/>
      <c r="N115" s="102"/>
      <c r="O115" s="20"/>
      <c r="P115" s="102"/>
      <c r="Q115" s="178"/>
      <c r="R115" s="102"/>
      <c r="S115" s="100"/>
      <c r="T115" s="103"/>
      <c r="U115" s="103"/>
      <c r="V115" s="151"/>
    </row>
    <row r="116" spans="2:22" ht="45" customHeight="1">
      <c r="B116" s="162" t="s">
        <v>868</v>
      </c>
      <c r="C116" s="100"/>
      <c r="D116" s="42" t="s">
        <v>161</v>
      </c>
      <c r="E116" s="42" t="s">
        <v>359</v>
      </c>
      <c r="F116" s="225" t="s">
        <v>229</v>
      </c>
      <c r="G116" s="226"/>
      <c r="H116" s="102"/>
      <c r="I116" s="20"/>
      <c r="J116" s="102"/>
      <c r="K116" s="102"/>
      <c r="L116" s="20"/>
      <c r="M116" s="102"/>
      <c r="N116" s="102"/>
      <c r="O116" s="20"/>
      <c r="P116" s="102"/>
      <c r="Q116" s="178"/>
      <c r="R116" s="102"/>
      <c r="S116" s="100"/>
      <c r="T116" s="103"/>
      <c r="U116" s="103"/>
      <c r="V116" s="151"/>
    </row>
    <row r="117" spans="2:22" ht="45" customHeight="1">
      <c r="B117" s="162" t="s">
        <v>869</v>
      </c>
      <c r="C117" s="100"/>
      <c r="D117" s="42" t="s">
        <v>161</v>
      </c>
      <c r="E117" s="42" t="s">
        <v>360</v>
      </c>
      <c r="F117" s="225" t="s">
        <v>229</v>
      </c>
      <c r="G117" s="226"/>
      <c r="H117" s="102"/>
      <c r="I117" s="20"/>
      <c r="J117" s="102"/>
      <c r="K117" s="102"/>
      <c r="L117" s="20"/>
      <c r="M117" s="102"/>
      <c r="N117" s="102"/>
      <c r="O117" s="20"/>
      <c r="P117" s="102"/>
      <c r="Q117" s="178"/>
      <c r="R117" s="102"/>
      <c r="S117" s="100"/>
      <c r="T117" s="103"/>
      <c r="U117" s="103"/>
      <c r="V117" s="151"/>
    </row>
    <row r="118" spans="2:22" ht="45" customHeight="1">
      <c r="B118" s="162" t="s">
        <v>870</v>
      </c>
      <c r="C118" s="100"/>
      <c r="D118" s="42" t="s">
        <v>161</v>
      </c>
      <c r="E118" s="42" t="s">
        <v>361</v>
      </c>
      <c r="F118" s="225" t="s">
        <v>229</v>
      </c>
      <c r="G118" s="226"/>
      <c r="H118" s="102"/>
      <c r="I118" s="20"/>
      <c r="J118" s="102"/>
      <c r="K118" s="102"/>
      <c r="L118" s="20"/>
      <c r="M118" s="102"/>
      <c r="N118" s="102"/>
      <c r="O118" s="20"/>
      <c r="P118" s="102"/>
      <c r="Q118" s="178"/>
      <c r="R118" s="102"/>
      <c r="S118" s="100"/>
      <c r="T118" s="103"/>
      <c r="U118" s="103"/>
      <c r="V118" s="151"/>
    </row>
    <row r="119" spans="2:22" ht="45" customHeight="1">
      <c r="B119" s="162" t="s">
        <v>871</v>
      </c>
      <c r="C119" s="100"/>
      <c r="D119" s="42" t="s">
        <v>161</v>
      </c>
      <c r="E119" s="42" t="s">
        <v>362</v>
      </c>
      <c r="F119" s="225" t="s">
        <v>229</v>
      </c>
      <c r="G119" s="226"/>
      <c r="H119" s="102"/>
      <c r="I119" s="20"/>
      <c r="J119" s="102"/>
      <c r="K119" s="102"/>
      <c r="L119" s="20"/>
      <c r="M119" s="102"/>
      <c r="N119" s="102"/>
      <c r="O119" s="20"/>
      <c r="P119" s="102"/>
      <c r="Q119" s="178"/>
      <c r="R119" s="102"/>
      <c r="S119" s="100"/>
      <c r="T119" s="103"/>
      <c r="U119" s="103"/>
      <c r="V119" s="151"/>
    </row>
    <row r="120" spans="2:22" ht="45" customHeight="1">
      <c r="B120" s="162" t="s">
        <v>872</v>
      </c>
      <c r="C120" s="115" t="s">
        <v>1147</v>
      </c>
      <c r="D120" s="42" t="s">
        <v>161</v>
      </c>
      <c r="E120" s="42" t="s">
        <v>132</v>
      </c>
      <c r="F120" s="225" t="s">
        <v>295</v>
      </c>
      <c r="G120" s="226"/>
      <c r="H120" s="102"/>
      <c r="I120" s="20"/>
      <c r="J120" s="102"/>
      <c r="K120" s="102"/>
      <c r="L120" s="20"/>
      <c r="M120" s="102"/>
      <c r="N120" s="102"/>
      <c r="O120" s="20"/>
      <c r="P120" s="102"/>
      <c r="Q120" s="102"/>
      <c r="R120" s="102"/>
      <c r="S120" s="100"/>
      <c r="T120" s="103"/>
      <c r="U120" s="103"/>
      <c r="V120" s="153"/>
    </row>
    <row r="121" spans="2:22" ht="45" customHeight="1">
      <c r="B121" s="162" t="s">
        <v>873</v>
      </c>
      <c r="C121" s="42" t="s">
        <v>161</v>
      </c>
      <c r="D121" s="42" t="s">
        <v>161</v>
      </c>
      <c r="E121" s="42" t="s">
        <v>161</v>
      </c>
      <c r="F121" s="225" t="s">
        <v>229</v>
      </c>
      <c r="G121" s="226"/>
      <c r="H121" s="102"/>
      <c r="I121" s="20"/>
      <c r="J121" s="102"/>
      <c r="K121" s="102"/>
      <c r="L121" s="20"/>
      <c r="M121" s="102"/>
      <c r="N121" s="102"/>
      <c r="O121" s="20"/>
      <c r="P121" s="102"/>
      <c r="Q121" s="102"/>
      <c r="R121" s="102"/>
      <c r="S121" s="100"/>
      <c r="T121" s="103"/>
      <c r="U121" s="103"/>
      <c r="V121" s="153"/>
    </row>
    <row r="122" spans="2:22" ht="45" customHeight="1">
      <c r="B122" s="162" t="s">
        <v>874</v>
      </c>
      <c r="C122" s="42" t="s">
        <v>161</v>
      </c>
      <c r="D122" s="42" t="s">
        <v>366</v>
      </c>
      <c r="E122" s="42" t="s">
        <v>364</v>
      </c>
      <c r="F122" s="229" t="s">
        <v>182</v>
      </c>
      <c r="G122" s="230"/>
      <c r="H122" s="102"/>
      <c r="I122" s="20"/>
      <c r="J122" s="102"/>
      <c r="K122" s="102"/>
      <c r="L122" s="20"/>
      <c r="M122" s="102"/>
      <c r="N122" s="102"/>
      <c r="O122" s="20"/>
      <c r="P122" s="102"/>
      <c r="Q122" s="102"/>
      <c r="R122" s="102"/>
      <c r="S122" s="100"/>
      <c r="T122" s="103"/>
      <c r="U122" s="103"/>
      <c r="V122" s="153"/>
    </row>
    <row r="123" spans="2:22" ht="45" customHeight="1">
      <c r="B123" s="162" t="s">
        <v>875</v>
      </c>
      <c r="C123" s="42" t="s">
        <v>161</v>
      </c>
      <c r="D123" s="42" t="s">
        <v>161</v>
      </c>
      <c r="E123" s="42" t="s">
        <v>365</v>
      </c>
      <c r="F123" s="229" t="s">
        <v>368</v>
      </c>
      <c r="G123" s="230"/>
      <c r="H123" s="102"/>
      <c r="I123" s="20"/>
      <c r="J123" s="102"/>
      <c r="K123" s="102"/>
      <c r="L123" s="20"/>
      <c r="M123" s="102"/>
      <c r="N123" s="102"/>
      <c r="O123" s="20"/>
      <c r="P123" s="102"/>
      <c r="Q123" s="102"/>
      <c r="R123" s="102"/>
      <c r="S123" s="100"/>
      <c r="T123" s="103"/>
      <c r="U123" s="103"/>
      <c r="V123" s="153"/>
    </row>
    <row r="124" spans="2:22" ht="45" customHeight="1">
      <c r="B124" s="162" t="s">
        <v>876</v>
      </c>
      <c r="C124" s="42" t="s">
        <v>161</v>
      </c>
      <c r="D124" s="42" t="s">
        <v>161</v>
      </c>
      <c r="E124" s="42" t="s">
        <v>372</v>
      </c>
      <c r="F124" s="229" t="s">
        <v>1230</v>
      </c>
      <c r="G124" s="230"/>
      <c r="H124" s="102"/>
      <c r="I124" s="20"/>
      <c r="J124" s="102"/>
      <c r="K124" s="155"/>
      <c r="L124" s="156"/>
      <c r="M124" s="155"/>
      <c r="N124" s="155"/>
      <c r="O124" s="156"/>
      <c r="P124" s="155"/>
      <c r="Q124" s="102"/>
      <c r="R124" s="102"/>
      <c r="S124" s="100"/>
      <c r="T124" s="103"/>
      <c r="U124" s="103"/>
      <c r="V124" s="153"/>
    </row>
    <row r="125" spans="2:22" ht="45" customHeight="1">
      <c r="B125" s="162" t="s">
        <v>877</v>
      </c>
      <c r="C125" s="42" t="s">
        <v>161</v>
      </c>
      <c r="D125" s="42" t="s">
        <v>1226</v>
      </c>
      <c r="E125" s="42" t="s">
        <v>161</v>
      </c>
      <c r="F125" s="172" t="s">
        <v>1227</v>
      </c>
      <c r="G125" s="173"/>
      <c r="H125" s="102"/>
      <c r="I125" s="20"/>
      <c r="J125" s="102"/>
      <c r="K125" s="155"/>
      <c r="L125" s="156"/>
      <c r="M125" s="155"/>
      <c r="N125" s="155"/>
      <c r="O125" s="156"/>
      <c r="P125" s="155"/>
      <c r="Q125" s="102"/>
      <c r="R125" s="102"/>
      <c r="S125" s="100"/>
      <c r="T125" s="103"/>
      <c r="U125" s="103"/>
      <c r="V125" s="174"/>
    </row>
    <row r="126" spans="2:22" ht="45" customHeight="1">
      <c r="B126" s="162" t="s">
        <v>877</v>
      </c>
      <c r="C126" s="42" t="s">
        <v>161</v>
      </c>
      <c r="D126" s="42" t="s">
        <v>1116</v>
      </c>
      <c r="E126" s="42" t="s">
        <v>305</v>
      </c>
      <c r="F126" s="225" t="s">
        <v>1224</v>
      </c>
      <c r="G126" s="226"/>
      <c r="H126" s="102"/>
      <c r="I126" s="20"/>
      <c r="J126" s="102"/>
      <c r="K126" s="155"/>
      <c r="L126" s="156"/>
      <c r="M126" s="155"/>
      <c r="N126" s="155"/>
      <c r="O126" s="156"/>
      <c r="P126" s="155"/>
      <c r="Q126" s="102"/>
      <c r="R126" s="102"/>
      <c r="S126" s="100"/>
      <c r="T126" s="103"/>
      <c r="U126" s="103"/>
      <c r="V126" s="153"/>
    </row>
    <row r="127" spans="2:22" ht="45" customHeight="1">
      <c r="B127" s="162" t="s">
        <v>878</v>
      </c>
      <c r="C127" s="115" t="s">
        <v>1148</v>
      </c>
      <c r="D127" s="42" t="s">
        <v>161</v>
      </c>
      <c r="E127" s="42" t="s">
        <v>132</v>
      </c>
      <c r="F127" s="225" t="s">
        <v>295</v>
      </c>
      <c r="G127" s="226"/>
      <c r="H127" s="102"/>
      <c r="I127" s="20"/>
      <c r="J127" s="102"/>
      <c r="K127" s="102"/>
      <c r="L127" s="20"/>
      <c r="M127" s="102"/>
      <c r="N127" s="102"/>
      <c r="O127" s="20"/>
      <c r="P127" s="102"/>
      <c r="Q127" s="102"/>
      <c r="R127" s="102"/>
      <c r="S127" s="100"/>
      <c r="T127" s="103"/>
      <c r="U127" s="103"/>
      <c r="V127" s="153"/>
    </row>
    <row r="128" spans="2:22" ht="45" customHeight="1">
      <c r="B128" s="162" t="s">
        <v>879</v>
      </c>
      <c r="C128" s="100"/>
      <c r="D128" s="42" t="s">
        <v>161</v>
      </c>
      <c r="E128" s="42" t="s">
        <v>161</v>
      </c>
      <c r="F128" s="225" t="s">
        <v>229</v>
      </c>
      <c r="G128" s="226"/>
      <c r="H128" s="102"/>
      <c r="I128" s="20"/>
      <c r="J128" s="102"/>
      <c r="K128" s="102"/>
      <c r="L128" s="20"/>
      <c r="M128" s="102"/>
      <c r="N128" s="102"/>
      <c r="O128" s="20"/>
      <c r="P128" s="102"/>
      <c r="Q128" s="102"/>
      <c r="R128" s="102"/>
      <c r="S128" s="100"/>
      <c r="T128" s="103"/>
      <c r="U128" s="103"/>
      <c r="V128" s="153"/>
    </row>
    <row r="129" spans="2:22" ht="45" customHeight="1">
      <c r="B129" s="162" t="s">
        <v>880</v>
      </c>
      <c r="C129" s="100"/>
      <c r="D129" s="42" t="s">
        <v>366</v>
      </c>
      <c r="E129" s="42" t="s">
        <v>364</v>
      </c>
      <c r="F129" s="229" t="s">
        <v>182</v>
      </c>
      <c r="G129" s="230"/>
      <c r="H129" s="102"/>
      <c r="I129" s="20"/>
      <c r="J129" s="102"/>
      <c r="K129" s="102"/>
      <c r="L129" s="20"/>
      <c r="M129" s="102"/>
      <c r="N129" s="102"/>
      <c r="O129" s="20"/>
      <c r="P129" s="102"/>
      <c r="Q129" s="102"/>
      <c r="R129" s="102"/>
      <c r="S129" s="100"/>
      <c r="T129" s="103"/>
      <c r="U129" s="103"/>
      <c r="V129" s="153"/>
    </row>
    <row r="130" spans="2:22" ht="45" customHeight="1">
      <c r="B130" s="162" t="s">
        <v>881</v>
      </c>
      <c r="C130" s="100"/>
      <c r="D130" s="42" t="s">
        <v>161</v>
      </c>
      <c r="E130" s="42" t="s">
        <v>365</v>
      </c>
      <c r="F130" s="229" t="s">
        <v>398</v>
      </c>
      <c r="G130" s="230"/>
      <c r="H130" s="102"/>
      <c r="I130" s="20"/>
      <c r="J130" s="102"/>
      <c r="K130" s="102"/>
      <c r="L130" s="20"/>
      <c r="M130" s="102"/>
      <c r="N130" s="102"/>
      <c r="O130" s="20"/>
      <c r="P130" s="102"/>
      <c r="Q130" s="102"/>
      <c r="R130" s="102"/>
      <c r="S130" s="100"/>
      <c r="T130" s="103"/>
      <c r="U130" s="103"/>
      <c r="V130" s="153"/>
    </row>
    <row r="131" spans="2:22" ht="45" customHeight="1">
      <c r="B131" s="162" t="s">
        <v>882</v>
      </c>
      <c r="C131" s="100"/>
      <c r="D131" s="42" t="s">
        <v>161</v>
      </c>
      <c r="E131" s="42" t="s">
        <v>372</v>
      </c>
      <c r="F131" s="229" t="s">
        <v>1231</v>
      </c>
      <c r="G131" s="230"/>
      <c r="H131" s="102"/>
      <c r="I131" s="20"/>
      <c r="J131" s="102"/>
      <c r="K131" s="155"/>
      <c r="L131" s="156"/>
      <c r="M131" s="155"/>
      <c r="N131" s="155"/>
      <c r="O131" s="156"/>
      <c r="P131" s="155"/>
      <c r="Q131" s="102"/>
      <c r="R131" s="102"/>
      <c r="S131" s="100"/>
      <c r="T131" s="103"/>
      <c r="U131" s="103"/>
      <c r="V131" s="153"/>
    </row>
    <row r="132" spans="2:22" ht="45" customHeight="1">
      <c r="B132" s="162" t="s">
        <v>883</v>
      </c>
      <c r="C132" s="100"/>
      <c r="D132" s="42" t="s">
        <v>1116</v>
      </c>
      <c r="E132" s="42" t="s">
        <v>305</v>
      </c>
      <c r="F132" s="225" t="s">
        <v>1224</v>
      </c>
      <c r="G132" s="226"/>
      <c r="H132" s="102"/>
      <c r="I132" s="20"/>
      <c r="J132" s="102"/>
      <c r="K132" s="155"/>
      <c r="L132" s="156"/>
      <c r="M132" s="155"/>
      <c r="N132" s="155"/>
      <c r="O132" s="156"/>
      <c r="P132" s="155"/>
      <c r="Q132" s="102"/>
      <c r="R132" s="102"/>
      <c r="S132" s="100"/>
      <c r="T132" s="103"/>
      <c r="U132" s="103"/>
      <c r="V132" s="153"/>
    </row>
    <row r="133" spans="2:22" ht="45" customHeight="1">
      <c r="B133" s="162" t="s">
        <v>884</v>
      </c>
      <c r="C133" s="100"/>
      <c r="D133" s="42" t="s">
        <v>1307</v>
      </c>
      <c r="E133" s="42" t="s">
        <v>181</v>
      </c>
      <c r="F133" s="225" t="s">
        <v>1225</v>
      </c>
      <c r="G133" s="226"/>
      <c r="H133" s="102"/>
      <c r="I133" s="20"/>
      <c r="J133" s="102"/>
      <c r="K133" s="155"/>
      <c r="L133" s="156"/>
      <c r="M133" s="155"/>
      <c r="N133" s="155"/>
      <c r="O133" s="156"/>
      <c r="P133" s="155"/>
      <c r="Q133" s="102"/>
      <c r="R133" s="102"/>
      <c r="S133" s="100"/>
      <c r="T133" s="103"/>
      <c r="U133" s="103"/>
      <c r="V133" s="153"/>
    </row>
    <row r="134" spans="2:22" ht="45" customHeight="1">
      <c r="B134" s="162" t="s">
        <v>885</v>
      </c>
      <c r="C134" s="115" t="s">
        <v>1149</v>
      </c>
      <c r="D134" s="42" t="s">
        <v>161</v>
      </c>
      <c r="E134" s="42" t="s">
        <v>132</v>
      </c>
      <c r="F134" s="225" t="s">
        <v>295</v>
      </c>
      <c r="G134" s="226"/>
      <c r="H134" s="102"/>
      <c r="I134" s="20"/>
      <c r="J134" s="102"/>
      <c r="K134" s="102"/>
      <c r="L134" s="20"/>
      <c r="M134" s="102"/>
      <c r="N134" s="102"/>
      <c r="O134" s="20"/>
      <c r="P134" s="102"/>
      <c r="Q134" s="102"/>
      <c r="R134" s="102"/>
      <c r="S134" s="100"/>
      <c r="T134" s="103"/>
      <c r="U134" s="103"/>
      <c r="V134" s="153"/>
    </row>
    <row r="135" spans="2:22" ht="45" customHeight="1">
      <c r="B135" s="162" t="s">
        <v>886</v>
      </c>
      <c r="C135" s="100"/>
      <c r="D135" s="42" t="s">
        <v>161</v>
      </c>
      <c r="E135" s="42" t="s">
        <v>161</v>
      </c>
      <c r="F135" s="225" t="s">
        <v>229</v>
      </c>
      <c r="G135" s="226"/>
      <c r="H135" s="102"/>
      <c r="I135" s="20"/>
      <c r="J135" s="102"/>
      <c r="K135" s="102"/>
      <c r="L135" s="20"/>
      <c r="M135" s="102"/>
      <c r="N135" s="102"/>
      <c r="O135" s="20"/>
      <c r="P135" s="102"/>
      <c r="Q135" s="102"/>
      <c r="R135" s="102"/>
      <c r="S135" s="100"/>
      <c r="T135" s="103"/>
      <c r="U135" s="103"/>
      <c r="V135" s="153"/>
    </row>
    <row r="136" spans="2:22" ht="45" customHeight="1">
      <c r="B136" s="162" t="s">
        <v>887</v>
      </c>
      <c r="C136" s="100"/>
      <c r="D136" s="42" t="s">
        <v>366</v>
      </c>
      <c r="E136" s="42" t="s">
        <v>364</v>
      </c>
      <c r="F136" s="229" t="s">
        <v>182</v>
      </c>
      <c r="G136" s="230"/>
      <c r="H136" s="102"/>
      <c r="I136" s="20"/>
      <c r="J136" s="102"/>
      <c r="K136" s="102"/>
      <c r="L136" s="20"/>
      <c r="M136" s="102"/>
      <c r="N136" s="102"/>
      <c r="O136" s="20"/>
      <c r="P136" s="102"/>
      <c r="Q136" s="102"/>
      <c r="R136" s="102"/>
      <c r="S136" s="100"/>
      <c r="T136" s="103"/>
      <c r="U136" s="103"/>
      <c r="V136" s="153"/>
    </row>
    <row r="137" spans="2:22" ht="45" customHeight="1">
      <c r="B137" s="162" t="s">
        <v>888</v>
      </c>
      <c r="C137" s="100"/>
      <c r="D137" s="42" t="s">
        <v>161</v>
      </c>
      <c r="E137" s="42" t="s">
        <v>365</v>
      </c>
      <c r="F137" s="229" t="s">
        <v>369</v>
      </c>
      <c r="G137" s="230"/>
      <c r="H137" s="102"/>
      <c r="I137" s="20"/>
      <c r="J137" s="102"/>
      <c r="K137" s="102"/>
      <c r="L137" s="20"/>
      <c r="M137" s="102"/>
      <c r="N137" s="102"/>
      <c r="O137" s="20"/>
      <c r="P137" s="102"/>
      <c r="Q137" s="102"/>
      <c r="R137" s="102"/>
      <c r="S137" s="100"/>
      <c r="T137" s="103"/>
      <c r="U137" s="103"/>
      <c r="V137" s="153"/>
    </row>
    <row r="138" spans="2:22" ht="45" customHeight="1">
      <c r="B138" s="162" t="s">
        <v>889</v>
      </c>
      <c r="C138" s="115" t="s">
        <v>1150</v>
      </c>
      <c r="D138" s="42" t="s">
        <v>161</v>
      </c>
      <c r="E138" s="42" t="s">
        <v>132</v>
      </c>
      <c r="F138" s="225" t="s">
        <v>371</v>
      </c>
      <c r="G138" s="226"/>
      <c r="H138" s="102"/>
      <c r="I138" s="20"/>
      <c r="J138" s="102"/>
      <c r="K138" s="102"/>
      <c r="L138" s="20"/>
      <c r="M138" s="102"/>
      <c r="N138" s="102"/>
      <c r="O138" s="20"/>
      <c r="P138" s="102"/>
      <c r="Q138" s="102"/>
      <c r="R138" s="102"/>
      <c r="S138" s="100"/>
      <c r="T138" s="103"/>
      <c r="U138" s="103"/>
      <c r="V138" s="153"/>
    </row>
    <row r="139" spans="2:22" ht="45" customHeight="1">
      <c r="B139" s="162" t="s">
        <v>890</v>
      </c>
      <c r="C139" s="100"/>
      <c r="D139" s="42" t="s">
        <v>161</v>
      </c>
      <c r="E139" s="42" t="s">
        <v>161</v>
      </c>
      <c r="F139" s="225" t="s">
        <v>229</v>
      </c>
      <c r="G139" s="226"/>
      <c r="H139" s="102"/>
      <c r="I139" s="20"/>
      <c r="J139" s="102"/>
      <c r="K139" s="102"/>
      <c r="L139" s="20"/>
      <c r="M139" s="102"/>
      <c r="N139" s="102"/>
      <c r="O139" s="20"/>
      <c r="P139" s="102"/>
      <c r="Q139" s="102"/>
      <c r="R139" s="102"/>
      <c r="S139" s="100"/>
      <c r="T139" s="103"/>
      <c r="U139" s="103"/>
      <c r="V139" s="153"/>
    </row>
    <row r="140" spans="2:22" ht="45" customHeight="1">
      <c r="B140" s="162" t="s">
        <v>891</v>
      </c>
      <c r="C140" s="100" t="s">
        <v>428</v>
      </c>
      <c r="D140" s="42" t="s">
        <v>1114</v>
      </c>
      <c r="E140" s="42" t="s">
        <v>370</v>
      </c>
      <c r="F140" s="225" t="s">
        <v>133</v>
      </c>
      <c r="G140" s="226"/>
      <c r="H140" s="102"/>
      <c r="I140" s="20"/>
      <c r="J140" s="102"/>
      <c r="K140" s="102"/>
      <c r="L140" s="20"/>
      <c r="M140" s="102"/>
      <c r="N140" s="102"/>
      <c r="O140" s="20"/>
      <c r="P140" s="102"/>
      <c r="Q140" s="178"/>
      <c r="R140" s="102"/>
      <c r="S140" s="100"/>
      <c r="T140" s="103"/>
      <c r="U140" s="103"/>
      <c r="V140" s="153"/>
    </row>
    <row r="141" spans="2:22" ht="45" customHeight="1">
      <c r="B141" s="162" t="s">
        <v>892</v>
      </c>
      <c r="C141" s="100" t="s">
        <v>428</v>
      </c>
      <c r="D141" s="42" t="s">
        <v>1117</v>
      </c>
      <c r="E141" s="42" t="s">
        <v>370</v>
      </c>
      <c r="F141" s="225" t="s">
        <v>229</v>
      </c>
      <c r="G141" s="226"/>
      <c r="H141" s="102"/>
      <c r="I141" s="20"/>
      <c r="J141" s="102"/>
      <c r="K141" s="102"/>
      <c r="L141" s="20"/>
      <c r="M141" s="102"/>
      <c r="N141" s="102"/>
      <c r="O141" s="20"/>
      <c r="P141" s="102"/>
      <c r="Q141" s="178"/>
      <c r="R141" s="102"/>
      <c r="S141" s="100"/>
      <c r="T141" s="103"/>
      <c r="U141" s="103"/>
      <c r="V141" s="153"/>
    </row>
    <row r="142" spans="2:22" ht="45" customHeight="1">
      <c r="B142" s="162" t="s">
        <v>893</v>
      </c>
      <c r="C142" s="42" t="s">
        <v>1234</v>
      </c>
      <c r="D142" s="42" t="s">
        <v>161</v>
      </c>
      <c r="E142" s="42" t="s">
        <v>132</v>
      </c>
      <c r="F142" s="225" t="s">
        <v>295</v>
      </c>
      <c r="G142" s="226"/>
      <c r="H142" s="102"/>
      <c r="I142" s="20"/>
      <c r="J142" s="102"/>
      <c r="K142" s="102"/>
      <c r="L142" s="20"/>
      <c r="M142" s="102"/>
      <c r="N142" s="102"/>
      <c r="O142" s="20"/>
      <c r="P142" s="102"/>
      <c r="Q142" s="102"/>
      <c r="R142" s="102"/>
      <c r="S142" s="100"/>
      <c r="T142" s="103"/>
      <c r="U142" s="103"/>
      <c r="V142" s="153"/>
    </row>
    <row r="143" spans="2:22" ht="45" customHeight="1">
      <c r="B143" s="162" t="s">
        <v>894</v>
      </c>
      <c r="C143" s="100"/>
      <c r="D143" s="42" t="s">
        <v>161</v>
      </c>
      <c r="E143" s="42" t="s">
        <v>161</v>
      </c>
      <c r="F143" s="225" t="s">
        <v>229</v>
      </c>
      <c r="G143" s="226"/>
      <c r="H143" s="102"/>
      <c r="I143" s="20"/>
      <c r="J143" s="102"/>
      <c r="K143" s="102"/>
      <c r="L143" s="20"/>
      <c r="M143" s="102"/>
      <c r="N143" s="102"/>
      <c r="O143" s="20"/>
      <c r="P143" s="102"/>
      <c r="Q143" s="102"/>
      <c r="R143" s="102"/>
      <c r="S143" s="100"/>
      <c r="T143" s="103"/>
      <c r="U143" s="103"/>
      <c r="V143" s="153"/>
    </row>
    <row r="144" spans="2:22" ht="45" customHeight="1">
      <c r="B144" s="162" t="s">
        <v>895</v>
      </c>
      <c r="C144" s="100"/>
      <c r="D144" s="42" t="s">
        <v>366</v>
      </c>
      <c r="E144" s="42" t="s">
        <v>364</v>
      </c>
      <c r="F144" s="229" t="s">
        <v>182</v>
      </c>
      <c r="G144" s="230"/>
      <c r="H144" s="102"/>
      <c r="I144" s="20"/>
      <c r="J144" s="102"/>
      <c r="K144" s="102"/>
      <c r="L144" s="20"/>
      <c r="M144" s="102"/>
      <c r="N144" s="102"/>
      <c r="O144" s="20"/>
      <c r="P144" s="102"/>
      <c r="Q144" s="102"/>
      <c r="R144" s="102"/>
      <c r="S144" s="100"/>
      <c r="T144" s="103"/>
      <c r="U144" s="103"/>
      <c r="V144" s="153"/>
    </row>
    <row r="145" spans="2:22" ht="45" customHeight="1">
      <c r="B145" s="162" t="s">
        <v>896</v>
      </c>
      <c r="C145" s="100"/>
      <c r="D145" s="42" t="s">
        <v>161</v>
      </c>
      <c r="E145" s="42" t="s">
        <v>365</v>
      </c>
      <c r="F145" s="229" t="s">
        <v>398</v>
      </c>
      <c r="G145" s="230"/>
      <c r="H145" s="102"/>
      <c r="I145" s="20"/>
      <c r="J145" s="102"/>
      <c r="K145" s="102"/>
      <c r="L145" s="20"/>
      <c r="M145" s="102"/>
      <c r="N145" s="102"/>
      <c r="O145" s="20"/>
      <c r="P145" s="102"/>
      <c r="Q145" s="102"/>
      <c r="R145" s="102"/>
      <c r="S145" s="100"/>
      <c r="T145" s="103"/>
      <c r="U145" s="103"/>
      <c r="V145" s="153"/>
    </row>
    <row r="146" spans="2:22" ht="45" customHeight="1">
      <c r="B146" s="162" t="s">
        <v>897</v>
      </c>
      <c r="C146" s="100"/>
      <c r="D146" s="42" t="s">
        <v>1118</v>
      </c>
      <c r="E146" s="42" t="s">
        <v>305</v>
      </c>
      <c r="F146" s="225" t="s">
        <v>1224</v>
      </c>
      <c r="G146" s="226"/>
      <c r="H146" s="102"/>
      <c r="I146" s="20"/>
      <c r="J146" s="102"/>
      <c r="K146" s="155"/>
      <c r="L146" s="156"/>
      <c r="M146" s="155"/>
      <c r="N146" s="155"/>
      <c r="O146" s="156"/>
      <c r="P146" s="155"/>
      <c r="Q146" s="102"/>
      <c r="R146" s="102"/>
      <c r="S146" s="100"/>
      <c r="T146" s="103"/>
      <c r="U146" s="103"/>
      <c r="V146" s="153"/>
    </row>
    <row r="147" spans="2:22" ht="45" customHeight="1">
      <c r="B147" s="162" t="s">
        <v>898</v>
      </c>
      <c r="C147" s="100"/>
      <c r="D147" s="42" t="s">
        <v>1119</v>
      </c>
      <c r="E147" s="42" t="s">
        <v>181</v>
      </c>
      <c r="F147" s="225" t="s">
        <v>1228</v>
      </c>
      <c r="G147" s="226"/>
      <c r="H147" s="102"/>
      <c r="I147" s="20"/>
      <c r="J147" s="102"/>
      <c r="K147" s="155"/>
      <c r="L147" s="156"/>
      <c r="M147" s="155"/>
      <c r="N147" s="155"/>
      <c r="O147" s="156"/>
      <c r="P147" s="155"/>
      <c r="Q147" s="102"/>
      <c r="R147" s="102"/>
      <c r="S147" s="100"/>
      <c r="T147" s="103"/>
      <c r="U147" s="103"/>
      <c r="V147" s="153"/>
    </row>
    <row r="148" spans="2:22" ht="45" customHeight="1">
      <c r="B148" s="162" t="s">
        <v>899</v>
      </c>
      <c r="C148" s="100"/>
      <c r="D148" s="42" t="s">
        <v>1308</v>
      </c>
      <c r="E148" s="42" t="s">
        <v>181</v>
      </c>
      <c r="F148" s="225" t="s">
        <v>1228</v>
      </c>
      <c r="G148" s="226"/>
      <c r="H148" s="102"/>
      <c r="I148" s="20"/>
      <c r="J148" s="102"/>
      <c r="K148" s="155"/>
      <c r="L148" s="156"/>
      <c r="M148" s="155"/>
      <c r="N148" s="155"/>
      <c r="O148" s="156"/>
      <c r="P148" s="155"/>
      <c r="Q148" s="102"/>
      <c r="R148" s="102"/>
      <c r="S148" s="100"/>
      <c r="T148" s="103"/>
      <c r="U148" s="103"/>
      <c r="V148" s="153"/>
    </row>
    <row r="149" spans="2:22" ht="45" customHeight="1">
      <c r="B149" s="162" t="s">
        <v>900</v>
      </c>
      <c r="C149" s="115" t="s">
        <v>1152</v>
      </c>
      <c r="D149" s="42" t="s">
        <v>161</v>
      </c>
      <c r="E149" s="42" t="s">
        <v>132</v>
      </c>
      <c r="F149" s="225" t="s">
        <v>371</v>
      </c>
      <c r="G149" s="226"/>
      <c r="H149" s="102"/>
      <c r="I149" s="20"/>
      <c r="J149" s="102"/>
      <c r="K149" s="102"/>
      <c r="L149" s="20"/>
      <c r="M149" s="102"/>
      <c r="N149" s="102"/>
      <c r="O149" s="20"/>
      <c r="P149" s="102"/>
      <c r="Q149" s="102"/>
      <c r="R149" s="102"/>
      <c r="S149" s="100"/>
      <c r="T149" s="103"/>
      <c r="U149" s="103"/>
      <c r="V149" s="153"/>
    </row>
    <row r="150" spans="2:22" ht="45" customHeight="1">
      <c r="B150" s="162" t="s">
        <v>901</v>
      </c>
      <c r="C150" s="100"/>
      <c r="D150" s="42" t="s">
        <v>161</v>
      </c>
      <c r="E150" s="42" t="s">
        <v>161</v>
      </c>
      <c r="F150" s="225" t="s">
        <v>229</v>
      </c>
      <c r="G150" s="226"/>
      <c r="H150" s="102"/>
      <c r="I150" s="20"/>
      <c r="J150" s="102"/>
      <c r="K150" s="102"/>
      <c r="L150" s="20"/>
      <c r="M150" s="102"/>
      <c r="N150" s="102"/>
      <c r="O150" s="20"/>
      <c r="P150" s="102"/>
      <c r="Q150" s="102"/>
      <c r="R150" s="102"/>
      <c r="S150" s="100"/>
      <c r="T150" s="103"/>
      <c r="U150" s="103"/>
      <c r="V150" s="153"/>
    </row>
    <row r="151" spans="2:22" ht="45" customHeight="1">
      <c r="B151" s="162" t="s">
        <v>902</v>
      </c>
      <c r="C151" s="42" t="s">
        <v>1212</v>
      </c>
      <c r="D151" s="42" t="s">
        <v>161</v>
      </c>
      <c r="E151" s="42" t="s">
        <v>1205</v>
      </c>
      <c r="F151" s="225" t="s">
        <v>183</v>
      </c>
      <c r="G151" s="226"/>
      <c r="H151" s="102"/>
      <c r="I151" s="20"/>
      <c r="J151" s="102"/>
      <c r="K151" s="102"/>
      <c r="L151" s="20"/>
      <c r="M151" s="102"/>
      <c r="N151" s="102"/>
      <c r="O151" s="20"/>
      <c r="P151" s="102"/>
      <c r="Q151" s="102"/>
      <c r="R151" s="102"/>
      <c r="S151" s="100"/>
      <c r="T151" s="103"/>
      <c r="U151" s="103"/>
      <c r="V151" s="153"/>
    </row>
    <row r="152" spans="2:22" ht="116.45" customHeight="1">
      <c r="B152" s="162" t="s">
        <v>902</v>
      </c>
      <c r="C152" s="42" t="s">
        <v>161</v>
      </c>
      <c r="D152" s="42" t="s">
        <v>1206</v>
      </c>
      <c r="E152" s="42" t="s">
        <v>1207</v>
      </c>
      <c r="F152" s="225" t="s">
        <v>102</v>
      </c>
      <c r="G152" s="226"/>
      <c r="H152" s="102"/>
      <c r="I152" s="20"/>
      <c r="J152" s="102"/>
      <c r="K152" s="102"/>
      <c r="L152" s="20"/>
      <c r="M152" s="102"/>
      <c r="N152" s="102"/>
      <c r="O152" s="20"/>
      <c r="P152" s="102"/>
      <c r="Q152" s="178"/>
      <c r="R152" s="102"/>
      <c r="S152" s="100"/>
      <c r="T152" s="103"/>
      <c r="U152" s="103"/>
      <c r="V152" s="174"/>
    </row>
    <row r="153" spans="2:22" ht="116.45" customHeight="1">
      <c r="B153" s="162" t="s">
        <v>902</v>
      </c>
      <c r="C153" s="42" t="s">
        <v>161</v>
      </c>
      <c r="D153" s="42" t="s">
        <v>1208</v>
      </c>
      <c r="E153" s="42" t="s">
        <v>161</v>
      </c>
      <c r="F153" s="225" t="s">
        <v>101</v>
      </c>
      <c r="G153" s="226"/>
      <c r="H153" s="102"/>
      <c r="I153" s="20"/>
      <c r="J153" s="102"/>
      <c r="K153" s="102"/>
      <c r="L153" s="20"/>
      <c r="M153" s="102"/>
      <c r="N153" s="102"/>
      <c r="O153" s="20"/>
      <c r="P153" s="102"/>
      <c r="Q153" s="178"/>
      <c r="R153" s="102"/>
      <c r="S153" s="100"/>
      <c r="T153" s="103"/>
      <c r="U153" s="103"/>
      <c r="V153" s="174"/>
    </row>
    <row r="154" spans="2:22" ht="45" customHeight="1">
      <c r="B154" s="162" t="s">
        <v>903</v>
      </c>
      <c r="C154" s="42" t="s">
        <v>161</v>
      </c>
      <c r="D154" s="42" t="s">
        <v>1213</v>
      </c>
      <c r="E154" s="42" t="s">
        <v>373</v>
      </c>
      <c r="F154" s="225" t="s">
        <v>1215</v>
      </c>
      <c r="G154" s="226"/>
      <c r="H154" s="102"/>
      <c r="I154" s="20"/>
      <c r="J154" s="102"/>
      <c r="K154" s="102"/>
      <c r="L154" s="20"/>
      <c r="M154" s="102"/>
      <c r="N154" s="102"/>
      <c r="O154" s="20"/>
      <c r="P154" s="102"/>
      <c r="Q154" s="178"/>
      <c r="R154" s="102"/>
      <c r="S154" s="100"/>
      <c r="T154" s="103"/>
      <c r="U154" s="103"/>
      <c r="V154" s="153"/>
    </row>
    <row r="155" spans="2:22" ht="45" customHeight="1">
      <c r="B155" s="162" t="s">
        <v>903</v>
      </c>
      <c r="C155" s="42" t="s">
        <v>161</v>
      </c>
      <c r="D155" s="42" t="s">
        <v>1214</v>
      </c>
      <c r="E155" s="42" t="s">
        <v>161</v>
      </c>
      <c r="F155" s="225" t="s">
        <v>1216</v>
      </c>
      <c r="G155" s="226"/>
      <c r="H155" s="102"/>
      <c r="I155" s="20"/>
      <c r="J155" s="102"/>
      <c r="K155" s="102"/>
      <c r="L155" s="20"/>
      <c r="M155" s="102"/>
      <c r="N155" s="102"/>
      <c r="O155" s="20"/>
      <c r="P155" s="102"/>
      <c r="Q155" s="178"/>
      <c r="R155" s="102"/>
      <c r="S155" s="100"/>
      <c r="T155" s="103"/>
      <c r="U155" s="103"/>
      <c r="V155" s="174"/>
    </row>
    <row r="156" spans="2:22" ht="45" customHeight="1">
      <c r="B156" s="162" t="s">
        <v>904</v>
      </c>
      <c r="C156" s="42" t="s">
        <v>161</v>
      </c>
      <c r="D156" s="42" t="s">
        <v>1218</v>
      </c>
      <c r="E156" s="42" t="s">
        <v>161</v>
      </c>
      <c r="F156" s="225" t="s">
        <v>1219</v>
      </c>
      <c r="G156" s="226"/>
      <c r="H156" s="102"/>
      <c r="I156" s="20"/>
      <c r="J156" s="102"/>
      <c r="K156" s="102"/>
      <c r="L156" s="20"/>
      <c r="M156" s="102"/>
      <c r="N156" s="102"/>
      <c r="O156" s="20"/>
      <c r="P156" s="102"/>
      <c r="Q156" s="102"/>
      <c r="R156" s="102"/>
      <c r="S156" s="100"/>
      <c r="T156" s="103"/>
      <c r="U156" s="103"/>
      <c r="V156" s="174"/>
    </row>
    <row r="157" spans="2:22" ht="45" customHeight="1">
      <c r="B157" s="162" t="s">
        <v>904</v>
      </c>
      <c r="C157" s="42" t="s">
        <v>161</v>
      </c>
      <c r="D157" s="42" t="s">
        <v>1217</v>
      </c>
      <c r="E157" s="42" t="s">
        <v>161</v>
      </c>
      <c r="F157" s="225" t="s">
        <v>1220</v>
      </c>
      <c r="G157" s="226"/>
      <c r="H157" s="102"/>
      <c r="I157" s="20"/>
      <c r="J157" s="102"/>
      <c r="K157" s="102"/>
      <c r="L157" s="20"/>
      <c r="M157" s="102"/>
      <c r="N157" s="102"/>
      <c r="O157" s="20"/>
      <c r="P157" s="102"/>
      <c r="Q157" s="178"/>
      <c r="R157" s="102"/>
      <c r="S157" s="100"/>
      <c r="T157" s="103"/>
      <c r="U157" s="103"/>
      <c r="V157" s="174"/>
    </row>
    <row r="158" spans="2:22" ht="45" customHeight="1">
      <c r="B158" s="162" t="s">
        <v>905</v>
      </c>
      <c r="C158" s="42" t="s">
        <v>161</v>
      </c>
      <c r="D158" s="42" t="s">
        <v>1120</v>
      </c>
      <c r="E158" s="42" t="s">
        <v>161</v>
      </c>
      <c r="F158" s="225" t="s">
        <v>374</v>
      </c>
      <c r="G158" s="226"/>
      <c r="H158" s="102"/>
      <c r="I158" s="20"/>
      <c r="J158" s="102"/>
      <c r="K158" s="102"/>
      <c r="L158" s="20"/>
      <c r="M158" s="102"/>
      <c r="N158" s="102"/>
      <c r="O158" s="20"/>
      <c r="P158" s="102"/>
      <c r="Q158" s="102"/>
      <c r="R158" s="102"/>
      <c r="S158" s="100"/>
      <c r="T158" s="103"/>
      <c r="U158" s="103"/>
      <c r="V158" s="153"/>
    </row>
    <row r="159" spans="2:22" ht="45" customHeight="1">
      <c r="B159" s="162" t="s">
        <v>905</v>
      </c>
      <c r="C159" s="42" t="s">
        <v>161</v>
      </c>
      <c r="D159" s="42" t="s">
        <v>1121</v>
      </c>
      <c r="E159" s="42" t="s">
        <v>161</v>
      </c>
      <c r="F159" s="225" t="s">
        <v>375</v>
      </c>
      <c r="G159" s="226"/>
      <c r="H159" s="102"/>
      <c r="I159" s="20"/>
      <c r="J159" s="102"/>
      <c r="K159" s="102"/>
      <c r="L159" s="20"/>
      <c r="M159" s="102"/>
      <c r="N159" s="102"/>
      <c r="O159" s="20"/>
      <c r="P159" s="102"/>
      <c r="Q159" s="102"/>
      <c r="R159" s="102"/>
      <c r="S159" s="100"/>
      <c r="T159" s="103"/>
      <c r="U159" s="103"/>
      <c r="V159" s="153"/>
    </row>
    <row r="160" spans="2:22" ht="45" customHeight="1">
      <c r="B160" s="162" t="s">
        <v>906</v>
      </c>
      <c r="C160" s="42" t="s">
        <v>161</v>
      </c>
      <c r="D160" s="42" t="s">
        <v>1122</v>
      </c>
      <c r="E160" s="42" t="s">
        <v>161</v>
      </c>
      <c r="F160" s="225" t="s">
        <v>376</v>
      </c>
      <c r="G160" s="226"/>
      <c r="H160" s="102"/>
      <c r="I160" s="20"/>
      <c r="J160" s="102"/>
      <c r="K160" s="102"/>
      <c r="L160" s="20"/>
      <c r="M160" s="102"/>
      <c r="N160" s="102"/>
      <c r="O160" s="20"/>
      <c r="P160" s="102"/>
      <c r="Q160" s="102"/>
      <c r="R160" s="102"/>
      <c r="S160" s="100"/>
      <c r="T160" s="103"/>
      <c r="U160" s="103"/>
      <c r="V160" s="153"/>
    </row>
    <row r="161" spans="2:22" ht="45" customHeight="1">
      <c r="B161" s="162" t="s">
        <v>907</v>
      </c>
      <c r="C161" s="42" t="s">
        <v>161</v>
      </c>
      <c r="D161" s="42" t="s">
        <v>366</v>
      </c>
      <c r="E161" s="42" t="s">
        <v>364</v>
      </c>
      <c r="F161" s="229" t="s">
        <v>182</v>
      </c>
      <c r="G161" s="230"/>
      <c r="H161" s="102"/>
      <c r="I161" s="20"/>
      <c r="J161" s="102"/>
      <c r="K161" s="102"/>
      <c r="L161" s="20"/>
      <c r="M161" s="102"/>
      <c r="N161" s="102"/>
      <c r="O161" s="20"/>
      <c r="P161" s="102"/>
      <c r="Q161" s="102"/>
      <c r="R161" s="102"/>
      <c r="S161" s="100"/>
      <c r="T161" s="103"/>
      <c r="U161" s="103"/>
      <c r="V161" s="153"/>
    </row>
    <row r="162" spans="2:22" ht="45" customHeight="1">
      <c r="B162" s="162" t="s">
        <v>908</v>
      </c>
      <c r="C162" s="42" t="s">
        <v>161</v>
      </c>
      <c r="D162" s="42" t="s">
        <v>161</v>
      </c>
      <c r="E162" s="42" t="s">
        <v>365</v>
      </c>
      <c r="F162" s="229" t="s">
        <v>367</v>
      </c>
      <c r="G162" s="230"/>
      <c r="H162" s="102"/>
      <c r="I162" s="20"/>
      <c r="J162" s="102"/>
      <c r="K162" s="102"/>
      <c r="L162" s="20"/>
      <c r="M162" s="102"/>
      <c r="N162" s="102"/>
      <c r="O162" s="20"/>
      <c r="P162" s="102"/>
      <c r="Q162" s="102"/>
      <c r="R162" s="102"/>
      <c r="S162" s="100"/>
      <c r="T162" s="103"/>
      <c r="U162" s="103"/>
      <c r="V162" s="153"/>
    </row>
    <row r="163" spans="2:22" ht="45" customHeight="1">
      <c r="B163" s="162" t="s">
        <v>909</v>
      </c>
      <c r="C163" s="42" t="s">
        <v>161</v>
      </c>
      <c r="D163" s="42" t="s">
        <v>161</v>
      </c>
      <c r="E163" s="42" t="s">
        <v>372</v>
      </c>
      <c r="F163" s="229" t="s">
        <v>1221</v>
      </c>
      <c r="G163" s="230"/>
      <c r="H163" s="102"/>
      <c r="I163" s="20"/>
      <c r="J163" s="102"/>
      <c r="K163" s="155"/>
      <c r="L163" s="156"/>
      <c r="M163" s="155"/>
      <c r="N163" s="155"/>
      <c r="O163" s="156"/>
      <c r="P163" s="155"/>
      <c r="Q163" s="102"/>
      <c r="R163" s="102"/>
      <c r="S163" s="100"/>
      <c r="T163" s="103"/>
      <c r="U163" s="103"/>
      <c r="V163" s="153"/>
    </row>
    <row r="164" spans="2:22" ht="45" customHeight="1">
      <c r="B164" s="162" t="s">
        <v>910</v>
      </c>
      <c r="C164" s="42" t="s">
        <v>161</v>
      </c>
      <c r="D164" s="42" t="s">
        <v>161</v>
      </c>
      <c r="E164" s="42" t="s">
        <v>305</v>
      </c>
      <c r="F164" s="225" t="s">
        <v>1232</v>
      </c>
      <c r="G164" s="226"/>
      <c r="H164" s="102"/>
      <c r="I164" s="20"/>
      <c r="J164" s="102"/>
      <c r="K164" s="155"/>
      <c r="L164" s="156"/>
      <c r="M164" s="155"/>
      <c r="N164" s="155"/>
      <c r="O164" s="156"/>
      <c r="P164" s="155"/>
      <c r="Q164" s="102"/>
      <c r="R164" s="102"/>
      <c r="S164" s="100"/>
      <c r="T164" s="103"/>
      <c r="U164" s="103"/>
      <c r="V164" s="153"/>
    </row>
    <row r="165" spans="2:22" ht="45" customHeight="1">
      <c r="B165" s="162" t="s">
        <v>911</v>
      </c>
      <c r="C165" s="42" t="s">
        <v>161</v>
      </c>
      <c r="D165" s="42" t="s">
        <v>161</v>
      </c>
      <c r="E165" s="42" t="s">
        <v>181</v>
      </c>
      <c r="F165" s="225" t="s">
        <v>1233</v>
      </c>
      <c r="G165" s="226"/>
      <c r="H165" s="102"/>
      <c r="I165" s="20"/>
      <c r="J165" s="102"/>
      <c r="K165" s="155"/>
      <c r="L165" s="156"/>
      <c r="M165" s="155"/>
      <c r="N165" s="155"/>
      <c r="O165" s="156"/>
      <c r="P165" s="155"/>
      <c r="Q165" s="102"/>
      <c r="R165" s="102"/>
      <c r="S165" s="100"/>
      <c r="T165" s="103"/>
      <c r="U165" s="103"/>
      <c r="V165" s="153"/>
    </row>
    <row r="166" spans="2:22" ht="45" customHeight="1">
      <c r="B166" s="162" t="s">
        <v>912</v>
      </c>
      <c r="C166" s="115" t="s">
        <v>1153</v>
      </c>
      <c r="D166" s="42" t="s">
        <v>161</v>
      </c>
      <c r="E166" s="42" t="s">
        <v>132</v>
      </c>
      <c r="F166" s="225" t="s">
        <v>371</v>
      </c>
      <c r="G166" s="226"/>
      <c r="H166" s="102"/>
      <c r="I166" s="20"/>
      <c r="J166" s="102"/>
      <c r="K166" s="102"/>
      <c r="L166" s="20"/>
      <c r="M166" s="102"/>
      <c r="N166" s="102"/>
      <c r="O166" s="20"/>
      <c r="P166" s="102"/>
      <c r="Q166" s="102"/>
      <c r="R166" s="102"/>
      <c r="S166" s="100"/>
      <c r="T166" s="103"/>
      <c r="U166" s="103"/>
      <c r="V166" s="153"/>
    </row>
    <row r="167" spans="2:22" ht="45" customHeight="1">
      <c r="B167" s="162" t="s">
        <v>913</v>
      </c>
      <c r="C167" s="100"/>
      <c r="D167" s="42" t="s">
        <v>161</v>
      </c>
      <c r="E167" s="42" t="s">
        <v>161</v>
      </c>
      <c r="F167" s="225" t="s">
        <v>229</v>
      </c>
      <c r="G167" s="226"/>
      <c r="H167" s="102"/>
      <c r="I167" s="20"/>
      <c r="J167" s="102"/>
      <c r="K167" s="102"/>
      <c r="L167" s="20"/>
      <c r="M167" s="102"/>
      <c r="N167" s="102"/>
      <c r="O167" s="20"/>
      <c r="P167" s="102"/>
      <c r="Q167" s="102"/>
      <c r="R167" s="102"/>
      <c r="S167" s="100"/>
      <c r="T167" s="103"/>
      <c r="U167" s="103"/>
      <c r="V167" s="153"/>
    </row>
    <row r="168" spans="2:22" ht="45" customHeight="1">
      <c r="B168" s="162" t="s">
        <v>914</v>
      </c>
      <c r="C168" s="115" t="s">
        <v>1154</v>
      </c>
      <c r="D168" s="42" t="s">
        <v>161</v>
      </c>
      <c r="E168" s="42" t="s">
        <v>132</v>
      </c>
      <c r="F168" s="225" t="s">
        <v>371</v>
      </c>
      <c r="G168" s="226"/>
      <c r="H168" s="102"/>
      <c r="I168" s="20"/>
      <c r="J168" s="102"/>
      <c r="K168" s="102"/>
      <c r="L168" s="20"/>
      <c r="M168" s="102"/>
      <c r="N168" s="102"/>
      <c r="O168" s="20"/>
      <c r="P168" s="102"/>
      <c r="Q168" s="102"/>
      <c r="R168" s="102"/>
      <c r="S168" s="100"/>
      <c r="T168" s="103"/>
      <c r="U168" s="103"/>
      <c r="V168" s="153"/>
    </row>
    <row r="169" spans="2:22" ht="45" customHeight="1">
      <c r="B169" s="162" t="s">
        <v>915</v>
      </c>
      <c r="C169" s="100"/>
      <c r="D169" s="42" t="s">
        <v>161</v>
      </c>
      <c r="E169" s="42" t="s">
        <v>161</v>
      </c>
      <c r="F169" s="225" t="s">
        <v>229</v>
      </c>
      <c r="G169" s="226"/>
      <c r="H169" s="102"/>
      <c r="I169" s="20"/>
      <c r="J169" s="102"/>
      <c r="K169" s="102"/>
      <c r="L169" s="20"/>
      <c r="M169" s="102"/>
      <c r="N169" s="102"/>
      <c r="O169" s="20"/>
      <c r="P169" s="102"/>
      <c r="Q169" s="102"/>
      <c r="R169" s="102"/>
      <c r="S169" s="100"/>
      <c r="T169" s="103"/>
      <c r="U169" s="103"/>
      <c r="V169" s="153"/>
    </row>
    <row r="170" spans="2:22" ht="45" customHeight="1">
      <c r="B170" s="162" t="s">
        <v>916</v>
      </c>
      <c r="C170" s="115" t="s">
        <v>1155</v>
      </c>
      <c r="D170" s="42" t="s">
        <v>161</v>
      </c>
      <c r="E170" s="42" t="s">
        <v>132</v>
      </c>
      <c r="F170" s="225" t="s">
        <v>371</v>
      </c>
      <c r="G170" s="226"/>
      <c r="H170" s="102"/>
      <c r="I170" s="20"/>
      <c r="J170" s="102"/>
      <c r="K170" s="102"/>
      <c r="L170" s="20"/>
      <c r="M170" s="102"/>
      <c r="N170" s="102"/>
      <c r="O170" s="20"/>
      <c r="P170" s="102"/>
      <c r="Q170" s="102"/>
      <c r="R170" s="102"/>
      <c r="S170" s="100"/>
      <c r="T170" s="103"/>
      <c r="U170" s="103"/>
      <c r="V170" s="153"/>
    </row>
    <row r="171" spans="2:22" ht="45" customHeight="1">
      <c r="B171" s="162" t="s">
        <v>917</v>
      </c>
      <c r="C171" s="100"/>
      <c r="D171" s="42" t="s">
        <v>161</v>
      </c>
      <c r="E171" s="42" t="s">
        <v>161</v>
      </c>
      <c r="F171" s="225" t="s">
        <v>229</v>
      </c>
      <c r="G171" s="226"/>
      <c r="H171" s="102"/>
      <c r="I171" s="20"/>
      <c r="J171" s="102"/>
      <c r="K171" s="102"/>
      <c r="L171" s="20"/>
      <c r="M171" s="102"/>
      <c r="N171" s="102"/>
      <c r="O171" s="20"/>
      <c r="P171" s="102"/>
      <c r="Q171" s="102"/>
      <c r="R171" s="102"/>
      <c r="S171" s="100"/>
      <c r="T171" s="103"/>
      <c r="U171" s="103"/>
      <c r="V171" s="153"/>
    </row>
    <row r="172" spans="2:22" ht="45" customHeight="1">
      <c r="B172" s="162" t="s">
        <v>918</v>
      </c>
      <c r="C172" s="115" t="s">
        <v>1156</v>
      </c>
      <c r="D172" s="42" t="s">
        <v>161</v>
      </c>
      <c r="E172" s="42" t="s">
        <v>132</v>
      </c>
      <c r="F172" s="225" t="s">
        <v>371</v>
      </c>
      <c r="G172" s="226"/>
      <c r="H172" s="102"/>
      <c r="I172" s="20"/>
      <c r="J172" s="102"/>
      <c r="K172" s="102"/>
      <c r="L172" s="20"/>
      <c r="M172" s="102"/>
      <c r="N172" s="102"/>
      <c r="O172" s="20"/>
      <c r="P172" s="102"/>
      <c r="Q172" s="102"/>
      <c r="R172" s="102"/>
      <c r="S172" s="100"/>
      <c r="T172" s="103"/>
      <c r="U172" s="103"/>
      <c r="V172" s="153"/>
    </row>
    <row r="173" spans="2:22" ht="45" customHeight="1">
      <c r="B173" s="162" t="s">
        <v>919</v>
      </c>
      <c r="C173" s="115" t="s">
        <v>1254</v>
      </c>
      <c r="D173" s="42" t="s">
        <v>161</v>
      </c>
      <c r="E173" s="42" t="s">
        <v>132</v>
      </c>
      <c r="F173" s="225" t="s">
        <v>377</v>
      </c>
      <c r="G173" s="226"/>
      <c r="H173" s="102"/>
      <c r="I173" s="20"/>
      <c r="J173" s="102"/>
      <c r="K173" s="102"/>
      <c r="L173" s="20"/>
      <c r="M173" s="102"/>
      <c r="N173" s="102"/>
      <c r="O173" s="20"/>
      <c r="P173" s="102"/>
      <c r="Q173" s="102"/>
      <c r="R173" s="102"/>
      <c r="S173" s="100"/>
      <c r="T173" s="103"/>
      <c r="U173" s="103"/>
      <c r="V173" s="153"/>
    </row>
    <row r="174" spans="2:22" ht="45" customHeight="1">
      <c r="B174" s="162" t="s">
        <v>920</v>
      </c>
      <c r="C174" s="115" t="s">
        <v>1158</v>
      </c>
      <c r="D174" s="42" t="s">
        <v>161</v>
      </c>
      <c r="E174" s="42" t="s">
        <v>132</v>
      </c>
      <c r="F174" s="225" t="s">
        <v>377</v>
      </c>
      <c r="G174" s="226"/>
      <c r="H174" s="102"/>
      <c r="I174" s="20"/>
      <c r="J174" s="102"/>
      <c r="K174" s="102"/>
      <c r="L174" s="20"/>
      <c r="M174" s="102"/>
      <c r="N174" s="102"/>
      <c r="O174" s="20"/>
      <c r="P174" s="102"/>
      <c r="Q174" s="102"/>
      <c r="R174" s="102"/>
      <c r="S174" s="100"/>
      <c r="T174" s="103"/>
      <c r="U174" s="103"/>
      <c r="V174" s="153"/>
    </row>
    <row r="175" spans="2:22" ht="45" customHeight="1">
      <c r="B175" s="162" t="s">
        <v>921</v>
      </c>
      <c r="C175" s="115" t="s">
        <v>1159</v>
      </c>
      <c r="D175" s="42" t="s">
        <v>161</v>
      </c>
      <c r="E175" s="42" t="s">
        <v>132</v>
      </c>
      <c r="F175" s="225" t="s">
        <v>371</v>
      </c>
      <c r="G175" s="226"/>
      <c r="H175" s="102"/>
      <c r="I175" s="20"/>
      <c r="J175" s="102"/>
      <c r="K175" s="102"/>
      <c r="L175" s="20"/>
      <c r="M175" s="102"/>
      <c r="N175" s="102"/>
      <c r="O175" s="20"/>
      <c r="P175" s="102"/>
      <c r="Q175" s="102"/>
      <c r="R175" s="102"/>
      <c r="S175" s="100"/>
      <c r="T175" s="103"/>
      <c r="U175" s="103"/>
      <c r="V175" s="153"/>
    </row>
    <row r="176" spans="2:22" ht="45" customHeight="1">
      <c r="B176" s="162" t="s">
        <v>922</v>
      </c>
      <c r="C176" s="115" t="s">
        <v>1160</v>
      </c>
      <c r="D176" s="42" t="s">
        <v>161</v>
      </c>
      <c r="E176" s="42" t="s">
        <v>132</v>
      </c>
      <c r="F176" s="225" t="s">
        <v>371</v>
      </c>
      <c r="G176" s="226"/>
      <c r="H176" s="102"/>
      <c r="I176" s="20"/>
      <c r="J176" s="102"/>
      <c r="K176" s="102"/>
      <c r="L176" s="20"/>
      <c r="M176" s="102"/>
      <c r="N176" s="102"/>
      <c r="O176" s="20"/>
      <c r="P176" s="102"/>
      <c r="Q176" s="102"/>
      <c r="R176" s="102"/>
      <c r="S176" s="100"/>
      <c r="T176" s="103"/>
      <c r="U176" s="103"/>
      <c r="V176" s="153"/>
    </row>
    <row r="177" spans="2:22" ht="45" customHeight="1">
      <c r="B177" s="162" t="s">
        <v>923</v>
      </c>
      <c r="C177" s="115" t="s">
        <v>1161</v>
      </c>
      <c r="D177" s="42" t="s">
        <v>161</v>
      </c>
      <c r="E177" s="42" t="s">
        <v>132</v>
      </c>
      <c r="F177" s="225" t="s">
        <v>371</v>
      </c>
      <c r="G177" s="226"/>
      <c r="H177" s="102"/>
      <c r="I177" s="20"/>
      <c r="J177" s="102"/>
      <c r="K177" s="102"/>
      <c r="L177" s="20"/>
      <c r="M177" s="102"/>
      <c r="N177" s="102"/>
      <c r="O177" s="20"/>
      <c r="P177" s="102"/>
      <c r="Q177" s="102"/>
      <c r="R177" s="102"/>
      <c r="S177" s="100"/>
      <c r="T177" s="103"/>
      <c r="U177" s="103"/>
      <c r="V177" s="153"/>
    </row>
    <row r="178" spans="2:22" ht="45" customHeight="1">
      <c r="B178" s="162" t="s">
        <v>924</v>
      </c>
      <c r="C178" s="115" t="s">
        <v>1162</v>
      </c>
      <c r="D178" s="42" t="s">
        <v>161</v>
      </c>
      <c r="E178" s="42" t="s">
        <v>132</v>
      </c>
      <c r="F178" s="225" t="s">
        <v>371</v>
      </c>
      <c r="G178" s="226"/>
      <c r="H178" s="102"/>
      <c r="I178" s="20"/>
      <c r="J178" s="102"/>
      <c r="K178" s="102"/>
      <c r="L178" s="20"/>
      <c r="M178" s="102"/>
      <c r="N178" s="102"/>
      <c r="O178" s="20"/>
      <c r="P178" s="102"/>
      <c r="Q178" s="102"/>
      <c r="R178" s="102"/>
      <c r="S178" s="100"/>
      <c r="T178" s="103"/>
      <c r="U178" s="103"/>
      <c r="V178" s="153"/>
    </row>
    <row r="179" spans="2:22" ht="45" customHeight="1">
      <c r="B179" s="162" t="s">
        <v>925</v>
      </c>
      <c r="C179" s="115" t="s">
        <v>1163</v>
      </c>
      <c r="D179" s="42" t="s">
        <v>161</v>
      </c>
      <c r="E179" s="42" t="s">
        <v>132</v>
      </c>
      <c r="F179" s="225" t="s">
        <v>371</v>
      </c>
      <c r="G179" s="226"/>
      <c r="H179" s="102"/>
      <c r="I179" s="20"/>
      <c r="J179" s="102"/>
      <c r="K179" s="102"/>
      <c r="L179" s="20"/>
      <c r="M179" s="102"/>
      <c r="N179" s="102"/>
      <c r="O179" s="20"/>
      <c r="P179" s="102"/>
      <c r="Q179" s="102"/>
      <c r="R179" s="102"/>
      <c r="S179" s="100"/>
      <c r="T179" s="103"/>
      <c r="U179" s="103"/>
      <c r="V179" s="153"/>
    </row>
    <row r="180" spans="2:22" ht="45" customHeight="1">
      <c r="B180" s="162" t="s">
        <v>926</v>
      </c>
      <c r="C180" s="42" t="s">
        <v>1124</v>
      </c>
      <c r="D180" s="115" t="s">
        <v>1123</v>
      </c>
      <c r="E180" s="115" t="s">
        <v>132</v>
      </c>
      <c r="F180" s="225" t="s">
        <v>445</v>
      </c>
      <c r="G180" s="226"/>
      <c r="H180" s="102"/>
      <c r="I180" s="20"/>
      <c r="J180" s="102"/>
      <c r="K180" s="102"/>
      <c r="L180" s="20"/>
      <c r="M180" s="102"/>
      <c r="N180" s="102"/>
      <c r="O180" s="20"/>
      <c r="P180" s="102"/>
      <c r="Q180" s="102"/>
      <c r="R180" s="102"/>
      <c r="S180" s="100"/>
      <c r="T180" s="103"/>
      <c r="U180" s="103"/>
      <c r="V180" s="153"/>
    </row>
    <row r="181" spans="2:22" ht="45" customHeight="1">
      <c r="B181" s="162" t="s">
        <v>927</v>
      </c>
      <c r="C181" s="100" t="s">
        <v>761</v>
      </c>
      <c r="D181" s="115" t="s">
        <v>1123</v>
      </c>
      <c r="E181" s="115" t="s">
        <v>132</v>
      </c>
      <c r="F181" s="225" t="s">
        <v>445</v>
      </c>
      <c r="G181" s="226"/>
      <c r="H181" s="102"/>
      <c r="I181" s="20"/>
      <c r="J181" s="102"/>
      <c r="K181" s="102"/>
      <c r="L181" s="20"/>
      <c r="M181" s="102"/>
      <c r="N181" s="102"/>
      <c r="O181" s="20"/>
      <c r="P181" s="102"/>
      <c r="Q181" s="102"/>
      <c r="R181" s="102"/>
      <c r="S181" s="100"/>
      <c r="T181" s="103"/>
      <c r="U181" s="103"/>
      <c r="V181" s="153"/>
    </row>
    <row r="182" spans="2:22" ht="45" customHeight="1">
      <c r="B182" s="162" t="s">
        <v>928</v>
      </c>
      <c r="C182" s="100" t="s">
        <v>1091</v>
      </c>
      <c r="D182" s="115" t="s">
        <v>1123</v>
      </c>
      <c r="E182" s="115" t="s">
        <v>132</v>
      </c>
      <c r="F182" s="225" t="s">
        <v>445</v>
      </c>
      <c r="G182" s="226"/>
      <c r="H182" s="102"/>
      <c r="I182" s="20"/>
      <c r="J182" s="102"/>
      <c r="K182" s="102"/>
      <c r="L182" s="20"/>
      <c r="M182" s="102"/>
      <c r="N182" s="102"/>
      <c r="O182" s="20"/>
      <c r="P182" s="102"/>
      <c r="Q182" s="102"/>
      <c r="R182" s="102"/>
      <c r="S182" s="100"/>
      <c r="T182" s="103"/>
      <c r="U182" s="103"/>
      <c r="V182" s="153"/>
    </row>
    <row r="183" spans="2:22" ht="45" customHeight="1">
      <c r="B183" s="162" t="s">
        <v>929</v>
      </c>
      <c r="C183" s="100" t="s">
        <v>1125</v>
      </c>
      <c r="D183" s="115" t="s">
        <v>1123</v>
      </c>
      <c r="E183" s="115" t="s">
        <v>132</v>
      </c>
      <c r="F183" s="225" t="s">
        <v>445</v>
      </c>
      <c r="G183" s="226"/>
      <c r="H183" s="102"/>
      <c r="I183" s="20"/>
      <c r="J183" s="102"/>
      <c r="K183" s="102"/>
      <c r="L183" s="20"/>
      <c r="M183" s="102"/>
      <c r="N183" s="102"/>
      <c r="O183" s="20"/>
      <c r="P183" s="102"/>
      <c r="Q183" s="102"/>
      <c r="R183" s="102"/>
      <c r="S183" s="100"/>
      <c r="T183" s="103"/>
      <c r="U183" s="103"/>
      <c r="V183" s="153"/>
    </row>
    <row r="184" spans="2:22" ht="45" customHeight="1">
      <c r="B184" s="162" t="s">
        <v>930</v>
      </c>
      <c r="C184" s="100" t="s">
        <v>1128</v>
      </c>
      <c r="D184" s="115" t="s">
        <v>1123</v>
      </c>
      <c r="E184" s="115" t="s">
        <v>132</v>
      </c>
      <c r="F184" s="225" t="s">
        <v>445</v>
      </c>
      <c r="G184" s="226"/>
      <c r="H184" s="102"/>
      <c r="I184" s="20"/>
      <c r="J184" s="102"/>
      <c r="K184" s="102"/>
      <c r="L184" s="20"/>
      <c r="M184" s="102"/>
      <c r="N184" s="102"/>
      <c r="O184" s="20"/>
      <c r="P184" s="102"/>
      <c r="Q184" s="102"/>
      <c r="R184" s="102"/>
      <c r="S184" s="100"/>
      <c r="T184" s="103"/>
      <c r="U184" s="103"/>
      <c r="V184" s="153"/>
    </row>
    <row r="185" spans="2:22" ht="45" customHeight="1">
      <c r="B185" s="162" t="s">
        <v>931</v>
      </c>
      <c r="C185" s="100" t="s">
        <v>1129</v>
      </c>
      <c r="D185" s="115" t="s">
        <v>1123</v>
      </c>
      <c r="E185" s="115" t="s">
        <v>132</v>
      </c>
      <c r="F185" s="225" t="s">
        <v>445</v>
      </c>
      <c r="G185" s="226"/>
      <c r="H185" s="102"/>
      <c r="I185" s="20"/>
      <c r="J185" s="102"/>
      <c r="K185" s="102"/>
      <c r="L185" s="20"/>
      <c r="M185" s="102"/>
      <c r="N185" s="102"/>
      <c r="O185" s="20"/>
      <c r="P185" s="102"/>
      <c r="Q185" s="102"/>
      <c r="R185" s="102"/>
      <c r="S185" s="100"/>
      <c r="T185" s="103"/>
      <c r="U185" s="103"/>
      <c r="V185" s="153"/>
    </row>
    <row r="186" spans="2:22" ht="45" customHeight="1">
      <c r="B186" s="162" t="s">
        <v>932</v>
      </c>
      <c r="C186" s="100" t="s">
        <v>1131</v>
      </c>
      <c r="D186" s="115" t="s">
        <v>1123</v>
      </c>
      <c r="E186" s="115" t="s">
        <v>132</v>
      </c>
      <c r="F186" s="225" t="s">
        <v>445</v>
      </c>
      <c r="G186" s="226"/>
      <c r="H186" s="102"/>
      <c r="I186" s="20"/>
      <c r="J186" s="102"/>
      <c r="K186" s="102"/>
      <c r="L186" s="20"/>
      <c r="M186" s="102"/>
      <c r="N186" s="102"/>
      <c r="O186" s="20"/>
      <c r="P186" s="102"/>
      <c r="Q186" s="102"/>
      <c r="R186" s="102"/>
      <c r="S186" s="100"/>
      <c r="T186" s="103"/>
      <c r="U186" s="103"/>
      <c r="V186" s="153"/>
    </row>
    <row r="187" spans="2:22" ht="45" customHeight="1">
      <c r="B187" s="162" t="s">
        <v>933</v>
      </c>
      <c r="C187" s="100" t="s">
        <v>1132</v>
      </c>
      <c r="D187" s="115" t="s">
        <v>1123</v>
      </c>
      <c r="E187" s="115" t="s">
        <v>132</v>
      </c>
      <c r="F187" s="225" t="s">
        <v>445</v>
      </c>
      <c r="G187" s="226"/>
      <c r="H187" s="102"/>
      <c r="I187" s="20"/>
      <c r="J187" s="102"/>
      <c r="K187" s="102"/>
      <c r="L187" s="20"/>
      <c r="M187" s="102"/>
      <c r="N187" s="102"/>
      <c r="O187" s="20"/>
      <c r="P187" s="102"/>
      <c r="Q187" s="102"/>
      <c r="R187" s="102"/>
      <c r="S187" s="100"/>
      <c r="T187" s="103"/>
      <c r="U187" s="103"/>
      <c r="V187" s="153"/>
    </row>
    <row r="188" spans="2:22" ht="45" customHeight="1">
      <c r="B188" s="162" t="s">
        <v>934</v>
      </c>
      <c r="C188" s="100" t="s">
        <v>1133</v>
      </c>
      <c r="D188" s="115" t="s">
        <v>1123</v>
      </c>
      <c r="E188" s="115" t="s">
        <v>132</v>
      </c>
      <c r="F188" s="225" t="s">
        <v>445</v>
      </c>
      <c r="G188" s="226"/>
      <c r="H188" s="102"/>
      <c r="I188" s="20"/>
      <c r="J188" s="102"/>
      <c r="K188" s="102"/>
      <c r="L188" s="20"/>
      <c r="M188" s="102"/>
      <c r="N188" s="102"/>
      <c r="O188" s="20"/>
      <c r="P188" s="102"/>
      <c r="Q188" s="102"/>
      <c r="R188" s="102"/>
      <c r="S188" s="100"/>
      <c r="T188" s="103"/>
      <c r="U188" s="103"/>
      <c r="V188" s="153"/>
    </row>
    <row r="189" spans="2:22" ht="45" customHeight="1">
      <c r="B189" s="162" t="s">
        <v>935</v>
      </c>
      <c r="C189" s="100" t="s">
        <v>1135</v>
      </c>
      <c r="D189" s="115" t="s">
        <v>1123</v>
      </c>
      <c r="E189" s="115" t="s">
        <v>132</v>
      </c>
      <c r="F189" s="225" t="s">
        <v>445</v>
      </c>
      <c r="G189" s="226"/>
      <c r="H189" s="102"/>
      <c r="I189" s="20"/>
      <c r="J189" s="102"/>
      <c r="K189" s="102"/>
      <c r="L189" s="20"/>
      <c r="M189" s="102"/>
      <c r="N189" s="102"/>
      <c r="O189" s="20"/>
      <c r="P189" s="102"/>
      <c r="Q189" s="102"/>
      <c r="R189" s="102"/>
      <c r="S189" s="100"/>
      <c r="T189" s="103"/>
      <c r="U189" s="103"/>
      <c r="V189" s="153"/>
    </row>
    <row r="190" spans="2:22" ht="45" customHeight="1">
      <c r="B190" s="162" t="s">
        <v>936</v>
      </c>
      <c r="C190" s="100" t="s">
        <v>1136</v>
      </c>
      <c r="D190" s="115" t="s">
        <v>1123</v>
      </c>
      <c r="E190" s="115" t="s">
        <v>132</v>
      </c>
      <c r="F190" s="225" t="s">
        <v>445</v>
      </c>
      <c r="G190" s="226"/>
      <c r="H190" s="102"/>
      <c r="I190" s="20"/>
      <c r="J190" s="102"/>
      <c r="K190" s="102"/>
      <c r="L190" s="20"/>
      <c r="M190" s="102"/>
      <c r="N190" s="102"/>
      <c r="O190" s="20"/>
      <c r="P190" s="102"/>
      <c r="Q190" s="102"/>
      <c r="R190" s="102"/>
      <c r="S190" s="100"/>
      <c r="T190" s="103"/>
      <c r="U190" s="103"/>
      <c r="V190" s="153"/>
    </row>
    <row r="191" spans="2:22" ht="45" customHeight="1">
      <c r="B191" s="162" t="s">
        <v>937</v>
      </c>
      <c r="C191" s="100" t="s">
        <v>1137</v>
      </c>
      <c r="D191" s="115" t="s">
        <v>1123</v>
      </c>
      <c r="E191" s="115" t="s">
        <v>132</v>
      </c>
      <c r="F191" s="225" t="s">
        <v>445</v>
      </c>
      <c r="G191" s="226"/>
      <c r="H191" s="102"/>
      <c r="I191" s="20"/>
      <c r="J191" s="102"/>
      <c r="K191" s="102"/>
      <c r="L191" s="20"/>
      <c r="M191" s="102"/>
      <c r="N191" s="102"/>
      <c r="O191" s="20"/>
      <c r="P191" s="102"/>
      <c r="Q191" s="102"/>
      <c r="R191" s="102"/>
      <c r="S191" s="100"/>
      <c r="T191" s="103"/>
      <c r="U191" s="103"/>
      <c r="V191" s="153"/>
    </row>
    <row r="192" spans="2:22" ht="45" customHeight="1">
      <c r="B192" s="162" t="s">
        <v>938</v>
      </c>
      <c r="C192" s="100" t="s">
        <v>1138</v>
      </c>
      <c r="D192" s="115" t="s">
        <v>1123</v>
      </c>
      <c r="E192" s="115" t="s">
        <v>132</v>
      </c>
      <c r="F192" s="225" t="s">
        <v>445</v>
      </c>
      <c r="G192" s="226"/>
      <c r="H192" s="102"/>
      <c r="I192" s="20"/>
      <c r="J192" s="102"/>
      <c r="K192" s="102"/>
      <c r="L192" s="20"/>
      <c r="M192" s="102"/>
      <c r="N192" s="102"/>
      <c r="O192" s="20"/>
      <c r="P192" s="102"/>
      <c r="Q192" s="102"/>
      <c r="R192" s="102"/>
      <c r="S192" s="100"/>
      <c r="T192" s="103"/>
      <c r="U192" s="103"/>
      <c r="V192" s="153"/>
    </row>
    <row r="193" spans="2:22" ht="45" customHeight="1">
      <c r="B193" s="162" t="s">
        <v>939</v>
      </c>
      <c r="C193" s="100" t="s">
        <v>1139</v>
      </c>
      <c r="D193" s="115" t="s">
        <v>1123</v>
      </c>
      <c r="E193" s="115" t="s">
        <v>132</v>
      </c>
      <c r="F193" s="225" t="s">
        <v>445</v>
      </c>
      <c r="G193" s="226"/>
      <c r="H193" s="102"/>
      <c r="I193" s="20"/>
      <c r="J193" s="102"/>
      <c r="K193" s="102"/>
      <c r="L193" s="20"/>
      <c r="M193" s="102"/>
      <c r="N193" s="102"/>
      <c r="O193" s="20"/>
      <c r="P193" s="102"/>
      <c r="Q193" s="102"/>
      <c r="R193" s="102"/>
      <c r="S193" s="100"/>
      <c r="T193" s="103"/>
      <c r="U193" s="103"/>
      <c r="V193" s="153"/>
    </row>
    <row r="194" spans="2:22" ht="45" customHeight="1">
      <c r="B194" s="162" t="s">
        <v>940</v>
      </c>
      <c r="C194" s="100" t="s">
        <v>1141</v>
      </c>
      <c r="D194" s="115" t="s">
        <v>1123</v>
      </c>
      <c r="E194" s="42" t="s">
        <v>132</v>
      </c>
      <c r="F194" s="225" t="s">
        <v>445</v>
      </c>
      <c r="G194" s="226"/>
      <c r="H194" s="102"/>
      <c r="I194" s="20"/>
      <c r="J194" s="102"/>
      <c r="K194" s="102"/>
      <c r="L194" s="20"/>
      <c r="M194" s="102"/>
      <c r="N194" s="102"/>
      <c r="O194" s="20"/>
      <c r="P194" s="102"/>
      <c r="Q194" s="102"/>
      <c r="R194" s="102"/>
      <c r="S194" s="100"/>
      <c r="T194" s="103"/>
      <c r="U194" s="103"/>
      <c r="V194" s="153"/>
    </row>
    <row r="195" spans="2:22" ht="45" customHeight="1">
      <c r="B195" s="162" t="s">
        <v>941</v>
      </c>
      <c r="C195" s="100" t="s">
        <v>1143</v>
      </c>
      <c r="D195" s="115" t="s">
        <v>1123</v>
      </c>
      <c r="E195" s="42" t="s">
        <v>132</v>
      </c>
      <c r="F195" s="225" t="s">
        <v>445</v>
      </c>
      <c r="G195" s="226"/>
      <c r="H195" s="102"/>
      <c r="I195" s="20"/>
      <c r="J195" s="102"/>
      <c r="K195" s="102"/>
      <c r="L195" s="20"/>
      <c r="M195" s="102"/>
      <c r="N195" s="102"/>
      <c r="O195" s="20"/>
      <c r="P195" s="102"/>
      <c r="Q195" s="102"/>
      <c r="R195" s="102"/>
      <c r="S195" s="100"/>
      <c r="T195" s="103"/>
      <c r="U195" s="103"/>
      <c r="V195" s="153"/>
    </row>
    <row r="196" spans="2:22" ht="45" customHeight="1">
      <c r="B196" s="162" t="s">
        <v>942</v>
      </c>
      <c r="C196" s="100" t="s">
        <v>1144</v>
      </c>
      <c r="D196" s="115" t="s">
        <v>1123</v>
      </c>
      <c r="E196" s="42" t="s">
        <v>132</v>
      </c>
      <c r="F196" s="225" t="s">
        <v>445</v>
      </c>
      <c r="G196" s="226"/>
      <c r="H196" s="102"/>
      <c r="I196" s="20"/>
      <c r="J196" s="102"/>
      <c r="K196" s="102"/>
      <c r="L196" s="20"/>
      <c r="M196" s="102"/>
      <c r="N196" s="102"/>
      <c r="O196" s="20"/>
      <c r="P196" s="102"/>
      <c r="Q196" s="102"/>
      <c r="R196" s="102"/>
      <c r="S196" s="100"/>
      <c r="T196" s="103"/>
      <c r="U196" s="103"/>
      <c r="V196" s="153"/>
    </row>
    <row r="197" spans="2:22" ht="45" customHeight="1">
      <c r="B197" s="162" t="s">
        <v>943</v>
      </c>
      <c r="C197" s="100" t="s">
        <v>1145</v>
      </c>
      <c r="D197" s="115" t="s">
        <v>1123</v>
      </c>
      <c r="E197" s="42" t="s">
        <v>132</v>
      </c>
      <c r="F197" s="225" t="s">
        <v>445</v>
      </c>
      <c r="G197" s="226"/>
      <c r="H197" s="102"/>
      <c r="I197" s="20"/>
      <c r="J197" s="102"/>
      <c r="K197" s="102"/>
      <c r="L197" s="20"/>
      <c r="M197" s="102"/>
      <c r="N197" s="102"/>
      <c r="O197" s="20"/>
      <c r="P197" s="102"/>
      <c r="Q197" s="102"/>
      <c r="R197" s="102"/>
      <c r="S197" s="100"/>
      <c r="T197" s="103"/>
      <c r="U197" s="103"/>
      <c r="V197" s="153"/>
    </row>
    <row r="198" spans="2:22" ht="45" customHeight="1">
      <c r="B198" s="162" t="s">
        <v>944</v>
      </c>
      <c r="C198" s="100" t="s">
        <v>1146</v>
      </c>
      <c r="D198" s="115" t="s">
        <v>1123</v>
      </c>
      <c r="E198" s="42" t="s">
        <v>132</v>
      </c>
      <c r="F198" s="225" t="s">
        <v>445</v>
      </c>
      <c r="G198" s="226"/>
      <c r="H198" s="102"/>
      <c r="I198" s="20"/>
      <c r="J198" s="102"/>
      <c r="K198" s="102"/>
      <c r="L198" s="20"/>
      <c r="M198" s="102"/>
      <c r="N198" s="102"/>
      <c r="O198" s="20"/>
      <c r="P198" s="102"/>
      <c r="Q198" s="102"/>
      <c r="R198" s="102"/>
      <c r="S198" s="100"/>
      <c r="T198" s="103"/>
      <c r="U198" s="103"/>
      <c r="V198" s="153"/>
    </row>
    <row r="199" spans="2:22" ht="45" customHeight="1">
      <c r="B199" s="162" t="s">
        <v>945</v>
      </c>
      <c r="C199" s="100" t="s">
        <v>1147</v>
      </c>
      <c r="D199" s="115" t="s">
        <v>1123</v>
      </c>
      <c r="E199" s="42" t="s">
        <v>132</v>
      </c>
      <c r="F199" s="225" t="s">
        <v>445</v>
      </c>
      <c r="G199" s="226"/>
      <c r="H199" s="102"/>
      <c r="I199" s="20"/>
      <c r="J199" s="102"/>
      <c r="K199" s="102"/>
      <c r="L199" s="20"/>
      <c r="M199" s="102"/>
      <c r="N199" s="102"/>
      <c r="O199" s="20"/>
      <c r="P199" s="102"/>
      <c r="Q199" s="102"/>
      <c r="R199" s="102"/>
      <c r="S199" s="100"/>
      <c r="T199" s="103"/>
      <c r="U199" s="103"/>
      <c r="V199" s="153"/>
    </row>
    <row r="200" spans="2:22" ht="45" customHeight="1">
      <c r="B200" s="162" t="s">
        <v>946</v>
      </c>
      <c r="C200" s="100" t="s">
        <v>1148</v>
      </c>
      <c r="D200" s="115" t="s">
        <v>1123</v>
      </c>
      <c r="E200" s="42" t="s">
        <v>132</v>
      </c>
      <c r="F200" s="225" t="s">
        <v>445</v>
      </c>
      <c r="G200" s="226"/>
      <c r="H200" s="102"/>
      <c r="I200" s="20"/>
      <c r="J200" s="102"/>
      <c r="K200" s="102"/>
      <c r="L200" s="20"/>
      <c r="M200" s="102"/>
      <c r="N200" s="102"/>
      <c r="O200" s="20"/>
      <c r="P200" s="102"/>
      <c r="Q200" s="102"/>
      <c r="R200" s="102"/>
      <c r="S200" s="100"/>
      <c r="T200" s="103"/>
      <c r="U200" s="103"/>
      <c r="V200" s="153"/>
    </row>
    <row r="201" spans="2:22" ht="45" customHeight="1">
      <c r="B201" s="162" t="s">
        <v>947</v>
      </c>
      <c r="C201" s="100" t="s">
        <v>1149</v>
      </c>
      <c r="D201" s="115" t="s">
        <v>1123</v>
      </c>
      <c r="E201" s="42" t="s">
        <v>132</v>
      </c>
      <c r="F201" s="225" t="s">
        <v>445</v>
      </c>
      <c r="G201" s="226"/>
      <c r="H201" s="102"/>
      <c r="I201" s="20"/>
      <c r="J201" s="102"/>
      <c r="K201" s="102"/>
      <c r="L201" s="20"/>
      <c r="M201" s="102"/>
      <c r="N201" s="102"/>
      <c r="O201" s="20"/>
      <c r="P201" s="102"/>
      <c r="Q201" s="102"/>
      <c r="R201" s="102"/>
      <c r="S201" s="100"/>
      <c r="T201" s="103"/>
      <c r="U201" s="103"/>
      <c r="V201" s="153"/>
    </row>
    <row r="202" spans="2:22" ht="45" customHeight="1">
      <c r="B202" s="162" t="s">
        <v>948</v>
      </c>
      <c r="C202" s="100" t="s">
        <v>1150</v>
      </c>
      <c r="D202" s="115" t="s">
        <v>1123</v>
      </c>
      <c r="E202" s="42" t="s">
        <v>132</v>
      </c>
      <c r="F202" s="225" t="s">
        <v>445</v>
      </c>
      <c r="G202" s="226"/>
      <c r="H202" s="102"/>
      <c r="I202" s="20"/>
      <c r="J202" s="102"/>
      <c r="K202" s="102"/>
      <c r="L202" s="20"/>
      <c r="M202" s="102"/>
      <c r="N202" s="102"/>
      <c r="O202" s="20"/>
      <c r="P202" s="102"/>
      <c r="Q202" s="102"/>
      <c r="R202" s="102"/>
      <c r="S202" s="100"/>
      <c r="T202" s="103"/>
      <c r="U202" s="103"/>
      <c r="V202" s="153"/>
    </row>
    <row r="203" spans="2:22" ht="45" customHeight="1">
      <c r="B203" s="162" t="s">
        <v>949</v>
      </c>
      <c r="C203" s="100" t="s">
        <v>1151</v>
      </c>
      <c r="D203" s="115" t="s">
        <v>1123</v>
      </c>
      <c r="E203" s="42" t="s">
        <v>132</v>
      </c>
      <c r="F203" s="225" t="s">
        <v>445</v>
      </c>
      <c r="G203" s="226"/>
      <c r="H203" s="102"/>
      <c r="I203" s="20"/>
      <c r="J203" s="102"/>
      <c r="K203" s="102"/>
      <c r="L203" s="20"/>
      <c r="M203" s="102"/>
      <c r="N203" s="102"/>
      <c r="O203" s="20"/>
      <c r="P203" s="102"/>
      <c r="Q203" s="102"/>
      <c r="R203" s="102"/>
      <c r="S203" s="100"/>
      <c r="T203" s="103"/>
      <c r="U203" s="103"/>
      <c r="V203" s="153"/>
    </row>
    <row r="204" spans="2:22" ht="45" customHeight="1">
      <c r="B204" s="162" t="s">
        <v>950</v>
      </c>
      <c r="C204" s="100" t="s">
        <v>1152</v>
      </c>
      <c r="D204" s="115" t="s">
        <v>1123</v>
      </c>
      <c r="E204" s="42" t="s">
        <v>132</v>
      </c>
      <c r="F204" s="225" t="s">
        <v>445</v>
      </c>
      <c r="G204" s="226"/>
      <c r="H204" s="102"/>
      <c r="I204" s="20"/>
      <c r="J204" s="102"/>
      <c r="K204" s="102"/>
      <c r="L204" s="20"/>
      <c r="M204" s="102"/>
      <c r="N204" s="102"/>
      <c r="O204" s="20"/>
      <c r="P204" s="102"/>
      <c r="Q204" s="102"/>
      <c r="R204" s="102"/>
      <c r="S204" s="100"/>
      <c r="T204" s="103"/>
      <c r="U204" s="103"/>
      <c r="V204" s="153"/>
    </row>
    <row r="205" spans="2:22" ht="45" customHeight="1">
      <c r="B205" s="162" t="s">
        <v>951</v>
      </c>
      <c r="C205" s="100" t="s">
        <v>1145</v>
      </c>
      <c r="D205" s="115" t="s">
        <v>1123</v>
      </c>
      <c r="E205" s="42" t="s">
        <v>132</v>
      </c>
      <c r="F205" s="225" t="s">
        <v>445</v>
      </c>
      <c r="G205" s="226"/>
      <c r="H205" s="102"/>
      <c r="I205" s="20"/>
      <c r="J205" s="102"/>
      <c r="K205" s="102"/>
      <c r="L205" s="20"/>
      <c r="M205" s="102"/>
      <c r="N205" s="102"/>
      <c r="O205" s="20"/>
      <c r="P205" s="102"/>
      <c r="Q205" s="102"/>
      <c r="R205" s="102"/>
      <c r="S205" s="100"/>
      <c r="T205" s="103"/>
      <c r="U205" s="103"/>
      <c r="V205" s="153"/>
    </row>
    <row r="206" spans="2:22" ht="45" customHeight="1">
      <c r="B206" s="162" t="s">
        <v>952</v>
      </c>
      <c r="C206" s="100" t="s">
        <v>1153</v>
      </c>
      <c r="D206" s="115" t="s">
        <v>1123</v>
      </c>
      <c r="E206" s="42" t="s">
        <v>132</v>
      </c>
      <c r="F206" s="225" t="s">
        <v>445</v>
      </c>
      <c r="G206" s="226"/>
      <c r="H206" s="102"/>
      <c r="I206" s="20"/>
      <c r="J206" s="102"/>
      <c r="K206" s="102"/>
      <c r="L206" s="20"/>
      <c r="M206" s="102"/>
      <c r="N206" s="102"/>
      <c r="O206" s="20"/>
      <c r="P206" s="102"/>
      <c r="Q206" s="102"/>
      <c r="R206" s="102"/>
      <c r="S206" s="100"/>
      <c r="T206" s="103"/>
      <c r="U206" s="103"/>
      <c r="V206" s="153"/>
    </row>
    <row r="207" spans="2:22" ht="45" customHeight="1">
      <c r="B207" s="162" t="s">
        <v>953</v>
      </c>
      <c r="C207" s="100" t="s">
        <v>1154</v>
      </c>
      <c r="D207" s="115" t="s">
        <v>1123</v>
      </c>
      <c r="E207" s="42" t="s">
        <v>132</v>
      </c>
      <c r="F207" s="225" t="s">
        <v>445</v>
      </c>
      <c r="G207" s="226"/>
      <c r="H207" s="102"/>
      <c r="I207" s="20"/>
      <c r="J207" s="102"/>
      <c r="K207" s="102"/>
      <c r="L207" s="20"/>
      <c r="M207" s="102"/>
      <c r="N207" s="102"/>
      <c r="O207" s="20"/>
      <c r="P207" s="102"/>
      <c r="Q207" s="102"/>
      <c r="R207" s="102"/>
      <c r="S207" s="100"/>
      <c r="T207" s="103"/>
      <c r="U207" s="103"/>
      <c r="V207" s="153"/>
    </row>
    <row r="208" spans="2:22" ht="45" customHeight="1">
      <c r="B208" s="162" t="s">
        <v>954</v>
      </c>
      <c r="C208" s="100" t="s">
        <v>1155</v>
      </c>
      <c r="D208" s="115" t="s">
        <v>1123</v>
      </c>
      <c r="E208" s="42" t="s">
        <v>132</v>
      </c>
      <c r="F208" s="225" t="s">
        <v>445</v>
      </c>
      <c r="G208" s="226"/>
      <c r="H208" s="102"/>
      <c r="I208" s="20"/>
      <c r="J208" s="102"/>
      <c r="K208" s="102"/>
      <c r="L208" s="20"/>
      <c r="M208" s="102"/>
      <c r="N208" s="102"/>
      <c r="O208" s="20"/>
      <c r="P208" s="102"/>
      <c r="Q208" s="102"/>
      <c r="R208" s="102"/>
      <c r="S208" s="100"/>
      <c r="T208" s="103"/>
      <c r="U208" s="103"/>
      <c r="V208" s="153"/>
    </row>
    <row r="209" spans="2:22" ht="45" customHeight="1">
      <c r="B209" s="162" t="s">
        <v>955</v>
      </c>
      <c r="C209" s="100" t="s">
        <v>1156</v>
      </c>
      <c r="D209" s="115" t="s">
        <v>1123</v>
      </c>
      <c r="E209" s="42" t="s">
        <v>132</v>
      </c>
      <c r="F209" s="225" t="s">
        <v>445</v>
      </c>
      <c r="G209" s="226"/>
      <c r="H209" s="102"/>
      <c r="I209" s="20"/>
      <c r="J209" s="102"/>
      <c r="K209" s="102"/>
      <c r="L209" s="20"/>
      <c r="M209" s="102"/>
      <c r="N209" s="102"/>
      <c r="O209" s="20"/>
      <c r="P209" s="102"/>
      <c r="Q209" s="102"/>
      <c r="R209" s="102"/>
      <c r="S209" s="100"/>
      <c r="T209" s="103"/>
      <c r="U209" s="103"/>
      <c r="V209" s="153"/>
    </row>
    <row r="210" spans="2:22" ht="45" customHeight="1">
      <c r="B210" s="162" t="s">
        <v>956</v>
      </c>
      <c r="C210" s="100" t="s">
        <v>1157</v>
      </c>
      <c r="D210" s="115" t="s">
        <v>1123</v>
      </c>
      <c r="E210" s="42" t="s">
        <v>132</v>
      </c>
      <c r="F210" s="225" t="s">
        <v>445</v>
      </c>
      <c r="G210" s="226"/>
      <c r="H210" s="102"/>
      <c r="I210" s="20"/>
      <c r="J210" s="102"/>
      <c r="K210" s="102"/>
      <c r="L210" s="20"/>
      <c r="M210" s="102"/>
      <c r="N210" s="102"/>
      <c r="O210" s="20"/>
      <c r="P210" s="102"/>
      <c r="Q210" s="102"/>
      <c r="R210" s="102"/>
      <c r="S210" s="100"/>
      <c r="T210" s="103"/>
      <c r="U210" s="103"/>
      <c r="V210" s="153"/>
    </row>
    <row r="211" spans="2:22" ht="45" customHeight="1">
      <c r="B211" s="162" t="s">
        <v>957</v>
      </c>
      <c r="C211" s="100" t="s">
        <v>1158</v>
      </c>
      <c r="D211" s="115" t="s">
        <v>1123</v>
      </c>
      <c r="E211" s="42" t="s">
        <v>132</v>
      </c>
      <c r="F211" s="225" t="s">
        <v>445</v>
      </c>
      <c r="G211" s="226"/>
      <c r="H211" s="102"/>
      <c r="I211" s="20"/>
      <c r="J211" s="102"/>
      <c r="K211" s="102"/>
      <c r="L211" s="20"/>
      <c r="M211" s="102"/>
      <c r="N211" s="102"/>
      <c r="O211" s="20"/>
      <c r="P211" s="102"/>
      <c r="Q211" s="102"/>
      <c r="R211" s="102"/>
      <c r="S211" s="100"/>
      <c r="T211" s="103"/>
      <c r="U211" s="103"/>
      <c r="V211" s="153"/>
    </row>
    <row r="212" spans="2:22" ht="45" customHeight="1">
      <c r="B212" s="162" t="s">
        <v>958</v>
      </c>
      <c r="C212" s="100" t="s">
        <v>1159</v>
      </c>
      <c r="D212" s="115" t="s">
        <v>1123</v>
      </c>
      <c r="E212" s="42" t="s">
        <v>132</v>
      </c>
      <c r="F212" s="225" t="s">
        <v>445</v>
      </c>
      <c r="G212" s="226"/>
      <c r="H212" s="102"/>
      <c r="I212" s="20"/>
      <c r="J212" s="102"/>
      <c r="K212" s="102"/>
      <c r="L212" s="20"/>
      <c r="M212" s="102"/>
      <c r="N212" s="102"/>
      <c r="O212" s="20"/>
      <c r="P212" s="102"/>
      <c r="Q212" s="102"/>
      <c r="R212" s="102"/>
      <c r="S212" s="100"/>
      <c r="T212" s="103"/>
      <c r="U212" s="103"/>
      <c r="V212" s="153"/>
    </row>
    <row r="213" spans="2:22" ht="45" customHeight="1">
      <c r="B213" s="162" t="s">
        <v>959</v>
      </c>
      <c r="C213" s="100" t="s">
        <v>1160</v>
      </c>
      <c r="D213" s="115" t="s">
        <v>1123</v>
      </c>
      <c r="E213" s="42" t="s">
        <v>132</v>
      </c>
      <c r="F213" s="225" t="s">
        <v>445</v>
      </c>
      <c r="G213" s="226"/>
      <c r="H213" s="102"/>
      <c r="I213" s="20"/>
      <c r="J213" s="102"/>
      <c r="K213" s="102"/>
      <c r="L213" s="20"/>
      <c r="M213" s="102"/>
      <c r="N213" s="102"/>
      <c r="O213" s="20"/>
      <c r="P213" s="102"/>
      <c r="Q213" s="102"/>
      <c r="R213" s="102"/>
      <c r="S213" s="100"/>
      <c r="T213" s="103"/>
      <c r="U213" s="103"/>
      <c r="V213" s="153"/>
    </row>
    <row r="214" spans="2:22" ht="45" customHeight="1">
      <c r="B214" s="162" t="s">
        <v>960</v>
      </c>
      <c r="C214" s="100" t="s">
        <v>1161</v>
      </c>
      <c r="D214" s="115" t="s">
        <v>1123</v>
      </c>
      <c r="E214" s="42" t="s">
        <v>132</v>
      </c>
      <c r="F214" s="225" t="s">
        <v>445</v>
      </c>
      <c r="G214" s="226"/>
      <c r="H214" s="102"/>
      <c r="I214" s="20"/>
      <c r="J214" s="102"/>
      <c r="K214" s="102"/>
      <c r="L214" s="20"/>
      <c r="M214" s="102"/>
      <c r="N214" s="102"/>
      <c r="O214" s="20"/>
      <c r="P214" s="102"/>
      <c r="Q214" s="102"/>
      <c r="R214" s="102"/>
      <c r="S214" s="100"/>
      <c r="T214" s="103"/>
      <c r="U214" s="103"/>
      <c r="V214" s="153"/>
    </row>
    <row r="215" spans="2:22" ht="45" customHeight="1">
      <c r="B215" s="162" t="s">
        <v>961</v>
      </c>
      <c r="C215" s="100" t="s">
        <v>1162</v>
      </c>
      <c r="D215" s="115" t="s">
        <v>1123</v>
      </c>
      <c r="E215" s="42" t="s">
        <v>132</v>
      </c>
      <c r="F215" s="225" t="s">
        <v>445</v>
      </c>
      <c r="G215" s="226"/>
      <c r="H215" s="102"/>
      <c r="I215" s="20"/>
      <c r="J215" s="102"/>
      <c r="K215" s="102"/>
      <c r="L215" s="20"/>
      <c r="M215" s="102"/>
      <c r="N215" s="102"/>
      <c r="O215" s="20"/>
      <c r="P215" s="102"/>
      <c r="Q215" s="102"/>
      <c r="R215" s="102"/>
      <c r="S215" s="100"/>
      <c r="T215" s="103"/>
      <c r="U215" s="103"/>
      <c r="V215" s="153"/>
    </row>
    <row r="216" spans="2:22" ht="45" customHeight="1">
      <c r="B216" s="162" t="s">
        <v>962</v>
      </c>
      <c r="C216" s="100" t="s">
        <v>1163</v>
      </c>
      <c r="D216" s="115" t="s">
        <v>1123</v>
      </c>
      <c r="E216" s="42" t="s">
        <v>132</v>
      </c>
      <c r="F216" s="225" t="s">
        <v>445</v>
      </c>
      <c r="G216" s="226"/>
      <c r="H216" s="102"/>
      <c r="I216" s="20"/>
      <c r="J216" s="102"/>
      <c r="K216" s="102"/>
      <c r="L216" s="20"/>
      <c r="M216" s="102"/>
      <c r="N216" s="102"/>
      <c r="O216" s="20"/>
      <c r="P216" s="102"/>
      <c r="Q216" s="102"/>
      <c r="R216" s="102"/>
      <c r="S216" s="100"/>
      <c r="T216" s="103"/>
      <c r="U216" s="103"/>
      <c r="V216" s="153"/>
    </row>
    <row r="217" spans="2:22" ht="45" customHeight="1">
      <c r="B217" s="162" t="s">
        <v>963</v>
      </c>
      <c r="C217" s="114" t="s">
        <v>186</v>
      </c>
      <c r="D217" s="42" t="s">
        <v>161</v>
      </c>
      <c r="E217" s="42" t="s">
        <v>103</v>
      </c>
      <c r="F217" s="225" t="s">
        <v>108</v>
      </c>
      <c r="G217" s="226"/>
      <c r="H217" s="102"/>
      <c r="I217" s="20"/>
      <c r="J217" s="102"/>
      <c r="K217" s="102"/>
      <c r="L217" s="20"/>
      <c r="M217" s="102"/>
      <c r="N217" s="102"/>
      <c r="O217" s="20"/>
      <c r="P217" s="102"/>
      <c r="Q217" s="102"/>
      <c r="R217" s="102"/>
      <c r="S217" s="100"/>
      <c r="T217" s="103"/>
      <c r="U217" s="103"/>
      <c r="V217" s="143"/>
    </row>
    <row r="218" spans="2:22" ht="132.94999999999999" customHeight="1">
      <c r="B218" s="162" t="s">
        <v>964</v>
      </c>
      <c r="C218" s="100" t="s">
        <v>161</v>
      </c>
      <c r="D218" s="115" t="s">
        <v>383</v>
      </c>
      <c r="E218" s="42" t="s">
        <v>181</v>
      </c>
      <c r="F218" s="225" t="s">
        <v>187</v>
      </c>
      <c r="G218" s="226"/>
      <c r="H218" s="102"/>
      <c r="I218" s="20"/>
      <c r="J218" s="102"/>
      <c r="K218" s="155"/>
      <c r="L218" s="156"/>
      <c r="M218" s="155"/>
      <c r="N218" s="155"/>
      <c r="O218" s="156"/>
      <c r="P218" s="155"/>
      <c r="Q218" s="102"/>
      <c r="R218" s="102"/>
      <c r="S218" s="100"/>
      <c r="T218" s="103"/>
      <c r="U218" s="103"/>
      <c r="V218" s="143"/>
    </row>
    <row r="219" spans="2:22" ht="132.94999999999999" customHeight="1">
      <c r="B219" s="162" t="s">
        <v>965</v>
      </c>
      <c r="C219" s="100" t="s">
        <v>161</v>
      </c>
      <c r="D219" s="42" t="s">
        <v>161</v>
      </c>
      <c r="E219" s="42" t="s">
        <v>109</v>
      </c>
      <c r="F219" s="227" t="s">
        <v>384</v>
      </c>
      <c r="G219" s="228"/>
      <c r="H219" s="102"/>
      <c r="I219" s="20"/>
      <c r="J219" s="102"/>
      <c r="K219" s="102"/>
      <c r="L219" s="20"/>
      <c r="M219" s="102"/>
      <c r="N219" s="102"/>
      <c r="O219" s="20"/>
      <c r="P219" s="102"/>
      <c r="Q219" s="178"/>
      <c r="R219" s="102"/>
      <c r="S219" s="100"/>
      <c r="T219" s="103"/>
      <c r="U219" s="103"/>
      <c r="V219" s="157"/>
    </row>
    <row r="220" spans="2:22" ht="45" customHeight="1">
      <c r="B220" s="162" t="s">
        <v>966</v>
      </c>
      <c r="C220" s="114" t="s">
        <v>185</v>
      </c>
      <c r="D220" s="42" t="s">
        <v>161</v>
      </c>
      <c r="E220" s="42" t="s">
        <v>103</v>
      </c>
      <c r="F220" s="225" t="s">
        <v>108</v>
      </c>
      <c r="G220" s="226"/>
      <c r="H220" s="102"/>
      <c r="I220" s="20"/>
      <c r="J220" s="102"/>
      <c r="K220" s="102"/>
      <c r="L220" s="20"/>
      <c r="M220" s="102"/>
      <c r="N220" s="102"/>
      <c r="O220" s="20"/>
      <c r="P220" s="102"/>
      <c r="Q220" s="102"/>
      <c r="R220" s="102"/>
      <c r="S220" s="100"/>
      <c r="T220" s="103"/>
      <c r="U220" s="103"/>
      <c r="V220" s="153"/>
    </row>
    <row r="221" spans="2:22" ht="45" customHeight="1">
      <c r="B221" s="182" t="s">
        <v>967</v>
      </c>
      <c r="C221" s="183" t="s">
        <v>161</v>
      </c>
      <c r="D221" s="184" t="s">
        <v>294</v>
      </c>
      <c r="E221" s="184" t="s">
        <v>752</v>
      </c>
      <c r="F221" s="246" t="s">
        <v>378</v>
      </c>
      <c r="G221" s="247"/>
      <c r="H221" s="155"/>
      <c r="I221" s="156"/>
      <c r="J221" s="155"/>
      <c r="K221" s="155"/>
      <c r="L221" s="155"/>
      <c r="M221" s="155"/>
      <c r="N221" s="155"/>
      <c r="O221" s="156"/>
      <c r="P221" s="155"/>
      <c r="Q221" s="155"/>
      <c r="R221" s="186"/>
      <c r="S221" s="183"/>
      <c r="T221" s="185"/>
      <c r="U221" s="185"/>
      <c r="V221" s="144"/>
    </row>
    <row r="222" spans="2:22" ht="45" customHeight="1">
      <c r="B222" s="182" t="s">
        <v>968</v>
      </c>
      <c r="C222" s="183" t="s">
        <v>83</v>
      </c>
      <c r="D222" s="184" t="s">
        <v>131</v>
      </c>
      <c r="E222" s="184" t="s">
        <v>173</v>
      </c>
      <c r="F222" s="246" t="s">
        <v>100</v>
      </c>
      <c r="G222" s="247"/>
      <c r="H222" s="155"/>
      <c r="I222" s="156"/>
      <c r="J222" s="155"/>
      <c r="K222" s="155"/>
      <c r="L222" s="155"/>
      <c r="M222" s="155"/>
      <c r="N222" s="155"/>
      <c r="O222" s="156"/>
      <c r="P222" s="155"/>
      <c r="Q222" s="155"/>
      <c r="R222" s="186"/>
      <c r="S222" s="183"/>
      <c r="T222" s="185"/>
      <c r="U222" s="185"/>
      <c r="V222" s="154"/>
    </row>
    <row r="223" spans="2:22" ht="45" customHeight="1">
      <c r="B223" s="182" t="s">
        <v>969</v>
      </c>
      <c r="C223" s="183" t="s">
        <v>83</v>
      </c>
      <c r="D223" s="184" t="s">
        <v>412</v>
      </c>
      <c r="E223" s="184" t="s">
        <v>173</v>
      </c>
      <c r="F223" s="246" t="s">
        <v>100</v>
      </c>
      <c r="G223" s="247"/>
      <c r="H223" s="155"/>
      <c r="I223" s="156"/>
      <c r="J223" s="155"/>
      <c r="K223" s="155"/>
      <c r="L223" s="155"/>
      <c r="M223" s="155"/>
      <c r="N223" s="155"/>
      <c r="O223" s="156"/>
      <c r="P223" s="155"/>
      <c r="Q223" s="155"/>
      <c r="R223" s="186"/>
      <c r="S223" s="183"/>
      <c r="T223" s="185"/>
      <c r="U223" s="185"/>
      <c r="V223" s="154"/>
    </row>
    <row r="224" spans="2:22" ht="45" customHeight="1">
      <c r="B224" s="162" t="s">
        <v>970</v>
      </c>
      <c r="C224" s="100" t="s">
        <v>161</v>
      </c>
      <c r="D224" s="42" t="s">
        <v>161</v>
      </c>
      <c r="E224" s="42" t="s">
        <v>109</v>
      </c>
      <c r="F224" s="227" t="s">
        <v>1309</v>
      </c>
      <c r="G224" s="228"/>
      <c r="H224" s="102"/>
      <c r="I224" s="20"/>
      <c r="J224" s="102"/>
      <c r="K224" s="102"/>
      <c r="L224" s="20"/>
      <c r="M224" s="102"/>
      <c r="N224" s="102"/>
      <c r="O224" s="20"/>
      <c r="P224" s="102"/>
      <c r="Q224" s="178"/>
      <c r="R224" s="102"/>
      <c r="S224" s="100"/>
      <c r="T224" s="103"/>
      <c r="U224" s="103"/>
      <c r="V224" s="144"/>
    </row>
    <row r="225" spans="2:24" ht="48.95" customHeight="1">
      <c r="B225" s="162" t="str">
        <f t="shared" ref="B225:B227" si="0">"1-"&amp;ROW()-8</f>
        <v>1-217</v>
      </c>
      <c r="C225" s="42" t="s">
        <v>1198</v>
      </c>
      <c r="D225" s="42" t="s">
        <v>161</v>
      </c>
      <c r="E225" s="42" t="s">
        <v>1199</v>
      </c>
      <c r="F225" s="227" t="s">
        <v>1200</v>
      </c>
      <c r="G225" s="228"/>
      <c r="H225" s="102"/>
      <c r="I225" s="20"/>
      <c r="J225" s="102"/>
      <c r="K225" s="102"/>
      <c r="L225" s="20"/>
      <c r="M225" s="102"/>
      <c r="N225" s="102"/>
      <c r="O225" s="20"/>
      <c r="P225" s="102"/>
      <c r="Q225" s="178"/>
      <c r="R225" s="102"/>
      <c r="S225" s="100"/>
      <c r="T225" s="103"/>
      <c r="U225" s="103"/>
      <c r="V225" s="174"/>
      <c r="W225" s="174"/>
      <c r="X225" s="174"/>
    </row>
    <row r="226" spans="2:24" ht="48.95" customHeight="1">
      <c r="B226" s="162" t="str">
        <f t="shared" si="0"/>
        <v>1-218</v>
      </c>
      <c r="C226" s="100" t="s">
        <v>271</v>
      </c>
      <c r="D226" s="42" t="s">
        <v>1197</v>
      </c>
      <c r="E226" s="42" t="s">
        <v>1201</v>
      </c>
      <c r="F226" s="227" t="s">
        <v>108</v>
      </c>
      <c r="G226" s="228"/>
      <c r="H226" s="102"/>
      <c r="I226" s="20"/>
      <c r="J226" s="102"/>
      <c r="K226" s="102"/>
      <c r="L226" s="20"/>
      <c r="M226" s="102"/>
      <c r="N226" s="102"/>
      <c r="O226" s="20"/>
      <c r="P226" s="102"/>
      <c r="Q226" s="102"/>
      <c r="R226" s="102"/>
      <c r="S226" s="100"/>
      <c r="T226" s="103"/>
      <c r="U226" s="103"/>
      <c r="V226" s="174"/>
      <c r="W226" s="174"/>
      <c r="X226" s="174"/>
    </row>
    <row r="227" spans="2:24" ht="48.95" customHeight="1">
      <c r="B227" s="162" t="str">
        <f t="shared" si="0"/>
        <v>1-219</v>
      </c>
      <c r="C227" s="100" t="s">
        <v>1202</v>
      </c>
      <c r="D227" s="42" t="s">
        <v>1203</v>
      </c>
      <c r="E227" s="42" t="s">
        <v>62</v>
      </c>
      <c r="F227" s="227" t="s">
        <v>1204</v>
      </c>
      <c r="G227" s="228"/>
      <c r="H227" s="102"/>
      <c r="I227" s="20"/>
      <c r="J227" s="102"/>
      <c r="K227" s="102"/>
      <c r="L227" s="20"/>
      <c r="M227" s="102"/>
      <c r="N227" s="102"/>
      <c r="O227" s="20"/>
      <c r="P227" s="102"/>
      <c r="Q227" s="102"/>
      <c r="R227" s="102"/>
      <c r="S227" s="100"/>
      <c r="T227" s="103"/>
      <c r="U227" s="103"/>
      <c r="V227" s="174"/>
      <c r="W227" s="174"/>
      <c r="X227" s="174"/>
    </row>
    <row r="228" spans="2:24" ht="48.95" customHeight="1">
      <c r="B228" s="162" t="str">
        <f t="shared" ref="B228:B240" si="1">"1-"&amp;ROW()-8</f>
        <v>1-220</v>
      </c>
      <c r="C228" s="100" t="s">
        <v>1194</v>
      </c>
      <c r="D228" s="42" t="s">
        <v>161</v>
      </c>
      <c r="E228" s="42" t="s">
        <v>103</v>
      </c>
      <c r="F228" s="227" t="s">
        <v>108</v>
      </c>
      <c r="G228" s="228"/>
      <c r="H228" s="102"/>
      <c r="I228" s="20"/>
      <c r="J228" s="102"/>
      <c r="K228" s="102"/>
      <c r="L228" s="20"/>
      <c r="M228" s="102"/>
      <c r="N228" s="102"/>
      <c r="O228" s="20"/>
      <c r="P228" s="102"/>
      <c r="Q228" s="178"/>
      <c r="R228" s="178"/>
      <c r="S228" s="100"/>
      <c r="T228" s="103"/>
      <c r="U228" s="103"/>
      <c r="V228" s="174"/>
      <c r="W228" s="174"/>
      <c r="X228" s="174"/>
    </row>
    <row r="229" spans="2:24" ht="48.95" customHeight="1">
      <c r="B229" s="162" t="str">
        <f t="shared" si="1"/>
        <v>1-221</v>
      </c>
      <c r="C229" s="100" t="s">
        <v>161</v>
      </c>
      <c r="D229" s="42" t="s">
        <v>1189</v>
      </c>
      <c r="E229" s="42" t="s">
        <v>62</v>
      </c>
      <c r="F229" s="227" t="s">
        <v>1310</v>
      </c>
      <c r="G229" s="228"/>
      <c r="H229" s="102"/>
      <c r="I229" s="20"/>
      <c r="J229" s="102"/>
      <c r="K229" s="102"/>
      <c r="L229" s="20"/>
      <c r="M229" s="102"/>
      <c r="N229" s="102"/>
      <c r="O229" s="20"/>
      <c r="P229" s="102"/>
      <c r="Q229" s="178"/>
      <c r="R229" s="178"/>
      <c r="S229" s="100"/>
      <c r="T229" s="103"/>
      <c r="U229" s="103"/>
      <c r="V229" s="174"/>
      <c r="W229" s="174"/>
      <c r="X229" s="174"/>
    </row>
    <row r="230" spans="2:24" ht="48.95" customHeight="1">
      <c r="B230" s="162" t="str">
        <f t="shared" si="1"/>
        <v>1-222</v>
      </c>
      <c r="C230" s="100" t="s">
        <v>1190</v>
      </c>
      <c r="D230" s="100" t="s">
        <v>1184</v>
      </c>
      <c r="E230" s="100" t="s">
        <v>1185</v>
      </c>
      <c r="F230" s="227" t="s">
        <v>1186</v>
      </c>
      <c r="G230" s="228"/>
      <c r="H230" s="102"/>
      <c r="I230" s="20"/>
      <c r="J230" s="102"/>
      <c r="K230" s="102"/>
      <c r="L230" s="20"/>
      <c r="M230" s="102"/>
      <c r="N230" s="102"/>
      <c r="O230" s="20"/>
      <c r="P230" s="102"/>
      <c r="Q230" s="102"/>
      <c r="R230" s="102"/>
      <c r="S230" s="100"/>
      <c r="T230" s="103"/>
      <c r="U230" s="103"/>
      <c r="V230" s="174"/>
      <c r="W230" s="174"/>
      <c r="X230" s="174"/>
    </row>
    <row r="231" spans="2:24" ht="48.95" customHeight="1">
      <c r="B231" s="162" t="str">
        <f t="shared" si="1"/>
        <v>1-223</v>
      </c>
      <c r="C231" s="100" t="s">
        <v>1191</v>
      </c>
      <c r="D231" s="42" t="s">
        <v>1311</v>
      </c>
      <c r="E231" s="100" t="s">
        <v>1185</v>
      </c>
      <c r="F231" s="227" t="s">
        <v>1187</v>
      </c>
      <c r="G231" s="228"/>
      <c r="H231" s="102"/>
      <c r="I231" s="20"/>
      <c r="J231" s="102"/>
      <c r="K231" s="102"/>
      <c r="L231" s="20"/>
      <c r="M231" s="102"/>
      <c r="N231" s="102"/>
      <c r="O231" s="20"/>
      <c r="P231" s="102"/>
      <c r="Q231" s="178"/>
      <c r="R231" s="178"/>
      <c r="S231" s="100"/>
      <c r="T231" s="103"/>
      <c r="U231" s="103"/>
      <c r="V231" s="174"/>
      <c r="W231" s="174"/>
      <c r="X231" s="174"/>
    </row>
    <row r="232" spans="2:24" ht="48.95" customHeight="1">
      <c r="B232" s="162" t="str">
        <f t="shared" si="1"/>
        <v>1-224</v>
      </c>
      <c r="C232" s="42" t="s">
        <v>1181</v>
      </c>
      <c r="D232" s="100" t="s">
        <v>1191</v>
      </c>
      <c r="E232" s="42" t="s">
        <v>132</v>
      </c>
      <c r="F232" s="227" t="s">
        <v>108</v>
      </c>
      <c r="G232" s="228"/>
      <c r="H232" s="102"/>
      <c r="I232" s="20"/>
      <c r="J232" s="102"/>
      <c r="K232" s="102"/>
      <c r="L232" s="20"/>
      <c r="M232" s="102"/>
      <c r="N232" s="102"/>
      <c r="O232" s="20"/>
      <c r="P232" s="102"/>
      <c r="Q232" s="178"/>
      <c r="R232" s="178"/>
      <c r="S232" s="100"/>
      <c r="T232" s="103"/>
      <c r="U232" s="103"/>
      <c r="V232" s="174"/>
      <c r="W232" s="174"/>
      <c r="X232" s="174"/>
    </row>
    <row r="233" spans="2:24" ht="48.95" customHeight="1">
      <c r="B233" s="162" t="str">
        <f t="shared" si="1"/>
        <v>1-225</v>
      </c>
      <c r="C233" s="100" t="s">
        <v>1191</v>
      </c>
      <c r="D233" s="42" t="s">
        <v>1189</v>
      </c>
      <c r="E233" s="42" t="s">
        <v>62</v>
      </c>
      <c r="F233" s="227" t="s">
        <v>1182</v>
      </c>
      <c r="G233" s="228"/>
      <c r="H233" s="102"/>
      <c r="I233" s="20"/>
      <c r="J233" s="102"/>
      <c r="K233" s="102"/>
      <c r="L233" s="20"/>
      <c r="M233" s="102"/>
      <c r="N233" s="102"/>
      <c r="O233" s="20"/>
      <c r="P233" s="102"/>
      <c r="Q233" s="178"/>
      <c r="R233" s="178"/>
      <c r="S233" s="100"/>
      <c r="T233" s="103"/>
      <c r="U233" s="103"/>
      <c r="V233" s="174"/>
      <c r="W233" s="174"/>
      <c r="X233" s="174"/>
    </row>
    <row r="234" spans="2:24" ht="48.95" customHeight="1">
      <c r="B234" s="162" t="str">
        <f t="shared" si="1"/>
        <v>1-226</v>
      </c>
      <c r="C234" s="100" t="s">
        <v>1183</v>
      </c>
      <c r="D234" s="100" t="s">
        <v>1184</v>
      </c>
      <c r="E234" s="100" t="s">
        <v>1185</v>
      </c>
      <c r="F234" s="227" t="s">
        <v>1186</v>
      </c>
      <c r="G234" s="228"/>
      <c r="H234" s="102"/>
      <c r="I234" s="20"/>
      <c r="J234" s="102"/>
      <c r="K234" s="102"/>
      <c r="L234" s="20"/>
      <c r="M234" s="102"/>
      <c r="N234" s="102"/>
      <c r="O234" s="20"/>
      <c r="P234" s="102"/>
      <c r="Q234" s="178"/>
      <c r="R234" s="178"/>
      <c r="S234" s="100"/>
      <c r="T234" s="103"/>
      <c r="U234" s="103"/>
      <c r="V234" s="174"/>
      <c r="W234" s="174"/>
      <c r="X234" s="174"/>
    </row>
    <row r="235" spans="2:24" ht="48.95" customHeight="1">
      <c r="B235" s="162" t="str">
        <f t="shared" si="1"/>
        <v>1-227</v>
      </c>
      <c r="C235" s="100" t="s">
        <v>271</v>
      </c>
      <c r="D235" s="42" t="s">
        <v>1311</v>
      </c>
      <c r="E235" s="100" t="s">
        <v>1185</v>
      </c>
      <c r="F235" s="227" t="s">
        <v>1187</v>
      </c>
      <c r="G235" s="228"/>
      <c r="H235" s="102"/>
      <c r="I235" s="20"/>
      <c r="J235" s="102"/>
      <c r="K235" s="102"/>
      <c r="L235" s="20"/>
      <c r="M235" s="102"/>
      <c r="N235" s="102"/>
      <c r="O235" s="20"/>
      <c r="P235" s="102"/>
      <c r="Q235" s="102"/>
      <c r="R235" s="102"/>
      <c r="S235" s="100"/>
      <c r="T235" s="103"/>
      <c r="U235" s="103"/>
      <c r="V235" s="174"/>
      <c r="W235" s="174"/>
      <c r="X235" s="174"/>
    </row>
    <row r="236" spans="2:24" ht="48.95" customHeight="1">
      <c r="B236" s="162" t="str">
        <f t="shared" si="1"/>
        <v>1-228</v>
      </c>
      <c r="C236" s="42" t="s">
        <v>1192</v>
      </c>
      <c r="D236" s="100" t="s">
        <v>271</v>
      </c>
      <c r="E236" s="42" t="s">
        <v>1195</v>
      </c>
      <c r="F236" s="227" t="s">
        <v>107</v>
      </c>
      <c r="G236" s="228"/>
      <c r="H236" s="102"/>
      <c r="I236" s="20"/>
      <c r="J236" s="102"/>
      <c r="K236" s="102"/>
      <c r="L236" s="20"/>
      <c r="M236" s="102"/>
      <c r="N236" s="102"/>
      <c r="O236" s="20"/>
      <c r="P236" s="102"/>
      <c r="Q236" s="178"/>
      <c r="R236" s="178"/>
      <c r="S236" s="100"/>
      <c r="T236" s="103"/>
      <c r="U236" s="103"/>
      <c r="V236" s="174"/>
      <c r="W236" s="174"/>
      <c r="X236" s="174"/>
    </row>
    <row r="237" spans="2:24" ht="48.95" customHeight="1">
      <c r="B237" s="162" t="str">
        <f t="shared" si="1"/>
        <v>1-229</v>
      </c>
      <c r="C237" s="100" t="s">
        <v>271</v>
      </c>
      <c r="D237" s="100" t="s">
        <v>271</v>
      </c>
      <c r="E237" s="42" t="s">
        <v>1196</v>
      </c>
      <c r="F237" s="227" t="s">
        <v>108</v>
      </c>
      <c r="G237" s="228"/>
      <c r="H237" s="102"/>
      <c r="I237" s="20"/>
      <c r="J237" s="102"/>
      <c r="K237" s="102"/>
      <c r="L237" s="20"/>
      <c r="M237" s="102"/>
      <c r="N237" s="102"/>
      <c r="O237" s="20"/>
      <c r="P237" s="102"/>
      <c r="Q237" s="178"/>
      <c r="R237" s="178"/>
      <c r="S237" s="100"/>
      <c r="T237" s="103"/>
      <c r="U237" s="103"/>
      <c r="V237" s="174"/>
      <c r="W237" s="174"/>
      <c r="X237" s="174"/>
    </row>
    <row r="238" spans="2:24" ht="48.95" customHeight="1">
      <c r="B238" s="162" t="str">
        <f t="shared" si="1"/>
        <v>1-230</v>
      </c>
      <c r="C238" s="100" t="s">
        <v>271</v>
      </c>
      <c r="D238" s="42" t="s">
        <v>1189</v>
      </c>
      <c r="E238" s="42" t="s">
        <v>62</v>
      </c>
      <c r="F238" s="227" t="s">
        <v>1193</v>
      </c>
      <c r="G238" s="228"/>
      <c r="H238" s="102"/>
      <c r="I238" s="20"/>
      <c r="J238" s="102"/>
      <c r="K238" s="102"/>
      <c r="L238" s="20"/>
      <c r="M238" s="102"/>
      <c r="N238" s="102"/>
      <c r="O238" s="20"/>
      <c r="P238" s="102"/>
      <c r="Q238" s="178"/>
      <c r="R238" s="178"/>
      <c r="S238" s="100"/>
      <c r="T238" s="103"/>
      <c r="U238" s="103"/>
      <c r="V238" s="174"/>
      <c r="W238" s="174"/>
      <c r="X238" s="174"/>
    </row>
    <row r="239" spans="2:24" ht="48.95" customHeight="1">
      <c r="B239" s="162" t="str">
        <f t="shared" si="1"/>
        <v>1-231</v>
      </c>
      <c r="C239" s="100" t="s">
        <v>1188</v>
      </c>
      <c r="D239" s="100" t="s">
        <v>1184</v>
      </c>
      <c r="E239" s="100" t="s">
        <v>1185</v>
      </c>
      <c r="F239" s="227" t="s">
        <v>1186</v>
      </c>
      <c r="G239" s="228"/>
      <c r="H239" s="102"/>
      <c r="I239" s="20"/>
      <c r="J239" s="102"/>
      <c r="K239" s="102"/>
      <c r="L239" s="20"/>
      <c r="M239" s="102"/>
      <c r="N239" s="102"/>
      <c r="O239" s="20"/>
      <c r="P239" s="102"/>
      <c r="Q239" s="178"/>
      <c r="R239" s="178"/>
      <c r="S239" s="100"/>
      <c r="T239" s="103"/>
      <c r="U239" s="103"/>
      <c r="V239" s="174"/>
      <c r="W239" s="174"/>
      <c r="X239" s="174"/>
    </row>
    <row r="240" spans="2:24" ht="48.95" customHeight="1">
      <c r="B240" s="162" t="str">
        <f t="shared" si="1"/>
        <v>1-232</v>
      </c>
      <c r="C240" s="100" t="s">
        <v>1188</v>
      </c>
      <c r="D240" s="42" t="s">
        <v>1311</v>
      </c>
      <c r="E240" s="100" t="s">
        <v>1185</v>
      </c>
      <c r="F240" s="227" t="s">
        <v>1187</v>
      </c>
      <c r="G240" s="228"/>
      <c r="H240" s="102"/>
      <c r="I240" s="20"/>
      <c r="J240" s="102"/>
      <c r="K240" s="102"/>
      <c r="L240" s="20"/>
      <c r="M240" s="102"/>
      <c r="N240" s="102"/>
      <c r="O240" s="20"/>
      <c r="P240" s="102"/>
      <c r="Q240" s="102"/>
      <c r="R240" s="102"/>
      <c r="S240" s="100"/>
      <c r="T240" s="103"/>
      <c r="U240" s="103"/>
      <c r="V240" s="174"/>
      <c r="W240" s="174"/>
      <c r="X240" s="174"/>
    </row>
    <row r="241" spans="2:22" ht="34.5" customHeight="1">
      <c r="B241" s="162" t="s">
        <v>971</v>
      </c>
      <c r="C241" s="18" t="s">
        <v>110</v>
      </c>
      <c r="D241" s="18" t="s">
        <v>111</v>
      </c>
      <c r="E241" s="42" t="s">
        <v>109</v>
      </c>
      <c r="F241" s="229" t="s">
        <v>112</v>
      </c>
      <c r="G241" s="230"/>
      <c r="H241" s="120"/>
      <c r="I241" s="121"/>
      <c r="J241" s="102"/>
      <c r="K241" s="120"/>
      <c r="L241" s="121"/>
      <c r="M241" s="102"/>
      <c r="N241" s="120"/>
      <c r="O241" s="121"/>
      <c r="P241" s="102"/>
      <c r="Q241" s="102"/>
      <c r="R241" s="122"/>
      <c r="S241" s="114"/>
      <c r="T241" s="103"/>
      <c r="U241" s="103"/>
      <c r="V241" s="125"/>
    </row>
    <row r="242" spans="2:22" ht="34.5" customHeight="1">
      <c r="B242" s="162" t="s">
        <v>972</v>
      </c>
      <c r="C242" s="18" t="s">
        <v>120</v>
      </c>
      <c r="D242" s="18" t="s">
        <v>120</v>
      </c>
      <c r="E242" s="42" t="s">
        <v>109</v>
      </c>
      <c r="F242" s="229" t="s">
        <v>113</v>
      </c>
      <c r="G242" s="230"/>
      <c r="H242" s="120"/>
      <c r="I242" s="121"/>
      <c r="J242" s="102"/>
      <c r="K242" s="120"/>
      <c r="L242" s="121"/>
      <c r="M242" s="102"/>
      <c r="N242" s="120"/>
      <c r="O242" s="121"/>
      <c r="P242" s="102"/>
      <c r="Q242" s="102"/>
      <c r="R242" s="122"/>
      <c r="S242" s="114"/>
      <c r="T242" s="103"/>
      <c r="U242" s="103"/>
      <c r="V242" s="125"/>
    </row>
    <row r="243" spans="2:22" ht="34.5" customHeight="1">
      <c r="B243" s="162" t="s">
        <v>973</v>
      </c>
      <c r="C243" s="18" t="s">
        <v>120</v>
      </c>
      <c r="D243" s="18" t="s">
        <v>123</v>
      </c>
      <c r="E243" s="42" t="s">
        <v>109</v>
      </c>
      <c r="F243" s="229" t="s">
        <v>124</v>
      </c>
      <c r="G243" s="230"/>
      <c r="H243" s="120"/>
      <c r="I243" s="121"/>
      <c r="J243" s="102"/>
      <c r="K243" s="120"/>
      <c r="L243" s="121"/>
      <c r="M243" s="102"/>
      <c r="N243" s="120"/>
      <c r="O243" s="121"/>
      <c r="P243" s="102"/>
      <c r="Q243" s="102"/>
      <c r="R243" s="122"/>
      <c r="S243" s="114"/>
      <c r="T243" s="103"/>
      <c r="U243" s="103"/>
      <c r="V243" s="125"/>
    </row>
    <row r="244" spans="2:22" ht="34.5" customHeight="1">
      <c r="B244" s="162" t="s">
        <v>974</v>
      </c>
      <c r="C244" s="18" t="s">
        <v>120</v>
      </c>
      <c r="D244" s="18" t="s">
        <v>120</v>
      </c>
      <c r="E244" s="42" t="s">
        <v>109</v>
      </c>
      <c r="F244" s="229" t="s">
        <v>113</v>
      </c>
      <c r="G244" s="230"/>
      <c r="H244" s="120"/>
      <c r="I244" s="121"/>
      <c r="J244" s="102"/>
      <c r="K244" s="120"/>
      <c r="L244" s="121"/>
      <c r="M244" s="102"/>
      <c r="N244" s="120"/>
      <c r="O244" s="121"/>
      <c r="P244" s="102"/>
      <c r="Q244" s="102"/>
      <c r="R244" s="122"/>
      <c r="S244" s="114"/>
      <c r="T244" s="103"/>
      <c r="U244" s="103"/>
      <c r="V244" s="125"/>
    </row>
    <row r="245" spans="2:22" ht="34.5" customHeight="1">
      <c r="B245" s="162" t="s">
        <v>975</v>
      </c>
      <c r="C245" s="18" t="s">
        <v>120</v>
      </c>
      <c r="D245" s="18" t="s">
        <v>125</v>
      </c>
      <c r="E245" s="42" t="s">
        <v>109</v>
      </c>
      <c r="F245" s="229" t="s">
        <v>126</v>
      </c>
      <c r="G245" s="230"/>
      <c r="H245" s="120"/>
      <c r="I245" s="121"/>
      <c r="J245" s="102"/>
      <c r="K245" s="120"/>
      <c r="L245" s="121"/>
      <c r="M245" s="102"/>
      <c r="N245" s="120"/>
      <c r="O245" s="121"/>
      <c r="P245" s="102"/>
      <c r="Q245" s="102"/>
      <c r="R245" s="122"/>
      <c r="S245" s="114"/>
      <c r="T245" s="103"/>
      <c r="U245" s="103"/>
      <c r="V245" s="125"/>
    </row>
    <row r="246" spans="2:22" ht="34.5" customHeight="1">
      <c r="B246" s="162" t="s">
        <v>976</v>
      </c>
      <c r="C246" s="18" t="s">
        <v>120</v>
      </c>
      <c r="D246" s="18" t="s">
        <v>120</v>
      </c>
      <c r="E246" s="42" t="s">
        <v>109</v>
      </c>
      <c r="F246" s="229" t="s">
        <v>113</v>
      </c>
      <c r="G246" s="230"/>
      <c r="H246" s="120"/>
      <c r="I246" s="121"/>
      <c r="J246" s="102"/>
      <c r="K246" s="120"/>
      <c r="L246" s="121"/>
      <c r="M246" s="102"/>
      <c r="N246" s="120"/>
      <c r="O246" s="121"/>
      <c r="P246" s="102"/>
      <c r="Q246" s="102"/>
      <c r="R246" s="122"/>
      <c r="S246" s="114"/>
      <c r="T246" s="103"/>
      <c r="U246" s="103"/>
      <c r="V246" s="125"/>
    </row>
    <row r="247" spans="2:22" ht="34.5" customHeight="1">
      <c r="B247" s="162" t="s">
        <v>977</v>
      </c>
      <c r="C247" s="18" t="s">
        <v>759</v>
      </c>
      <c r="D247" s="18" t="s">
        <v>120</v>
      </c>
      <c r="E247" s="18" t="s">
        <v>758</v>
      </c>
      <c r="F247" s="229" t="s">
        <v>760</v>
      </c>
      <c r="G247" s="230"/>
      <c r="H247" s="120"/>
      <c r="I247" s="121"/>
      <c r="J247" s="102"/>
      <c r="K247" s="120"/>
      <c r="L247" s="20"/>
      <c r="M247" s="102"/>
      <c r="N247" s="120"/>
      <c r="O247" s="20"/>
      <c r="P247" s="102"/>
      <c r="Q247" s="122"/>
      <c r="R247" s="122"/>
      <c r="S247" s="114"/>
      <c r="T247" s="103"/>
      <c r="U247" s="103"/>
      <c r="V247" s="171"/>
    </row>
    <row r="248" spans="2:22" ht="34.5" customHeight="1">
      <c r="B248" s="162" t="s">
        <v>978</v>
      </c>
      <c r="C248" s="18" t="s">
        <v>114</v>
      </c>
      <c r="D248" s="18" t="s">
        <v>387</v>
      </c>
      <c r="E248" s="42" t="s">
        <v>394</v>
      </c>
      <c r="F248" s="229" t="s">
        <v>395</v>
      </c>
      <c r="G248" s="230"/>
      <c r="H248" s="120"/>
      <c r="I248" s="121"/>
      <c r="J248" s="102"/>
      <c r="K248" s="120"/>
      <c r="L248" s="20"/>
      <c r="M248" s="102"/>
      <c r="N248" s="120"/>
      <c r="O248" s="20"/>
      <c r="P248" s="102"/>
      <c r="Q248" s="122"/>
      <c r="R248" s="122"/>
      <c r="S248" s="114"/>
      <c r="T248" s="103"/>
      <c r="U248" s="103"/>
      <c r="V248" s="158"/>
    </row>
    <row r="249" spans="2:22" ht="34.5" customHeight="1">
      <c r="B249" s="162" t="s">
        <v>979</v>
      </c>
      <c r="C249" s="114" t="s">
        <v>99</v>
      </c>
      <c r="D249" s="18" t="s">
        <v>116</v>
      </c>
      <c r="E249" s="42" t="s">
        <v>402</v>
      </c>
      <c r="F249" s="229" t="s">
        <v>115</v>
      </c>
      <c r="G249" s="230"/>
      <c r="H249" s="120"/>
      <c r="I249" s="121"/>
      <c r="J249" s="102"/>
      <c r="K249" s="120"/>
      <c r="L249" s="20"/>
      <c r="M249" s="102"/>
      <c r="N249" s="120"/>
      <c r="O249" s="20"/>
      <c r="P249" s="102"/>
      <c r="Q249" s="122"/>
      <c r="R249" s="122"/>
      <c r="S249" s="114"/>
      <c r="T249" s="103"/>
      <c r="U249" s="103"/>
      <c r="V249" s="116"/>
    </row>
    <row r="250" spans="2:22" s="15" customFormat="1" ht="34.5" customHeight="1">
      <c r="B250" s="162" t="s">
        <v>980</v>
      </c>
      <c r="C250" s="114" t="s">
        <v>99</v>
      </c>
      <c r="D250" s="18" t="s">
        <v>117</v>
      </c>
      <c r="E250" s="42" t="s">
        <v>118</v>
      </c>
      <c r="F250" s="229" t="s">
        <v>386</v>
      </c>
      <c r="G250" s="230"/>
      <c r="H250" s="120"/>
      <c r="I250" s="121"/>
      <c r="J250" s="102"/>
      <c r="K250" s="120"/>
      <c r="L250" s="20"/>
      <c r="M250" s="102"/>
      <c r="N250" s="120"/>
      <c r="O250" s="20"/>
      <c r="P250" s="102"/>
      <c r="Q250" s="122"/>
      <c r="R250" s="122"/>
      <c r="S250" s="100"/>
      <c r="T250" s="103"/>
      <c r="U250" s="103"/>
      <c r="V250" s="116"/>
    </row>
    <row r="251" spans="2:22" ht="34.5" customHeight="1">
      <c r="B251" s="162" t="s">
        <v>981</v>
      </c>
      <c r="C251" s="114" t="s">
        <v>99</v>
      </c>
      <c r="D251" s="18" t="s">
        <v>385</v>
      </c>
      <c r="E251" s="42" t="s">
        <v>403</v>
      </c>
      <c r="F251" s="229" t="s">
        <v>390</v>
      </c>
      <c r="G251" s="230"/>
      <c r="H251" s="120"/>
      <c r="I251" s="121"/>
      <c r="J251" s="102"/>
      <c r="K251" s="120"/>
      <c r="L251" s="20"/>
      <c r="M251" s="102"/>
      <c r="N251" s="120"/>
      <c r="O251" s="20"/>
      <c r="P251" s="102"/>
      <c r="Q251" s="123"/>
      <c r="R251" s="123"/>
      <c r="S251" s="114"/>
      <c r="T251" s="103"/>
      <c r="U251" s="103"/>
      <c r="V251" s="116"/>
    </row>
    <row r="253" spans="2:22">
      <c r="B253" s="2" t="s">
        <v>137</v>
      </c>
      <c r="C253" s="99" t="s">
        <v>736</v>
      </c>
    </row>
    <row r="254" spans="2:22" ht="13.5" customHeight="1">
      <c r="B254" s="231" t="s">
        <v>4</v>
      </c>
      <c r="C254" s="233" t="s">
        <v>5</v>
      </c>
      <c r="D254" s="235" t="s">
        <v>79</v>
      </c>
      <c r="E254" s="235" t="s">
        <v>6</v>
      </c>
      <c r="F254" s="237" t="s">
        <v>7</v>
      </c>
      <c r="G254" s="238"/>
      <c r="H254" s="241" t="s">
        <v>91</v>
      </c>
      <c r="I254" s="241"/>
      <c r="J254" s="241"/>
      <c r="K254" s="241" t="s">
        <v>84</v>
      </c>
      <c r="L254" s="241"/>
      <c r="M254" s="241"/>
      <c r="N254" s="241" t="s">
        <v>85</v>
      </c>
      <c r="O254" s="241"/>
      <c r="P254" s="241"/>
      <c r="Q254" s="235" t="s">
        <v>1253</v>
      </c>
      <c r="R254" s="235" t="s">
        <v>78</v>
      </c>
      <c r="S254" s="242" t="s">
        <v>14</v>
      </c>
      <c r="T254" s="242"/>
      <c r="U254" s="242"/>
    </row>
    <row r="255" spans="2:22">
      <c r="B255" s="232"/>
      <c r="C255" s="234"/>
      <c r="D255" s="236"/>
      <c r="E255" s="236"/>
      <c r="F255" s="239"/>
      <c r="G255" s="240"/>
      <c r="H255" s="124" t="s">
        <v>8</v>
      </c>
      <c r="I255" s="124" t="s">
        <v>9</v>
      </c>
      <c r="J255" s="124" t="s">
        <v>10</v>
      </c>
      <c r="K255" s="124" t="s">
        <v>8</v>
      </c>
      <c r="L255" s="124" t="s">
        <v>9</v>
      </c>
      <c r="M255" s="124" t="s">
        <v>10</v>
      </c>
      <c r="N255" s="124" t="s">
        <v>8</v>
      </c>
      <c r="O255" s="124" t="s">
        <v>9</v>
      </c>
      <c r="P255" s="124" t="s">
        <v>10</v>
      </c>
      <c r="Q255" s="234"/>
      <c r="R255" s="234"/>
      <c r="S255" s="93"/>
      <c r="T255" s="94"/>
      <c r="U255" s="95"/>
    </row>
    <row r="256" spans="2:22" ht="45" customHeight="1">
      <c r="B256" s="162" t="s">
        <v>982</v>
      </c>
      <c r="C256" s="115" t="s">
        <v>745</v>
      </c>
      <c r="D256" s="42" t="s">
        <v>83</v>
      </c>
      <c r="E256" s="42" t="s">
        <v>62</v>
      </c>
      <c r="F256" s="227" t="s">
        <v>738</v>
      </c>
      <c r="G256" s="228"/>
      <c r="H256" s="120"/>
      <c r="I256" s="121"/>
      <c r="J256" s="102"/>
      <c r="K256" s="120"/>
      <c r="L256" s="121"/>
      <c r="M256" s="102"/>
      <c r="N256" s="120"/>
      <c r="O256" s="121"/>
      <c r="P256" s="102"/>
      <c r="Q256" s="102"/>
      <c r="R256" s="102"/>
      <c r="S256" s="100"/>
      <c r="T256" s="103"/>
      <c r="U256" s="103"/>
      <c r="V256" s="145"/>
    </row>
    <row r="257" spans="2:24" ht="45" customHeight="1">
      <c r="B257" s="162" t="s">
        <v>983</v>
      </c>
      <c r="C257" s="100" t="s">
        <v>83</v>
      </c>
      <c r="D257" s="42" t="s">
        <v>83</v>
      </c>
      <c r="E257" s="42" t="s">
        <v>62</v>
      </c>
      <c r="F257" s="227" t="s">
        <v>92</v>
      </c>
      <c r="G257" s="228"/>
      <c r="H257" s="120"/>
      <c r="I257" s="121"/>
      <c r="J257" s="102"/>
      <c r="K257" s="120"/>
      <c r="L257" s="121"/>
      <c r="M257" s="102"/>
      <c r="N257" s="120"/>
      <c r="O257" s="121"/>
      <c r="P257" s="102"/>
      <c r="Q257" s="102"/>
      <c r="R257" s="102"/>
      <c r="S257" s="100"/>
      <c r="T257" s="103"/>
      <c r="U257" s="103"/>
      <c r="V257" s="145"/>
    </row>
    <row r="258" spans="2:24" ht="34.5" customHeight="1">
      <c r="B258" s="162" t="s">
        <v>984</v>
      </c>
      <c r="C258" s="100" t="s">
        <v>1082</v>
      </c>
      <c r="D258" s="42" t="s">
        <v>1083</v>
      </c>
      <c r="E258" s="42" t="s">
        <v>1084</v>
      </c>
      <c r="F258" s="227" t="s">
        <v>406</v>
      </c>
      <c r="G258" s="228"/>
      <c r="H258" s="120"/>
      <c r="I258" s="121"/>
      <c r="J258" s="102"/>
      <c r="K258" s="120"/>
      <c r="L258" s="121"/>
      <c r="M258" s="102"/>
      <c r="N258" s="155"/>
      <c r="O258" s="156"/>
      <c r="P258" s="155"/>
      <c r="Q258" s="178"/>
      <c r="R258" s="102"/>
      <c r="S258" s="100"/>
      <c r="T258" s="103"/>
      <c r="U258" s="103"/>
      <c r="V258" s="174"/>
      <c r="W258" s="174"/>
      <c r="X258" s="174"/>
    </row>
    <row r="259" spans="2:24" ht="34.5" customHeight="1">
      <c r="B259" s="162" t="s">
        <v>985</v>
      </c>
      <c r="C259" s="100" t="s">
        <v>1082</v>
      </c>
      <c r="D259" s="42" t="s">
        <v>271</v>
      </c>
      <c r="E259" s="42" t="s">
        <v>1085</v>
      </c>
      <c r="F259" s="227" t="s">
        <v>92</v>
      </c>
      <c r="G259" s="228"/>
      <c r="H259" s="120"/>
      <c r="I259" s="121"/>
      <c r="J259" s="102"/>
      <c r="K259" s="120"/>
      <c r="L259" s="121"/>
      <c r="M259" s="102"/>
      <c r="N259" s="120"/>
      <c r="O259" s="121"/>
      <c r="P259" s="102"/>
      <c r="Q259" s="102"/>
      <c r="R259" s="102"/>
      <c r="S259" s="100"/>
      <c r="T259" s="103"/>
      <c r="U259" s="103"/>
      <c r="V259" s="174"/>
      <c r="W259" s="174"/>
      <c r="X259" s="174"/>
    </row>
    <row r="260" spans="2:24" ht="34.5" customHeight="1">
      <c r="B260" s="162" t="s">
        <v>986</v>
      </c>
      <c r="C260" s="100" t="s">
        <v>271</v>
      </c>
      <c r="D260" s="42" t="s">
        <v>1086</v>
      </c>
      <c r="E260" s="42" t="s">
        <v>1087</v>
      </c>
      <c r="F260" s="227" t="s">
        <v>93</v>
      </c>
      <c r="G260" s="228"/>
      <c r="H260" s="120"/>
      <c r="I260" s="121"/>
      <c r="J260" s="102"/>
      <c r="K260" s="120"/>
      <c r="L260" s="121"/>
      <c r="M260" s="102"/>
      <c r="N260" s="120"/>
      <c r="O260" s="121"/>
      <c r="P260" s="102"/>
      <c r="Q260" s="102"/>
      <c r="R260" s="102"/>
      <c r="S260" s="100"/>
      <c r="T260" s="103"/>
      <c r="U260" s="103"/>
      <c r="V260" s="174"/>
      <c r="W260" s="174"/>
      <c r="X260" s="174"/>
    </row>
    <row r="261" spans="2:24" ht="45" customHeight="1">
      <c r="B261" s="162" t="s">
        <v>987</v>
      </c>
      <c r="C261" s="42" t="s">
        <v>1172</v>
      </c>
      <c r="D261" s="42" t="s">
        <v>1264</v>
      </c>
      <c r="E261" s="42" t="s">
        <v>103</v>
      </c>
      <c r="F261" s="225" t="s">
        <v>377</v>
      </c>
      <c r="G261" s="226"/>
      <c r="H261" s="120"/>
      <c r="I261" s="121"/>
      <c r="J261" s="102"/>
      <c r="K261" s="120"/>
      <c r="L261" s="121"/>
      <c r="M261" s="102"/>
      <c r="N261" s="120"/>
      <c r="O261" s="121"/>
      <c r="P261" s="102"/>
      <c r="Q261" s="102"/>
      <c r="R261" s="102"/>
      <c r="S261" s="100"/>
      <c r="T261" s="103"/>
      <c r="U261" s="103"/>
      <c r="V261" s="145"/>
    </row>
    <row r="262" spans="2:24" ht="45" customHeight="1">
      <c r="B262" s="162" t="s">
        <v>988</v>
      </c>
      <c r="C262" s="100" t="s">
        <v>83</v>
      </c>
      <c r="D262" s="42" t="s">
        <v>1265</v>
      </c>
      <c r="E262" s="100" t="s">
        <v>83</v>
      </c>
      <c r="F262" s="227" t="s">
        <v>278</v>
      </c>
      <c r="G262" s="228"/>
      <c r="H262" s="102"/>
      <c r="I262" s="20"/>
      <c r="J262" s="102"/>
      <c r="K262" s="102"/>
      <c r="L262" s="20"/>
      <c r="M262" s="102"/>
      <c r="N262" s="102"/>
      <c r="O262" s="20"/>
      <c r="P262" s="102"/>
      <c r="Q262" s="102"/>
      <c r="R262" s="102"/>
      <c r="S262" s="100"/>
      <c r="T262" s="103"/>
      <c r="U262" s="103"/>
      <c r="V262" s="177"/>
    </row>
    <row r="263" spans="2:24" ht="45" customHeight="1">
      <c r="B263" s="162" t="s">
        <v>989</v>
      </c>
      <c r="C263" s="100" t="s">
        <v>1167</v>
      </c>
      <c r="D263" s="42" t="s">
        <v>1264</v>
      </c>
      <c r="E263" s="42" t="s">
        <v>103</v>
      </c>
      <c r="F263" s="225" t="s">
        <v>377</v>
      </c>
      <c r="G263" s="226"/>
      <c r="H263" s="120"/>
      <c r="I263" s="121"/>
      <c r="J263" s="102"/>
      <c r="K263" s="120"/>
      <c r="L263" s="121"/>
      <c r="M263" s="102"/>
      <c r="N263" s="120"/>
      <c r="O263" s="121"/>
      <c r="P263" s="102"/>
      <c r="Q263" s="102"/>
      <c r="R263" s="102"/>
      <c r="S263" s="100"/>
      <c r="T263" s="103"/>
      <c r="U263" s="103"/>
      <c r="V263" s="145"/>
    </row>
    <row r="264" spans="2:24" ht="45" customHeight="1">
      <c r="B264" s="162" t="s">
        <v>990</v>
      </c>
      <c r="C264" s="100" t="s">
        <v>83</v>
      </c>
      <c r="D264" s="42" t="s">
        <v>1265</v>
      </c>
      <c r="E264" s="100" t="s">
        <v>83</v>
      </c>
      <c r="F264" s="227" t="s">
        <v>278</v>
      </c>
      <c r="G264" s="228"/>
      <c r="H264" s="102"/>
      <c r="I264" s="20"/>
      <c r="J264" s="102"/>
      <c r="K264" s="102"/>
      <c r="L264" s="20"/>
      <c r="M264" s="102"/>
      <c r="N264" s="102"/>
      <c r="O264" s="20"/>
      <c r="P264" s="102"/>
      <c r="Q264" s="102"/>
      <c r="R264" s="102"/>
      <c r="S264" s="100"/>
      <c r="T264" s="103"/>
      <c r="U264" s="103"/>
      <c r="V264" s="177"/>
    </row>
    <row r="265" spans="2:24" ht="45" customHeight="1">
      <c r="B265" s="162" t="s">
        <v>991</v>
      </c>
      <c r="C265" s="100" t="s">
        <v>1168</v>
      </c>
      <c r="D265" s="42" t="s">
        <v>1264</v>
      </c>
      <c r="E265" s="42" t="s">
        <v>103</v>
      </c>
      <c r="F265" s="225" t="s">
        <v>1266</v>
      </c>
      <c r="G265" s="226"/>
      <c r="H265" s="120"/>
      <c r="I265" s="121"/>
      <c r="J265" s="102"/>
      <c r="K265" s="120"/>
      <c r="L265" s="121"/>
      <c r="M265" s="102"/>
      <c r="N265" s="120"/>
      <c r="O265" s="121"/>
      <c r="P265" s="102"/>
      <c r="Q265" s="102"/>
      <c r="R265" s="102"/>
      <c r="S265" s="100"/>
      <c r="T265" s="103"/>
      <c r="U265" s="103"/>
      <c r="V265" s="145"/>
    </row>
    <row r="266" spans="2:24" ht="45" customHeight="1">
      <c r="B266" s="162" t="s">
        <v>992</v>
      </c>
      <c r="C266" s="100" t="s">
        <v>83</v>
      </c>
      <c r="D266" s="42" t="s">
        <v>1265</v>
      </c>
      <c r="E266" s="100" t="s">
        <v>83</v>
      </c>
      <c r="F266" s="227" t="s">
        <v>278</v>
      </c>
      <c r="G266" s="228"/>
      <c r="H266" s="102"/>
      <c r="I266" s="20"/>
      <c r="J266" s="102"/>
      <c r="K266" s="102"/>
      <c r="L266" s="20"/>
      <c r="M266" s="102"/>
      <c r="N266" s="102"/>
      <c r="O266" s="20"/>
      <c r="P266" s="102"/>
      <c r="Q266" s="102"/>
      <c r="R266" s="102"/>
      <c r="S266" s="100"/>
      <c r="T266" s="103"/>
      <c r="U266" s="103"/>
      <c r="V266" s="177"/>
    </row>
    <row r="267" spans="2:24" ht="45" customHeight="1">
      <c r="B267" s="162" t="s">
        <v>993</v>
      </c>
      <c r="C267" s="100" t="s">
        <v>1169</v>
      </c>
      <c r="D267" s="42" t="s">
        <v>1264</v>
      </c>
      <c r="E267" s="42" t="s">
        <v>103</v>
      </c>
      <c r="F267" s="225" t="s">
        <v>377</v>
      </c>
      <c r="G267" s="226"/>
      <c r="H267" s="120"/>
      <c r="I267" s="121"/>
      <c r="J267" s="102"/>
      <c r="K267" s="120"/>
      <c r="L267" s="121"/>
      <c r="M267" s="102"/>
      <c r="N267" s="120"/>
      <c r="O267" s="121"/>
      <c r="P267" s="102"/>
      <c r="Q267" s="102"/>
      <c r="R267" s="102"/>
      <c r="S267" s="100"/>
      <c r="T267" s="103"/>
      <c r="U267" s="103"/>
      <c r="V267" s="150"/>
    </row>
    <row r="268" spans="2:24" ht="45" customHeight="1">
      <c r="B268" s="162" t="s">
        <v>994</v>
      </c>
      <c r="C268" s="100" t="s">
        <v>83</v>
      </c>
      <c r="D268" s="42" t="s">
        <v>1265</v>
      </c>
      <c r="E268" s="100" t="s">
        <v>83</v>
      </c>
      <c r="F268" s="227" t="s">
        <v>278</v>
      </c>
      <c r="G268" s="228"/>
      <c r="H268" s="102"/>
      <c r="I268" s="20"/>
      <c r="J268" s="102"/>
      <c r="K268" s="102"/>
      <c r="L268" s="20"/>
      <c r="M268" s="102"/>
      <c r="N268" s="102"/>
      <c r="O268" s="20"/>
      <c r="P268" s="102"/>
      <c r="Q268" s="102"/>
      <c r="R268" s="102"/>
      <c r="S268" s="100"/>
      <c r="T268" s="103"/>
      <c r="U268" s="103"/>
      <c r="V268" s="177"/>
    </row>
    <row r="269" spans="2:24" ht="45" customHeight="1">
      <c r="B269" s="162" t="s">
        <v>995</v>
      </c>
      <c r="C269" s="100" t="s">
        <v>1170</v>
      </c>
      <c r="D269" s="42" t="s">
        <v>1264</v>
      </c>
      <c r="E269" s="42" t="s">
        <v>103</v>
      </c>
      <c r="F269" s="225" t="s">
        <v>1266</v>
      </c>
      <c r="G269" s="226"/>
      <c r="H269" s="120"/>
      <c r="I269" s="121"/>
      <c r="J269" s="102"/>
      <c r="K269" s="120"/>
      <c r="L269" s="121"/>
      <c r="M269" s="102"/>
      <c r="N269" s="120"/>
      <c r="O269" s="121"/>
      <c r="P269" s="102"/>
      <c r="Q269" s="102"/>
      <c r="R269" s="102"/>
      <c r="S269" s="100"/>
      <c r="T269" s="103"/>
      <c r="U269" s="103"/>
      <c r="V269" s="150"/>
    </row>
    <row r="270" spans="2:24" ht="45" customHeight="1">
      <c r="B270" s="162" t="s">
        <v>996</v>
      </c>
      <c r="C270" s="100" t="s">
        <v>83</v>
      </c>
      <c r="D270" s="42" t="s">
        <v>1265</v>
      </c>
      <c r="E270" s="100" t="s">
        <v>83</v>
      </c>
      <c r="F270" s="227" t="s">
        <v>278</v>
      </c>
      <c r="G270" s="228"/>
      <c r="H270" s="102"/>
      <c r="I270" s="20"/>
      <c r="J270" s="102"/>
      <c r="K270" s="102"/>
      <c r="L270" s="20"/>
      <c r="M270" s="102"/>
      <c r="N270" s="102"/>
      <c r="O270" s="20"/>
      <c r="P270" s="102"/>
      <c r="Q270" s="102"/>
      <c r="R270" s="102"/>
      <c r="S270" s="100"/>
      <c r="T270" s="103"/>
      <c r="U270" s="103"/>
      <c r="V270" s="177"/>
    </row>
    <row r="271" spans="2:24" ht="45" customHeight="1">
      <c r="B271" s="162" t="s">
        <v>997</v>
      </c>
      <c r="C271" s="100" t="s">
        <v>1171</v>
      </c>
      <c r="D271" s="42" t="s">
        <v>1264</v>
      </c>
      <c r="E271" s="42" t="s">
        <v>103</v>
      </c>
      <c r="F271" s="225" t="s">
        <v>377</v>
      </c>
      <c r="G271" s="226"/>
      <c r="H271" s="120"/>
      <c r="I271" s="121"/>
      <c r="J271" s="102"/>
      <c r="K271" s="120"/>
      <c r="L271" s="121"/>
      <c r="M271" s="102"/>
      <c r="N271" s="120"/>
      <c r="O271" s="121"/>
      <c r="P271" s="102"/>
      <c r="Q271" s="102"/>
      <c r="R271" s="102"/>
      <c r="S271" s="100"/>
      <c r="T271" s="103"/>
      <c r="U271" s="103"/>
      <c r="V271" s="145"/>
    </row>
    <row r="272" spans="2:24" ht="45" customHeight="1">
      <c r="B272" s="162" t="s">
        <v>998</v>
      </c>
      <c r="C272" s="100" t="s">
        <v>83</v>
      </c>
      <c r="D272" s="42" t="s">
        <v>1265</v>
      </c>
      <c r="E272" s="100" t="s">
        <v>83</v>
      </c>
      <c r="F272" s="227" t="s">
        <v>278</v>
      </c>
      <c r="G272" s="228"/>
      <c r="H272" s="102"/>
      <c r="I272" s="20"/>
      <c r="J272" s="102"/>
      <c r="K272" s="102"/>
      <c r="L272" s="20"/>
      <c r="M272" s="102"/>
      <c r="N272" s="102"/>
      <c r="O272" s="20"/>
      <c r="P272" s="102"/>
      <c r="Q272" s="102"/>
      <c r="R272" s="102"/>
      <c r="S272" s="100"/>
      <c r="T272" s="103"/>
      <c r="U272" s="103"/>
      <c r="V272" s="177"/>
    </row>
    <row r="273" spans="2:22" ht="45" customHeight="1">
      <c r="B273" s="162" t="s">
        <v>999</v>
      </c>
      <c r="C273" s="100" t="s">
        <v>83</v>
      </c>
      <c r="D273" s="42" t="s">
        <v>1111</v>
      </c>
      <c r="E273" s="42" t="s">
        <v>236</v>
      </c>
      <c r="F273" s="227" t="s">
        <v>101</v>
      </c>
      <c r="G273" s="228"/>
      <c r="H273" s="120"/>
      <c r="I273" s="121"/>
      <c r="J273" s="102"/>
      <c r="K273" s="120"/>
      <c r="L273" s="121"/>
      <c r="M273" s="102"/>
      <c r="N273" s="120"/>
      <c r="O273" s="121"/>
      <c r="P273" s="102"/>
      <c r="Q273" s="178"/>
      <c r="R273" s="102"/>
      <c r="S273" s="100"/>
      <c r="T273" s="103"/>
      <c r="U273" s="103"/>
      <c r="V273" s="145"/>
    </row>
    <row r="274" spans="2:22" ht="45" customHeight="1">
      <c r="B274" s="162" t="s">
        <v>1000</v>
      </c>
      <c r="C274" s="100" t="s">
        <v>83</v>
      </c>
      <c r="D274" s="42" t="s">
        <v>83</v>
      </c>
      <c r="E274" s="42" t="s">
        <v>238</v>
      </c>
      <c r="F274" s="227" t="s">
        <v>101</v>
      </c>
      <c r="G274" s="228"/>
      <c r="H274" s="120"/>
      <c r="I274" s="121"/>
      <c r="J274" s="102"/>
      <c r="K274" s="120"/>
      <c r="L274" s="121"/>
      <c r="M274" s="102"/>
      <c r="N274" s="120"/>
      <c r="O274" s="121"/>
      <c r="P274" s="102"/>
      <c r="Q274" s="178"/>
      <c r="R274" s="102"/>
      <c r="S274" s="100"/>
      <c r="T274" s="103"/>
      <c r="U274" s="103"/>
      <c r="V274" s="145"/>
    </row>
    <row r="275" spans="2:22" ht="45" customHeight="1">
      <c r="B275" s="162" t="s">
        <v>1001</v>
      </c>
      <c r="C275" s="100" t="s">
        <v>83</v>
      </c>
      <c r="D275" s="42" t="s">
        <v>83</v>
      </c>
      <c r="E275" s="42" t="s">
        <v>239</v>
      </c>
      <c r="F275" s="227" t="s">
        <v>101</v>
      </c>
      <c r="G275" s="228"/>
      <c r="H275" s="120"/>
      <c r="I275" s="121"/>
      <c r="J275" s="102"/>
      <c r="K275" s="120"/>
      <c r="L275" s="121"/>
      <c r="M275" s="102"/>
      <c r="N275" s="120"/>
      <c r="O275" s="121"/>
      <c r="P275" s="102"/>
      <c r="Q275" s="178"/>
      <c r="R275" s="102"/>
      <c r="S275" s="100"/>
      <c r="T275" s="103"/>
      <c r="U275" s="103"/>
      <c r="V275" s="145"/>
    </row>
    <row r="276" spans="2:22" ht="45" customHeight="1">
      <c r="B276" s="162" t="s">
        <v>1002</v>
      </c>
      <c r="C276" s="100" t="s">
        <v>83</v>
      </c>
      <c r="D276" s="42" t="s">
        <v>83</v>
      </c>
      <c r="E276" s="42" t="s">
        <v>256</v>
      </c>
      <c r="F276" s="227" t="s">
        <v>101</v>
      </c>
      <c r="G276" s="228"/>
      <c r="H276" s="120"/>
      <c r="I276" s="121"/>
      <c r="J276" s="102"/>
      <c r="K276" s="120"/>
      <c r="L276" s="121"/>
      <c r="M276" s="102"/>
      <c r="N276" s="120"/>
      <c r="O276" s="121"/>
      <c r="P276" s="102"/>
      <c r="Q276" s="178"/>
      <c r="R276" s="102"/>
      <c r="S276" s="100"/>
      <c r="T276" s="103"/>
      <c r="U276" s="103"/>
      <c r="V276" s="145"/>
    </row>
    <row r="277" spans="2:22" ht="45" customHeight="1">
      <c r="B277" s="162" t="s">
        <v>1003</v>
      </c>
      <c r="C277" s="100" t="s">
        <v>83</v>
      </c>
      <c r="D277" s="42" t="s">
        <v>83</v>
      </c>
      <c r="E277" s="42" t="s">
        <v>240</v>
      </c>
      <c r="F277" s="227" t="s">
        <v>101</v>
      </c>
      <c r="G277" s="228"/>
      <c r="H277" s="120"/>
      <c r="I277" s="121"/>
      <c r="J277" s="102"/>
      <c r="K277" s="120"/>
      <c r="L277" s="121"/>
      <c r="M277" s="102"/>
      <c r="N277" s="120"/>
      <c r="O277" s="121"/>
      <c r="P277" s="102"/>
      <c r="Q277" s="178"/>
      <c r="R277" s="102"/>
      <c r="S277" s="100"/>
      <c r="T277" s="103"/>
      <c r="U277" s="103"/>
      <c r="V277" s="145"/>
    </row>
    <row r="278" spans="2:22" ht="45" customHeight="1">
      <c r="B278" s="162" t="s">
        <v>1004</v>
      </c>
      <c r="C278" s="100" t="s">
        <v>83</v>
      </c>
      <c r="D278" s="42" t="s">
        <v>83</v>
      </c>
      <c r="E278" s="42" t="s">
        <v>245</v>
      </c>
      <c r="F278" s="227" t="s">
        <v>101</v>
      </c>
      <c r="G278" s="228"/>
      <c r="H278" s="120"/>
      <c r="I278" s="121"/>
      <c r="J278" s="102"/>
      <c r="K278" s="120"/>
      <c r="L278" s="121"/>
      <c r="M278" s="102"/>
      <c r="N278" s="120"/>
      <c r="O278" s="121"/>
      <c r="P278" s="102"/>
      <c r="Q278" s="178"/>
      <c r="R278" s="102"/>
      <c r="S278" s="100"/>
      <c r="T278" s="103"/>
      <c r="U278" s="103"/>
      <c r="V278" s="145"/>
    </row>
    <row r="279" spans="2:22" ht="45" customHeight="1">
      <c r="B279" s="162" t="s">
        <v>1005</v>
      </c>
      <c r="C279" s="100" t="s">
        <v>83</v>
      </c>
      <c r="D279" s="42" t="s">
        <v>83</v>
      </c>
      <c r="E279" s="42" t="s">
        <v>246</v>
      </c>
      <c r="F279" s="227" t="s">
        <v>101</v>
      </c>
      <c r="G279" s="228"/>
      <c r="H279" s="120"/>
      <c r="I279" s="121"/>
      <c r="J279" s="102"/>
      <c r="K279" s="120"/>
      <c r="L279" s="121"/>
      <c r="M279" s="102"/>
      <c r="N279" s="120"/>
      <c r="O279" s="121"/>
      <c r="P279" s="102"/>
      <c r="Q279" s="178"/>
      <c r="R279" s="102"/>
      <c r="S279" s="100"/>
      <c r="T279" s="103"/>
      <c r="U279" s="103"/>
      <c r="V279" s="145"/>
    </row>
    <row r="280" spans="2:22" ht="45" customHeight="1">
      <c r="B280" s="162" t="s">
        <v>1006</v>
      </c>
      <c r="C280" s="100" t="s">
        <v>83</v>
      </c>
      <c r="D280" s="42" t="s">
        <v>83</v>
      </c>
      <c r="E280" s="42" t="s">
        <v>247</v>
      </c>
      <c r="F280" s="227" t="s">
        <v>101</v>
      </c>
      <c r="G280" s="228"/>
      <c r="H280" s="120"/>
      <c r="I280" s="121"/>
      <c r="J280" s="102"/>
      <c r="K280" s="120"/>
      <c r="L280" s="121"/>
      <c r="M280" s="102"/>
      <c r="N280" s="120"/>
      <c r="O280" s="121"/>
      <c r="P280" s="102"/>
      <c r="Q280" s="178"/>
      <c r="R280" s="102"/>
      <c r="S280" s="100"/>
      <c r="T280" s="103"/>
      <c r="U280" s="103"/>
      <c r="V280" s="145"/>
    </row>
    <row r="281" spans="2:22" ht="45" customHeight="1">
      <c r="B281" s="162" t="s">
        <v>1007</v>
      </c>
      <c r="C281" s="100" t="s">
        <v>83</v>
      </c>
      <c r="D281" s="42" t="s">
        <v>83</v>
      </c>
      <c r="E281" s="42" t="s">
        <v>248</v>
      </c>
      <c r="F281" s="227" t="s">
        <v>101</v>
      </c>
      <c r="G281" s="228"/>
      <c r="H281" s="120"/>
      <c r="I281" s="121"/>
      <c r="J281" s="102"/>
      <c r="K281" s="120"/>
      <c r="L281" s="121"/>
      <c r="M281" s="102"/>
      <c r="N281" s="120"/>
      <c r="O281" s="121"/>
      <c r="P281" s="102"/>
      <c r="Q281" s="178"/>
      <c r="R281" s="102"/>
      <c r="S281" s="100"/>
      <c r="T281" s="103"/>
      <c r="U281" s="103"/>
      <c r="V281" s="145"/>
    </row>
    <row r="282" spans="2:22" ht="45" customHeight="1">
      <c r="B282" s="162" t="s">
        <v>1008</v>
      </c>
      <c r="C282" s="100" t="s">
        <v>83</v>
      </c>
      <c r="D282" s="42" t="s">
        <v>83</v>
      </c>
      <c r="E282" s="42" t="s">
        <v>249</v>
      </c>
      <c r="F282" s="227" t="s">
        <v>101</v>
      </c>
      <c r="G282" s="228"/>
      <c r="H282" s="120"/>
      <c r="I282" s="121"/>
      <c r="J282" s="102"/>
      <c r="K282" s="120"/>
      <c r="L282" s="121"/>
      <c r="M282" s="102"/>
      <c r="N282" s="120"/>
      <c r="O282" s="121"/>
      <c r="P282" s="102"/>
      <c r="Q282" s="178"/>
      <c r="R282" s="102"/>
      <c r="S282" s="100"/>
      <c r="T282" s="103"/>
      <c r="U282" s="103"/>
      <c r="V282" s="145"/>
    </row>
    <row r="283" spans="2:22" ht="45" customHeight="1">
      <c r="B283" s="162" t="s">
        <v>1009</v>
      </c>
      <c r="C283" s="100" t="s">
        <v>83</v>
      </c>
      <c r="D283" s="42" t="s">
        <v>83</v>
      </c>
      <c r="E283" s="42" t="s">
        <v>250</v>
      </c>
      <c r="F283" s="227" t="s">
        <v>101</v>
      </c>
      <c r="G283" s="228"/>
      <c r="H283" s="120"/>
      <c r="I283" s="121"/>
      <c r="J283" s="102"/>
      <c r="K283" s="120"/>
      <c r="L283" s="121"/>
      <c r="M283" s="102"/>
      <c r="N283" s="120"/>
      <c r="O283" s="121"/>
      <c r="P283" s="102"/>
      <c r="Q283" s="178"/>
      <c r="R283" s="102"/>
      <c r="S283" s="100"/>
      <c r="T283" s="103"/>
      <c r="U283" s="103"/>
      <c r="V283" s="145"/>
    </row>
    <row r="284" spans="2:22" ht="45" customHeight="1">
      <c r="B284" s="162" t="s">
        <v>1010</v>
      </c>
      <c r="C284" s="42" t="s">
        <v>232</v>
      </c>
      <c r="D284" s="42" t="s">
        <v>1264</v>
      </c>
      <c r="E284" s="42" t="s">
        <v>103</v>
      </c>
      <c r="F284" s="227" t="s">
        <v>233</v>
      </c>
      <c r="G284" s="228"/>
      <c r="H284" s="120"/>
      <c r="I284" s="121"/>
      <c r="J284" s="102"/>
      <c r="K284" s="120"/>
      <c r="L284" s="121"/>
      <c r="M284" s="102"/>
      <c r="N284" s="120"/>
      <c r="O284" s="121"/>
      <c r="P284" s="102"/>
      <c r="Q284" s="102"/>
      <c r="R284" s="102"/>
      <c r="S284" s="100"/>
      <c r="T284" s="103"/>
      <c r="U284" s="103"/>
      <c r="V284" s="145"/>
    </row>
    <row r="285" spans="2:22" ht="45" customHeight="1">
      <c r="B285" s="162" t="s">
        <v>990</v>
      </c>
      <c r="C285" s="100" t="s">
        <v>83</v>
      </c>
      <c r="D285" s="42" t="s">
        <v>1265</v>
      </c>
      <c r="E285" s="100" t="s">
        <v>83</v>
      </c>
      <c r="F285" s="227" t="s">
        <v>278</v>
      </c>
      <c r="G285" s="228"/>
      <c r="H285" s="102"/>
      <c r="I285" s="20"/>
      <c r="J285" s="102"/>
      <c r="K285" s="102"/>
      <c r="L285" s="20"/>
      <c r="M285" s="102"/>
      <c r="N285" s="102"/>
      <c r="O285" s="20"/>
      <c r="P285" s="102"/>
      <c r="Q285" s="102"/>
      <c r="R285" s="102"/>
      <c r="S285" s="100"/>
      <c r="T285" s="103"/>
      <c r="U285" s="103"/>
      <c r="V285" s="177"/>
    </row>
    <row r="286" spans="2:22" ht="45" customHeight="1">
      <c r="B286" s="162" t="s">
        <v>1011</v>
      </c>
      <c r="C286" s="100" t="s">
        <v>83</v>
      </c>
      <c r="D286" s="42" t="s">
        <v>1173</v>
      </c>
      <c r="E286" s="42" t="s">
        <v>236</v>
      </c>
      <c r="F286" s="227" t="s">
        <v>102</v>
      </c>
      <c r="G286" s="228"/>
      <c r="H286" s="120"/>
      <c r="I286" s="121"/>
      <c r="J286" s="102"/>
      <c r="K286" s="120"/>
      <c r="L286" s="121"/>
      <c r="M286" s="102"/>
      <c r="N286" s="120"/>
      <c r="O286" s="121"/>
      <c r="P286" s="102"/>
      <c r="Q286" s="178"/>
      <c r="R286" s="102"/>
      <c r="S286" s="100"/>
      <c r="T286" s="103"/>
      <c r="U286" s="103"/>
      <c r="V286" s="145"/>
    </row>
    <row r="287" spans="2:22" ht="45" customHeight="1">
      <c r="B287" s="162" t="s">
        <v>1012</v>
      </c>
      <c r="C287" s="100" t="s">
        <v>83</v>
      </c>
      <c r="D287" s="42" t="s">
        <v>83</v>
      </c>
      <c r="E287" s="42" t="s">
        <v>238</v>
      </c>
      <c r="F287" s="227" t="s">
        <v>102</v>
      </c>
      <c r="G287" s="228"/>
      <c r="H287" s="120"/>
      <c r="I287" s="121"/>
      <c r="J287" s="102"/>
      <c r="K287" s="120"/>
      <c r="L287" s="121"/>
      <c r="M287" s="102"/>
      <c r="N287" s="120"/>
      <c r="O287" s="121"/>
      <c r="P287" s="102"/>
      <c r="Q287" s="102"/>
      <c r="R287" s="102"/>
      <c r="S287" s="100"/>
      <c r="T287" s="103"/>
      <c r="U287" s="103"/>
      <c r="V287" s="145"/>
    </row>
    <row r="288" spans="2:22" ht="45" customHeight="1">
      <c r="B288" s="162" t="s">
        <v>1013</v>
      </c>
      <c r="C288" s="100" t="s">
        <v>83</v>
      </c>
      <c r="D288" s="42" t="s">
        <v>83</v>
      </c>
      <c r="E288" s="42" t="s">
        <v>239</v>
      </c>
      <c r="F288" s="227" t="s">
        <v>102</v>
      </c>
      <c r="G288" s="228"/>
      <c r="H288" s="120"/>
      <c r="I288" s="121"/>
      <c r="J288" s="102"/>
      <c r="K288" s="120"/>
      <c r="L288" s="121"/>
      <c r="M288" s="102"/>
      <c r="N288" s="120"/>
      <c r="O288" s="121"/>
      <c r="P288" s="102"/>
      <c r="Q288" s="102"/>
      <c r="R288" s="102"/>
      <c r="S288" s="100"/>
      <c r="T288" s="103"/>
      <c r="U288" s="103"/>
      <c r="V288" s="145"/>
    </row>
    <row r="289" spans="2:22" ht="45" customHeight="1">
      <c r="B289" s="162" t="s">
        <v>1014</v>
      </c>
      <c r="C289" s="100" t="s">
        <v>83</v>
      </c>
      <c r="D289" s="42" t="s">
        <v>83</v>
      </c>
      <c r="E289" s="42" t="s">
        <v>256</v>
      </c>
      <c r="F289" s="227" t="s">
        <v>102</v>
      </c>
      <c r="G289" s="228"/>
      <c r="H289" s="120"/>
      <c r="I289" s="121"/>
      <c r="J289" s="102"/>
      <c r="K289" s="120"/>
      <c r="L289" s="121"/>
      <c r="M289" s="102"/>
      <c r="N289" s="120"/>
      <c r="O289" s="121"/>
      <c r="P289" s="102"/>
      <c r="Q289" s="102"/>
      <c r="R289" s="102"/>
      <c r="S289" s="100"/>
      <c r="T289" s="103"/>
      <c r="U289" s="103"/>
      <c r="V289" s="145"/>
    </row>
    <row r="290" spans="2:22" ht="45" customHeight="1">
      <c r="B290" s="162" t="s">
        <v>1015</v>
      </c>
      <c r="C290" s="100" t="s">
        <v>83</v>
      </c>
      <c r="D290" s="42" t="s">
        <v>83</v>
      </c>
      <c r="E290" s="42" t="s">
        <v>240</v>
      </c>
      <c r="F290" s="227" t="s">
        <v>102</v>
      </c>
      <c r="G290" s="228"/>
      <c r="H290" s="120"/>
      <c r="I290" s="121"/>
      <c r="J290" s="102"/>
      <c r="K290" s="120"/>
      <c r="L290" s="121"/>
      <c r="M290" s="102"/>
      <c r="N290" s="120"/>
      <c r="O290" s="121"/>
      <c r="P290" s="102"/>
      <c r="Q290" s="102"/>
      <c r="R290" s="102"/>
      <c r="S290" s="100"/>
      <c r="T290" s="103"/>
      <c r="U290" s="103"/>
      <c r="V290" s="145"/>
    </row>
    <row r="291" spans="2:22" ht="45" customHeight="1">
      <c r="B291" s="162" t="s">
        <v>1016</v>
      </c>
      <c r="C291" s="100" t="s">
        <v>83</v>
      </c>
      <c r="D291" s="42" t="s">
        <v>83</v>
      </c>
      <c r="E291" s="42" t="s">
        <v>245</v>
      </c>
      <c r="F291" s="227" t="s">
        <v>102</v>
      </c>
      <c r="G291" s="228"/>
      <c r="H291" s="120"/>
      <c r="I291" s="121"/>
      <c r="J291" s="102"/>
      <c r="K291" s="120"/>
      <c r="L291" s="121"/>
      <c r="M291" s="102"/>
      <c r="N291" s="120"/>
      <c r="O291" s="121"/>
      <c r="P291" s="102"/>
      <c r="Q291" s="102"/>
      <c r="R291" s="102"/>
      <c r="S291" s="100"/>
      <c r="T291" s="103"/>
      <c r="U291" s="103"/>
      <c r="V291" s="145"/>
    </row>
    <row r="292" spans="2:22" ht="45" customHeight="1">
      <c r="B292" s="162" t="s">
        <v>1017</v>
      </c>
      <c r="C292" s="100" t="s">
        <v>83</v>
      </c>
      <c r="D292" s="42" t="s">
        <v>83</v>
      </c>
      <c r="E292" s="42" t="s">
        <v>246</v>
      </c>
      <c r="F292" s="227" t="s">
        <v>102</v>
      </c>
      <c r="G292" s="228"/>
      <c r="H292" s="120"/>
      <c r="I292" s="121"/>
      <c r="J292" s="102"/>
      <c r="K292" s="120"/>
      <c r="L292" s="121"/>
      <c r="M292" s="102"/>
      <c r="N292" s="120"/>
      <c r="O292" s="121"/>
      <c r="P292" s="102"/>
      <c r="Q292" s="102"/>
      <c r="R292" s="102"/>
      <c r="S292" s="100"/>
      <c r="T292" s="103"/>
      <c r="U292" s="103"/>
      <c r="V292" s="145"/>
    </row>
    <row r="293" spans="2:22" ht="45" customHeight="1">
      <c r="B293" s="162" t="s">
        <v>1018</v>
      </c>
      <c r="C293" s="100" t="s">
        <v>83</v>
      </c>
      <c r="D293" s="42" t="s">
        <v>83</v>
      </c>
      <c r="E293" s="42" t="s">
        <v>247</v>
      </c>
      <c r="F293" s="227" t="s">
        <v>102</v>
      </c>
      <c r="G293" s="228"/>
      <c r="H293" s="120"/>
      <c r="I293" s="121"/>
      <c r="J293" s="102"/>
      <c r="K293" s="120"/>
      <c r="L293" s="121"/>
      <c r="M293" s="102"/>
      <c r="N293" s="120"/>
      <c r="O293" s="121"/>
      <c r="P293" s="102"/>
      <c r="Q293" s="102"/>
      <c r="R293" s="102"/>
      <c r="S293" s="100"/>
      <c r="T293" s="103"/>
      <c r="U293" s="103"/>
      <c r="V293" s="145"/>
    </row>
    <row r="294" spans="2:22" ht="45" customHeight="1">
      <c r="B294" s="162" t="s">
        <v>1019</v>
      </c>
      <c r="C294" s="100" t="s">
        <v>83</v>
      </c>
      <c r="D294" s="42" t="s">
        <v>83</v>
      </c>
      <c r="E294" s="42" t="s">
        <v>248</v>
      </c>
      <c r="F294" s="227" t="s">
        <v>102</v>
      </c>
      <c r="G294" s="228"/>
      <c r="H294" s="120"/>
      <c r="I294" s="121"/>
      <c r="J294" s="102"/>
      <c r="K294" s="120"/>
      <c r="L294" s="121"/>
      <c r="M294" s="102"/>
      <c r="N294" s="120"/>
      <c r="O294" s="121"/>
      <c r="P294" s="102"/>
      <c r="Q294" s="102"/>
      <c r="R294" s="102"/>
      <c r="S294" s="100"/>
      <c r="T294" s="103"/>
      <c r="U294" s="103"/>
      <c r="V294" s="145"/>
    </row>
    <row r="295" spans="2:22" ht="45" customHeight="1">
      <c r="B295" s="162" t="s">
        <v>1020</v>
      </c>
      <c r="C295" s="100" t="s">
        <v>83</v>
      </c>
      <c r="D295" s="42" t="s">
        <v>83</v>
      </c>
      <c r="E295" s="42" t="s">
        <v>249</v>
      </c>
      <c r="F295" s="227" t="s">
        <v>102</v>
      </c>
      <c r="G295" s="228"/>
      <c r="H295" s="120"/>
      <c r="I295" s="121"/>
      <c r="J295" s="102"/>
      <c r="K295" s="120"/>
      <c r="L295" s="121"/>
      <c r="M295" s="102"/>
      <c r="N295" s="120"/>
      <c r="O295" s="121"/>
      <c r="P295" s="102"/>
      <c r="Q295" s="102"/>
      <c r="R295" s="102"/>
      <c r="S295" s="100"/>
      <c r="T295" s="103"/>
      <c r="U295" s="103"/>
      <c r="V295" s="145"/>
    </row>
    <row r="296" spans="2:22" ht="45" customHeight="1">
      <c r="B296" s="162" t="s">
        <v>1021</v>
      </c>
      <c r="C296" s="100" t="s">
        <v>83</v>
      </c>
      <c r="D296" s="42" t="s">
        <v>83</v>
      </c>
      <c r="E296" s="42" t="s">
        <v>250</v>
      </c>
      <c r="F296" s="227" t="s">
        <v>102</v>
      </c>
      <c r="G296" s="228"/>
      <c r="H296" s="120"/>
      <c r="I296" s="121"/>
      <c r="J296" s="102"/>
      <c r="K296" s="120"/>
      <c r="L296" s="121"/>
      <c r="M296" s="102"/>
      <c r="N296" s="120"/>
      <c r="O296" s="121"/>
      <c r="P296" s="102"/>
      <c r="Q296" s="102"/>
      <c r="R296" s="102"/>
      <c r="S296" s="100"/>
      <c r="T296" s="103"/>
      <c r="U296" s="103"/>
      <c r="V296" s="145"/>
    </row>
    <row r="297" spans="2:22" ht="45" customHeight="1">
      <c r="B297" s="162" t="s">
        <v>1022</v>
      </c>
      <c r="C297" s="100" t="s">
        <v>83</v>
      </c>
      <c r="D297" s="42" t="s">
        <v>1267</v>
      </c>
      <c r="E297" s="42" t="s">
        <v>437</v>
      </c>
      <c r="F297" s="227" t="s">
        <v>1268</v>
      </c>
      <c r="G297" s="228"/>
      <c r="H297" s="155"/>
      <c r="I297" s="156"/>
      <c r="J297" s="155"/>
      <c r="K297" s="102"/>
      <c r="L297" s="121"/>
      <c r="M297" s="102"/>
      <c r="N297" s="155"/>
      <c r="O297" s="156"/>
      <c r="P297" s="155"/>
      <c r="Q297" s="102"/>
      <c r="R297" s="102"/>
      <c r="S297" s="100"/>
      <c r="T297" s="103"/>
      <c r="U297" s="103"/>
      <c r="V297" s="145"/>
    </row>
    <row r="298" spans="2:22" ht="45" customHeight="1">
      <c r="B298" s="162" t="s">
        <v>1023</v>
      </c>
      <c r="C298" s="100" t="s">
        <v>83</v>
      </c>
      <c r="D298" s="42" t="s">
        <v>1175</v>
      </c>
      <c r="E298" s="42" t="s">
        <v>173</v>
      </c>
      <c r="F298" s="227" t="s">
        <v>100</v>
      </c>
      <c r="G298" s="228"/>
      <c r="H298" s="102"/>
      <c r="I298" s="20"/>
      <c r="J298" s="102"/>
      <c r="K298" s="102"/>
      <c r="L298" s="20"/>
      <c r="M298" s="102"/>
      <c r="N298" s="102"/>
      <c r="O298" s="20"/>
      <c r="P298" s="102"/>
      <c r="Q298" s="102"/>
      <c r="R298" s="102"/>
      <c r="S298" s="100"/>
      <c r="T298" s="103"/>
      <c r="U298" s="103"/>
      <c r="V298" s="145"/>
    </row>
    <row r="299" spans="2:22" ht="45" customHeight="1">
      <c r="B299" s="162" t="s">
        <v>1024</v>
      </c>
      <c r="C299" s="100" t="s">
        <v>83</v>
      </c>
      <c r="D299" s="42" t="s">
        <v>1176</v>
      </c>
      <c r="E299" s="42" t="s">
        <v>173</v>
      </c>
      <c r="F299" s="227" t="s">
        <v>100</v>
      </c>
      <c r="G299" s="228"/>
      <c r="H299" s="102"/>
      <c r="I299" s="20"/>
      <c r="J299" s="102"/>
      <c r="K299" s="102"/>
      <c r="L299" s="20"/>
      <c r="M299" s="102"/>
      <c r="N299" s="102"/>
      <c r="O299" s="20"/>
      <c r="P299" s="102"/>
      <c r="Q299" s="102"/>
      <c r="R299" s="102"/>
      <c r="S299" s="100"/>
      <c r="T299" s="103"/>
      <c r="U299" s="103"/>
      <c r="V299" s="145"/>
    </row>
    <row r="300" spans="2:22" ht="45" customHeight="1">
      <c r="B300" s="162" t="s">
        <v>1025</v>
      </c>
      <c r="C300" s="100" t="s">
        <v>83</v>
      </c>
      <c r="D300" s="100" t="s">
        <v>83</v>
      </c>
      <c r="E300" s="42" t="s">
        <v>242</v>
      </c>
      <c r="F300" s="227" t="s">
        <v>243</v>
      </c>
      <c r="G300" s="228"/>
      <c r="H300" s="120"/>
      <c r="I300" s="121"/>
      <c r="J300" s="102"/>
      <c r="K300" s="120"/>
      <c r="L300" s="121"/>
      <c r="M300" s="102"/>
      <c r="N300" s="120"/>
      <c r="O300" s="121"/>
      <c r="P300" s="102"/>
      <c r="Q300" s="178"/>
      <c r="R300" s="178"/>
      <c r="S300" s="100"/>
      <c r="T300" s="103"/>
      <c r="U300" s="103"/>
      <c r="V300" s="145"/>
    </row>
    <row r="301" spans="2:22" ht="45" customHeight="1">
      <c r="B301" s="162" t="s">
        <v>1026</v>
      </c>
      <c r="C301" s="100" t="s">
        <v>83</v>
      </c>
      <c r="D301" s="42" t="s">
        <v>83</v>
      </c>
      <c r="E301" s="42" t="s">
        <v>244</v>
      </c>
      <c r="F301" s="227" t="s">
        <v>252</v>
      </c>
      <c r="G301" s="228"/>
      <c r="H301" s="120"/>
      <c r="I301" s="121"/>
      <c r="J301" s="102"/>
      <c r="K301" s="120"/>
      <c r="L301" s="121"/>
      <c r="M301" s="102"/>
      <c r="N301" s="120"/>
      <c r="O301" s="121"/>
      <c r="P301" s="102"/>
      <c r="Q301" s="178"/>
      <c r="R301" s="102"/>
      <c r="S301" s="100"/>
      <c r="T301" s="103"/>
      <c r="U301" s="103"/>
      <c r="V301" s="145"/>
    </row>
    <row r="302" spans="2:22" ht="45" customHeight="1">
      <c r="B302" s="162" t="s">
        <v>1027</v>
      </c>
      <c r="C302" s="42" t="s">
        <v>236</v>
      </c>
      <c r="D302" s="100" t="s">
        <v>83</v>
      </c>
      <c r="E302" s="42" t="s">
        <v>132</v>
      </c>
      <c r="F302" s="227" t="s">
        <v>237</v>
      </c>
      <c r="G302" s="228"/>
      <c r="H302" s="120"/>
      <c r="I302" s="121"/>
      <c r="J302" s="102"/>
      <c r="K302" s="120"/>
      <c r="L302" s="121"/>
      <c r="M302" s="102"/>
      <c r="N302" s="120"/>
      <c r="O302" s="121"/>
      <c r="P302" s="102"/>
      <c r="Q302" s="102"/>
      <c r="R302" s="102"/>
      <c r="S302" s="100"/>
      <c r="T302" s="103"/>
      <c r="U302" s="103"/>
      <c r="V302" s="145"/>
    </row>
    <row r="303" spans="2:22" ht="45" customHeight="1">
      <c r="B303" s="162" t="s">
        <v>1028</v>
      </c>
      <c r="C303" s="100" t="s">
        <v>83</v>
      </c>
      <c r="D303" s="42" t="s">
        <v>1177</v>
      </c>
      <c r="E303" s="42" t="s">
        <v>438</v>
      </c>
      <c r="F303" s="227" t="s">
        <v>1178</v>
      </c>
      <c r="G303" s="228"/>
      <c r="H303" s="155"/>
      <c r="I303" s="156"/>
      <c r="J303" s="155"/>
      <c r="K303" s="102"/>
      <c r="L303" s="121"/>
      <c r="M303" s="102"/>
      <c r="N303" s="155"/>
      <c r="O303" s="156"/>
      <c r="P303" s="155"/>
      <c r="Q303" s="102"/>
      <c r="R303" s="102"/>
      <c r="S303" s="100"/>
      <c r="T303" s="103"/>
      <c r="U303" s="103"/>
      <c r="V303" s="145"/>
    </row>
    <row r="304" spans="2:22" ht="45" customHeight="1">
      <c r="B304" s="162" t="s">
        <v>1029</v>
      </c>
      <c r="C304" s="100" t="s">
        <v>83</v>
      </c>
      <c r="D304" s="42" t="s">
        <v>417</v>
      </c>
      <c r="E304" s="42" t="s">
        <v>240</v>
      </c>
      <c r="F304" s="227" t="s">
        <v>1179</v>
      </c>
      <c r="G304" s="228"/>
      <c r="H304" s="102"/>
      <c r="I304" s="20"/>
      <c r="J304" s="102"/>
      <c r="K304" s="102"/>
      <c r="L304" s="20"/>
      <c r="M304" s="102"/>
      <c r="N304" s="102"/>
      <c r="O304" s="20"/>
      <c r="P304" s="102"/>
      <c r="Q304" s="102"/>
      <c r="R304" s="102"/>
      <c r="S304" s="100"/>
      <c r="T304" s="103"/>
      <c r="U304" s="103"/>
      <c r="V304" s="145"/>
    </row>
    <row r="305" spans="2:22" ht="45" customHeight="1">
      <c r="B305" s="162" t="s">
        <v>1030</v>
      </c>
      <c r="C305" s="100" t="s">
        <v>83</v>
      </c>
      <c r="D305" s="42" t="s">
        <v>418</v>
      </c>
      <c r="E305" s="42" t="s">
        <v>438</v>
      </c>
      <c r="F305" s="227" t="s">
        <v>235</v>
      </c>
      <c r="G305" s="228"/>
      <c r="H305" s="155"/>
      <c r="I305" s="156"/>
      <c r="J305" s="155"/>
      <c r="K305" s="102"/>
      <c r="L305" s="121"/>
      <c r="M305" s="102"/>
      <c r="N305" s="155"/>
      <c r="O305" s="156"/>
      <c r="P305" s="155"/>
      <c r="Q305" s="102"/>
      <c r="R305" s="102"/>
      <c r="S305" s="100"/>
      <c r="T305" s="103"/>
      <c r="U305" s="103"/>
      <c r="V305" s="145"/>
    </row>
    <row r="306" spans="2:22" ht="45" customHeight="1">
      <c r="B306" s="162" t="s">
        <v>1031</v>
      </c>
      <c r="C306" s="100" t="s">
        <v>83</v>
      </c>
      <c r="D306" s="42" t="s">
        <v>417</v>
      </c>
      <c r="E306" s="42" t="s">
        <v>255</v>
      </c>
      <c r="F306" s="227" t="s">
        <v>1179</v>
      </c>
      <c r="G306" s="228"/>
      <c r="H306" s="102"/>
      <c r="I306" s="20"/>
      <c r="J306" s="102"/>
      <c r="K306" s="102"/>
      <c r="L306" s="20"/>
      <c r="M306" s="102"/>
      <c r="N306" s="102"/>
      <c r="O306" s="20"/>
      <c r="P306" s="102"/>
      <c r="Q306" s="102"/>
      <c r="R306" s="102"/>
      <c r="S306" s="100"/>
      <c r="T306" s="103"/>
      <c r="U306" s="103"/>
      <c r="V306" s="145"/>
    </row>
    <row r="307" spans="2:22" ht="45" customHeight="1">
      <c r="B307" s="162" t="s">
        <v>1032</v>
      </c>
      <c r="C307" s="100" t="s">
        <v>83</v>
      </c>
      <c r="D307" s="42" t="s">
        <v>83</v>
      </c>
      <c r="E307" s="42" t="s">
        <v>239</v>
      </c>
      <c r="F307" s="227" t="s">
        <v>257</v>
      </c>
      <c r="G307" s="228"/>
      <c r="H307" s="102"/>
      <c r="I307" s="20"/>
      <c r="J307" s="102"/>
      <c r="K307" s="102"/>
      <c r="L307" s="20"/>
      <c r="M307" s="102"/>
      <c r="N307" s="102"/>
      <c r="O307" s="20"/>
      <c r="P307" s="102"/>
      <c r="Q307" s="102"/>
      <c r="R307" s="102"/>
      <c r="S307" s="100"/>
      <c r="T307" s="103"/>
      <c r="U307" s="103"/>
      <c r="V307" s="145"/>
    </row>
    <row r="308" spans="2:22" ht="45" customHeight="1">
      <c r="B308" s="162" t="s">
        <v>1033</v>
      </c>
      <c r="C308" s="100" t="s">
        <v>83</v>
      </c>
      <c r="D308" s="42" t="s">
        <v>83</v>
      </c>
      <c r="E308" s="42" t="s">
        <v>256</v>
      </c>
      <c r="F308" s="227" t="s">
        <v>258</v>
      </c>
      <c r="G308" s="228"/>
      <c r="H308" s="102"/>
      <c r="I308" s="20"/>
      <c r="J308" s="102"/>
      <c r="K308" s="102"/>
      <c r="L308" s="20"/>
      <c r="M308" s="102"/>
      <c r="N308" s="102"/>
      <c r="O308" s="20"/>
      <c r="P308" s="102"/>
      <c r="Q308" s="102"/>
      <c r="R308" s="102"/>
      <c r="S308" s="100"/>
      <c r="T308" s="103"/>
      <c r="U308" s="103"/>
      <c r="V308" s="145"/>
    </row>
    <row r="309" spans="2:22" ht="45" customHeight="1">
      <c r="B309" s="162" t="s">
        <v>1034</v>
      </c>
      <c r="C309" s="42" t="s">
        <v>238</v>
      </c>
      <c r="D309" s="42" t="s">
        <v>83</v>
      </c>
      <c r="E309" s="42" t="s">
        <v>132</v>
      </c>
      <c r="F309" s="227" t="s">
        <v>237</v>
      </c>
      <c r="G309" s="228"/>
      <c r="H309" s="120"/>
      <c r="I309" s="121"/>
      <c r="J309" s="102"/>
      <c r="K309" s="120"/>
      <c r="L309" s="121"/>
      <c r="M309" s="102"/>
      <c r="N309" s="120"/>
      <c r="O309" s="121"/>
      <c r="P309" s="102"/>
      <c r="Q309" s="102"/>
      <c r="R309" s="102"/>
      <c r="S309" s="100"/>
      <c r="T309" s="103"/>
      <c r="U309" s="103"/>
      <c r="V309" s="145"/>
    </row>
    <row r="310" spans="2:22" ht="45" customHeight="1">
      <c r="B310" s="162" t="s">
        <v>1035</v>
      </c>
      <c r="C310" s="100" t="s">
        <v>83</v>
      </c>
      <c r="D310" s="42" t="s">
        <v>416</v>
      </c>
      <c r="E310" s="42" t="s">
        <v>439</v>
      </c>
      <c r="F310" s="227" t="s">
        <v>234</v>
      </c>
      <c r="G310" s="228"/>
      <c r="H310" s="155"/>
      <c r="I310" s="156"/>
      <c r="J310" s="155"/>
      <c r="K310" s="102"/>
      <c r="L310" s="121"/>
      <c r="M310" s="102"/>
      <c r="N310" s="155"/>
      <c r="O310" s="156"/>
      <c r="P310" s="155"/>
      <c r="Q310" s="102"/>
      <c r="R310" s="102"/>
      <c r="S310" s="100"/>
      <c r="T310" s="103"/>
      <c r="U310" s="103"/>
      <c r="V310" s="145"/>
    </row>
    <row r="311" spans="2:22" ht="45" customHeight="1">
      <c r="B311" s="162" t="s">
        <v>1036</v>
      </c>
      <c r="C311" s="100" t="s">
        <v>83</v>
      </c>
      <c r="D311" s="42" t="s">
        <v>417</v>
      </c>
      <c r="E311" s="42" t="s">
        <v>240</v>
      </c>
      <c r="F311" s="227" t="s">
        <v>253</v>
      </c>
      <c r="G311" s="228"/>
      <c r="H311" s="102"/>
      <c r="I311" s="20"/>
      <c r="J311" s="102"/>
      <c r="K311" s="102"/>
      <c r="L311" s="20"/>
      <c r="M311" s="102"/>
      <c r="N311" s="102"/>
      <c r="O311" s="20"/>
      <c r="P311" s="102"/>
      <c r="Q311" s="102"/>
      <c r="R311" s="102"/>
      <c r="S311" s="100"/>
      <c r="T311" s="103"/>
      <c r="U311" s="103"/>
      <c r="V311" s="145"/>
    </row>
    <row r="312" spans="2:22" ht="45" customHeight="1">
      <c r="B312" s="162" t="s">
        <v>1037</v>
      </c>
      <c r="C312" s="100" t="s">
        <v>83</v>
      </c>
      <c r="D312" s="42" t="s">
        <v>418</v>
      </c>
      <c r="E312" s="42" t="s">
        <v>439</v>
      </c>
      <c r="F312" s="227" t="s">
        <v>265</v>
      </c>
      <c r="G312" s="228"/>
      <c r="H312" s="155"/>
      <c r="I312" s="156"/>
      <c r="J312" s="155"/>
      <c r="K312" s="102"/>
      <c r="L312" s="121"/>
      <c r="M312" s="102"/>
      <c r="N312" s="155"/>
      <c r="O312" s="156"/>
      <c r="P312" s="155"/>
      <c r="Q312" s="102"/>
      <c r="R312" s="102"/>
      <c r="S312" s="100"/>
      <c r="T312" s="103"/>
      <c r="U312" s="103"/>
      <c r="V312" s="145"/>
    </row>
    <row r="313" spans="2:22" ht="45" customHeight="1">
      <c r="B313" s="162" t="s">
        <v>1038</v>
      </c>
      <c r="C313" s="100" t="s">
        <v>83</v>
      </c>
      <c r="D313" s="42" t="s">
        <v>417</v>
      </c>
      <c r="E313" s="42" t="s">
        <v>255</v>
      </c>
      <c r="F313" s="227" t="s">
        <v>254</v>
      </c>
      <c r="G313" s="228"/>
      <c r="H313" s="102"/>
      <c r="I313" s="20"/>
      <c r="J313" s="102"/>
      <c r="K313" s="102"/>
      <c r="L313" s="20"/>
      <c r="M313" s="102"/>
      <c r="N313" s="102"/>
      <c r="O313" s="20"/>
      <c r="P313" s="102"/>
      <c r="Q313" s="102"/>
      <c r="R313" s="102"/>
      <c r="S313" s="100"/>
      <c r="T313" s="103"/>
      <c r="U313" s="103"/>
      <c r="V313" s="145"/>
    </row>
    <row r="314" spans="2:22" ht="45" customHeight="1">
      <c r="B314" s="162" t="s">
        <v>1039</v>
      </c>
      <c r="C314" s="100" t="s">
        <v>83</v>
      </c>
      <c r="D314" s="42" t="s">
        <v>83</v>
      </c>
      <c r="E314" s="42" t="s">
        <v>239</v>
      </c>
      <c r="F314" s="227" t="s">
        <v>259</v>
      </c>
      <c r="G314" s="228"/>
      <c r="H314" s="102"/>
      <c r="I314" s="20"/>
      <c r="J314" s="102"/>
      <c r="K314" s="102"/>
      <c r="L314" s="20"/>
      <c r="M314" s="102"/>
      <c r="N314" s="102"/>
      <c r="O314" s="20"/>
      <c r="P314" s="102"/>
      <c r="Q314" s="102"/>
      <c r="R314" s="102"/>
      <c r="S314" s="100"/>
      <c r="T314" s="103"/>
      <c r="U314" s="103"/>
      <c r="V314" s="145"/>
    </row>
    <row r="315" spans="2:22" ht="45" customHeight="1">
      <c r="B315" s="162" t="s">
        <v>1040</v>
      </c>
      <c r="C315" s="100" t="s">
        <v>83</v>
      </c>
      <c r="D315" s="42" t="s">
        <v>83</v>
      </c>
      <c r="E315" s="42" t="s">
        <v>256</v>
      </c>
      <c r="F315" s="227" t="s">
        <v>260</v>
      </c>
      <c r="G315" s="228"/>
      <c r="H315" s="102"/>
      <c r="I315" s="20"/>
      <c r="J315" s="102"/>
      <c r="K315" s="102"/>
      <c r="L315" s="20"/>
      <c r="M315" s="102"/>
      <c r="N315" s="102"/>
      <c r="O315" s="20"/>
      <c r="P315" s="102"/>
      <c r="Q315" s="102"/>
      <c r="R315" s="102"/>
      <c r="S315" s="100"/>
      <c r="T315" s="103"/>
      <c r="U315" s="103"/>
      <c r="V315" s="145"/>
    </row>
    <row r="316" spans="2:22" ht="45" customHeight="1">
      <c r="B316" s="162" t="s">
        <v>1041</v>
      </c>
      <c r="C316" s="42" t="s">
        <v>239</v>
      </c>
      <c r="D316" s="42" t="s">
        <v>83</v>
      </c>
      <c r="E316" s="42" t="s">
        <v>132</v>
      </c>
      <c r="F316" s="227" t="s">
        <v>237</v>
      </c>
      <c r="G316" s="228"/>
      <c r="H316" s="120"/>
      <c r="I316" s="121"/>
      <c r="J316" s="102"/>
      <c r="K316" s="120"/>
      <c r="L316" s="121"/>
      <c r="M316" s="102"/>
      <c r="N316" s="120"/>
      <c r="O316" s="121"/>
      <c r="P316" s="102"/>
      <c r="Q316" s="102"/>
      <c r="R316" s="102"/>
      <c r="S316" s="100"/>
      <c r="T316" s="103"/>
      <c r="U316" s="103"/>
      <c r="V316" s="145"/>
    </row>
    <row r="317" spans="2:22" ht="45" customHeight="1">
      <c r="B317" s="162" t="s">
        <v>1042</v>
      </c>
      <c r="C317" s="42" t="s">
        <v>256</v>
      </c>
      <c r="D317" s="42" t="s">
        <v>83</v>
      </c>
      <c r="E317" s="42" t="s">
        <v>132</v>
      </c>
      <c r="F317" s="227" t="s">
        <v>237</v>
      </c>
      <c r="G317" s="228"/>
      <c r="H317" s="120"/>
      <c r="I317" s="121"/>
      <c r="J317" s="102"/>
      <c r="K317" s="120"/>
      <c r="L317" s="121"/>
      <c r="M317" s="102"/>
      <c r="N317" s="120"/>
      <c r="O317" s="121"/>
      <c r="P317" s="102"/>
      <c r="Q317" s="102"/>
      <c r="R317" s="102"/>
      <c r="S317" s="100"/>
      <c r="T317" s="103"/>
      <c r="U317" s="103"/>
      <c r="V317" s="145"/>
    </row>
    <row r="318" spans="2:22" ht="45" customHeight="1">
      <c r="B318" s="162" t="s">
        <v>1043</v>
      </c>
      <c r="C318" s="42" t="s">
        <v>240</v>
      </c>
      <c r="D318" s="42" t="s">
        <v>83</v>
      </c>
      <c r="E318" s="42" t="s">
        <v>132</v>
      </c>
      <c r="F318" s="227" t="s">
        <v>237</v>
      </c>
      <c r="G318" s="228"/>
      <c r="H318" s="120"/>
      <c r="I318" s="121"/>
      <c r="J318" s="102"/>
      <c r="K318" s="120"/>
      <c r="L318" s="121"/>
      <c r="M318" s="102"/>
      <c r="N318" s="120"/>
      <c r="O318" s="121"/>
      <c r="P318" s="102"/>
      <c r="Q318" s="102"/>
      <c r="R318" s="102"/>
      <c r="S318" s="100"/>
      <c r="T318" s="103"/>
      <c r="U318" s="103"/>
      <c r="V318" s="145"/>
    </row>
    <row r="319" spans="2:22" ht="45" customHeight="1">
      <c r="B319" s="162" t="s">
        <v>1044</v>
      </c>
      <c r="C319" s="100" t="s">
        <v>83</v>
      </c>
      <c r="D319" s="42" t="s">
        <v>83</v>
      </c>
      <c r="E319" s="42" t="s">
        <v>83</v>
      </c>
      <c r="F319" s="225" t="s">
        <v>130</v>
      </c>
      <c r="G319" s="226"/>
      <c r="H319" s="120"/>
      <c r="I319" s="121"/>
      <c r="J319" s="102"/>
      <c r="K319" s="120"/>
      <c r="L319" s="121"/>
      <c r="M319" s="102"/>
      <c r="N319" s="120"/>
      <c r="O319" s="121"/>
      <c r="P319" s="102"/>
      <c r="Q319" s="178"/>
      <c r="R319" s="102"/>
      <c r="S319" s="100"/>
      <c r="T319" s="103"/>
      <c r="U319" s="103"/>
      <c r="V319" s="145"/>
    </row>
    <row r="320" spans="2:22" ht="45" customHeight="1">
      <c r="B320" s="162" t="s">
        <v>1045</v>
      </c>
      <c r="C320" s="100" t="s">
        <v>83</v>
      </c>
      <c r="D320" s="42" t="s">
        <v>83</v>
      </c>
      <c r="E320" s="115" t="s">
        <v>231</v>
      </c>
      <c r="F320" s="225" t="s">
        <v>1104</v>
      </c>
      <c r="G320" s="226"/>
      <c r="H320" s="120"/>
      <c r="I320" s="121"/>
      <c r="J320" s="102"/>
      <c r="K320" s="120"/>
      <c r="L320" s="121"/>
      <c r="M320" s="102"/>
      <c r="N320" s="120"/>
      <c r="O320" s="121"/>
      <c r="P320" s="102"/>
      <c r="Q320" s="178"/>
      <c r="R320" s="102"/>
      <c r="S320" s="100"/>
      <c r="T320" s="103"/>
      <c r="U320" s="103"/>
      <c r="V320" s="145"/>
    </row>
    <row r="321" spans="2:22" ht="45" customHeight="1">
      <c r="B321" s="162" t="s">
        <v>1046</v>
      </c>
      <c r="C321" s="100" t="s">
        <v>83</v>
      </c>
      <c r="D321" s="42" t="s">
        <v>1180</v>
      </c>
      <c r="E321" s="42" t="s">
        <v>438</v>
      </c>
      <c r="F321" s="227" t="s">
        <v>1276</v>
      </c>
      <c r="G321" s="228"/>
      <c r="H321" s="155"/>
      <c r="I321" s="156"/>
      <c r="J321" s="155"/>
      <c r="K321" s="120"/>
      <c r="L321" s="121"/>
      <c r="M321" s="102"/>
      <c r="N321" s="155"/>
      <c r="O321" s="156"/>
      <c r="P321" s="155"/>
      <c r="Q321" s="102"/>
      <c r="R321" s="102"/>
      <c r="S321" s="100"/>
      <c r="T321" s="103"/>
      <c r="U321" s="103"/>
      <c r="V321" s="145"/>
    </row>
    <row r="322" spans="2:22" ht="45" customHeight="1">
      <c r="B322" s="162" t="s">
        <v>1047</v>
      </c>
      <c r="C322" s="100" t="s">
        <v>83</v>
      </c>
      <c r="D322" s="42" t="s">
        <v>131</v>
      </c>
      <c r="E322" s="42" t="s">
        <v>173</v>
      </c>
      <c r="F322" s="227" t="s">
        <v>100</v>
      </c>
      <c r="G322" s="228"/>
      <c r="H322" s="102"/>
      <c r="I322" s="20"/>
      <c r="J322" s="102"/>
      <c r="K322" s="102"/>
      <c r="L322" s="20"/>
      <c r="M322" s="102"/>
      <c r="N322" s="102"/>
      <c r="O322" s="20"/>
      <c r="P322" s="102"/>
      <c r="Q322" s="102"/>
      <c r="R322" s="102"/>
      <c r="S322" s="100"/>
      <c r="T322" s="103"/>
      <c r="U322" s="103"/>
      <c r="V322" s="145"/>
    </row>
    <row r="323" spans="2:22" ht="45" customHeight="1">
      <c r="B323" s="162" t="s">
        <v>1048</v>
      </c>
      <c r="C323" s="100" t="s">
        <v>83</v>
      </c>
      <c r="D323" s="42" t="s">
        <v>412</v>
      </c>
      <c r="E323" s="42" t="s">
        <v>173</v>
      </c>
      <c r="F323" s="227" t="s">
        <v>100</v>
      </c>
      <c r="G323" s="228"/>
      <c r="H323" s="102"/>
      <c r="I323" s="20"/>
      <c r="J323" s="102"/>
      <c r="K323" s="102"/>
      <c r="L323" s="20"/>
      <c r="M323" s="102"/>
      <c r="N323" s="102"/>
      <c r="O323" s="20"/>
      <c r="P323" s="102"/>
      <c r="Q323" s="102"/>
      <c r="R323" s="102"/>
      <c r="S323" s="100"/>
      <c r="T323" s="103"/>
      <c r="U323" s="103"/>
      <c r="V323" s="145"/>
    </row>
    <row r="324" spans="2:22" ht="45" customHeight="1">
      <c r="B324" s="162" t="s">
        <v>1049</v>
      </c>
      <c r="C324" s="100" t="s">
        <v>83</v>
      </c>
      <c r="D324" s="42" t="s">
        <v>415</v>
      </c>
      <c r="E324" s="42" t="s">
        <v>242</v>
      </c>
      <c r="F324" s="227" t="s">
        <v>243</v>
      </c>
      <c r="G324" s="228"/>
      <c r="H324" s="120"/>
      <c r="I324" s="121"/>
      <c r="J324" s="102"/>
      <c r="K324" s="120"/>
      <c r="L324" s="121"/>
      <c r="M324" s="102"/>
      <c r="N324" s="120"/>
      <c r="O324" s="121"/>
      <c r="P324" s="102"/>
      <c r="Q324" s="178"/>
      <c r="R324" s="102"/>
      <c r="S324" s="100"/>
      <c r="T324" s="103"/>
      <c r="U324" s="103"/>
      <c r="V324" s="145"/>
    </row>
    <row r="325" spans="2:22" ht="45" customHeight="1">
      <c r="B325" s="162" t="s">
        <v>1050</v>
      </c>
      <c r="C325" s="100" t="s">
        <v>83</v>
      </c>
      <c r="D325" s="42" t="s">
        <v>83</v>
      </c>
      <c r="E325" s="42" t="s">
        <v>244</v>
      </c>
      <c r="F325" s="227" t="s">
        <v>252</v>
      </c>
      <c r="G325" s="228"/>
      <c r="H325" s="120"/>
      <c r="I325" s="121"/>
      <c r="J325" s="102"/>
      <c r="K325" s="120"/>
      <c r="L325" s="121"/>
      <c r="M325" s="102"/>
      <c r="N325" s="120"/>
      <c r="O325" s="121"/>
      <c r="P325" s="102"/>
      <c r="Q325" s="178"/>
      <c r="R325" s="102"/>
      <c r="S325" s="100"/>
      <c r="T325" s="103"/>
      <c r="U325" s="103"/>
      <c r="V325" s="145"/>
    </row>
    <row r="326" spans="2:22" ht="45" customHeight="1">
      <c r="B326" s="162" t="s">
        <v>1051</v>
      </c>
      <c r="C326" s="100" t="s">
        <v>119</v>
      </c>
      <c r="D326" s="42" t="s">
        <v>241</v>
      </c>
      <c r="E326" s="42" t="s">
        <v>132</v>
      </c>
      <c r="F326" s="227" t="s">
        <v>237</v>
      </c>
      <c r="G326" s="228"/>
      <c r="H326" s="120"/>
      <c r="I326" s="121"/>
      <c r="J326" s="102"/>
      <c r="K326" s="120"/>
      <c r="L326" s="121"/>
      <c r="M326" s="102"/>
      <c r="N326" s="120"/>
      <c r="O326" s="121"/>
      <c r="P326" s="102"/>
      <c r="Q326" s="102"/>
      <c r="R326" s="102"/>
      <c r="S326" s="100"/>
      <c r="T326" s="103"/>
      <c r="U326" s="103"/>
      <c r="V326" s="145"/>
    </row>
    <row r="327" spans="2:22" ht="45" customHeight="1">
      <c r="B327" s="162" t="s">
        <v>1052</v>
      </c>
      <c r="C327" s="100" t="s">
        <v>83</v>
      </c>
      <c r="D327" s="42" t="s">
        <v>83</v>
      </c>
      <c r="E327" s="42" t="s">
        <v>279</v>
      </c>
      <c r="F327" s="227" t="s">
        <v>280</v>
      </c>
      <c r="G327" s="228"/>
      <c r="H327" s="120"/>
      <c r="I327" s="121"/>
      <c r="J327" s="102"/>
      <c r="K327" s="120"/>
      <c r="L327" s="121"/>
      <c r="M327" s="102"/>
      <c r="N327" s="120"/>
      <c r="O327" s="121"/>
      <c r="P327" s="102"/>
      <c r="Q327" s="102"/>
      <c r="R327" s="102"/>
      <c r="S327" s="100"/>
      <c r="T327" s="103"/>
      <c r="U327" s="103"/>
      <c r="V327" s="150"/>
    </row>
    <row r="328" spans="2:22" ht="45" customHeight="1">
      <c r="B328" s="162" t="s">
        <v>1053</v>
      </c>
      <c r="C328" s="100" t="s">
        <v>83</v>
      </c>
      <c r="D328" s="42" t="s">
        <v>83</v>
      </c>
      <c r="E328" s="42" t="s">
        <v>227</v>
      </c>
      <c r="F328" s="227" t="s">
        <v>281</v>
      </c>
      <c r="G328" s="228"/>
      <c r="H328" s="120"/>
      <c r="I328" s="121"/>
      <c r="J328" s="102"/>
      <c r="K328" s="120"/>
      <c r="L328" s="121"/>
      <c r="M328" s="102"/>
      <c r="N328" s="120"/>
      <c r="O328" s="121"/>
      <c r="P328" s="102"/>
      <c r="Q328" s="102"/>
      <c r="R328" s="102"/>
      <c r="S328" s="100"/>
      <c r="T328" s="103"/>
      <c r="U328" s="103"/>
      <c r="V328" s="150"/>
    </row>
    <row r="329" spans="2:22" ht="45" customHeight="1">
      <c r="B329" s="162" t="s">
        <v>1054</v>
      </c>
      <c r="C329" s="100" t="s">
        <v>83</v>
      </c>
      <c r="D329" s="42" t="s">
        <v>282</v>
      </c>
      <c r="E329" s="42" t="s">
        <v>132</v>
      </c>
      <c r="F329" s="227" t="s">
        <v>237</v>
      </c>
      <c r="G329" s="228"/>
      <c r="H329" s="120"/>
      <c r="I329" s="121"/>
      <c r="J329" s="102"/>
      <c r="K329" s="120"/>
      <c r="L329" s="121"/>
      <c r="M329" s="102"/>
      <c r="N329" s="120"/>
      <c r="O329" s="121"/>
      <c r="P329" s="102"/>
      <c r="Q329" s="102"/>
      <c r="R329" s="102"/>
      <c r="S329" s="100"/>
      <c r="T329" s="103"/>
      <c r="U329" s="103"/>
      <c r="V329" s="150"/>
    </row>
    <row r="330" spans="2:22" ht="45" customHeight="1">
      <c r="B330" s="162" t="s">
        <v>1055</v>
      </c>
      <c r="C330" s="100" t="s">
        <v>83</v>
      </c>
      <c r="D330" s="42" t="s">
        <v>419</v>
      </c>
      <c r="E330" s="42" t="s">
        <v>241</v>
      </c>
      <c r="F330" s="227" t="s">
        <v>283</v>
      </c>
      <c r="G330" s="228"/>
      <c r="H330" s="120"/>
      <c r="I330" s="121"/>
      <c r="J330" s="102"/>
      <c r="K330" s="120"/>
      <c r="L330" s="121"/>
      <c r="M330" s="102"/>
      <c r="N330" s="120"/>
      <c r="O330" s="121"/>
      <c r="P330" s="102"/>
      <c r="Q330" s="178"/>
      <c r="R330" s="102"/>
      <c r="S330" s="100"/>
      <c r="T330" s="103"/>
      <c r="U330" s="103"/>
      <c r="V330" s="150"/>
    </row>
    <row r="331" spans="2:22" ht="45" customHeight="1">
      <c r="B331" s="162" t="s">
        <v>1056</v>
      </c>
      <c r="C331" s="100" t="s">
        <v>83</v>
      </c>
      <c r="D331" s="42" t="s">
        <v>420</v>
      </c>
      <c r="E331" s="42" t="s">
        <v>241</v>
      </c>
      <c r="F331" s="227" t="s">
        <v>284</v>
      </c>
      <c r="G331" s="228"/>
      <c r="H331" s="120"/>
      <c r="I331" s="121"/>
      <c r="J331" s="102"/>
      <c r="K331" s="120"/>
      <c r="L331" s="121"/>
      <c r="M331" s="102"/>
      <c r="N331" s="120"/>
      <c r="O331" s="121"/>
      <c r="P331" s="102"/>
      <c r="Q331" s="178"/>
      <c r="R331" s="102"/>
      <c r="S331" s="100"/>
      <c r="T331" s="103"/>
      <c r="U331" s="103"/>
      <c r="V331" s="150"/>
    </row>
    <row r="332" spans="2:22" ht="45" customHeight="1">
      <c r="B332" s="162" t="s">
        <v>1057</v>
      </c>
      <c r="C332" s="100" t="s">
        <v>83</v>
      </c>
      <c r="D332" s="42" t="s">
        <v>251</v>
      </c>
      <c r="E332" s="42" t="s">
        <v>132</v>
      </c>
      <c r="F332" s="227" t="s">
        <v>237</v>
      </c>
      <c r="G332" s="228"/>
      <c r="H332" s="120"/>
      <c r="I332" s="121"/>
      <c r="J332" s="102"/>
      <c r="K332" s="120"/>
      <c r="L332" s="121"/>
      <c r="M332" s="102"/>
      <c r="N332" s="120"/>
      <c r="O332" s="121"/>
      <c r="P332" s="102"/>
      <c r="Q332" s="102"/>
      <c r="R332" s="102"/>
      <c r="S332" s="100"/>
      <c r="T332" s="103"/>
      <c r="U332" s="103"/>
      <c r="V332" s="145"/>
    </row>
    <row r="333" spans="2:22" ht="45" customHeight="1">
      <c r="B333" s="162" t="s">
        <v>1058</v>
      </c>
      <c r="C333" s="100" t="s">
        <v>83</v>
      </c>
      <c r="D333" s="42" t="s">
        <v>247</v>
      </c>
      <c r="E333" s="42" t="s">
        <v>132</v>
      </c>
      <c r="F333" s="227" t="s">
        <v>237</v>
      </c>
      <c r="G333" s="228"/>
      <c r="H333" s="120"/>
      <c r="I333" s="121"/>
      <c r="J333" s="102"/>
      <c r="K333" s="120"/>
      <c r="L333" s="121"/>
      <c r="M333" s="102"/>
      <c r="N333" s="120"/>
      <c r="O333" s="121"/>
      <c r="P333" s="102"/>
      <c r="Q333" s="102"/>
      <c r="R333" s="102"/>
      <c r="S333" s="100"/>
      <c r="T333" s="103"/>
      <c r="U333" s="103"/>
      <c r="V333" s="145"/>
    </row>
    <row r="334" spans="2:22" ht="45" customHeight="1">
      <c r="B334" s="162" t="s">
        <v>1059</v>
      </c>
      <c r="C334" s="100" t="s">
        <v>83</v>
      </c>
      <c r="D334" s="42" t="s">
        <v>248</v>
      </c>
      <c r="E334" s="42" t="s">
        <v>132</v>
      </c>
      <c r="F334" s="227" t="s">
        <v>237</v>
      </c>
      <c r="G334" s="228"/>
      <c r="H334" s="120"/>
      <c r="I334" s="121"/>
      <c r="J334" s="102"/>
      <c r="K334" s="120"/>
      <c r="L334" s="121"/>
      <c r="M334" s="102"/>
      <c r="N334" s="120"/>
      <c r="O334" s="121"/>
      <c r="P334" s="102"/>
      <c r="Q334" s="102"/>
      <c r="R334" s="102"/>
      <c r="S334" s="100"/>
      <c r="T334" s="103"/>
      <c r="U334" s="103"/>
      <c r="V334" s="145"/>
    </row>
    <row r="335" spans="2:22" ht="45" customHeight="1">
      <c r="B335" s="162" t="s">
        <v>1060</v>
      </c>
      <c r="C335" s="100" t="s">
        <v>83</v>
      </c>
      <c r="D335" s="42" t="s">
        <v>249</v>
      </c>
      <c r="E335" s="42" t="s">
        <v>132</v>
      </c>
      <c r="F335" s="227" t="s">
        <v>237</v>
      </c>
      <c r="G335" s="228"/>
      <c r="H335" s="120"/>
      <c r="I335" s="121"/>
      <c r="J335" s="102"/>
      <c r="K335" s="120"/>
      <c r="L335" s="121"/>
      <c r="M335" s="102"/>
      <c r="N335" s="120"/>
      <c r="O335" s="121"/>
      <c r="P335" s="102"/>
      <c r="Q335" s="102"/>
      <c r="R335" s="102"/>
      <c r="S335" s="100"/>
      <c r="T335" s="103"/>
      <c r="U335" s="103"/>
      <c r="V335" s="145"/>
    </row>
    <row r="336" spans="2:22" ht="45" customHeight="1">
      <c r="B336" s="162" t="s">
        <v>1061</v>
      </c>
      <c r="C336" s="100" t="s">
        <v>83</v>
      </c>
      <c r="D336" s="42" t="s">
        <v>250</v>
      </c>
      <c r="E336" s="42" t="s">
        <v>132</v>
      </c>
      <c r="F336" s="227" t="s">
        <v>237</v>
      </c>
      <c r="G336" s="228"/>
      <c r="H336" s="120"/>
      <c r="I336" s="121"/>
      <c r="J336" s="102"/>
      <c r="K336" s="120"/>
      <c r="L336" s="121"/>
      <c r="M336" s="102"/>
      <c r="N336" s="120"/>
      <c r="O336" s="121"/>
      <c r="P336" s="102"/>
      <c r="Q336" s="102"/>
      <c r="R336" s="102"/>
      <c r="S336" s="100"/>
      <c r="T336" s="103"/>
      <c r="U336" s="103"/>
      <c r="V336" s="145"/>
    </row>
    <row r="337" spans="2:22" ht="45" customHeight="1">
      <c r="B337" s="162" t="s">
        <v>1062</v>
      </c>
      <c r="C337" s="100" t="s">
        <v>83</v>
      </c>
      <c r="D337" s="42" t="s">
        <v>421</v>
      </c>
      <c r="E337" s="42" t="s">
        <v>752</v>
      </c>
      <c r="F337" s="227" t="s">
        <v>1174</v>
      </c>
      <c r="G337" s="228"/>
      <c r="H337" s="155"/>
      <c r="I337" s="156"/>
      <c r="J337" s="155"/>
      <c r="K337" s="102"/>
      <c r="L337" s="121"/>
      <c r="M337" s="102"/>
      <c r="N337" s="155"/>
      <c r="O337" s="156"/>
      <c r="P337" s="155"/>
      <c r="Q337" s="102"/>
      <c r="R337" s="102"/>
      <c r="S337" s="100"/>
      <c r="T337" s="103"/>
      <c r="U337" s="103"/>
      <c r="V337" s="146"/>
    </row>
    <row r="338" spans="2:22" ht="45" customHeight="1">
      <c r="B338" s="162" t="s">
        <v>1063</v>
      </c>
      <c r="C338" s="114" t="s">
        <v>99</v>
      </c>
      <c r="D338" s="42" t="s">
        <v>421</v>
      </c>
      <c r="E338" s="42" t="s">
        <v>444</v>
      </c>
      <c r="F338" s="227" t="s">
        <v>272</v>
      </c>
      <c r="G338" s="228"/>
      <c r="H338" s="155"/>
      <c r="I338" s="156"/>
      <c r="J338" s="155"/>
      <c r="K338" s="102"/>
      <c r="L338" s="121"/>
      <c r="M338" s="102"/>
      <c r="N338" s="155"/>
      <c r="O338" s="156"/>
      <c r="P338" s="155"/>
      <c r="Q338" s="102"/>
      <c r="R338" s="102"/>
      <c r="S338" s="100"/>
      <c r="T338" s="103"/>
      <c r="U338" s="103"/>
      <c r="V338" s="146"/>
    </row>
    <row r="339" spans="2:22" ht="45" customHeight="1">
      <c r="B339" s="162" t="s">
        <v>1064</v>
      </c>
      <c r="C339" s="114" t="s">
        <v>99</v>
      </c>
      <c r="D339" s="115" t="s">
        <v>267</v>
      </c>
      <c r="E339" s="42" t="s">
        <v>106</v>
      </c>
      <c r="F339" s="227" t="s">
        <v>1330</v>
      </c>
      <c r="G339" s="228"/>
      <c r="H339" s="102"/>
      <c r="I339" s="20"/>
      <c r="J339" s="102"/>
      <c r="K339" s="102"/>
      <c r="L339" s="20"/>
      <c r="M339" s="102"/>
      <c r="N339" s="102"/>
      <c r="O339" s="20"/>
      <c r="P339" s="102"/>
      <c r="Q339" s="102"/>
      <c r="R339" s="102"/>
      <c r="S339" s="100"/>
      <c r="T339" s="103"/>
      <c r="U339" s="103"/>
      <c r="V339" s="146"/>
    </row>
    <row r="340" spans="2:22" ht="34.5" customHeight="1">
      <c r="B340" s="162" t="s">
        <v>1065</v>
      </c>
      <c r="C340" s="18" t="s">
        <v>110</v>
      </c>
      <c r="D340" s="18" t="s">
        <v>111</v>
      </c>
      <c r="E340" s="42" t="s">
        <v>109</v>
      </c>
      <c r="F340" s="229" t="s">
        <v>112</v>
      </c>
      <c r="G340" s="230"/>
      <c r="H340" s="120"/>
      <c r="I340" s="121"/>
      <c r="J340" s="102"/>
      <c r="K340" s="120"/>
      <c r="L340" s="121"/>
      <c r="M340" s="102"/>
      <c r="N340" s="120"/>
      <c r="O340" s="121"/>
      <c r="P340" s="102"/>
      <c r="Q340" s="102"/>
      <c r="R340" s="122"/>
      <c r="S340" s="114"/>
      <c r="T340" s="103"/>
      <c r="U340" s="103"/>
      <c r="V340" s="150"/>
    </row>
    <row r="341" spans="2:22" ht="34.5" customHeight="1">
      <c r="B341" s="162" t="s">
        <v>1066</v>
      </c>
      <c r="C341" s="18" t="s">
        <v>120</v>
      </c>
      <c r="D341" s="18" t="s">
        <v>120</v>
      </c>
      <c r="E341" s="42" t="s">
        <v>109</v>
      </c>
      <c r="F341" s="229" t="s">
        <v>113</v>
      </c>
      <c r="G341" s="230"/>
      <c r="H341" s="120"/>
      <c r="I341" s="121"/>
      <c r="J341" s="102"/>
      <c r="K341" s="120"/>
      <c r="L341" s="121"/>
      <c r="M341" s="102"/>
      <c r="N341" s="120"/>
      <c r="O341" s="121"/>
      <c r="P341" s="102"/>
      <c r="Q341" s="102"/>
      <c r="R341" s="122"/>
      <c r="S341" s="114"/>
      <c r="T341" s="103"/>
      <c r="U341" s="103"/>
      <c r="V341" s="150"/>
    </row>
    <row r="342" spans="2:22" ht="34.5" customHeight="1">
      <c r="B342" s="162" t="s">
        <v>1255</v>
      </c>
      <c r="C342" s="18" t="s">
        <v>120</v>
      </c>
      <c r="D342" s="18" t="s">
        <v>123</v>
      </c>
      <c r="E342" s="42" t="s">
        <v>109</v>
      </c>
      <c r="F342" s="229" t="s">
        <v>124</v>
      </c>
      <c r="G342" s="230"/>
      <c r="H342" s="120"/>
      <c r="I342" s="121"/>
      <c r="J342" s="102"/>
      <c r="K342" s="120"/>
      <c r="L342" s="121"/>
      <c r="M342" s="102"/>
      <c r="N342" s="120"/>
      <c r="O342" s="121"/>
      <c r="P342" s="102"/>
      <c r="Q342" s="102"/>
      <c r="R342" s="122"/>
      <c r="S342" s="114"/>
      <c r="T342" s="103"/>
      <c r="U342" s="103"/>
      <c r="V342" s="150"/>
    </row>
    <row r="343" spans="2:22" ht="34.5" customHeight="1">
      <c r="B343" s="162" t="s">
        <v>1256</v>
      </c>
      <c r="C343" s="18" t="s">
        <v>120</v>
      </c>
      <c r="D343" s="18" t="s">
        <v>120</v>
      </c>
      <c r="E343" s="42" t="s">
        <v>109</v>
      </c>
      <c r="F343" s="229" t="s">
        <v>113</v>
      </c>
      <c r="G343" s="230"/>
      <c r="H343" s="120"/>
      <c r="I343" s="121"/>
      <c r="J343" s="102"/>
      <c r="K343" s="120"/>
      <c r="L343" s="121"/>
      <c r="M343" s="102"/>
      <c r="N343" s="120"/>
      <c r="O343" s="121"/>
      <c r="P343" s="102"/>
      <c r="Q343" s="102"/>
      <c r="R343" s="122"/>
      <c r="S343" s="114"/>
      <c r="T343" s="103"/>
      <c r="U343" s="103"/>
      <c r="V343" s="150"/>
    </row>
    <row r="344" spans="2:22" ht="34.5" customHeight="1">
      <c r="B344" s="162" t="s">
        <v>1257</v>
      </c>
      <c r="C344" s="18" t="s">
        <v>120</v>
      </c>
      <c r="D344" s="18" t="s">
        <v>125</v>
      </c>
      <c r="E344" s="42" t="s">
        <v>109</v>
      </c>
      <c r="F344" s="229" t="s">
        <v>126</v>
      </c>
      <c r="G344" s="230"/>
      <c r="H344" s="120"/>
      <c r="I344" s="121"/>
      <c r="J344" s="102"/>
      <c r="K344" s="120"/>
      <c r="L344" s="121"/>
      <c r="M344" s="102"/>
      <c r="N344" s="120"/>
      <c r="O344" s="121"/>
      <c r="P344" s="102"/>
      <c r="Q344" s="102"/>
      <c r="R344" s="122"/>
      <c r="S344" s="114"/>
      <c r="T344" s="103"/>
      <c r="U344" s="103"/>
      <c r="V344" s="150"/>
    </row>
    <row r="345" spans="2:22" ht="34.5" customHeight="1">
      <c r="B345" s="162" t="s">
        <v>1258</v>
      </c>
      <c r="C345" s="18" t="s">
        <v>120</v>
      </c>
      <c r="D345" s="18" t="s">
        <v>120</v>
      </c>
      <c r="E345" s="42" t="s">
        <v>109</v>
      </c>
      <c r="F345" s="229" t="s">
        <v>113</v>
      </c>
      <c r="G345" s="230"/>
      <c r="H345" s="120"/>
      <c r="I345" s="121"/>
      <c r="J345" s="102"/>
      <c r="K345" s="120"/>
      <c r="L345" s="121"/>
      <c r="M345" s="102"/>
      <c r="N345" s="120"/>
      <c r="O345" s="121"/>
      <c r="P345" s="102"/>
      <c r="Q345" s="102"/>
      <c r="R345" s="122"/>
      <c r="S345" s="114"/>
      <c r="T345" s="103"/>
      <c r="U345" s="103"/>
      <c r="V345" s="150"/>
    </row>
    <row r="346" spans="2:22" ht="34.5" customHeight="1">
      <c r="B346" s="162" t="s">
        <v>1259</v>
      </c>
      <c r="C346" s="18" t="s">
        <v>114</v>
      </c>
      <c r="D346" s="18" t="s">
        <v>387</v>
      </c>
      <c r="E346" s="42" t="s">
        <v>394</v>
      </c>
      <c r="F346" s="229" t="s">
        <v>395</v>
      </c>
      <c r="G346" s="230"/>
      <c r="H346" s="120"/>
      <c r="I346" s="121"/>
      <c r="J346" s="102"/>
      <c r="K346" s="120"/>
      <c r="L346" s="20"/>
      <c r="M346" s="102"/>
      <c r="N346" s="120"/>
      <c r="O346" s="20"/>
      <c r="P346" s="102"/>
      <c r="Q346" s="122"/>
      <c r="R346" s="122"/>
      <c r="S346" s="114"/>
      <c r="T346" s="103"/>
      <c r="U346" s="103"/>
      <c r="V346" s="158"/>
    </row>
    <row r="347" spans="2:22" ht="34.5" customHeight="1">
      <c r="B347" s="162" t="s">
        <v>1260</v>
      </c>
      <c r="C347" s="114" t="s">
        <v>99</v>
      </c>
      <c r="D347" s="115" t="s">
        <v>413</v>
      </c>
      <c r="E347" s="42" t="s">
        <v>62</v>
      </c>
      <c r="F347" s="229" t="s">
        <v>115</v>
      </c>
      <c r="G347" s="230"/>
      <c r="H347" s="120"/>
      <c r="I347" s="121"/>
      <c r="J347" s="102"/>
      <c r="K347" s="120"/>
      <c r="L347" s="20"/>
      <c r="M347" s="102"/>
      <c r="N347" s="120"/>
      <c r="O347" s="20"/>
      <c r="P347" s="102"/>
      <c r="Q347" s="122"/>
      <c r="R347" s="122"/>
      <c r="S347" s="114"/>
      <c r="T347" s="103"/>
      <c r="U347" s="103"/>
      <c r="V347" s="158"/>
    </row>
    <row r="348" spans="2:22" ht="34.5" customHeight="1">
      <c r="B348" s="162" t="s">
        <v>1261</v>
      </c>
      <c r="C348" s="114" t="s">
        <v>396</v>
      </c>
      <c r="D348" s="115" t="s">
        <v>414</v>
      </c>
      <c r="E348" s="42" t="s">
        <v>62</v>
      </c>
      <c r="F348" s="229" t="s">
        <v>397</v>
      </c>
      <c r="G348" s="230"/>
      <c r="H348" s="120"/>
      <c r="I348" s="121"/>
      <c r="J348" s="102"/>
      <c r="K348" s="120"/>
      <c r="L348" s="20"/>
      <c r="M348" s="102"/>
      <c r="N348" s="120"/>
      <c r="O348" s="20"/>
      <c r="P348" s="102"/>
      <c r="Q348" s="122"/>
      <c r="R348" s="122"/>
      <c r="S348" s="114"/>
      <c r="T348" s="103"/>
      <c r="U348" s="103"/>
      <c r="V348" s="158"/>
    </row>
    <row r="349" spans="2:22" ht="34.5" customHeight="1">
      <c r="B349" s="162" t="s">
        <v>1262</v>
      </c>
      <c r="C349" s="114" t="s">
        <v>388</v>
      </c>
      <c r="D349" s="18" t="s">
        <v>116</v>
      </c>
      <c r="E349" s="42" t="s">
        <v>62</v>
      </c>
      <c r="F349" s="229" t="s">
        <v>115</v>
      </c>
      <c r="G349" s="230"/>
      <c r="H349" s="120"/>
      <c r="I349" s="121"/>
      <c r="J349" s="102"/>
      <c r="K349" s="120"/>
      <c r="L349" s="20"/>
      <c r="M349" s="102"/>
      <c r="N349" s="120"/>
      <c r="O349" s="20"/>
      <c r="P349" s="102"/>
      <c r="Q349" s="122"/>
      <c r="R349" s="122"/>
      <c r="S349" s="114"/>
      <c r="T349" s="103"/>
      <c r="U349" s="103"/>
      <c r="V349" s="150"/>
    </row>
    <row r="350" spans="2:22" s="15" customFormat="1" ht="34.5" customHeight="1">
      <c r="B350" s="162" t="s">
        <v>1263</v>
      </c>
      <c r="C350" s="114" t="s">
        <v>388</v>
      </c>
      <c r="D350" s="18" t="s">
        <v>389</v>
      </c>
      <c r="E350" s="42" t="s">
        <v>118</v>
      </c>
      <c r="F350" s="229" t="s">
        <v>386</v>
      </c>
      <c r="G350" s="230"/>
      <c r="H350" s="120"/>
      <c r="I350" s="121"/>
      <c r="J350" s="102"/>
      <c r="K350" s="120"/>
      <c r="L350" s="20"/>
      <c r="M350" s="102"/>
      <c r="N350" s="120"/>
      <c r="O350" s="20"/>
      <c r="P350" s="102"/>
      <c r="Q350" s="122"/>
      <c r="R350" s="122"/>
      <c r="S350" s="100"/>
      <c r="T350" s="103"/>
      <c r="U350" s="103"/>
      <c r="V350" s="150"/>
    </row>
    <row r="352" spans="2:22">
      <c r="B352" s="2" t="s">
        <v>135</v>
      </c>
      <c r="C352" s="99" t="s">
        <v>269</v>
      </c>
    </row>
    <row r="353" spans="2:24">
      <c r="B353" s="231" t="s">
        <v>4</v>
      </c>
      <c r="C353" s="233" t="s">
        <v>5</v>
      </c>
      <c r="D353" s="235" t="s">
        <v>79</v>
      </c>
      <c r="E353" s="235" t="s">
        <v>6</v>
      </c>
      <c r="F353" s="237" t="s">
        <v>7</v>
      </c>
      <c r="G353" s="238"/>
      <c r="H353" s="241" t="s">
        <v>91</v>
      </c>
      <c r="I353" s="241"/>
      <c r="J353" s="241"/>
      <c r="K353" s="241" t="s">
        <v>84</v>
      </c>
      <c r="L353" s="241"/>
      <c r="M353" s="241"/>
      <c r="N353" s="241" t="s">
        <v>85</v>
      </c>
      <c r="O353" s="241"/>
      <c r="P353" s="241"/>
      <c r="Q353" s="235" t="s">
        <v>78</v>
      </c>
      <c r="R353" s="235" t="s">
        <v>78</v>
      </c>
      <c r="S353" s="242" t="s">
        <v>14</v>
      </c>
      <c r="T353" s="242"/>
      <c r="U353" s="242"/>
    </row>
    <row r="354" spans="2:24">
      <c r="B354" s="232"/>
      <c r="C354" s="234"/>
      <c r="D354" s="236"/>
      <c r="E354" s="236"/>
      <c r="F354" s="239"/>
      <c r="G354" s="240"/>
      <c r="H354" s="126" t="s">
        <v>8</v>
      </c>
      <c r="I354" s="126" t="s">
        <v>9</v>
      </c>
      <c r="J354" s="126" t="s">
        <v>10</v>
      </c>
      <c r="K354" s="126" t="s">
        <v>8</v>
      </c>
      <c r="L354" s="126" t="s">
        <v>9</v>
      </c>
      <c r="M354" s="126" t="s">
        <v>10</v>
      </c>
      <c r="N354" s="126" t="s">
        <v>8</v>
      </c>
      <c r="O354" s="126" t="s">
        <v>9</v>
      </c>
      <c r="P354" s="126" t="s">
        <v>10</v>
      </c>
      <c r="Q354" s="234"/>
      <c r="R354" s="234"/>
      <c r="S354" s="93"/>
      <c r="T354" s="94"/>
      <c r="U354" s="95"/>
    </row>
    <row r="355" spans="2:24" ht="35.450000000000003" customHeight="1">
      <c r="B355" s="162" t="str">
        <f>"3-"&amp;ROW()-354</f>
        <v>3-1</v>
      </c>
      <c r="C355" s="42" t="s">
        <v>746</v>
      </c>
      <c r="D355" s="42" t="s">
        <v>99</v>
      </c>
      <c r="E355" s="42" t="s">
        <v>62</v>
      </c>
      <c r="F355" s="227" t="s">
        <v>446</v>
      </c>
      <c r="G355" s="228"/>
      <c r="H355" s="120"/>
      <c r="I355" s="121"/>
      <c r="J355" s="102"/>
      <c r="K355" s="120"/>
      <c r="L355" s="121"/>
      <c r="M355" s="102"/>
      <c r="N355" s="102"/>
      <c r="O355" s="20"/>
      <c r="P355" s="102"/>
      <c r="Q355" s="102"/>
      <c r="R355" s="102"/>
      <c r="S355" s="100"/>
      <c r="T355" s="103"/>
      <c r="U355" s="103"/>
    </row>
    <row r="356" spans="2:24" ht="35.450000000000003" customHeight="1">
      <c r="B356" s="162" t="str">
        <f t="shared" ref="B356:B371" si="2">"3-"&amp;ROW()-354</f>
        <v>3-2</v>
      </c>
      <c r="C356" s="100" t="s">
        <v>83</v>
      </c>
      <c r="D356" s="42" t="s">
        <v>99</v>
      </c>
      <c r="E356" s="42" t="s">
        <v>106</v>
      </c>
      <c r="F356" s="227" t="s">
        <v>92</v>
      </c>
      <c r="G356" s="228"/>
      <c r="H356" s="120"/>
      <c r="I356" s="121"/>
      <c r="J356" s="102"/>
      <c r="K356" s="120"/>
      <c r="L356" s="121"/>
      <c r="M356" s="102"/>
      <c r="N356" s="102"/>
      <c r="O356" s="20"/>
      <c r="P356" s="102"/>
      <c r="Q356" s="102"/>
      <c r="R356" s="102"/>
      <c r="S356" s="100"/>
      <c r="T356" s="103"/>
      <c r="U356" s="103"/>
    </row>
    <row r="357" spans="2:24" ht="34.5" customHeight="1">
      <c r="B357" s="162" t="str">
        <f t="shared" si="2"/>
        <v>3-3</v>
      </c>
      <c r="C357" s="100" t="s">
        <v>1082</v>
      </c>
      <c r="D357" s="42" t="s">
        <v>1083</v>
      </c>
      <c r="E357" s="42" t="s">
        <v>1084</v>
      </c>
      <c r="F357" s="227" t="s">
        <v>406</v>
      </c>
      <c r="G357" s="228"/>
      <c r="H357" s="120"/>
      <c r="I357" s="121"/>
      <c r="J357" s="102"/>
      <c r="K357" s="120"/>
      <c r="L357" s="121"/>
      <c r="M357" s="102"/>
      <c r="N357" s="155"/>
      <c r="O357" s="156"/>
      <c r="P357" s="155"/>
      <c r="Q357" s="178"/>
      <c r="R357" s="102"/>
      <c r="S357" s="100"/>
      <c r="T357" s="103"/>
      <c r="U357" s="103"/>
      <c r="V357" s="174"/>
      <c r="W357" s="174"/>
      <c r="X357" s="174"/>
    </row>
    <row r="358" spans="2:24" ht="34.5" customHeight="1">
      <c r="B358" s="162" t="str">
        <f t="shared" si="2"/>
        <v>3-4</v>
      </c>
      <c r="C358" s="100" t="s">
        <v>1082</v>
      </c>
      <c r="D358" s="42" t="s">
        <v>271</v>
      </c>
      <c r="E358" s="42" t="s">
        <v>1085</v>
      </c>
      <c r="F358" s="227" t="s">
        <v>92</v>
      </c>
      <c r="G358" s="228"/>
      <c r="H358" s="120"/>
      <c r="I358" s="121"/>
      <c r="J358" s="102"/>
      <c r="K358" s="120"/>
      <c r="L358" s="121"/>
      <c r="M358" s="102"/>
      <c r="N358" s="102"/>
      <c r="O358" s="20"/>
      <c r="P358" s="102"/>
      <c r="Q358" s="102"/>
      <c r="R358" s="102"/>
      <c r="S358" s="100"/>
      <c r="T358" s="103"/>
      <c r="U358" s="103"/>
      <c r="V358" s="174"/>
      <c r="W358" s="174"/>
      <c r="X358" s="174"/>
    </row>
    <row r="359" spans="2:24" ht="34.5" customHeight="1">
      <c r="B359" s="162" t="str">
        <f t="shared" si="2"/>
        <v>3-5</v>
      </c>
      <c r="C359" s="100" t="s">
        <v>271</v>
      </c>
      <c r="D359" s="42" t="s">
        <v>1086</v>
      </c>
      <c r="E359" s="42" t="s">
        <v>1087</v>
      </c>
      <c r="F359" s="227" t="s">
        <v>93</v>
      </c>
      <c r="G359" s="228"/>
      <c r="H359" s="120"/>
      <c r="I359" s="121"/>
      <c r="J359" s="102"/>
      <c r="K359" s="120"/>
      <c r="L359" s="121"/>
      <c r="M359" s="102"/>
      <c r="N359" s="102"/>
      <c r="O359" s="20"/>
      <c r="P359" s="102"/>
      <c r="Q359" s="102"/>
      <c r="R359" s="102"/>
      <c r="S359" s="100"/>
      <c r="T359" s="103"/>
      <c r="U359" s="103"/>
      <c r="V359" s="174"/>
      <c r="W359" s="174"/>
      <c r="X359" s="174"/>
    </row>
    <row r="360" spans="2:24" ht="35.450000000000003" customHeight="1">
      <c r="B360" s="162" t="str">
        <f t="shared" si="2"/>
        <v>3-6</v>
      </c>
      <c r="C360" s="100" t="s">
        <v>270</v>
      </c>
      <c r="D360" s="42" t="s">
        <v>271</v>
      </c>
      <c r="E360" s="42" t="s">
        <v>134</v>
      </c>
      <c r="F360" s="227" t="s">
        <v>1278</v>
      </c>
      <c r="G360" s="228"/>
      <c r="H360" s="120"/>
      <c r="I360" s="121"/>
      <c r="J360" s="102"/>
      <c r="K360" s="120"/>
      <c r="L360" s="121"/>
      <c r="M360" s="102"/>
      <c r="N360" s="102"/>
      <c r="O360" s="20"/>
      <c r="P360" s="102"/>
      <c r="Q360" s="178"/>
      <c r="R360" s="102"/>
      <c r="S360" s="100"/>
      <c r="T360" s="103"/>
      <c r="U360" s="103"/>
    </row>
    <row r="361" spans="2:24" ht="35.450000000000003" customHeight="1">
      <c r="B361" s="162" t="str">
        <f t="shared" si="2"/>
        <v>3-7</v>
      </c>
      <c r="C361" s="100" t="s">
        <v>83</v>
      </c>
      <c r="D361" s="42" t="s">
        <v>382</v>
      </c>
      <c r="E361" s="42" t="s">
        <v>296</v>
      </c>
      <c r="F361" s="227" t="s">
        <v>764</v>
      </c>
      <c r="G361" s="228"/>
      <c r="H361" s="120"/>
      <c r="I361" s="121"/>
      <c r="J361" s="102"/>
      <c r="K361" s="155"/>
      <c r="L361" s="156"/>
      <c r="M361" s="155"/>
      <c r="N361" s="155"/>
      <c r="O361" s="156"/>
      <c r="P361" s="155"/>
      <c r="Q361" s="102"/>
      <c r="R361" s="102"/>
      <c r="S361" s="100"/>
      <c r="T361" s="103"/>
      <c r="U361" s="103"/>
    </row>
    <row r="362" spans="2:24" ht="35.450000000000003" customHeight="1">
      <c r="B362" s="162" t="str">
        <f t="shared" si="2"/>
        <v>3-8</v>
      </c>
      <c r="C362" s="100" t="s">
        <v>274</v>
      </c>
      <c r="D362" s="42" t="s">
        <v>160</v>
      </c>
      <c r="E362" s="42" t="s">
        <v>271</v>
      </c>
      <c r="F362" s="227" t="s">
        <v>275</v>
      </c>
      <c r="G362" s="228"/>
      <c r="H362" s="120"/>
      <c r="I362" s="121"/>
      <c r="J362" s="102"/>
      <c r="K362" s="120"/>
      <c r="L362" s="121"/>
      <c r="M362" s="102"/>
      <c r="N362" s="102"/>
      <c r="O362" s="20"/>
      <c r="P362" s="102"/>
      <c r="Q362" s="178"/>
      <c r="R362" s="102"/>
      <c r="S362" s="100"/>
      <c r="T362" s="103"/>
      <c r="U362" s="103"/>
    </row>
    <row r="363" spans="2:24" ht="35.450000000000003" customHeight="1">
      <c r="B363" s="162" t="str">
        <f t="shared" si="2"/>
        <v>3-9</v>
      </c>
      <c r="C363" s="100" t="s">
        <v>83</v>
      </c>
      <c r="D363" s="42" t="s">
        <v>99</v>
      </c>
      <c r="E363" s="42" t="s">
        <v>271</v>
      </c>
      <c r="F363" s="227" t="s">
        <v>288</v>
      </c>
      <c r="G363" s="228"/>
      <c r="H363" s="120"/>
      <c r="I363" s="121"/>
      <c r="J363" s="102"/>
      <c r="K363" s="120"/>
      <c r="L363" s="121"/>
      <c r="M363" s="102"/>
      <c r="N363" s="102"/>
      <c r="O363" s="20"/>
      <c r="P363" s="102"/>
      <c r="Q363" s="102"/>
      <c r="R363" s="102"/>
      <c r="S363" s="100"/>
      <c r="T363" s="103"/>
      <c r="U363" s="103"/>
    </row>
    <row r="364" spans="2:24" ht="35.450000000000003" customHeight="1">
      <c r="B364" s="162" t="str">
        <f t="shared" si="2"/>
        <v>3-10</v>
      </c>
      <c r="C364" s="100" t="s">
        <v>276</v>
      </c>
      <c r="D364" s="42" t="s">
        <v>160</v>
      </c>
      <c r="E364" s="42" t="s">
        <v>271</v>
      </c>
      <c r="F364" s="227" t="s">
        <v>275</v>
      </c>
      <c r="G364" s="228"/>
      <c r="H364" s="120"/>
      <c r="I364" s="121"/>
      <c r="J364" s="102"/>
      <c r="K364" s="120"/>
      <c r="L364" s="121"/>
      <c r="M364" s="102"/>
      <c r="N364" s="102"/>
      <c r="O364" s="20"/>
      <c r="P364" s="102"/>
      <c r="Q364" s="178"/>
      <c r="R364" s="102"/>
      <c r="S364" s="100"/>
      <c r="T364" s="103"/>
      <c r="U364" s="103"/>
    </row>
    <row r="365" spans="2:24" ht="35.450000000000003" customHeight="1">
      <c r="B365" s="162" t="str">
        <f t="shared" si="2"/>
        <v>3-11</v>
      </c>
      <c r="C365" s="100" t="s">
        <v>83</v>
      </c>
      <c r="D365" s="42" t="s">
        <v>99</v>
      </c>
      <c r="E365" s="42" t="s">
        <v>271</v>
      </c>
      <c r="F365" s="227" t="s">
        <v>287</v>
      </c>
      <c r="G365" s="228"/>
      <c r="H365" s="120"/>
      <c r="I365" s="121"/>
      <c r="J365" s="102"/>
      <c r="K365" s="120"/>
      <c r="L365" s="121"/>
      <c r="M365" s="102"/>
      <c r="N365" s="102"/>
      <c r="O365" s="20"/>
      <c r="P365" s="102"/>
      <c r="Q365" s="102"/>
      <c r="R365" s="102"/>
      <c r="S365" s="100"/>
      <c r="T365" s="103"/>
      <c r="U365" s="103"/>
    </row>
    <row r="366" spans="2:24" ht="34.5" customHeight="1">
      <c r="B366" s="162" t="str">
        <f t="shared" si="2"/>
        <v>3-12</v>
      </c>
      <c r="C366" s="18" t="s">
        <v>110</v>
      </c>
      <c r="D366" s="18" t="s">
        <v>111</v>
      </c>
      <c r="E366" s="42" t="s">
        <v>109</v>
      </c>
      <c r="F366" s="229" t="s">
        <v>112</v>
      </c>
      <c r="G366" s="230"/>
      <c r="H366" s="120"/>
      <c r="I366" s="121"/>
      <c r="J366" s="102"/>
      <c r="K366" s="120"/>
      <c r="L366" s="121"/>
      <c r="M366" s="102"/>
      <c r="N366" s="120"/>
      <c r="O366" s="121"/>
      <c r="P366" s="102"/>
      <c r="Q366" s="102"/>
      <c r="R366" s="122"/>
      <c r="S366" s="114"/>
      <c r="T366" s="103"/>
      <c r="U366" s="103"/>
      <c r="V366" s="150"/>
    </row>
    <row r="367" spans="2:24" ht="34.5" customHeight="1">
      <c r="B367" s="162" t="str">
        <f t="shared" si="2"/>
        <v>3-13</v>
      </c>
      <c r="C367" s="18" t="s">
        <v>120</v>
      </c>
      <c r="D367" s="18" t="s">
        <v>120</v>
      </c>
      <c r="E367" s="42" t="s">
        <v>109</v>
      </c>
      <c r="F367" s="229" t="s">
        <v>113</v>
      </c>
      <c r="G367" s="230"/>
      <c r="H367" s="120"/>
      <c r="I367" s="121"/>
      <c r="J367" s="102"/>
      <c r="K367" s="120"/>
      <c r="L367" s="121"/>
      <c r="M367" s="102"/>
      <c r="N367" s="120"/>
      <c r="O367" s="121"/>
      <c r="P367" s="102"/>
      <c r="Q367" s="102"/>
      <c r="R367" s="122"/>
      <c r="S367" s="114"/>
      <c r="T367" s="103"/>
      <c r="U367" s="103"/>
      <c r="V367" s="150"/>
    </row>
    <row r="368" spans="2:24" ht="34.5" customHeight="1">
      <c r="B368" s="162" t="str">
        <f t="shared" si="2"/>
        <v>3-14</v>
      </c>
      <c r="C368" s="18" t="s">
        <v>120</v>
      </c>
      <c r="D368" s="18" t="s">
        <v>123</v>
      </c>
      <c r="E368" s="42" t="s">
        <v>109</v>
      </c>
      <c r="F368" s="229" t="s">
        <v>124</v>
      </c>
      <c r="G368" s="230"/>
      <c r="H368" s="120"/>
      <c r="I368" s="121"/>
      <c r="J368" s="102"/>
      <c r="K368" s="120"/>
      <c r="L368" s="121"/>
      <c r="M368" s="102"/>
      <c r="N368" s="120"/>
      <c r="O368" s="121"/>
      <c r="P368" s="102"/>
      <c r="Q368" s="102"/>
      <c r="R368" s="122"/>
      <c r="S368" s="114"/>
      <c r="T368" s="103"/>
      <c r="U368" s="103"/>
      <c r="V368" s="150"/>
    </row>
    <row r="369" spans="2:24" ht="34.5" customHeight="1">
      <c r="B369" s="162" t="str">
        <f t="shared" si="2"/>
        <v>3-15</v>
      </c>
      <c r="C369" s="18" t="s">
        <v>120</v>
      </c>
      <c r="D369" s="18" t="s">
        <v>120</v>
      </c>
      <c r="E369" s="42" t="s">
        <v>109</v>
      </c>
      <c r="F369" s="229" t="s">
        <v>113</v>
      </c>
      <c r="G369" s="230"/>
      <c r="H369" s="120"/>
      <c r="I369" s="121"/>
      <c r="J369" s="102"/>
      <c r="K369" s="120"/>
      <c r="L369" s="121"/>
      <c r="M369" s="102"/>
      <c r="N369" s="120"/>
      <c r="O369" s="121"/>
      <c r="P369" s="102"/>
      <c r="Q369" s="102"/>
      <c r="R369" s="122"/>
      <c r="S369" s="114"/>
      <c r="T369" s="103"/>
      <c r="U369" s="103"/>
      <c r="V369" s="150"/>
    </row>
    <row r="370" spans="2:24" ht="34.5" customHeight="1">
      <c r="B370" s="162" t="str">
        <f t="shared" si="2"/>
        <v>3-16</v>
      </c>
      <c r="C370" s="18" t="s">
        <v>120</v>
      </c>
      <c r="D370" s="18" t="s">
        <v>125</v>
      </c>
      <c r="E370" s="42" t="s">
        <v>109</v>
      </c>
      <c r="F370" s="229" t="s">
        <v>126</v>
      </c>
      <c r="G370" s="230"/>
      <c r="H370" s="120"/>
      <c r="I370" s="121"/>
      <c r="J370" s="102"/>
      <c r="K370" s="120"/>
      <c r="L370" s="121"/>
      <c r="M370" s="102"/>
      <c r="N370" s="120"/>
      <c r="O370" s="121"/>
      <c r="P370" s="102"/>
      <c r="Q370" s="102"/>
      <c r="R370" s="122"/>
      <c r="S370" s="114"/>
      <c r="T370" s="103"/>
      <c r="U370" s="103"/>
      <c r="V370" s="150"/>
    </row>
    <row r="371" spans="2:24" ht="34.5" customHeight="1">
      <c r="B371" s="162" t="str">
        <f t="shared" si="2"/>
        <v>3-17</v>
      </c>
      <c r="C371" s="18" t="s">
        <v>120</v>
      </c>
      <c r="D371" s="18" t="s">
        <v>120</v>
      </c>
      <c r="E371" s="42" t="s">
        <v>109</v>
      </c>
      <c r="F371" s="229" t="s">
        <v>113</v>
      </c>
      <c r="G371" s="230"/>
      <c r="H371" s="120"/>
      <c r="I371" s="121"/>
      <c r="J371" s="102"/>
      <c r="K371" s="120"/>
      <c r="L371" s="121"/>
      <c r="M371" s="102"/>
      <c r="N371" s="120"/>
      <c r="O371" s="121"/>
      <c r="P371" s="102"/>
      <c r="Q371" s="102"/>
      <c r="R371" s="122"/>
      <c r="S371" s="114"/>
      <c r="T371" s="103"/>
      <c r="U371" s="103"/>
      <c r="V371" s="150"/>
    </row>
    <row r="373" spans="2:24">
      <c r="B373" s="2" t="s">
        <v>136</v>
      </c>
      <c r="C373" s="99" t="s">
        <v>726</v>
      </c>
    </row>
    <row r="374" spans="2:24">
      <c r="B374" s="231" t="s">
        <v>4</v>
      </c>
      <c r="C374" s="233" t="s">
        <v>5</v>
      </c>
      <c r="D374" s="235" t="s">
        <v>79</v>
      </c>
      <c r="E374" s="235" t="s">
        <v>6</v>
      </c>
      <c r="F374" s="237" t="s">
        <v>7</v>
      </c>
      <c r="G374" s="238"/>
      <c r="H374" s="241" t="s">
        <v>91</v>
      </c>
      <c r="I374" s="241"/>
      <c r="J374" s="241"/>
      <c r="K374" s="241" t="s">
        <v>84</v>
      </c>
      <c r="L374" s="241"/>
      <c r="M374" s="241"/>
      <c r="N374" s="241" t="s">
        <v>85</v>
      </c>
      <c r="O374" s="241"/>
      <c r="P374" s="241"/>
      <c r="Q374" s="235" t="s">
        <v>78</v>
      </c>
      <c r="R374" s="235" t="s">
        <v>78</v>
      </c>
      <c r="S374" s="242" t="s">
        <v>14</v>
      </c>
      <c r="T374" s="242"/>
      <c r="U374" s="242"/>
    </row>
    <row r="375" spans="2:24">
      <c r="B375" s="232"/>
      <c r="C375" s="234"/>
      <c r="D375" s="236"/>
      <c r="E375" s="236"/>
      <c r="F375" s="239"/>
      <c r="G375" s="240"/>
      <c r="H375" s="149" t="s">
        <v>8</v>
      </c>
      <c r="I375" s="149" t="s">
        <v>9</v>
      </c>
      <c r="J375" s="149" t="s">
        <v>10</v>
      </c>
      <c r="K375" s="149" t="s">
        <v>8</v>
      </c>
      <c r="L375" s="149" t="s">
        <v>9</v>
      </c>
      <c r="M375" s="149" t="s">
        <v>10</v>
      </c>
      <c r="N375" s="149" t="s">
        <v>8</v>
      </c>
      <c r="O375" s="149" t="s">
        <v>9</v>
      </c>
      <c r="P375" s="149" t="s">
        <v>10</v>
      </c>
      <c r="Q375" s="234"/>
      <c r="R375" s="234"/>
      <c r="S375" s="93"/>
      <c r="T375" s="94"/>
      <c r="U375" s="95"/>
    </row>
    <row r="376" spans="2:24" ht="35.450000000000003" customHeight="1">
      <c r="B376" s="162" t="str">
        <f>"4-"&amp;ROW()-375</f>
        <v>4-1</v>
      </c>
      <c r="C376" s="42" t="s">
        <v>747</v>
      </c>
      <c r="D376" s="42" t="s">
        <v>99</v>
      </c>
      <c r="E376" s="42" t="s">
        <v>62</v>
      </c>
      <c r="F376" s="227" t="s">
        <v>727</v>
      </c>
      <c r="G376" s="228"/>
      <c r="H376" s="120"/>
      <c r="I376" s="121"/>
      <c r="J376" s="102"/>
      <c r="K376" s="120"/>
      <c r="L376" s="121"/>
      <c r="M376" s="102"/>
      <c r="N376" s="102"/>
      <c r="O376" s="20"/>
      <c r="P376" s="102"/>
      <c r="Q376" s="102"/>
      <c r="R376" s="102"/>
      <c r="S376" s="100"/>
      <c r="T376" s="103"/>
      <c r="U376" s="103"/>
    </row>
    <row r="377" spans="2:24" ht="35.450000000000003" customHeight="1">
      <c r="B377" s="162" t="str">
        <f t="shared" ref="B377:B392" si="3">"4-"&amp;ROW()-375</f>
        <v>4-2</v>
      </c>
      <c r="C377" s="100" t="s">
        <v>83</v>
      </c>
      <c r="D377" s="42" t="s">
        <v>99</v>
      </c>
      <c r="E377" s="42" t="s">
        <v>106</v>
      </c>
      <c r="F377" s="227" t="s">
        <v>92</v>
      </c>
      <c r="G377" s="228"/>
      <c r="H377" s="120"/>
      <c r="I377" s="121"/>
      <c r="J377" s="102"/>
      <c r="K377" s="120"/>
      <c r="L377" s="121"/>
      <c r="M377" s="102"/>
      <c r="N377" s="102"/>
      <c r="O377" s="20"/>
      <c r="P377" s="102"/>
      <c r="Q377" s="102"/>
      <c r="R377" s="102"/>
      <c r="S377" s="100"/>
      <c r="T377" s="103"/>
      <c r="U377" s="103"/>
    </row>
    <row r="378" spans="2:24" ht="34.5" customHeight="1">
      <c r="B378" s="162" t="str">
        <f t="shared" si="3"/>
        <v>4-3</v>
      </c>
      <c r="C378" s="100" t="s">
        <v>1082</v>
      </c>
      <c r="D378" s="42" t="s">
        <v>1083</v>
      </c>
      <c r="E378" s="42" t="s">
        <v>1084</v>
      </c>
      <c r="F378" s="227" t="s">
        <v>406</v>
      </c>
      <c r="G378" s="228"/>
      <c r="H378" s="120"/>
      <c r="I378" s="121"/>
      <c r="J378" s="102"/>
      <c r="K378" s="120"/>
      <c r="L378" s="121"/>
      <c r="M378" s="102"/>
      <c r="N378" s="155"/>
      <c r="O378" s="156"/>
      <c r="P378" s="155"/>
      <c r="Q378" s="178"/>
      <c r="R378" s="102"/>
      <c r="S378" s="100"/>
      <c r="T378" s="103"/>
      <c r="U378" s="103"/>
      <c r="V378" s="174"/>
      <c r="W378" s="174"/>
      <c r="X378" s="174"/>
    </row>
    <row r="379" spans="2:24" ht="34.5" customHeight="1">
      <c r="B379" s="162" t="str">
        <f t="shared" si="3"/>
        <v>4-4</v>
      </c>
      <c r="C379" s="100" t="s">
        <v>1082</v>
      </c>
      <c r="D379" s="42" t="s">
        <v>271</v>
      </c>
      <c r="E379" s="42" t="s">
        <v>1085</v>
      </c>
      <c r="F379" s="227" t="s">
        <v>92</v>
      </c>
      <c r="G379" s="228"/>
      <c r="H379" s="120"/>
      <c r="I379" s="121"/>
      <c r="J379" s="102"/>
      <c r="K379" s="120"/>
      <c r="L379" s="121"/>
      <c r="M379" s="102"/>
      <c r="N379" s="102"/>
      <c r="O379" s="20"/>
      <c r="P379" s="102"/>
      <c r="Q379" s="102"/>
      <c r="R379" s="102"/>
      <c r="S379" s="100"/>
      <c r="T379" s="103"/>
      <c r="U379" s="103"/>
      <c r="V379" s="174"/>
      <c r="W379" s="174"/>
      <c r="X379" s="174"/>
    </row>
    <row r="380" spans="2:24" ht="34.5" customHeight="1">
      <c r="B380" s="162" t="str">
        <f t="shared" si="3"/>
        <v>4-5</v>
      </c>
      <c r="C380" s="100" t="s">
        <v>271</v>
      </c>
      <c r="D380" s="42" t="s">
        <v>1086</v>
      </c>
      <c r="E380" s="42" t="s">
        <v>1087</v>
      </c>
      <c r="F380" s="227" t="s">
        <v>93</v>
      </c>
      <c r="G380" s="228"/>
      <c r="H380" s="120"/>
      <c r="I380" s="121"/>
      <c r="J380" s="102"/>
      <c r="K380" s="120"/>
      <c r="L380" s="121"/>
      <c r="M380" s="102"/>
      <c r="N380" s="102"/>
      <c r="O380" s="20"/>
      <c r="P380" s="102"/>
      <c r="Q380" s="102"/>
      <c r="R380" s="102"/>
      <c r="S380" s="100"/>
      <c r="T380" s="103"/>
      <c r="U380" s="103"/>
      <c r="V380" s="174"/>
      <c r="W380" s="174"/>
      <c r="X380" s="174"/>
    </row>
    <row r="381" spans="2:24" ht="35.450000000000003" customHeight="1">
      <c r="B381" s="162" t="str">
        <f t="shared" si="3"/>
        <v>4-6</v>
      </c>
      <c r="C381" s="100" t="s">
        <v>270</v>
      </c>
      <c r="D381" s="42" t="s">
        <v>271</v>
      </c>
      <c r="E381" s="42" t="s">
        <v>134</v>
      </c>
      <c r="F381" s="227" t="s">
        <v>273</v>
      </c>
      <c r="G381" s="228"/>
      <c r="H381" s="120"/>
      <c r="I381" s="121"/>
      <c r="J381" s="102"/>
      <c r="K381" s="120"/>
      <c r="L381" s="121"/>
      <c r="M381" s="102"/>
      <c r="N381" s="102"/>
      <c r="O381" s="20"/>
      <c r="P381" s="102"/>
      <c r="Q381" s="178"/>
      <c r="R381" s="102"/>
      <c r="S381" s="100"/>
      <c r="T381" s="103"/>
      <c r="U381" s="103"/>
    </row>
    <row r="382" spans="2:24" ht="35.450000000000003" customHeight="1">
      <c r="B382" s="162" t="str">
        <f t="shared" si="3"/>
        <v>4-7</v>
      </c>
      <c r="C382" s="100" t="s">
        <v>83</v>
      </c>
      <c r="D382" s="42" t="s">
        <v>382</v>
      </c>
      <c r="E382" s="42" t="s">
        <v>296</v>
      </c>
      <c r="F382" s="227" t="s">
        <v>764</v>
      </c>
      <c r="G382" s="228"/>
      <c r="H382" s="120"/>
      <c r="I382" s="121"/>
      <c r="J382" s="102"/>
      <c r="K382" s="155"/>
      <c r="L382" s="156"/>
      <c r="M382" s="155"/>
      <c r="N382" s="155"/>
      <c r="O382" s="156"/>
      <c r="P382" s="155"/>
      <c r="Q382" s="102"/>
      <c r="R382" s="102"/>
      <c r="S382" s="100"/>
      <c r="T382" s="103"/>
      <c r="U382" s="103"/>
    </row>
    <row r="383" spans="2:24" ht="35.450000000000003" customHeight="1">
      <c r="B383" s="162" t="str">
        <f t="shared" si="3"/>
        <v>4-8</v>
      </c>
      <c r="C383" s="100" t="s">
        <v>274</v>
      </c>
      <c r="D383" s="42" t="s">
        <v>160</v>
      </c>
      <c r="E383" s="42" t="s">
        <v>271</v>
      </c>
      <c r="F383" s="227" t="s">
        <v>728</v>
      </c>
      <c r="G383" s="228"/>
      <c r="H383" s="120"/>
      <c r="I383" s="121"/>
      <c r="J383" s="102"/>
      <c r="K383" s="120"/>
      <c r="L383" s="121"/>
      <c r="M383" s="102"/>
      <c r="N383" s="102"/>
      <c r="O383" s="20"/>
      <c r="P383" s="102"/>
      <c r="Q383" s="178"/>
      <c r="R383" s="102"/>
      <c r="S383" s="100"/>
      <c r="T383" s="103"/>
      <c r="U383" s="103"/>
    </row>
    <row r="384" spans="2:24" ht="35.450000000000003" customHeight="1">
      <c r="B384" s="162" t="str">
        <f t="shared" si="3"/>
        <v>4-9</v>
      </c>
      <c r="C384" s="100" t="s">
        <v>83</v>
      </c>
      <c r="D384" s="42" t="s">
        <v>99</v>
      </c>
      <c r="E384" s="42" t="s">
        <v>271</v>
      </c>
      <c r="F384" s="227" t="s">
        <v>288</v>
      </c>
      <c r="G384" s="228"/>
      <c r="H384" s="120"/>
      <c r="I384" s="121"/>
      <c r="J384" s="102"/>
      <c r="K384" s="120"/>
      <c r="L384" s="121"/>
      <c r="M384" s="102"/>
      <c r="N384" s="102"/>
      <c r="O384" s="20"/>
      <c r="P384" s="102"/>
      <c r="Q384" s="178"/>
      <c r="R384" s="102"/>
      <c r="S384" s="100"/>
      <c r="T384" s="103"/>
      <c r="U384" s="103"/>
    </row>
    <row r="385" spans="2:24" ht="35.450000000000003" customHeight="1">
      <c r="B385" s="162" t="str">
        <f t="shared" si="3"/>
        <v>4-10</v>
      </c>
      <c r="C385" s="100" t="s">
        <v>276</v>
      </c>
      <c r="D385" s="42" t="s">
        <v>160</v>
      </c>
      <c r="E385" s="42" t="s">
        <v>271</v>
      </c>
      <c r="F385" s="227" t="s">
        <v>728</v>
      </c>
      <c r="G385" s="228"/>
      <c r="H385" s="120"/>
      <c r="I385" s="121"/>
      <c r="J385" s="102"/>
      <c r="K385" s="120"/>
      <c r="L385" s="121"/>
      <c r="M385" s="102"/>
      <c r="N385" s="102"/>
      <c r="O385" s="20"/>
      <c r="P385" s="102"/>
      <c r="Q385" s="178"/>
      <c r="R385" s="102"/>
      <c r="S385" s="100"/>
      <c r="T385" s="103"/>
      <c r="U385" s="103"/>
    </row>
    <row r="386" spans="2:24" ht="35.450000000000003" customHeight="1">
      <c r="B386" s="162" t="str">
        <f t="shared" si="3"/>
        <v>4-11</v>
      </c>
      <c r="C386" s="100" t="s">
        <v>83</v>
      </c>
      <c r="D386" s="42" t="s">
        <v>99</v>
      </c>
      <c r="E386" s="42" t="s">
        <v>271</v>
      </c>
      <c r="F386" s="227" t="s">
        <v>287</v>
      </c>
      <c r="G386" s="228"/>
      <c r="H386" s="120"/>
      <c r="I386" s="121"/>
      <c r="J386" s="102"/>
      <c r="K386" s="120"/>
      <c r="L386" s="121"/>
      <c r="M386" s="102"/>
      <c r="N386" s="102"/>
      <c r="O386" s="20"/>
      <c r="P386" s="102"/>
      <c r="Q386" s="178"/>
      <c r="R386" s="102"/>
      <c r="S386" s="100"/>
      <c r="T386" s="103"/>
      <c r="U386" s="103"/>
    </row>
    <row r="387" spans="2:24" ht="34.5" customHeight="1">
      <c r="B387" s="162" t="str">
        <f t="shared" si="3"/>
        <v>4-12</v>
      </c>
      <c r="C387" s="18" t="s">
        <v>110</v>
      </c>
      <c r="D387" s="18" t="s">
        <v>111</v>
      </c>
      <c r="E387" s="42" t="s">
        <v>109</v>
      </c>
      <c r="F387" s="229" t="s">
        <v>112</v>
      </c>
      <c r="G387" s="230"/>
      <c r="H387" s="120"/>
      <c r="I387" s="121"/>
      <c r="J387" s="102"/>
      <c r="K387" s="120"/>
      <c r="L387" s="121"/>
      <c r="M387" s="102"/>
      <c r="N387" s="120"/>
      <c r="O387" s="121"/>
      <c r="P387" s="102"/>
      <c r="Q387" s="102"/>
      <c r="R387" s="122"/>
      <c r="S387" s="114"/>
      <c r="T387" s="103"/>
      <c r="U387" s="103"/>
      <c r="V387" s="150"/>
    </row>
    <row r="388" spans="2:24" ht="34.5" customHeight="1">
      <c r="B388" s="162" t="str">
        <f t="shared" si="3"/>
        <v>4-13</v>
      </c>
      <c r="C388" s="18" t="s">
        <v>120</v>
      </c>
      <c r="D388" s="18" t="s">
        <v>120</v>
      </c>
      <c r="E388" s="42" t="s">
        <v>109</v>
      </c>
      <c r="F388" s="229" t="s">
        <v>113</v>
      </c>
      <c r="G388" s="230"/>
      <c r="H388" s="120"/>
      <c r="I388" s="121"/>
      <c r="J388" s="102"/>
      <c r="K388" s="120"/>
      <c r="L388" s="121"/>
      <c r="M388" s="102"/>
      <c r="N388" s="120"/>
      <c r="O388" s="121"/>
      <c r="P388" s="102"/>
      <c r="Q388" s="102"/>
      <c r="R388" s="122"/>
      <c r="S388" s="114"/>
      <c r="T388" s="103"/>
      <c r="U388" s="103"/>
      <c r="V388" s="150"/>
    </row>
    <row r="389" spans="2:24" ht="34.5" customHeight="1">
      <c r="B389" s="162" t="str">
        <f t="shared" si="3"/>
        <v>4-14</v>
      </c>
      <c r="C389" s="18" t="s">
        <v>120</v>
      </c>
      <c r="D389" s="18" t="s">
        <v>123</v>
      </c>
      <c r="E389" s="42" t="s">
        <v>109</v>
      </c>
      <c r="F389" s="229" t="s">
        <v>124</v>
      </c>
      <c r="G389" s="230"/>
      <c r="H389" s="120"/>
      <c r="I389" s="121"/>
      <c r="J389" s="102"/>
      <c r="K389" s="120"/>
      <c r="L389" s="121"/>
      <c r="M389" s="102"/>
      <c r="N389" s="120"/>
      <c r="O389" s="121"/>
      <c r="P389" s="102"/>
      <c r="Q389" s="102"/>
      <c r="R389" s="122"/>
      <c r="S389" s="114"/>
      <c r="T389" s="103"/>
      <c r="U389" s="103"/>
      <c r="V389" s="150"/>
    </row>
    <row r="390" spans="2:24" ht="34.5" customHeight="1">
      <c r="B390" s="162" t="str">
        <f t="shared" si="3"/>
        <v>4-15</v>
      </c>
      <c r="C390" s="18" t="s">
        <v>120</v>
      </c>
      <c r="D390" s="18" t="s">
        <v>120</v>
      </c>
      <c r="E390" s="42" t="s">
        <v>109</v>
      </c>
      <c r="F390" s="229" t="s">
        <v>113</v>
      </c>
      <c r="G390" s="230"/>
      <c r="H390" s="120"/>
      <c r="I390" s="121"/>
      <c r="J390" s="102"/>
      <c r="K390" s="120"/>
      <c r="L390" s="121"/>
      <c r="M390" s="102"/>
      <c r="N390" s="120"/>
      <c r="O390" s="121"/>
      <c r="P390" s="102"/>
      <c r="Q390" s="102"/>
      <c r="R390" s="122"/>
      <c r="S390" s="114"/>
      <c r="T390" s="103"/>
      <c r="U390" s="103"/>
      <c r="V390" s="150"/>
    </row>
    <row r="391" spans="2:24" ht="34.5" customHeight="1">
      <c r="B391" s="162" t="str">
        <f t="shared" si="3"/>
        <v>4-16</v>
      </c>
      <c r="C391" s="18" t="s">
        <v>120</v>
      </c>
      <c r="D391" s="18" t="s">
        <v>125</v>
      </c>
      <c r="E391" s="42" t="s">
        <v>109</v>
      </c>
      <c r="F391" s="229" t="s">
        <v>126</v>
      </c>
      <c r="G391" s="230"/>
      <c r="H391" s="120"/>
      <c r="I391" s="121"/>
      <c r="J391" s="102"/>
      <c r="K391" s="120"/>
      <c r="L391" s="121"/>
      <c r="M391" s="102"/>
      <c r="N391" s="120"/>
      <c r="O391" s="121"/>
      <c r="P391" s="102"/>
      <c r="Q391" s="102"/>
      <c r="R391" s="122"/>
      <c r="S391" s="114"/>
      <c r="T391" s="103"/>
      <c r="U391" s="103"/>
      <c r="V391" s="150"/>
    </row>
    <row r="392" spans="2:24" ht="34.5" customHeight="1">
      <c r="B392" s="162" t="str">
        <f t="shared" si="3"/>
        <v>4-17</v>
      </c>
      <c r="C392" s="18" t="s">
        <v>120</v>
      </c>
      <c r="D392" s="18" t="s">
        <v>120</v>
      </c>
      <c r="E392" s="42" t="s">
        <v>109</v>
      </c>
      <c r="F392" s="229" t="s">
        <v>113</v>
      </c>
      <c r="G392" s="230"/>
      <c r="H392" s="120"/>
      <c r="I392" s="121"/>
      <c r="J392" s="102"/>
      <c r="K392" s="120"/>
      <c r="L392" s="121"/>
      <c r="M392" s="102"/>
      <c r="N392" s="120"/>
      <c r="O392" s="121"/>
      <c r="P392" s="102"/>
      <c r="Q392" s="102"/>
      <c r="R392" s="122"/>
      <c r="S392" s="114"/>
      <c r="T392" s="103"/>
      <c r="U392" s="103"/>
      <c r="V392" s="150"/>
    </row>
    <row r="394" spans="2:24">
      <c r="B394" s="2" t="s">
        <v>184</v>
      </c>
      <c r="C394" s="99" t="s">
        <v>293</v>
      </c>
    </row>
    <row r="395" spans="2:24">
      <c r="B395" s="231" t="s">
        <v>4</v>
      </c>
      <c r="C395" s="233" t="s">
        <v>5</v>
      </c>
      <c r="D395" s="235" t="s">
        <v>79</v>
      </c>
      <c r="E395" s="235" t="s">
        <v>6</v>
      </c>
      <c r="F395" s="237" t="s">
        <v>7</v>
      </c>
      <c r="G395" s="238"/>
      <c r="H395" s="241" t="s">
        <v>91</v>
      </c>
      <c r="I395" s="241"/>
      <c r="J395" s="241"/>
      <c r="K395" s="241" t="s">
        <v>84</v>
      </c>
      <c r="L395" s="241"/>
      <c r="M395" s="241"/>
      <c r="N395" s="241" t="s">
        <v>85</v>
      </c>
      <c r="O395" s="241"/>
      <c r="P395" s="241"/>
      <c r="Q395" s="235" t="s">
        <v>78</v>
      </c>
      <c r="R395" s="235" t="s">
        <v>78</v>
      </c>
      <c r="S395" s="242" t="s">
        <v>14</v>
      </c>
      <c r="T395" s="242"/>
      <c r="U395" s="242"/>
    </row>
    <row r="396" spans="2:24">
      <c r="B396" s="232"/>
      <c r="C396" s="234"/>
      <c r="D396" s="236"/>
      <c r="E396" s="236"/>
      <c r="F396" s="239"/>
      <c r="G396" s="240"/>
      <c r="H396" s="149" t="s">
        <v>8</v>
      </c>
      <c r="I396" s="149" t="s">
        <v>9</v>
      </c>
      <c r="J396" s="149" t="s">
        <v>10</v>
      </c>
      <c r="K396" s="149" t="s">
        <v>8</v>
      </c>
      <c r="L396" s="149" t="s">
        <v>9</v>
      </c>
      <c r="M396" s="149" t="s">
        <v>10</v>
      </c>
      <c r="N396" s="149" t="s">
        <v>8</v>
      </c>
      <c r="O396" s="149" t="s">
        <v>9</v>
      </c>
      <c r="P396" s="149" t="s">
        <v>10</v>
      </c>
      <c r="Q396" s="234"/>
      <c r="R396" s="234"/>
      <c r="S396" s="93"/>
      <c r="T396" s="94"/>
      <c r="U396" s="95"/>
    </row>
    <row r="397" spans="2:24" ht="35.450000000000003" customHeight="1">
      <c r="B397" s="162" t="str">
        <f>"5-"&amp;ROW()-396</f>
        <v>5-1</v>
      </c>
      <c r="C397" s="42" t="s">
        <v>748</v>
      </c>
      <c r="D397" s="42" t="s">
        <v>99</v>
      </c>
      <c r="E397" s="42" t="s">
        <v>62</v>
      </c>
      <c r="F397" s="227" t="s">
        <v>447</v>
      </c>
      <c r="G397" s="228"/>
      <c r="H397" s="120"/>
      <c r="I397" s="121"/>
      <c r="J397" s="102"/>
      <c r="K397" s="120"/>
      <c r="L397" s="121"/>
      <c r="M397" s="102"/>
      <c r="N397" s="120"/>
      <c r="O397" s="121"/>
      <c r="P397" s="102"/>
      <c r="Q397" s="102"/>
      <c r="R397" s="102"/>
      <c r="S397" s="100"/>
      <c r="T397" s="103"/>
      <c r="U397" s="103"/>
    </row>
    <row r="398" spans="2:24" ht="35.450000000000003" customHeight="1">
      <c r="B398" s="162" t="str">
        <f t="shared" ref="B398:B422" si="4">"5-"&amp;ROW()-396</f>
        <v>5-2</v>
      </c>
      <c r="C398" s="100" t="s">
        <v>83</v>
      </c>
      <c r="D398" s="42" t="s">
        <v>99</v>
      </c>
      <c r="E398" s="42" t="s">
        <v>106</v>
      </c>
      <c r="F398" s="227" t="s">
        <v>92</v>
      </c>
      <c r="G398" s="228"/>
      <c r="H398" s="120"/>
      <c r="I398" s="121"/>
      <c r="J398" s="102"/>
      <c r="K398" s="120"/>
      <c r="L398" s="121"/>
      <c r="M398" s="102"/>
      <c r="N398" s="120"/>
      <c r="O398" s="121"/>
      <c r="P398" s="102"/>
      <c r="Q398" s="102"/>
      <c r="R398" s="102"/>
      <c r="S398" s="100"/>
      <c r="T398" s="103"/>
      <c r="U398" s="103"/>
    </row>
    <row r="399" spans="2:24" ht="34.5" customHeight="1">
      <c r="B399" s="162" t="str">
        <f t="shared" si="4"/>
        <v>5-3</v>
      </c>
      <c r="C399" s="100" t="s">
        <v>1082</v>
      </c>
      <c r="D399" s="42" t="s">
        <v>1083</v>
      </c>
      <c r="E399" s="42" t="s">
        <v>1084</v>
      </c>
      <c r="F399" s="227" t="s">
        <v>406</v>
      </c>
      <c r="G399" s="228"/>
      <c r="H399" s="120"/>
      <c r="I399" s="121"/>
      <c r="J399" s="102"/>
      <c r="K399" s="120"/>
      <c r="L399" s="121"/>
      <c r="M399" s="102"/>
      <c r="N399" s="155"/>
      <c r="O399" s="156"/>
      <c r="P399" s="155"/>
      <c r="Q399" s="178"/>
      <c r="R399" s="102"/>
      <c r="S399" s="100"/>
      <c r="T399" s="103"/>
      <c r="U399" s="103"/>
      <c r="V399" s="174"/>
      <c r="W399" s="174"/>
      <c r="X399" s="174"/>
    </row>
    <row r="400" spans="2:24" ht="34.5" customHeight="1">
      <c r="B400" s="162" t="str">
        <f t="shared" si="4"/>
        <v>5-4</v>
      </c>
      <c r="C400" s="100" t="s">
        <v>1082</v>
      </c>
      <c r="D400" s="42" t="s">
        <v>271</v>
      </c>
      <c r="E400" s="42" t="s">
        <v>1085</v>
      </c>
      <c r="F400" s="227" t="s">
        <v>92</v>
      </c>
      <c r="G400" s="228"/>
      <c r="H400" s="120"/>
      <c r="I400" s="121"/>
      <c r="J400" s="102"/>
      <c r="K400" s="120"/>
      <c r="L400" s="121"/>
      <c r="M400" s="102"/>
      <c r="N400" s="120"/>
      <c r="O400" s="121"/>
      <c r="P400" s="102"/>
      <c r="Q400" s="102"/>
      <c r="R400" s="102"/>
      <c r="S400" s="100"/>
      <c r="T400" s="103"/>
      <c r="U400" s="103"/>
      <c r="V400" s="174"/>
      <c r="W400" s="174"/>
      <c r="X400" s="174"/>
    </row>
    <row r="401" spans="2:24" ht="34.5" customHeight="1">
      <c r="B401" s="162" t="str">
        <f t="shared" si="4"/>
        <v>5-5</v>
      </c>
      <c r="C401" s="100" t="s">
        <v>271</v>
      </c>
      <c r="D401" s="42" t="s">
        <v>1086</v>
      </c>
      <c r="E401" s="42" t="s">
        <v>1087</v>
      </c>
      <c r="F401" s="227" t="s">
        <v>93</v>
      </c>
      <c r="G401" s="228"/>
      <c r="H401" s="120"/>
      <c r="I401" s="121"/>
      <c r="J401" s="102"/>
      <c r="K401" s="120"/>
      <c r="L401" s="121"/>
      <c r="M401" s="102"/>
      <c r="N401" s="120"/>
      <c r="O401" s="121"/>
      <c r="P401" s="102"/>
      <c r="Q401" s="102"/>
      <c r="R401" s="102"/>
      <c r="S401" s="100"/>
      <c r="T401" s="103"/>
      <c r="U401" s="103"/>
      <c r="V401" s="174"/>
      <c r="W401" s="174"/>
      <c r="X401" s="174"/>
    </row>
    <row r="402" spans="2:24" ht="54.95" customHeight="1">
      <c r="B402" s="162" t="str">
        <f t="shared" si="4"/>
        <v>5-6</v>
      </c>
      <c r="C402" s="42" t="s">
        <v>1235</v>
      </c>
      <c r="D402" s="152" t="s">
        <v>1236</v>
      </c>
      <c r="E402" s="42" t="s">
        <v>437</v>
      </c>
      <c r="F402" s="227" t="s">
        <v>1279</v>
      </c>
      <c r="G402" s="228"/>
      <c r="H402" s="155"/>
      <c r="I402" s="156"/>
      <c r="J402" s="155"/>
      <c r="K402" s="120"/>
      <c r="L402" s="121"/>
      <c r="M402" s="102"/>
      <c r="N402" s="155"/>
      <c r="O402" s="156"/>
      <c r="P402" s="155"/>
      <c r="Q402" s="102"/>
      <c r="R402" s="102"/>
      <c r="S402" s="100"/>
      <c r="T402" s="103"/>
      <c r="U402" s="103"/>
    </row>
    <row r="403" spans="2:24" ht="35.450000000000003" customHeight="1">
      <c r="B403" s="162" t="str">
        <f t="shared" si="4"/>
        <v>5-7</v>
      </c>
      <c r="C403" s="100" t="s">
        <v>83</v>
      </c>
      <c r="D403" s="42" t="s">
        <v>1237</v>
      </c>
      <c r="E403" s="42" t="s">
        <v>173</v>
      </c>
      <c r="F403" s="227" t="s">
        <v>1328</v>
      </c>
      <c r="G403" s="228"/>
      <c r="H403" s="102"/>
      <c r="I403" s="20"/>
      <c r="J403" s="102"/>
      <c r="K403" s="102"/>
      <c r="L403" s="20"/>
      <c r="M403" s="102"/>
      <c r="N403" s="102"/>
      <c r="O403" s="20"/>
      <c r="P403" s="102"/>
      <c r="Q403" s="102"/>
      <c r="R403" s="102"/>
      <c r="S403" s="100"/>
      <c r="T403" s="103"/>
      <c r="U403" s="103"/>
    </row>
    <row r="404" spans="2:24" ht="53.45" customHeight="1">
      <c r="B404" s="162" t="str">
        <f t="shared" si="4"/>
        <v>5-8</v>
      </c>
      <c r="C404" s="100" t="s">
        <v>83</v>
      </c>
      <c r="D404" s="42" t="s">
        <v>121</v>
      </c>
      <c r="E404" s="42" t="s">
        <v>173</v>
      </c>
      <c r="F404" s="227" t="s">
        <v>1328</v>
      </c>
      <c r="G404" s="228"/>
      <c r="H404" s="102"/>
      <c r="I404" s="20"/>
      <c r="J404" s="102"/>
      <c r="K404" s="102"/>
      <c r="L404" s="20"/>
      <c r="M404" s="102"/>
      <c r="N404" s="102"/>
      <c r="O404" s="20"/>
      <c r="P404" s="102"/>
      <c r="Q404" s="102"/>
      <c r="R404" s="102"/>
      <c r="S404" s="100"/>
      <c r="T404" s="103"/>
      <c r="U404" s="103"/>
    </row>
    <row r="405" spans="2:24" ht="53.45" customHeight="1">
      <c r="B405" s="162" t="str">
        <f t="shared" si="4"/>
        <v>5-9</v>
      </c>
      <c r="C405" s="100" t="s">
        <v>83</v>
      </c>
      <c r="D405" s="100" t="s">
        <v>83</v>
      </c>
      <c r="E405" s="42" t="s">
        <v>173</v>
      </c>
      <c r="F405" s="227" t="s">
        <v>1238</v>
      </c>
      <c r="G405" s="228"/>
      <c r="H405" s="120"/>
      <c r="I405" s="121"/>
      <c r="J405" s="102"/>
      <c r="K405" s="120"/>
      <c r="L405" s="121"/>
      <c r="M405" s="102"/>
      <c r="N405" s="120"/>
      <c r="O405" s="121"/>
      <c r="P405" s="102"/>
      <c r="Q405" s="178"/>
      <c r="R405" s="102"/>
      <c r="S405" s="100"/>
      <c r="T405" s="103"/>
      <c r="U405" s="103"/>
    </row>
    <row r="406" spans="2:24" ht="53.45" customHeight="1">
      <c r="B406" s="162" t="str">
        <f t="shared" si="4"/>
        <v>5-10</v>
      </c>
      <c r="C406" s="100" t="s">
        <v>83</v>
      </c>
      <c r="D406" s="100" t="s">
        <v>83</v>
      </c>
      <c r="E406" s="100" t="s">
        <v>83</v>
      </c>
      <c r="F406" s="227" t="s">
        <v>1317</v>
      </c>
      <c r="G406" s="228"/>
      <c r="H406" s="120"/>
      <c r="I406" s="121"/>
      <c r="J406" s="102"/>
      <c r="K406" s="120"/>
      <c r="L406" s="121"/>
      <c r="M406" s="102"/>
      <c r="N406" s="120"/>
      <c r="O406" s="121"/>
      <c r="P406" s="102"/>
      <c r="Q406" s="102"/>
      <c r="R406" s="102"/>
      <c r="S406" s="100"/>
      <c r="T406" s="103"/>
      <c r="U406" s="103"/>
    </row>
    <row r="407" spans="2:24" ht="35.450000000000003" customHeight="1">
      <c r="B407" s="162" t="str">
        <f t="shared" si="4"/>
        <v>5-11</v>
      </c>
      <c r="C407" s="152" t="s">
        <v>1240</v>
      </c>
      <c r="D407" s="100" t="s">
        <v>83</v>
      </c>
      <c r="E407" s="42" t="s">
        <v>132</v>
      </c>
      <c r="F407" s="227" t="s">
        <v>295</v>
      </c>
      <c r="G407" s="228"/>
      <c r="H407" s="120"/>
      <c r="I407" s="121"/>
      <c r="J407" s="102"/>
      <c r="K407" s="120"/>
      <c r="L407" s="121"/>
      <c r="M407" s="102"/>
      <c r="N407" s="120"/>
      <c r="O407" s="121"/>
      <c r="P407" s="102"/>
      <c r="Q407" s="102"/>
      <c r="R407" s="102"/>
      <c r="S407" s="100"/>
      <c r="T407" s="103"/>
      <c r="U407" s="103"/>
    </row>
    <row r="408" spans="2:24" ht="35.450000000000003" customHeight="1">
      <c r="B408" s="162" t="str">
        <f t="shared" si="4"/>
        <v>5-12</v>
      </c>
      <c r="C408" s="100" t="s">
        <v>83</v>
      </c>
      <c r="D408" s="42" t="s">
        <v>83</v>
      </c>
      <c r="E408" s="42" t="s">
        <v>296</v>
      </c>
      <c r="F408" s="243" t="s">
        <v>1243</v>
      </c>
      <c r="G408" s="228"/>
      <c r="H408" s="120"/>
      <c r="I408" s="121"/>
      <c r="J408" s="102"/>
      <c r="K408" s="155"/>
      <c r="L408" s="156"/>
      <c r="M408" s="155"/>
      <c r="N408" s="155"/>
      <c r="O408" s="156"/>
      <c r="P408" s="155"/>
      <c r="Q408" s="102"/>
      <c r="R408" s="102"/>
      <c r="S408" s="100"/>
      <c r="T408" s="103"/>
      <c r="U408" s="103"/>
    </row>
    <row r="409" spans="2:24" ht="35.450000000000003" customHeight="1">
      <c r="B409" s="162" t="str">
        <f t="shared" si="4"/>
        <v>5-13</v>
      </c>
      <c r="C409" s="152" t="s">
        <v>1239</v>
      </c>
      <c r="D409" s="100" t="s">
        <v>1248</v>
      </c>
      <c r="E409" s="42" t="s">
        <v>1241</v>
      </c>
      <c r="F409" s="243" t="s">
        <v>1242</v>
      </c>
      <c r="G409" s="228"/>
      <c r="H409" s="120"/>
      <c r="I409" s="121"/>
      <c r="J409" s="102"/>
      <c r="K409" s="120"/>
      <c r="L409" s="121"/>
      <c r="M409" s="102"/>
      <c r="N409" s="120"/>
      <c r="O409" s="121"/>
      <c r="P409" s="102"/>
      <c r="Q409" s="178"/>
      <c r="R409" s="102"/>
      <c r="S409" s="100"/>
      <c r="T409" s="103"/>
      <c r="U409" s="103"/>
    </row>
    <row r="410" spans="2:24" ht="35.450000000000003" customHeight="1">
      <c r="B410" s="162" t="str">
        <f t="shared" si="4"/>
        <v>5-14</v>
      </c>
      <c r="C410" s="100" t="s">
        <v>83</v>
      </c>
      <c r="D410" s="100" t="s">
        <v>83</v>
      </c>
      <c r="E410" s="100" t="s">
        <v>83</v>
      </c>
      <c r="F410" s="243" t="s">
        <v>1250</v>
      </c>
      <c r="G410" s="228"/>
      <c r="H410" s="120"/>
      <c r="I410" s="121"/>
      <c r="J410" s="102"/>
      <c r="K410" s="120"/>
      <c r="L410" s="121"/>
      <c r="M410" s="102"/>
      <c r="N410" s="120"/>
      <c r="O410" s="121"/>
      <c r="P410" s="102"/>
      <c r="Q410" s="102"/>
      <c r="R410" s="102"/>
      <c r="S410" s="100"/>
      <c r="T410" s="103"/>
      <c r="U410" s="103"/>
    </row>
    <row r="411" spans="2:24" ht="35.450000000000003" customHeight="1">
      <c r="B411" s="162" t="str">
        <f t="shared" si="4"/>
        <v>5-15</v>
      </c>
      <c r="C411" s="100" t="s">
        <v>83</v>
      </c>
      <c r="D411" s="100" t="s">
        <v>1249</v>
      </c>
      <c r="E411" s="42" t="s">
        <v>1241</v>
      </c>
      <c r="F411" s="243" t="s">
        <v>1242</v>
      </c>
      <c r="G411" s="228"/>
      <c r="H411" s="120"/>
      <c r="I411" s="121"/>
      <c r="J411" s="102"/>
      <c r="K411" s="120"/>
      <c r="L411" s="121"/>
      <c r="M411" s="102"/>
      <c r="N411" s="120"/>
      <c r="O411" s="121"/>
      <c r="P411" s="102"/>
      <c r="Q411" s="178"/>
      <c r="R411" s="22"/>
      <c r="S411" s="100"/>
      <c r="T411" s="103"/>
      <c r="U411" s="103"/>
    </row>
    <row r="412" spans="2:24" ht="35.450000000000003" customHeight="1">
      <c r="B412" s="162" t="str">
        <f t="shared" si="4"/>
        <v>5-16</v>
      </c>
      <c r="C412" s="100" t="s">
        <v>1244</v>
      </c>
      <c r="D412" s="42" t="s">
        <v>160</v>
      </c>
      <c r="E412" s="42" t="s">
        <v>438</v>
      </c>
      <c r="F412" s="227" t="s">
        <v>379</v>
      </c>
      <c r="G412" s="228"/>
      <c r="H412" s="155"/>
      <c r="I412" s="156"/>
      <c r="J412" s="155"/>
      <c r="K412" s="120"/>
      <c r="L412" s="121"/>
      <c r="M412" s="102"/>
      <c r="N412" s="155"/>
      <c r="O412" s="156"/>
      <c r="P412" s="155"/>
      <c r="Q412" s="102"/>
      <c r="R412" s="102"/>
      <c r="S412" s="100"/>
      <c r="T412" s="103"/>
      <c r="U412" s="103"/>
    </row>
    <row r="413" spans="2:24" ht="35.450000000000003" customHeight="1">
      <c r="B413" s="162" t="str">
        <f t="shared" si="4"/>
        <v>5-17</v>
      </c>
      <c r="C413" s="100" t="s">
        <v>83</v>
      </c>
      <c r="D413" s="42" t="s">
        <v>1245</v>
      </c>
      <c r="E413" s="42" t="s">
        <v>173</v>
      </c>
      <c r="F413" s="227" t="s">
        <v>1328</v>
      </c>
      <c r="G413" s="228"/>
      <c r="H413" s="102"/>
      <c r="I413" s="20"/>
      <c r="J413" s="102"/>
      <c r="K413" s="102"/>
      <c r="L413" s="20"/>
      <c r="M413" s="102"/>
      <c r="N413" s="102"/>
      <c r="O413" s="20"/>
      <c r="P413" s="102"/>
      <c r="Q413" s="102"/>
      <c r="R413" s="102"/>
      <c r="S413" s="100"/>
      <c r="T413" s="103"/>
      <c r="U413" s="103"/>
    </row>
    <row r="414" spans="2:24" ht="53.45" customHeight="1">
      <c r="B414" s="162" t="str">
        <f t="shared" si="4"/>
        <v>5-18</v>
      </c>
      <c r="C414" s="100" t="s">
        <v>83</v>
      </c>
      <c r="D414" s="42" t="s">
        <v>1246</v>
      </c>
      <c r="E414" s="42" t="s">
        <v>173</v>
      </c>
      <c r="F414" s="227" t="s">
        <v>1328</v>
      </c>
      <c r="G414" s="228"/>
      <c r="H414" s="102"/>
      <c r="I414" s="20"/>
      <c r="J414" s="102"/>
      <c r="K414" s="102"/>
      <c r="L414" s="20"/>
      <c r="M414" s="102"/>
      <c r="N414" s="102"/>
      <c r="O414" s="20"/>
      <c r="P414" s="102"/>
      <c r="Q414" s="102"/>
      <c r="R414" s="102"/>
      <c r="S414" s="100"/>
      <c r="T414" s="103"/>
      <c r="U414" s="103"/>
    </row>
    <row r="415" spans="2:24" ht="53.45" customHeight="1">
      <c r="B415" s="162" t="str">
        <f t="shared" si="4"/>
        <v>5-19</v>
      </c>
      <c r="C415" s="100" t="s">
        <v>83</v>
      </c>
      <c r="D415" s="100" t="s">
        <v>83</v>
      </c>
      <c r="E415" s="42" t="s">
        <v>173</v>
      </c>
      <c r="F415" s="227" t="s">
        <v>298</v>
      </c>
      <c r="G415" s="228"/>
      <c r="H415" s="120"/>
      <c r="I415" s="121"/>
      <c r="J415" s="102"/>
      <c r="K415" s="120"/>
      <c r="L415" s="121"/>
      <c r="M415" s="102"/>
      <c r="N415" s="120"/>
      <c r="O415" s="121"/>
      <c r="P415" s="102"/>
      <c r="Q415" s="178"/>
      <c r="R415" s="102"/>
      <c r="S415" s="100"/>
      <c r="T415" s="103"/>
      <c r="U415" s="103"/>
    </row>
    <row r="416" spans="2:24" ht="35.450000000000003" customHeight="1">
      <c r="B416" s="162" t="str">
        <f t="shared" si="4"/>
        <v>5-20</v>
      </c>
      <c r="C416" s="100" t="s">
        <v>1247</v>
      </c>
      <c r="D416" s="42" t="s">
        <v>160</v>
      </c>
      <c r="E416" s="42" t="s">
        <v>271</v>
      </c>
      <c r="F416" s="227" t="s">
        <v>297</v>
      </c>
      <c r="G416" s="228"/>
      <c r="H416" s="120"/>
      <c r="I416" s="121"/>
      <c r="J416" s="102"/>
      <c r="K416" s="120"/>
      <c r="L416" s="121"/>
      <c r="M416" s="102"/>
      <c r="N416" s="120"/>
      <c r="O416" s="121"/>
      <c r="P416" s="102"/>
      <c r="Q416" s="178"/>
      <c r="R416" s="102"/>
      <c r="S416" s="100"/>
      <c r="T416" s="103"/>
      <c r="U416" s="103"/>
    </row>
    <row r="417" spans="2:24" ht="34.5" customHeight="1">
      <c r="B417" s="162" t="str">
        <f t="shared" si="4"/>
        <v>5-21</v>
      </c>
      <c r="C417" s="18" t="s">
        <v>110</v>
      </c>
      <c r="D417" s="18" t="s">
        <v>111</v>
      </c>
      <c r="E417" s="42" t="s">
        <v>109</v>
      </c>
      <c r="F417" s="229" t="s">
        <v>112</v>
      </c>
      <c r="G417" s="230"/>
      <c r="H417" s="120"/>
      <c r="I417" s="121"/>
      <c r="J417" s="102"/>
      <c r="K417" s="120"/>
      <c r="L417" s="121"/>
      <c r="M417" s="102"/>
      <c r="N417" s="120"/>
      <c r="O417" s="121"/>
      <c r="P417" s="102"/>
      <c r="Q417" s="102"/>
      <c r="R417" s="122"/>
      <c r="S417" s="114"/>
      <c r="T417" s="103"/>
      <c r="U417" s="103"/>
      <c r="V417" s="150"/>
    </row>
    <row r="418" spans="2:24" ht="34.5" customHeight="1">
      <c r="B418" s="162" t="str">
        <f t="shared" si="4"/>
        <v>5-22</v>
      </c>
      <c r="C418" s="18" t="s">
        <v>120</v>
      </c>
      <c r="D418" s="18" t="s">
        <v>120</v>
      </c>
      <c r="E418" s="42" t="s">
        <v>109</v>
      </c>
      <c r="F418" s="229" t="s">
        <v>113</v>
      </c>
      <c r="G418" s="230"/>
      <c r="H418" s="120"/>
      <c r="I418" s="121"/>
      <c r="J418" s="102"/>
      <c r="K418" s="120"/>
      <c r="L418" s="121"/>
      <c r="M418" s="102"/>
      <c r="N418" s="120"/>
      <c r="O418" s="121"/>
      <c r="P418" s="102"/>
      <c r="Q418" s="102"/>
      <c r="R418" s="122"/>
      <c r="S418" s="114"/>
      <c r="T418" s="103"/>
      <c r="U418" s="103"/>
      <c r="V418" s="150"/>
    </row>
    <row r="419" spans="2:24" ht="34.5" customHeight="1">
      <c r="B419" s="162" t="str">
        <f t="shared" si="4"/>
        <v>5-23</v>
      </c>
      <c r="C419" s="18" t="s">
        <v>120</v>
      </c>
      <c r="D419" s="18" t="s">
        <v>123</v>
      </c>
      <c r="E419" s="42" t="s">
        <v>109</v>
      </c>
      <c r="F419" s="229" t="s">
        <v>124</v>
      </c>
      <c r="G419" s="230"/>
      <c r="H419" s="120"/>
      <c r="I419" s="121"/>
      <c r="J419" s="102"/>
      <c r="K419" s="120"/>
      <c r="L419" s="121"/>
      <c r="M419" s="102"/>
      <c r="N419" s="120"/>
      <c r="O419" s="121"/>
      <c r="P419" s="102"/>
      <c r="Q419" s="102"/>
      <c r="R419" s="122"/>
      <c r="S419" s="114"/>
      <c r="T419" s="103"/>
      <c r="U419" s="103"/>
      <c r="V419" s="150"/>
    </row>
    <row r="420" spans="2:24" ht="34.5" customHeight="1">
      <c r="B420" s="162" t="str">
        <f t="shared" si="4"/>
        <v>5-24</v>
      </c>
      <c r="C420" s="18" t="s">
        <v>120</v>
      </c>
      <c r="D420" s="18" t="s">
        <v>120</v>
      </c>
      <c r="E420" s="42" t="s">
        <v>109</v>
      </c>
      <c r="F420" s="229" t="s">
        <v>113</v>
      </c>
      <c r="G420" s="230"/>
      <c r="H420" s="120"/>
      <c r="I420" s="121"/>
      <c r="J420" s="102"/>
      <c r="K420" s="120"/>
      <c r="L420" s="121"/>
      <c r="M420" s="102"/>
      <c r="N420" s="120"/>
      <c r="O420" s="121"/>
      <c r="P420" s="102"/>
      <c r="Q420" s="102"/>
      <c r="R420" s="122"/>
      <c r="S420" s="114"/>
      <c r="T420" s="103"/>
      <c r="U420" s="103"/>
      <c r="V420" s="150"/>
    </row>
    <row r="421" spans="2:24" ht="34.5" customHeight="1">
      <c r="B421" s="162" t="str">
        <f t="shared" si="4"/>
        <v>5-25</v>
      </c>
      <c r="C421" s="18" t="s">
        <v>120</v>
      </c>
      <c r="D421" s="18" t="s">
        <v>125</v>
      </c>
      <c r="E421" s="42" t="s">
        <v>109</v>
      </c>
      <c r="F421" s="229" t="s">
        <v>126</v>
      </c>
      <c r="G421" s="230"/>
      <c r="H421" s="120"/>
      <c r="I421" s="121"/>
      <c r="J421" s="102"/>
      <c r="K421" s="120"/>
      <c r="L421" s="121"/>
      <c r="M421" s="102"/>
      <c r="N421" s="120"/>
      <c r="O421" s="121"/>
      <c r="P421" s="102"/>
      <c r="Q421" s="102"/>
      <c r="R421" s="122"/>
      <c r="S421" s="114"/>
      <c r="T421" s="103"/>
      <c r="U421" s="103"/>
      <c r="V421" s="150"/>
    </row>
    <row r="422" spans="2:24" ht="34.5" customHeight="1">
      <c r="B422" s="162" t="str">
        <f t="shared" si="4"/>
        <v>5-26</v>
      </c>
      <c r="C422" s="18" t="s">
        <v>120</v>
      </c>
      <c r="D422" s="18" t="s">
        <v>120</v>
      </c>
      <c r="E422" s="42" t="s">
        <v>109</v>
      </c>
      <c r="F422" s="229" t="s">
        <v>113</v>
      </c>
      <c r="G422" s="230"/>
      <c r="H422" s="120"/>
      <c r="I422" s="121"/>
      <c r="J422" s="102"/>
      <c r="K422" s="120"/>
      <c r="L422" s="121"/>
      <c r="M422" s="102"/>
      <c r="N422" s="120"/>
      <c r="O422" s="121"/>
      <c r="P422" s="102"/>
      <c r="Q422" s="102"/>
      <c r="R422" s="122"/>
      <c r="S422" s="114"/>
      <c r="T422" s="103"/>
      <c r="U422" s="103"/>
      <c r="V422" s="150"/>
    </row>
    <row r="424" spans="2:24">
      <c r="B424" s="2" t="s">
        <v>301</v>
      </c>
      <c r="C424" s="99" t="s">
        <v>731</v>
      </c>
    </row>
    <row r="425" spans="2:24" ht="13.5" customHeight="1">
      <c r="B425" s="231" t="s">
        <v>4</v>
      </c>
      <c r="C425" s="233" t="s">
        <v>5</v>
      </c>
      <c r="D425" s="235" t="s">
        <v>79</v>
      </c>
      <c r="E425" s="235" t="s">
        <v>6</v>
      </c>
      <c r="F425" s="237" t="s">
        <v>7</v>
      </c>
      <c r="G425" s="238"/>
      <c r="H425" s="241" t="s">
        <v>91</v>
      </c>
      <c r="I425" s="241"/>
      <c r="J425" s="241"/>
      <c r="K425" s="241" t="s">
        <v>84</v>
      </c>
      <c r="L425" s="241"/>
      <c r="M425" s="241"/>
      <c r="N425" s="241" t="s">
        <v>85</v>
      </c>
      <c r="O425" s="241"/>
      <c r="P425" s="241"/>
      <c r="Q425" s="235" t="s">
        <v>1253</v>
      </c>
      <c r="R425" s="235" t="s">
        <v>78</v>
      </c>
      <c r="S425" s="242" t="s">
        <v>14</v>
      </c>
      <c r="T425" s="242"/>
      <c r="U425" s="242"/>
    </row>
    <row r="426" spans="2:24">
      <c r="B426" s="232"/>
      <c r="C426" s="234"/>
      <c r="D426" s="236"/>
      <c r="E426" s="236"/>
      <c r="F426" s="239"/>
      <c r="G426" s="240"/>
      <c r="H426" s="149" t="s">
        <v>8</v>
      </c>
      <c r="I426" s="149" t="s">
        <v>9</v>
      </c>
      <c r="J426" s="149" t="s">
        <v>10</v>
      </c>
      <c r="K426" s="149" t="s">
        <v>8</v>
      </c>
      <c r="L426" s="149" t="s">
        <v>9</v>
      </c>
      <c r="M426" s="149" t="s">
        <v>10</v>
      </c>
      <c r="N426" s="149" t="s">
        <v>8</v>
      </c>
      <c r="O426" s="149" t="s">
        <v>9</v>
      </c>
      <c r="P426" s="149" t="s">
        <v>10</v>
      </c>
      <c r="Q426" s="234"/>
      <c r="R426" s="234"/>
      <c r="S426" s="93"/>
      <c r="T426" s="94"/>
      <c r="U426" s="95"/>
    </row>
    <row r="427" spans="2:24" ht="35.450000000000003" customHeight="1">
      <c r="B427" s="162" t="str">
        <f>"6-"&amp;ROW()-426</f>
        <v>6-1</v>
      </c>
      <c r="C427" s="42" t="s">
        <v>749</v>
      </c>
      <c r="D427" s="42" t="s">
        <v>99</v>
      </c>
      <c r="E427" s="42" t="s">
        <v>62</v>
      </c>
      <c r="F427" s="227" t="s">
        <v>732</v>
      </c>
      <c r="G427" s="228"/>
      <c r="H427" s="120"/>
      <c r="I427" s="121"/>
      <c r="J427" s="102"/>
      <c r="K427" s="120"/>
      <c r="L427" s="121"/>
      <c r="M427" s="102"/>
      <c r="N427" s="120"/>
      <c r="O427" s="121"/>
      <c r="P427" s="102"/>
      <c r="Q427" s="178"/>
      <c r="R427" s="102"/>
      <c r="S427" s="100"/>
      <c r="T427" s="103"/>
      <c r="U427" s="103"/>
    </row>
    <row r="428" spans="2:24" ht="35.450000000000003" customHeight="1">
      <c r="B428" s="162" t="str">
        <f t="shared" ref="B428:B445" si="5">"6-"&amp;ROW()-426</f>
        <v>6-2</v>
      </c>
      <c r="C428" s="100" t="s">
        <v>83</v>
      </c>
      <c r="D428" s="42" t="s">
        <v>99</v>
      </c>
      <c r="E428" s="42" t="s">
        <v>106</v>
      </c>
      <c r="F428" s="227" t="s">
        <v>92</v>
      </c>
      <c r="G428" s="228"/>
      <c r="H428" s="120"/>
      <c r="I428" s="121"/>
      <c r="J428" s="102"/>
      <c r="K428" s="120"/>
      <c r="L428" s="121"/>
      <c r="M428" s="102"/>
      <c r="N428" s="120"/>
      <c r="O428" s="121"/>
      <c r="P428" s="102"/>
      <c r="Q428" s="178"/>
      <c r="R428" s="102"/>
      <c r="S428" s="100"/>
      <c r="T428" s="103"/>
      <c r="U428" s="103"/>
    </row>
    <row r="429" spans="2:24" ht="34.5" customHeight="1">
      <c r="B429" s="162" t="str">
        <f t="shared" si="5"/>
        <v>6-3</v>
      </c>
      <c r="C429" s="100" t="s">
        <v>1082</v>
      </c>
      <c r="D429" s="42" t="s">
        <v>1083</v>
      </c>
      <c r="E429" s="42" t="s">
        <v>1084</v>
      </c>
      <c r="F429" s="227" t="s">
        <v>406</v>
      </c>
      <c r="G429" s="228"/>
      <c r="H429" s="120"/>
      <c r="I429" s="121"/>
      <c r="J429" s="102"/>
      <c r="K429" s="120"/>
      <c r="L429" s="121"/>
      <c r="M429" s="102"/>
      <c r="N429" s="155"/>
      <c r="O429" s="156"/>
      <c r="P429" s="155"/>
      <c r="Q429" s="178"/>
      <c r="R429" s="178"/>
      <c r="S429" s="100"/>
      <c r="T429" s="103"/>
      <c r="U429" s="103"/>
      <c r="V429" s="174"/>
      <c r="W429" s="174"/>
      <c r="X429" s="174"/>
    </row>
    <row r="430" spans="2:24" ht="50.25" customHeight="1">
      <c r="B430" s="162" t="str">
        <f t="shared" si="5"/>
        <v>6-4</v>
      </c>
      <c r="C430" s="100" t="s">
        <v>1082</v>
      </c>
      <c r="D430" s="42" t="s">
        <v>271</v>
      </c>
      <c r="E430" s="42" t="s">
        <v>1085</v>
      </c>
      <c r="F430" s="227" t="s">
        <v>92</v>
      </c>
      <c r="G430" s="228"/>
      <c r="H430" s="120"/>
      <c r="I430" s="121"/>
      <c r="J430" s="102"/>
      <c r="K430" s="120"/>
      <c r="L430" s="121"/>
      <c r="M430" s="102"/>
      <c r="N430" s="120"/>
      <c r="O430" s="121"/>
      <c r="P430" s="102"/>
      <c r="Q430" s="178"/>
      <c r="R430" s="178"/>
      <c r="S430" s="100"/>
      <c r="T430" s="103"/>
      <c r="U430" s="103"/>
      <c r="V430" s="174"/>
      <c r="W430" s="174"/>
      <c r="X430" s="174"/>
    </row>
    <row r="431" spans="2:24" ht="34.5" customHeight="1">
      <c r="B431" s="162" t="str">
        <f t="shared" si="5"/>
        <v>6-5</v>
      </c>
      <c r="C431" s="100" t="s">
        <v>271</v>
      </c>
      <c r="D431" s="42" t="s">
        <v>1086</v>
      </c>
      <c r="E431" s="42" t="s">
        <v>1087</v>
      </c>
      <c r="F431" s="227" t="s">
        <v>93</v>
      </c>
      <c r="G431" s="228"/>
      <c r="H431" s="120"/>
      <c r="I431" s="121"/>
      <c r="J431" s="102"/>
      <c r="K431" s="120"/>
      <c r="L431" s="121"/>
      <c r="M431" s="102"/>
      <c r="N431" s="120"/>
      <c r="O431" s="121"/>
      <c r="P431" s="102"/>
      <c r="Q431" s="178"/>
      <c r="R431" s="102"/>
      <c r="S431" s="100"/>
      <c r="T431" s="103"/>
      <c r="U431" s="103"/>
      <c r="V431" s="174"/>
      <c r="W431" s="174"/>
      <c r="X431" s="174"/>
    </row>
    <row r="432" spans="2:24" ht="58.5" customHeight="1">
      <c r="B432" s="162" t="str">
        <f t="shared" si="5"/>
        <v>6-6</v>
      </c>
      <c r="C432" s="100" t="s">
        <v>302</v>
      </c>
      <c r="D432" s="42" t="s">
        <v>271</v>
      </c>
      <c r="E432" s="42" t="s">
        <v>134</v>
      </c>
      <c r="F432" s="227" t="s">
        <v>1290</v>
      </c>
      <c r="G432" s="228"/>
      <c r="H432" s="120"/>
      <c r="I432" s="121"/>
      <c r="J432" s="102"/>
      <c r="K432" s="120"/>
      <c r="L432" s="121"/>
      <c r="M432" s="102"/>
      <c r="N432" s="120"/>
      <c r="O432" s="121"/>
      <c r="P432" s="102"/>
      <c r="Q432" s="178"/>
      <c r="R432" s="102"/>
      <c r="S432" s="100"/>
      <c r="T432" s="103"/>
      <c r="U432" s="103"/>
    </row>
    <row r="433" spans="2:22" ht="50.25" customHeight="1">
      <c r="B433" s="162" t="str">
        <f t="shared" si="5"/>
        <v>6-7</v>
      </c>
      <c r="C433" s="100" t="s">
        <v>271</v>
      </c>
      <c r="D433" s="42" t="s">
        <v>382</v>
      </c>
      <c r="E433" s="42" t="s">
        <v>305</v>
      </c>
      <c r="F433" s="227" t="s">
        <v>764</v>
      </c>
      <c r="G433" s="228"/>
      <c r="H433" s="120"/>
      <c r="I433" s="121"/>
      <c r="J433" s="102"/>
      <c r="K433" s="155"/>
      <c r="L433" s="156"/>
      <c r="M433" s="155"/>
      <c r="N433" s="155"/>
      <c r="O433" s="156"/>
      <c r="P433" s="155"/>
      <c r="Q433" s="102"/>
      <c r="R433" s="102"/>
      <c r="S433" s="100"/>
      <c r="T433" s="103"/>
      <c r="U433" s="103"/>
    </row>
    <row r="434" spans="2:22" ht="43.5" customHeight="1">
      <c r="B434" s="162" t="str">
        <f t="shared" si="5"/>
        <v>6-8</v>
      </c>
      <c r="C434" s="100" t="s">
        <v>179</v>
      </c>
      <c r="D434" s="42" t="s">
        <v>160</v>
      </c>
      <c r="E434" s="42" t="s">
        <v>271</v>
      </c>
      <c r="F434" s="227" t="s">
        <v>303</v>
      </c>
      <c r="G434" s="228"/>
      <c r="H434" s="120"/>
      <c r="I434" s="121"/>
      <c r="J434" s="102"/>
      <c r="K434" s="120"/>
      <c r="L434" s="121"/>
      <c r="M434" s="102"/>
      <c r="N434" s="120"/>
      <c r="O434" s="121"/>
      <c r="P434" s="102"/>
      <c r="Q434" s="178"/>
      <c r="R434" s="102"/>
      <c r="S434" s="100"/>
      <c r="T434" s="103"/>
      <c r="U434" s="103"/>
    </row>
    <row r="435" spans="2:22" ht="54.75" customHeight="1">
      <c r="B435" s="162" t="str">
        <f t="shared" si="5"/>
        <v>6-9</v>
      </c>
      <c r="C435" s="100" t="s">
        <v>180</v>
      </c>
      <c r="D435" s="42" t="s">
        <v>160</v>
      </c>
      <c r="E435" s="42" t="s">
        <v>271</v>
      </c>
      <c r="F435" s="227" t="s">
        <v>304</v>
      </c>
      <c r="G435" s="228"/>
      <c r="H435" s="120"/>
      <c r="I435" s="121"/>
      <c r="J435" s="102"/>
      <c r="K435" s="120"/>
      <c r="L435" s="121"/>
      <c r="M435" s="102"/>
      <c r="N435" s="120"/>
      <c r="O435" s="121"/>
      <c r="P435" s="102"/>
      <c r="Q435" s="178"/>
      <c r="R435" s="102"/>
      <c r="S435" s="100"/>
      <c r="T435" s="103"/>
      <c r="U435" s="103"/>
    </row>
    <row r="436" spans="2:22" ht="35.450000000000003" customHeight="1">
      <c r="B436" s="162" t="str">
        <f t="shared" si="5"/>
        <v>6-10</v>
      </c>
      <c r="C436" s="100" t="s">
        <v>274</v>
      </c>
      <c r="D436" s="42" t="s">
        <v>160</v>
      </c>
      <c r="E436" s="42" t="s">
        <v>271</v>
      </c>
      <c r="F436" s="227" t="s">
        <v>733</v>
      </c>
      <c r="G436" s="228"/>
      <c r="H436" s="120"/>
      <c r="I436" s="121"/>
      <c r="J436" s="102"/>
      <c r="K436" s="120"/>
      <c r="L436" s="121"/>
      <c r="M436" s="102"/>
      <c r="N436" s="120"/>
      <c r="O436" s="121"/>
      <c r="P436" s="102"/>
      <c r="Q436" s="178"/>
      <c r="R436" s="102"/>
      <c r="S436" s="100"/>
      <c r="T436" s="103"/>
      <c r="U436" s="103"/>
    </row>
    <row r="437" spans="2:22" ht="43.5" customHeight="1">
      <c r="B437" s="162" t="str">
        <f t="shared" si="5"/>
        <v>6-11</v>
      </c>
      <c r="C437" s="100" t="s">
        <v>83</v>
      </c>
      <c r="D437" s="42" t="s">
        <v>99</v>
      </c>
      <c r="E437" s="42" t="s">
        <v>271</v>
      </c>
      <c r="F437" s="227" t="s">
        <v>288</v>
      </c>
      <c r="G437" s="228"/>
      <c r="H437" s="120"/>
      <c r="I437" s="121"/>
      <c r="J437" s="102"/>
      <c r="K437" s="120"/>
      <c r="L437" s="121"/>
      <c r="M437" s="102"/>
      <c r="N437" s="120"/>
      <c r="O437" s="121"/>
      <c r="P437" s="102"/>
      <c r="Q437" s="178"/>
      <c r="R437" s="102"/>
      <c r="S437" s="100"/>
      <c r="T437" s="103"/>
      <c r="U437" s="103"/>
    </row>
    <row r="438" spans="2:22" ht="43.5" customHeight="1">
      <c r="B438" s="162" t="str">
        <f t="shared" si="5"/>
        <v>6-12</v>
      </c>
      <c r="C438" s="100" t="s">
        <v>276</v>
      </c>
      <c r="D438" s="42" t="s">
        <v>160</v>
      </c>
      <c r="E438" s="42" t="s">
        <v>271</v>
      </c>
      <c r="F438" s="227" t="s">
        <v>733</v>
      </c>
      <c r="G438" s="228"/>
      <c r="H438" s="120"/>
      <c r="I438" s="121"/>
      <c r="J438" s="102"/>
      <c r="K438" s="120"/>
      <c r="L438" s="121"/>
      <c r="M438" s="102"/>
      <c r="N438" s="120"/>
      <c r="O438" s="121"/>
      <c r="P438" s="102"/>
      <c r="Q438" s="178"/>
      <c r="R438" s="102"/>
      <c r="S438" s="100"/>
      <c r="T438" s="103"/>
      <c r="U438" s="103"/>
    </row>
    <row r="439" spans="2:22" ht="70.5" customHeight="1">
      <c r="B439" s="162" t="str">
        <f t="shared" si="5"/>
        <v>6-13</v>
      </c>
      <c r="C439" s="100" t="s">
        <v>83</v>
      </c>
      <c r="D439" s="42" t="s">
        <v>99</v>
      </c>
      <c r="E439" s="42" t="s">
        <v>271</v>
      </c>
      <c r="F439" s="227" t="s">
        <v>287</v>
      </c>
      <c r="G439" s="228"/>
      <c r="H439" s="120"/>
      <c r="I439" s="121"/>
      <c r="J439" s="102"/>
      <c r="K439" s="120"/>
      <c r="L439" s="121"/>
      <c r="M439" s="102"/>
      <c r="N439" s="120"/>
      <c r="O439" s="121"/>
      <c r="P439" s="102"/>
      <c r="Q439" s="178"/>
      <c r="R439" s="102"/>
      <c r="S439" s="100"/>
      <c r="T439" s="103"/>
      <c r="U439" s="103"/>
    </row>
    <row r="440" spans="2:22" ht="34.5" customHeight="1">
      <c r="B440" s="162" t="str">
        <f t="shared" si="5"/>
        <v>6-14</v>
      </c>
      <c r="C440" s="18" t="s">
        <v>110</v>
      </c>
      <c r="D440" s="18" t="s">
        <v>111</v>
      </c>
      <c r="E440" s="42" t="s">
        <v>109</v>
      </c>
      <c r="F440" s="229" t="s">
        <v>112</v>
      </c>
      <c r="G440" s="230"/>
      <c r="H440" s="120"/>
      <c r="I440" s="121"/>
      <c r="J440" s="102"/>
      <c r="K440" s="120"/>
      <c r="L440" s="121"/>
      <c r="M440" s="102"/>
      <c r="N440" s="120"/>
      <c r="O440" s="121"/>
      <c r="P440" s="102"/>
      <c r="Q440" s="102"/>
      <c r="R440" s="122"/>
      <c r="S440" s="114"/>
      <c r="T440" s="103"/>
      <c r="U440" s="103"/>
      <c r="V440" s="150"/>
    </row>
    <row r="441" spans="2:22" ht="34.5" customHeight="1">
      <c r="B441" s="162" t="str">
        <f t="shared" si="5"/>
        <v>6-15</v>
      </c>
      <c r="C441" s="18" t="s">
        <v>120</v>
      </c>
      <c r="D441" s="18" t="s">
        <v>120</v>
      </c>
      <c r="E441" s="42" t="s">
        <v>109</v>
      </c>
      <c r="F441" s="229" t="s">
        <v>113</v>
      </c>
      <c r="G441" s="230"/>
      <c r="H441" s="120"/>
      <c r="I441" s="121"/>
      <c r="J441" s="102"/>
      <c r="K441" s="120"/>
      <c r="L441" s="121"/>
      <c r="M441" s="102"/>
      <c r="N441" s="120"/>
      <c r="O441" s="121"/>
      <c r="P441" s="102"/>
      <c r="Q441" s="102"/>
      <c r="R441" s="122"/>
      <c r="S441" s="114"/>
      <c r="T441" s="103"/>
      <c r="U441" s="103"/>
      <c r="V441" s="150"/>
    </row>
    <row r="442" spans="2:22" ht="34.5" customHeight="1">
      <c r="B442" s="162" t="str">
        <f t="shared" si="5"/>
        <v>6-16</v>
      </c>
      <c r="C442" s="18" t="s">
        <v>120</v>
      </c>
      <c r="D442" s="18" t="s">
        <v>123</v>
      </c>
      <c r="E442" s="42" t="s">
        <v>109</v>
      </c>
      <c r="F442" s="229" t="s">
        <v>124</v>
      </c>
      <c r="G442" s="230"/>
      <c r="H442" s="120"/>
      <c r="I442" s="121"/>
      <c r="J442" s="102"/>
      <c r="K442" s="120"/>
      <c r="L442" s="121"/>
      <c r="M442" s="102"/>
      <c r="N442" s="120"/>
      <c r="O442" s="121"/>
      <c r="P442" s="102"/>
      <c r="Q442" s="102"/>
      <c r="R442" s="122"/>
      <c r="S442" s="114"/>
      <c r="T442" s="103"/>
      <c r="U442" s="103"/>
      <c r="V442" s="150"/>
    </row>
    <row r="443" spans="2:22" ht="34.5" customHeight="1">
      <c r="B443" s="162" t="str">
        <f t="shared" si="5"/>
        <v>6-17</v>
      </c>
      <c r="C443" s="18" t="s">
        <v>120</v>
      </c>
      <c r="D443" s="18" t="s">
        <v>120</v>
      </c>
      <c r="E443" s="42" t="s">
        <v>109</v>
      </c>
      <c r="F443" s="229" t="s">
        <v>113</v>
      </c>
      <c r="G443" s="230"/>
      <c r="H443" s="120"/>
      <c r="I443" s="121"/>
      <c r="J443" s="102"/>
      <c r="K443" s="120"/>
      <c r="L443" s="121"/>
      <c r="M443" s="102"/>
      <c r="N443" s="120"/>
      <c r="O443" s="121"/>
      <c r="P443" s="102"/>
      <c r="Q443" s="102"/>
      <c r="R443" s="122"/>
      <c r="S443" s="114"/>
      <c r="T443" s="103"/>
      <c r="U443" s="103"/>
      <c r="V443" s="150"/>
    </row>
    <row r="444" spans="2:22" ht="34.5" customHeight="1">
      <c r="B444" s="162" t="str">
        <f t="shared" si="5"/>
        <v>6-18</v>
      </c>
      <c r="C444" s="18" t="s">
        <v>120</v>
      </c>
      <c r="D444" s="18" t="s">
        <v>125</v>
      </c>
      <c r="E444" s="42" t="s">
        <v>109</v>
      </c>
      <c r="F444" s="229" t="s">
        <v>126</v>
      </c>
      <c r="G444" s="230"/>
      <c r="H444" s="120"/>
      <c r="I444" s="121"/>
      <c r="J444" s="102"/>
      <c r="K444" s="120"/>
      <c r="L444" s="121"/>
      <c r="M444" s="102"/>
      <c r="N444" s="120"/>
      <c r="O444" s="121"/>
      <c r="P444" s="102"/>
      <c r="Q444" s="102"/>
      <c r="R444" s="122"/>
      <c r="S444" s="114"/>
      <c r="T444" s="103"/>
      <c r="U444" s="103"/>
      <c r="V444" s="150"/>
    </row>
    <row r="445" spans="2:22" ht="34.5" customHeight="1">
      <c r="B445" s="162" t="str">
        <f t="shared" si="5"/>
        <v>6-19</v>
      </c>
      <c r="C445" s="18" t="s">
        <v>120</v>
      </c>
      <c r="D445" s="18" t="s">
        <v>120</v>
      </c>
      <c r="E445" s="42" t="s">
        <v>109</v>
      </c>
      <c r="F445" s="229" t="s">
        <v>113</v>
      </c>
      <c r="G445" s="230"/>
      <c r="H445" s="120"/>
      <c r="I445" s="121"/>
      <c r="J445" s="102"/>
      <c r="K445" s="120"/>
      <c r="L445" s="121"/>
      <c r="M445" s="102"/>
      <c r="N445" s="120"/>
      <c r="O445" s="121"/>
      <c r="P445" s="102"/>
      <c r="Q445" s="102"/>
      <c r="R445" s="122"/>
      <c r="S445" s="114"/>
      <c r="T445" s="103"/>
      <c r="U445" s="103"/>
      <c r="V445" s="150"/>
    </row>
    <row r="447" spans="2:22">
      <c r="B447" s="2" t="s">
        <v>310</v>
      </c>
      <c r="C447" s="99" t="s">
        <v>311</v>
      </c>
    </row>
    <row r="448" spans="2:22" ht="13.5" customHeight="1">
      <c r="B448" s="231" t="s">
        <v>4</v>
      </c>
      <c r="C448" s="233" t="s">
        <v>5</v>
      </c>
      <c r="D448" s="235" t="s">
        <v>79</v>
      </c>
      <c r="E448" s="235" t="s">
        <v>6</v>
      </c>
      <c r="F448" s="237" t="s">
        <v>7</v>
      </c>
      <c r="G448" s="238"/>
      <c r="H448" s="241" t="s">
        <v>91</v>
      </c>
      <c r="I448" s="241"/>
      <c r="J448" s="241"/>
      <c r="K448" s="241" t="s">
        <v>84</v>
      </c>
      <c r="L448" s="241"/>
      <c r="M448" s="241"/>
      <c r="N448" s="241" t="s">
        <v>85</v>
      </c>
      <c r="O448" s="241"/>
      <c r="P448" s="241"/>
      <c r="Q448" s="235" t="s">
        <v>1253</v>
      </c>
      <c r="R448" s="235" t="s">
        <v>78</v>
      </c>
      <c r="S448" s="242" t="s">
        <v>14</v>
      </c>
      <c r="T448" s="242"/>
      <c r="U448" s="242"/>
    </row>
    <row r="449" spans="2:24">
      <c r="B449" s="232"/>
      <c r="C449" s="234"/>
      <c r="D449" s="236"/>
      <c r="E449" s="236"/>
      <c r="F449" s="239"/>
      <c r="G449" s="240"/>
      <c r="H449" s="149" t="s">
        <v>8</v>
      </c>
      <c r="I449" s="149" t="s">
        <v>9</v>
      </c>
      <c r="J449" s="149" t="s">
        <v>10</v>
      </c>
      <c r="K449" s="149" t="s">
        <v>8</v>
      </c>
      <c r="L449" s="149" t="s">
        <v>9</v>
      </c>
      <c r="M449" s="149" t="s">
        <v>10</v>
      </c>
      <c r="N449" s="149" t="s">
        <v>8</v>
      </c>
      <c r="O449" s="149" t="s">
        <v>9</v>
      </c>
      <c r="P449" s="149" t="s">
        <v>10</v>
      </c>
      <c r="Q449" s="234"/>
      <c r="R449" s="234"/>
      <c r="S449" s="93"/>
      <c r="T449" s="94"/>
      <c r="U449" s="95"/>
    </row>
    <row r="450" spans="2:24" ht="35.450000000000003" customHeight="1">
      <c r="B450" s="162" t="str">
        <f>"7-"&amp;ROW()-449</f>
        <v>7-1</v>
      </c>
      <c r="C450" s="42" t="s">
        <v>750</v>
      </c>
      <c r="D450" s="42" t="s">
        <v>99</v>
      </c>
      <c r="E450" s="42" t="s">
        <v>62</v>
      </c>
      <c r="F450" s="227" t="s">
        <v>448</v>
      </c>
      <c r="G450" s="228"/>
      <c r="H450" s="120"/>
      <c r="I450" s="121"/>
      <c r="J450" s="102"/>
      <c r="K450" s="120"/>
      <c r="L450" s="121"/>
      <c r="M450" s="102"/>
      <c r="N450" s="120"/>
      <c r="O450" s="121"/>
      <c r="P450" s="102"/>
      <c r="Q450" s="102"/>
      <c r="R450" s="102"/>
      <c r="S450" s="100"/>
      <c r="T450" s="103"/>
      <c r="U450" s="103"/>
    </row>
    <row r="451" spans="2:24" ht="35.450000000000003" customHeight="1">
      <c r="B451" s="162" t="str">
        <f t="shared" ref="B451:B514" si="6">"7-"&amp;ROW()-449</f>
        <v>7-2</v>
      </c>
      <c r="C451" s="100" t="s">
        <v>83</v>
      </c>
      <c r="D451" s="42" t="s">
        <v>99</v>
      </c>
      <c r="E451" s="42" t="s">
        <v>106</v>
      </c>
      <c r="F451" s="227" t="s">
        <v>92</v>
      </c>
      <c r="G451" s="228"/>
      <c r="H451" s="120"/>
      <c r="I451" s="121"/>
      <c r="J451" s="102"/>
      <c r="K451" s="120"/>
      <c r="L451" s="121"/>
      <c r="M451" s="102"/>
      <c r="N451" s="120"/>
      <c r="O451" s="121"/>
      <c r="P451" s="102"/>
      <c r="Q451" s="102"/>
      <c r="R451" s="102"/>
      <c r="S451" s="100"/>
      <c r="T451" s="103"/>
      <c r="U451" s="103"/>
    </row>
    <row r="452" spans="2:24" ht="34.5" customHeight="1">
      <c r="B452" s="162" t="str">
        <f t="shared" si="6"/>
        <v>7-3</v>
      </c>
      <c r="C452" s="100" t="s">
        <v>1082</v>
      </c>
      <c r="D452" s="42" t="s">
        <v>1083</v>
      </c>
      <c r="E452" s="42" t="s">
        <v>1084</v>
      </c>
      <c r="F452" s="227" t="s">
        <v>406</v>
      </c>
      <c r="G452" s="228"/>
      <c r="H452" s="120"/>
      <c r="I452" s="121"/>
      <c r="J452" s="102"/>
      <c r="K452" s="120"/>
      <c r="L452" s="121"/>
      <c r="M452" s="102"/>
      <c r="N452" s="155"/>
      <c r="O452" s="156"/>
      <c r="P452" s="155"/>
      <c r="Q452" s="178"/>
      <c r="R452" s="102"/>
      <c r="S452" s="100"/>
      <c r="T452" s="103"/>
      <c r="U452" s="103"/>
      <c r="V452" s="174"/>
      <c r="W452" s="174"/>
      <c r="X452" s="174"/>
    </row>
    <row r="453" spans="2:24" ht="54.75" customHeight="1">
      <c r="B453" s="162" t="str">
        <f t="shared" si="6"/>
        <v>7-4</v>
      </c>
      <c r="C453" s="100" t="s">
        <v>1082</v>
      </c>
      <c r="D453" s="42" t="s">
        <v>271</v>
      </c>
      <c r="E453" s="42" t="s">
        <v>1085</v>
      </c>
      <c r="F453" s="227" t="s">
        <v>92</v>
      </c>
      <c r="G453" s="228"/>
      <c r="H453" s="120"/>
      <c r="I453" s="121"/>
      <c r="J453" s="102"/>
      <c r="K453" s="120"/>
      <c r="L453" s="121"/>
      <c r="M453" s="102"/>
      <c r="N453" s="120"/>
      <c r="O453" s="121"/>
      <c r="P453" s="102"/>
      <c r="Q453" s="102"/>
      <c r="R453" s="178"/>
      <c r="S453" s="100"/>
      <c r="T453" s="103"/>
      <c r="U453" s="103"/>
      <c r="V453" s="174"/>
      <c r="W453" s="174"/>
      <c r="X453" s="174"/>
    </row>
    <row r="454" spans="2:24" ht="34.5" customHeight="1">
      <c r="B454" s="162" t="str">
        <f t="shared" si="6"/>
        <v>7-5</v>
      </c>
      <c r="C454" s="100" t="s">
        <v>271</v>
      </c>
      <c r="D454" s="42" t="s">
        <v>1086</v>
      </c>
      <c r="E454" s="42" t="s">
        <v>1087</v>
      </c>
      <c r="F454" s="227" t="s">
        <v>93</v>
      </c>
      <c r="G454" s="228"/>
      <c r="H454" s="120"/>
      <c r="I454" s="121"/>
      <c r="J454" s="102"/>
      <c r="K454" s="120"/>
      <c r="L454" s="121"/>
      <c r="M454" s="102"/>
      <c r="N454" s="120"/>
      <c r="O454" s="121"/>
      <c r="P454" s="102"/>
      <c r="Q454" s="102"/>
      <c r="R454" s="102"/>
      <c r="S454" s="100"/>
      <c r="T454" s="103"/>
      <c r="U454" s="103"/>
      <c r="V454" s="174"/>
      <c r="W454" s="174"/>
      <c r="X454" s="174"/>
    </row>
    <row r="455" spans="2:24" ht="35.450000000000003" customHeight="1">
      <c r="B455" s="162" t="str">
        <f t="shared" si="6"/>
        <v>7-6</v>
      </c>
      <c r="C455" s="100" t="s">
        <v>178</v>
      </c>
      <c r="D455" s="42" t="s">
        <v>312</v>
      </c>
      <c r="E455" s="42" t="s">
        <v>134</v>
      </c>
      <c r="F455" s="227" t="s">
        <v>295</v>
      </c>
      <c r="G455" s="228"/>
      <c r="H455" s="120"/>
      <c r="I455" s="121"/>
      <c r="J455" s="102"/>
      <c r="K455" s="120"/>
      <c r="L455" s="121"/>
      <c r="M455" s="102"/>
      <c r="N455" s="120"/>
      <c r="O455" s="121"/>
      <c r="P455" s="102"/>
      <c r="Q455" s="102"/>
      <c r="R455" s="102"/>
      <c r="S455" s="100"/>
      <c r="T455" s="103"/>
      <c r="U455" s="103"/>
    </row>
    <row r="456" spans="2:24" ht="35.450000000000003" customHeight="1">
      <c r="B456" s="162" t="str">
        <f t="shared" si="6"/>
        <v>7-7</v>
      </c>
      <c r="C456" s="100" t="s">
        <v>271</v>
      </c>
      <c r="D456" s="42"/>
      <c r="E456" s="42" t="s">
        <v>162</v>
      </c>
      <c r="F456" s="243" t="s">
        <v>317</v>
      </c>
      <c r="G456" s="228"/>
      <c r="H456" s="120"/>
      <c r="I456" s="121"/>
      <c r="J456" s="102"/>
      <c r="K456" s="155"/>
      <c r="L456" s="156"/>
      <c r="M456" s="155"/>
      <c r="N456" s="155"/>
      <c r="O456" s="156"/>
      <c r="P456" s="155"/>
      <c r="Q456" s="102"/>
      <c r="R456" s="102"/>
      <c r="S456" s="100"/>
      <c r="T456" s="103"/>
      <c r="U456" s="103"/>
    </row>
    <row r="457" spans="2:24" ht="35.450000000000003" customHeight="1">
      <c r="B457" s="162" t="str">
        <f t="shared" si="6"/>
        <v>7-8</v>
      </c>
      <c r="C457" s="100" t="s">
        <v>271</v>
      </c>
      <c r="D457" s="42" t="s">
        <v>271</v>
      </c>
      <c r="E457" s="42" t="s">
        <v>365</v>
      </c>
      <c r="F457" s="227" t="s">
        <v>1323</v>
      </c>
      <c r="G457" s="228"/>
      <c r="H457" s="120"/>
      <c r="I457" s="121"/>
      <c r="J457" s="102"/>
      <c r="K457" s="120"/>
      <c r="L457" s="121"/>
      <c r="M457" s="102"/>
      <c r="N457" s="120"/>
      <c r="O457" s="121"/>
      <c r="P457" s="102"/>
      <c r="Q457" s="102"/>
      <c r="R457" s="102"/>
      <c r="S457" s="100"/>
      <c r="T457" s="103"/>
      <c r="U457" s="103"/>
    </row>
    <row r="458" spans="2:24" ht="35.450000000000003" customHeight="1">
      <c r="B458" s="162" t="str">
        <f t="shared" si="6"/>
        <v>7-9</v>
      </c>
      <c r="C458" s="100" t="s">
        <v>271</v>
      </c>
      <c r="D458" s="42" t="s">
        <v>313</v>
      </c>
      <c r="E458" s="42" t="s">
        <v>134</v>
      </c>
      <c r="F458" s="227" t="s">
        <v>295</v>
      </c>
      <c r="G458" s="228"/>
      <c r="H458" s="120"/>
      <c r="I458" s="121"/>
      <c r="J458" s="102"/>
      <c r="K458" s="120"/>
      <c r="L458" s="121"/>
      <c r="M458" s="102"/>
      <c r="N458" s="120"/>
      <c r="O458" s="121"/>
      <c r="P458" s="102"/>
      <c r="Q458" s="102"/>
      <c r="R458" s="102"/>
      <c r="S458" s="100"/>
      <c r="T458" s="103"/>
      <c r="U458" s="103"/>
    </row>
    <row r="459" spans="2:24" ht="35.450000000000003" customHeight="1">
      <c r="B459" s="162" t="str">
        <f t="shared" si="6"/>
        <v>7-10</v>
      </c>
      <c r="C459" s="100" t="s">
        <v>271</v>
      </c>
      <c r="D459" s="42" t="s">
        <v>271</v>
      </c>
      <c r="E459" s="42" t="s">
        <v>296</v>
      </c>
      <c r="F459" s="243" t="s">
        <v>316</v>
      </c>
      <c r="G459" s="228"/>
      <c r="H459" s="120"/>
      <c r="I459" s="121"/>
      <c r="J459" s="102"/>
      <c r="K459" s="155"/>
      <c r="L459" s="156"/>
      <c r="M459" s="155"/>
      <c r="N459" s="155"/>
      <c r="O459" s="156"/>
      <c r="P459" s="155"/>
      <c r="Q459" s="102"/>
      <c r="R459" s="102"/>
      <c r="S459" s="100"/>
      <c r="T459" s="103"/>
      <c r="U459" s="103"/>
    </row>
    <row r="460" spans="2:24" ht="35.450000000000003" customHeight="1">
      <c r="B460" s="162" t="str">
        <f t="shared" si="6"/>
        <v>7-11</v>
      </c>
      <c r="C460" s="100" t="s">
        <v>271</v>
      </c>
      <c r="D460" s="42" t="s">
        <v>271</v>
      </c>
      <c r="E460" s="42" t="s">
        <v>162</v>
      </c>
      <c r="F460" s="243" t="s">
        <v>317</v>
      </c>
      <c r="G460" s="228"/>
      <c r="H460" s="120"/>
      <c r="I460" s="121"/>
      <c r="J460" s="102"/>
      <c r="K460" s="155"/>
      <c r="L460" s="156"/>
      <c r="M460" s="155"/>
      <c r="N460" s="155"/>
      <c r="O460" s="156"/>
      <c r="P460" s="155"/>
      <c r="Q460" s="102"/>
      <c r="R460" s="102"/>
      <c r="S460" s="100"/>
      <c r="T460" s="103"/>
      <c r="U460" s="103"/>
    </row>
    <row r="461" spans="2:24" ht="35.450000000000003" customHeight="1">
      <c r="B461" s="162" t="str">
        <f t="shared" si="6"/>
        <v>7-12</v>
      </c>
      <c r="C461" s="100" t="s">
        <v>271</v>
      </c>
      <c r="D461" s="42" t="s">
        <v>271</v>
      </c>
      <c r="E461" s="42" t="s">
        <v>365</v>
      </c>
      <c r="F461" s="227" t="s">
        <v>1322</v>
      </c>
      <c r="G461" s="228"/>
      <c r="H461" s="120"/>
      <c r="I461" s="121"/>
      <c r="J461" s="102"/>
      <c r="K461" s="120"/>
      <c r="L461" s="121"/>
      <c r="M461" s="102"/>
      <c r="N461" s="120"/>
      <c r="O461" s="121"/>
      <c r="P461" s="102"/>
      <c r="Q461" s="102"/>
      <c r="R461" s="102"/>
      <c r="S461" s="100"/>
      <c r="T461" s="103"/>
      <c r="U461" s="103"/>
    </row>
    <row r="462" spans="2:24" ht="35.450000000000003" customHeight="1">
      <c r="B462" s="162" t="str">
        <f t="shared" si="6"/>
        <v>7-13</v>
      </c>
      <c r="C462" s="100" t="s">
        <v>271</v>
      </c>
      <c r="D462" s="42" t="s">
        <v>314</v>
      </c>
      <c r="E462" s="42" t="s">
        <v>134</v>
      </c>
      <c r="F462" s="227" t="s">
        <v>295</v>
      </c>
      <c r="G462" s="228"/>
      <c r="H462" s="120"/>
      <c r="I462" s="121"/>
      <c r="J462" s="102"/>
      <c r="K462" s="120"/>
      <c r="L462" s="121"/>
      <c r="M462" s="102"/>
      <c r="N462" s="120"/>
      <c r="O462" s="121"/>
      <c r="P462" s="102"/>
      <c r="Q462" s="102"/>
      <c r="R462" s="102"/>
      <c r="S462" s="100"/>
      <c r="T462" s="103"/>
      <c r="U462" s="103"/>
    </row>
    <row r="463" spans="2:24" ht="35.450000000000003" customHeight="1">
      <c r="B463" s="162" t="str">
        <f t="shared" si="6"/>
        <v>7-14</v>
      </c>
      <c r="C463" s="100" t="s">
        <v>271</v>
      </c>
      <c r="D463" s="42" t="s">
        <v>271</v>
      </c>
      <c r="E463" s="42" t="s">
        <v>364</v>
      </c>
      <c r="F463" s="227" t="s">
        <v>182</v>
      </c>
      <c r="G463" s="228"/>
      <c r="H463" s="120"/>
      <c r="I463" s="121"/>
      <c r="J463" s="102"/>
      <c r="K463" s="120"/>
      <c r="L463" s="121"/>
      <c r="M463" s="102"/>
      <c r="N463" s="120"/>
      <c r="O463" s="121"/>
      <c r="P463" s="102"/>
      <c r="Q463" s="102"/>
      <c r="R463" s="102"/>
      <c r="S463" s="100"/>
      <c r="T463" s="103"/>
      <c r="U463" s="103"/>
    </row>
    <row r="464" spans="2:24" ht="35.450000000000003" customHeight="1">
      <c r="B464" s="162" t="str">
        <f t="shared" si="6"/>
        <v>7-15</v>
      </c>
      <c r="C464" s="100" t="s">
        <v>271</v>
      </c>
      <c r="D464" s="42" t="s">
        <v>271</v>
      </c>
      <c r="E464" s="42" t="s">
        <v>365</v>
      </c>
      <c r="F464" s="227" t="s">
        <v>1088</v>
      </c>
      <c r="G464" s="228"/>
      <c r="H464" s="120"/>
      <c r="I464" s="121"/>
      <c r="J464" s="102"/>
      <c r="K464" s="120"/>
      <c r="L464" s="121"/>
      <c r="M464" s="102"/>
      <c r="N464" s="120"/>
      <c r="O464" s="121"/>
      <c r="P464" s="102"/>
      <c r="Q464" s="102"/>
      <c r="R464" s="102"/>
      <c r="S464" s="100"/>
      <c r="T464" s="103"/>
      <c r="U464" s="103"/>
    </row>
    <row r="465" spans="2:21" ht="35.450000000000003" customHeight="1">
      <c r="B465" s="162" t="str">
        <f t="shared" si="6"/>
        <v>7-16</v>
      </c>
      <c r="C465" s="100" t="s">
        <v>271</v>
      </c>
      <c r="D465" s="42" t="s">
        <v>315</v>
      </c>
      <c r="E465" s="42" t="s">
        <v>134</v>
      </c>
      <c r="F465" s="227" t="s">
        <v>295</v>
      </c>
      <c r="G465" s="228"/>
      <c r="H465" s="120"/>
      <c r="I465" s="121"/>
      <c r="J465" s="102"/>
      <c r="K465" s="120"/>
      <c r="L465" s="121"/>
      <c r="M465" s="102"/>
      <c r="N465" s="120"/>
      <c r="O465" s="121"/>
      <c r="P465" s="102"/>
      <c r="Q465" s="102"/>
      <c r="R465" s="102"/>
      <c r="S465" s="100"/>
      <c r="T465" s="103"/>
      <c r="U465" s="103"/>
    </row>
    <row r="466" spans="2:21" ht="35.450000000000003" customHeight="1">
      <c r="B466" s="162" t="str">
        <f t="shared" si="6"/>
        <v>7-17</v>
      </c>
      <c r="C466" s="100" t="s">
        <v>271</v>
      </c>
      <c r="D466" s="42" t="s">
        <v>271</v>
      </c>
      <c r="E466" s="42" t="s">
        <v>364</v>
      </c>
      <c r="F466" s="227" t="s">
        <v>182</v>
      </c>
      <c r="G466" s="228"/>
      <c r="H466" s="120"/>
      <c r="I466" s="121"/>
      <c r="J466" s="102"/>
      <c r="K466" s="120"/>
      <c r="L466" s="121"/>
      <c r="M466" s="102"/>
      <c r="N466" s="120"/>
      <c r="O466" s="121"/>
      <c r="P466" s="102"/>
      <c r="Q466" s="102"/>
      <c r="R466" s="102"/>
      <c r="S466" s="100"/>
      <c r="T466" s="103"/>
      <c r="U466" s="103"/>
    </row>
    <row r="467" spans="2:21" ht="35.450000000000003" customHeight="1">
      <c r="B467" s="162" t="str">
        <f t="shared" si="6"/>
        <v>7-18</v>
      </c>
      <c r="C467" s="100" t="s">
        <v>271</v>
      </c>
      <c r="D467" s="42" t="s">
        <v>271</v>
      </c>
      <c r="E467" s="42" t="s">
        <v>365</v>
      </c>
      <c r="F467" s="227" t="s">
        <v>1088</v>
      </c>
      <c r="G467" s="228"/>
      <c r="H467" s="120"/>
      <c r="I467" s="121"/>
      <c r="J467" s="102"/>
      <c r="K467" s="120"/>
      <c r="L467" s="121"/>
      <c r="M467" s="102"/>
      <c r="N467" s="120"/>
      <c r="O467" s="121"/>
      <c r="P467" s="102"/>
      <c r="Q467" s="102"/>
      <c r="R467" s="102"/>
      <c r="S467" s="100"/>
      <c r="T467" s="103"/>
      <c r="U467" s="103"/>
    </row>
    <row r="468" spans="2:21" ht="35.450000000000003" customHeight="1">
      <c r="B468" s="162" t="str">
        <f t="shared" si="6"/>
        <v>7-19</v>
      </c>
      <c r="C468" s="100" t="s">
        <v>271</v>
      </c>
      <c r="D468" s="42" t="s">
        <v>422</v>
      </c>
      <c r="E468" s="42" t="s">
        <v>437</v>
      </c>
      <c r="F468" s="227" t="s">
        <v>318</v>
      </c>
      <c r="G468" s="228"/>
      <c r="H468" s="155"/>
      <c r="I468" s="156"/>
      <c r="J468" s="155"/>
      <c r="K468" s="120"/>
      <c r="L468" s="121"/>
      <c r="M468" s="102"/>
      <c r="N468" s="155"/>
      <c r="O468" s="156"/>
      <c r="P468" s="155"/>
      <c r="Q468" s="102"/>
      <c r="R468" s="102"/>
      <c r="S468" s="100"/>
      <c r="T468" s="103"/>
      <c r="U468" s="103"/>
    </row>
    <row r="469" spans="2:21" ht="35.450000000000003" customHeight="1">
      <c r="B469" s="162" t="str">
        <f t="shared" si="6"/>
        <v>7-20</v>
      </c>
      <c r="C469" s="100" t="s">
        <v>271</v>
      </c>
      <c r="D469" s="42" t="s">
        <v>412</v>
      </c>
      <c r="E469" s="42" t="s">
        <v>173</v>
      </c>
      <c r="F469" s="227" t="s">
        <v>319</v>
      </c>
      <c r="G469" s="228"/>
      <c r="H469" s="120"/>
      <c r="I469" s="121"/>
      <c r="J469" s="102"/>
      <c r="K469" s="120"/>
      <c r="L469" s="121"/>
      <c r="M469" s="102"/>
      <c r="N469" s="120"/>
      <c r="O469" s="121"/>
      <c r="P469" s="102"/>
      <c r="Q469" s="102"/>
      <c r="R469" s="102"/>
      <c r="S469" s="100"/>
      <c r="T469" s="103"/>
      <c r="U469" s="103"/>
    </row>
    <row r="470" spans="2:21" ht="35.450000000000003" customHeight="1">
      <c r="B470" s="162" t="str">
        <f t="shared" si="6"/>
        <v>7-21</v>
      </c>
      <c r="C470" s="100" t="s">
        <v>271</v>
      </c>
      <c r="D470" s="42" t="s">
        <v>415</v>
      </c>
      <c r="E470" s="42" t="s">
        <v>320</v>
      </c>
      <c r="F470" s="227" t="s">
        <v>295</v>
      </c>
      <c r="G470" s="228"/>
      <c r="H470" s="120"/>
      <c r="I470" s="121"/>
      <c r="J470" s="102"/>
      <c r="K470" s="155"/>
      <c r="L470" s="156"/>
      <c r="M470" s="155"/>
      <c r="N470" s="155"/>
      <c r="O470" s="156"/>
      <c r="P470" s="155"/>
      <c r="Q470" s="102"/>
      <c r="R470" s="102"/>
      <c r="S470" s="100"/>
      <c r="T470" s="103"/>
      <c r="U470" s="103"/>
    </row>
    <row r="471" spans="2:21" ht="35.450000000000003" customHeight="1">
      <c r="B471" s="162" t="str">
        <f t="shared" si="6"/>
        <v>7-22</v>
      </c>
      <c r="C471" s="100" t="s">
        <v>271</v>
      </c>
      <c r="D471" s="42" t="s">
        <v>271</v>
      </c>
      <c r="E471" s="42" t="s">
        <v>321</v>
      </c>
      <c r="F471" s="227" t="s">
        <v>295</v>
      </c>
      <c r="G471" s="228"/>
      <c r="H471" s="120"/>
      <c r="I471" s="121"/>
      <c r="J471" s="102"/>
      <c r="K471" s="155"/>
      <c r="L471" s="156"/>
      <c r="M471" s="155"/>
      <c r="N471" s="155"/>
      <c r="O471" s="156"/>
      <c r="P471" s="155"/>
      <c r="Q471" s="102"/>
      <c r="R471" s="102"/>
      <c r="S471" s="100"/>
      <c r="T471" s="103"/>
      <c r="U471" s="103"/>
    </row>
    <row r="472" spans="2:21" ht="35.450000000000003" customHeight="1">
      <c r="B472" s="162" t="str">
        <f t="shared" si="6"/>
        <v>7-23</v>
      </c>
      <c r="C472" s="100" t="s">
        <v>271</v>
      </c>
      <c r="D472" s="42" t="s">
        <v>271</v>
      </c>
      <c r="E472" s="42" t="s">
        <v>314</v>
      </c>
      <c r="F472" s="227" t="s">
        <v>295</v>
      </c>
      <c r="G472" s="228"/>
      <c r="H472" s="120"/>
      <c r="I472" s="121"/>
      <c r="J472" s="102"/>
      <c r="K472" s="155"/>
      <c r="L472" s="156"/>
      <c r="M472" s="155"/>
      <c r="N472" s="155"/>
      <c r="O472" s="156"/>
      <c r="P472" s="155"/>
      <c r="Q472" s="102"/>
      <c r="R472" s="102"/>
      <c r="S472" s="100"/>
      <c r="T472" s="103"/>
      <c r="U472" s="103"/>
    </row>
    <row r="473" spans="2:21" ht="35.450000000000003" customHeight="1">
      <c r="B473" s="162" t="str">
        <f t="shared" si="6"/>
        <v>7-24</v>
      </c>
      <c r="C473" s="100" t="s">
        <v>271</v>
      </c>
      <c r="D473" s="42" t="s">
        <v>271</v>
      </c>
      <c r="E473" s="42" t="s">
        <v>315</v>
      </c>
      <c r="F473" s="227" t="s">
        <v>295</v>
      </c>
      <c r="G473" s="228"/>
      <c r="H473" s="120"/>
      <c r="I473" s="121"/>
      <c r="J473" s="102"/>
      <c r="K473" s="155"/>
      <c r="L473" s="156"/>
      <c r="M473" s="155"/>
      <c r="N473" s="155"/>
      <c r="O473" s="156"/>
      <c r="P473" s="155"/>
      <c r="Q473" s="102"/>
      <c r="R473" s="102"/>
      <c r="S473" s="100"/>
      <c r="T473" s="103"/>
      <c r="U473" s="103"/>
    </row>
    <row r="474" spans="2:21" ht="50.25" customHeight="1">
      <c r="B474" s="162" t="str">
        <f t="shared" si="6"/>
        <v>7-25</v>
      </c>
      <c r="C474" s="100" t="s">
        <v>271</v>
      </c>
      <c r="D474" s="42" t="s">
        <v>271</v>
      </c>
      <c r="E474" s="42" t="s">
        <v>324</v>
      </c>
      <c r="F474" s="227" t="s">
        <v>1304</v>
      </c>
      <c r="G474" s="228"/>
      <c r="H474" s="102"/>
      <c r="I474" s="121"/>
      <c r="J474" s="102"/>
      <c r="K474" s="155"/>
      <c r="L474" s="156"/>
      <c r="M474" s="155"/>
      <c r="N474" s="155"/>
      <c r="O474" s="156"/>
      <c r="P474" s="155"/>
      <c r="Q474" s="178"/>
      <c r="R474" s="102"/>
      <c r="S474" s="100"/>
      <c r="T474" s="103"/>
      <c r="U474" s="103"/>
    </row>
    <row r="475" spans="2:21" ht="35.450000000000003" customHeight="1">
      <c r="B475" s="162" t="str">
        <f t="shared" si="6"/>
        <v>7-26</v>
      </c>
      <c r="C475" s="100" t="s">
        <v>271</v>
      </c>
      <c r="D475" s="42" t="s">
        <v>236</v>
      </c>
      <c r="E475" s="42" t="s">
        <v>134</v>
      </c>
      <c r="F475" s="227" t="s">
        <v>107</v>
      </c>
      <c r="G475" s="228"/>
      <c r="H475" s="120"/>
      <c r="I475" s="121"/>
      <c r="J475" s="102"/>
      <c r="K475" s="120"/>
      <c r="L475" s="121"/>
      <c r="M475" s="102"/>
      <c r="N475" s="120"/>
      <c r="O475" s="121"/>
      <c r="P475" s="102"/>
      <c r="Q475" s="102"/>
      <c r="R475" s="102"/>
      <c r="S475" s="100"/>
      <c r="T475" s="103"/>
      <c r="U475" s="103"/>
    </row>
    <row r="476" spans="2:21" ht="35.450000000000003" customHeight="1">
      <c r="B476" s="162" t="str">
        <f t="shared" si="6"/>
        <v>7-27</v>
      </c>
      <c r="C476" s="100" t="s">
        <v>271</v>
      </c>
      <c r="D476" s="42" t="s">
        <v>423</v>
      </c>
      <c r="E476" s="42" t="s">
        <v>325</v>
      </c>
      <c r="F476" s="227" t="s">
        <v>326</v>
      </c>
      <c r="G476" s="228"/>
      <c r="H476" s="120"/>
      <c r="I476" s="121"/>
      <c r="J476" s="102"/>
      <c r="K476" s="120"/>
      <c r="L476" s="121"/>
      <c r="M476" s="102"/>
      <c r="N476" s="120"/>
      <c r="O476" s="121"/>
      <c r="P476" s="102"/>
      <c r="Q476" s="102"/>
      <c r="R476" s="102"/>
      <c r="S476" s="100"/>
      <c r="T476" s="103"/>
      <c r="U476" s="103"/>
    </row>
    <row r="477" spans="2:21" ht="35.450000000000003" customHeight="1">
      <c r="B477" s="162" t="str">
        <f t="shared" si="6"/>
        <v>7-28</v>
      </c>
      <c r="C477" s="100" t="s">
        <v>271</v>
      </c>
      <c r="D477" s="42" t="s">
        <v>424</v>
      </c>
      <c r="E477" s="42" t="s">
        <v>325</v>
      </c>
      <c r="F477" s="227" t="s">
        <v>107</v>
      </c>
      <c r="G477" s="228"/>
      <c r="H477" s="120"/>
      <c r="I477" s="121"/>
      <c r="J477" s="102"/>
      <c r="K477" s="120"/>
      <c r="L477" s="121"/>
      <c r="M477" s="102"/>
      <c r="N477" s="120"/>
      <c r="O477" s="121"/>
      <c r="P477" s="102"/>
      <c r="Q477" s="102"/>
      <c r="R477" s="102"/>
      <c r="S477" s="100"/>
      <c r="T477" s="103"/>
      <c r="U477" s="103"/>
    </row>
    <row r="478" spans="2:21" ht="35.450000000000003" customHeight="1">
      <c r="B478" s="162" t="str">
        <f t="shared" si="6"/>
        <v>7-29</v>
      </c>
      <c r="C478" s="100" t="s">
        <v>271</v>
      </c>
      <c r="D478" s="42" t="s">
        <v>425</v>
      </c>
      <c r="E478" s="42" t="s">
        <v>438</v>
      </c>
      <c r="F478" s="227" t="s">
        <v>318</v>
      </c>
      <c r="G478" s="228"/>
      <c r="H478" s="155"/>
      <c r="I478" s="156"/>
      <c r="J478" s="155"/>
      <c r="K478" s="120"/>
      <c r="L478" s="121"/>
      <c r="M478" s="102"/>
      <c r="N478" s="155"/>
      <c r="O478" s="156"/>
      <c r="P478" s="155"/>
      <c r="Q478" s="102"/>
      <c r="R478" s="102"/>
      <c r="S478" s="100"/>
      <c r="T478" s="103"/>
      <c r="U478" s="103"/>
    </row>
    <row r="479" spans="2:21" ht="35.450000000000003" customHeight="1">
      <c r="B479" s="162" t="str">
        <f t="shared" si="6"/>
        <v>7-30</v>
      </c>
      <c r="C479" s="100" t="s">
        <v>271</v>
      </c>
      <c r="D479" s="42" t="s">
        <v>271</v>
      </c>
      <c r="E479" s="42" t="s">
        <v>324</v>
      </c>
      <c r="F479" s="227" t="s">
        <v>322</v>
      </c>
      <c r="G479" s="228"/>
      <c r="H479" s="120"/>
      <c r="I479" s="121"/>
      <c r="J479" s="102"/>
      <c r="K479" s="155"/>
      <c r="L479" s="156"/>
      <c r="M479" s="155"/>
      <c r="N479" s="155"/>
      <c r="O479" s="156"/>
      <c r="P479" s="155"/>
      <c r="Q479" s="102"/>
      <c r="R479" s="102"/>
      <c r="S479" s="100"/>
      <c r="T479" s="103"/>
      <c r="U479" s="103"/>
    </row>
    <row r="480" spans="2:21" ht="35.450000000000003" customHeight="1">
      <c r="B480" s="162" t="str">
        <f t="shared" si="6"/>
        <v>7-31</v>
      </c>
      <c r="C480" s="100" t="s">
        <v>271</v>
      </c>
      <c r="D480" s="42" t="s">
        <v>426</v>
      </c>
      <c r="E480" s="42" t="s">
        <v>325</v>
      </c>
      <c r="F480" s="227" t="s">
        <v>107</v>
      </c>
      <c r="G480" s="228"/>
      <c r="H480" s="120"/>
      <c r="I480" s="121"/>
      <c r="J480" s="102"/>
      <c r="K480" s="120"/>
      <c r="L480" s="121"/>
      <c r="M480" s="102"/>
      <c r="N480" s="120"/>
      <c r="O480" s="121"/>
      <c r="P480" s="102"/>
      <c r="Q480" s="102"/>
      <c r="R480" s="102"/>
      <c r="S480" s="100"/>
      <c r="T480" s="103"/>
      <c r="U480" s="103"/>
    </row>
    <row r="481" spans="2:22" ht="35.450000000000003" customHeight="1">
      <c r="B481" s="162" t="str">
        <f t="shared" si="6"/>
        <v>7-32</v>
      </c>
      <c r="C481" s="100" t="s">
        <v>271</v>
      </c>
      <c r="D481" s="42" t="s">
        <v>427</v>
      </c>
      <c r="E481" s="42" t="s">
        <v>325</v>
      </c>
      <c r="F481" s="227" t="s">
        <v>326</v>
      </c>
      <c r="G481" s="228"/>
      <c r="H481" s="120"/>
      <c r="I481" s="121"/>
      <c r="J481" s="102"/>
      <c r="K481" s="120"/>
      <c r="L481" s="121"/>
      <c r="M481" s="102"/>
      <c r="N481" s="120"/>
      <c r="O481" s="121"/>
      <c r="P481" s="102"/>
      <c r="Q481" s="102"/>
      <c r="R481" s="102"/>
      <c r="S481" s="100"/>
      <c r="T481" s="103"/>
      <c r="U481" s="103"/>
    </row>
    <row r="482" spans="2:22" ht="35.450000000000003" customHeight="1">
      <c r="B482" s="162" t="str">
        <f t="shared" si="6"/>
        <v>7-33</v>
      </c>
      <c r="C482" s="100" t="s">
        <v>271</v>
      </c>
      <c r="D482" s="42" t="s">
        <v>425</v>
      </c>
      <c r="E482" s="42" t="s">
        <v>439</v>
      </c>
      <c r="F482" s="227" t="s">
        <v>318</v>
      </c>
      <c r="G482" s="228"/>
      <c r="H482" s="155"/>
      <c r="I482" s="156"/>
      <c r="J482" s="155"/>
      <c r="K482" s="120"/>
      <c r="L482" s="121"/>
      <c r="M482" s="102"/>
      <c r="N482" s="155"/>
      <c r="O482" s="156"/>
      <c r="P482" s="155"/>
      <c r="Q482" s="102"/>
      <c r="R482" s="102"/>
      <c r="S482" s="100"/>
      <c r="T482" s="103"/>
      <c r="U482" s="103"/>
    </row>
    <row r="483" spans="2:22" ht="35.450000000000003" customHeight="1">
      <c r="B483" s="162" t="str">
        <f t="shared" si="6"/>
        <v>7-34</v>
      </c>
      <c r="C483" s="100" t="s">
        <v>271</v>
      </c>
      <c r="D483" s="42" t="s">
        <v>271</v>
      </c>
      <c r="E483" s="42" t="s">
        <v>324</v>
      </c>
      <c r="F483" s="227" t="s">
        <v>322</v>
      </c>
      <c r="G483" s="228"/>
      <c r="H483" s="120"/>
      <c r="I483" s="121"/>
      <c r="J483" s="102"/>
      <c r="K483" s="120"/>
      <c r="L483" s="121"/>
      <c r="M483" s="102"/>
      <c r="N483" s="120"/>
      <c r="O483" s="121"/>
      <c r="P483" s="102"/>
      <c r="Q483" s="102"/>
      <c r="R483" s="102"/>
      <c r="S483" s="100"/>
      <c r="T483" s="103"/>
      <c r="U483" s="103"/>
    </row>
    <row r="484" spans="2:22" ht="35.450000000000003" customHeight="1">
      <c r="B484" s="162" t="str">
        <f t="shared" si="6"/>
        <v>7-35</v>
      </c>
      <c r="C484" s="100" t="s">
        <v>323</v>
      </c>
      <c r="D484" s="42" t="s">
        <v>245</v>
      </c>
      <c r="E484" s="42" t="s">
        <v>327</v>
      </c>
      <c r="F484" s="227" t="s">
        <v>227</v>
      </c>
      <c r="G484" s="228"/>
      <c r="H484" s="120"/>
      <c r="I484" s="121"/>
      <c r="J484" s="102"/>
      <c r="K484" s="120"/>
      <c r="L484" s="121"/>
      <c r="M484" s="102"/>
      <c r="N484" s="120"/>
      <c r="O484" s="121"/>
      <c r="P484" s="102"/>
      <c r="Q484" s="102"/>
      <c r="R484" s="102"/>
      <c r="S484" s="100"/>
      <c r="T484" s="103"/>
      <c r="U484" s="103"/>
    </row>
    <row r="485" spans="2:22" ht="50.25" customHeight="1">
      <c r="B485" s="162" t="str">
        <f t="shared" si="6"/>
        <v>7-36</v>
      </c>
      <c r="C485" s="100" t="s">
        <v>271</v>
      </c>
      <c r="D485" s="42" t="s">
        <v>408</v>
      </c>
      <c r="E485" s="42" t="s">
        <v>328</v>
      </c>
      <c r="F485" s="227" t="s">
        <v>329</v>
      </c>
      <c r="G485" s="228"/>
      <c r="H485" s="120"/>
      <c r="I485" s="121"/>
      <c r="J485" s="102"/>
      <c r="K485" s="120"/>
      <c r="L485" s="121"/>
      <c r="M485" s="102"/>
      <c r="N485" s="120"/>
      <c r="O485" s="121"/>
      <c r="P485" s="102"/>
      <c r="Q485" s="178"/>
      <c r="R485" s="178"/>
      <c r="S485" s="100"/>
      <c r="T485" s="103"/>
      <c r="U485" s="103"/>
    </row>
    <row r="486" spans="2:22" ht="35.450000000000003" customHeight="1">
      <c r="B486" s="162" t="str">
        <f t="shared" si="6"/>
        <v>7-37</v>
      </c>
      <c r="C486" s="100" t="s">
        <v>271</v>
      </c>
      <c r="D486" s="42" t="s">
        <v>271</v>
      </c>
      <c r="E486" s="42" t="s">
        <v>331</v>
      </c>
      <c r="F486" s="227" t="s">
        <v>326</v>
      </c>
      <c r="G486" s="228"/>
      <c r="H486" s="120"/>
      <c r="I486" s="121"/>
      <c r="J486" s="102"/>
      <c r="K486" s="120"/>
      <c r="L486" s="121"/>
      <c r="M486" s="102"/>
      <c r="N486" s="120"/>
      <c r="O486" s="121"/>
      <c r="P486" s="102"/>
      <c r="Q486" s="102"/>
      <c r="R486" s="102"/>
      <c r="S486" s="100"/>
      <c r="T486" s="103"/>
      <c r="U486" s="103"/>
    </row>
    <row r="487" spans="2:22" ht="55.5" customHeight="1">
      <c r="B487" s="162" t="str">
        <f t="shared" si="6"/>
        <v>7-38</v>
      </c>
      <c r="C487" s="100" t="s">
        <v>271</v>
      </c>
      <c r="D487" s="42" t="s">
        <v>409</v>
      </c>
      <c r="E487" s="42" t="s">
        <v>328</v>
      </c>
      <c r="F487" s="227" t="s">
        <v>330</v>
      </c>
      <c r="G487" s="228"/>
      <c r="H487" s="120"/>
      <c r="I487" s="121"/>
      <c r="J487" s="102"/>
      <c r="K487" s="120"/>
      <c r="L487" s="121"/>
      <c r="M487" s="102"/>
      <c r="N487" s="120"/>
      <c r="O487" s="121"/>
      <c r="P487" s="102"/>
      <c r="Q487" s="178"/>
      <c r="R487" s="178"/>
      <c r="S487" s="100"/>
      <c r="T487" s="103"/>
      <c r="U487" s="103"/>
    </row>
    <row r="488" spans="2:22" ht="35.450000000000003" customHeight="1">
      <c r="B488" s="162" t="str">
        <f t="shared" si="6"/>
        <v>7-39</v>
      </c>
      <c r="C488" s="100" t="s">
        <v>83</v>
      </c>
      <c r="D488" s="42" t="s">
        <v>83</v>
      </c>
      <c r="E488" s="42" t="s">
        <v>331</v>
      </c>
      <c r="F488" s="227" t="s">
        <v>107</v>
      </c>
      <c r="G488" s="228"/>
      <c r="H488" s="120"/>
      <c r="I488" s="121"/>
      <c r="J488" s="102"/>
      <c r="K488" s="120"/>
      <c r="L488" s="121"/>
      <c r="M488" s="102"/>
      <c r="N488" s="120"/>
      <c r="O488" s="121"/>
      <c r="P488" s="102"/>
      <c r="Q488" s="102"/>
      <c r="R488" s="102"/>
      <c r="S488" s="100"/>
      <c r="T488" s="103"/>
      <c r="U488" s="103"/>
    </row>
    <row r="489" spans="2:22" ht="45" customHeight="1">
      <c r="B489" s="162" t="str">
        <f t="shared" si="6"/>
        <v>7-40</v>
      </c>
      <c r="C489" s="100" t="s">
        <v>83</v>
      </c>
      <c r="D489" s="42" t="s">
        <v>429</v>
      </c>
      <c r="E489" s="42" t="s">
        <v>440</v>
      </c>
      <c r="F489" s="227" t="s">
        <v>318</v>
      </c>
      <c r="G489" s="228"/>
      <c r="H489" s="155"/>
      <c r="I489" s="156"/>
      <c r="J489" s="155"/>
      <c r="K489" s="120"/>
      <c r="L489" s="121"/>
      <c r="M489" s="102"/>
      <c r="N489" s="155"/>
      <c r="O489" s="156"/>
      <c r="P489" s="155"/>
      <c r="Q489" s="102"/>
      <c r="R489" s="102"/>
      <c r="S489" s="100"/>
      <c r="T489" s="103"/>
      <c r="U489" s="103"/>
      <c r="V489" s="150"/>
    </row>
    <row r="490" spans="2:22" ht="45" customHeight="1">
      <c r="B490" s="162" t="str">
        <f t="shared" si="6"/>
        <v>7-41</v>
      </c>
      <c r="C490" s="114" t="s">
        <v>99</v>
      </c>
      <c r="D490" s="115" t="s">
        <v>99</v>
      </c>
      <c r="E490" s="42" t="s">
        <v>324</v>
      </c>
      <c r="F490" s="227" t="s">
        <v>322</v>
      </c>
      <c r="G490" s="228"/>
      <c r="H490" s="120"/>
      <c r="I490" s="121"/>
      <c r="J490" s="102"/>
      <c r="K490" s="155"/>
      <c r="L490" s="156"/>
      <c r="M490" s="155"/>
      <c r="N490" s="155"/>
      <c r="O490" s="156"/>
      <c r="P490" s="155"/>
      <c r="R490" s="102"/>
      <c r="S490" s="100"/>
      <c r="T490" s="103"/>
      <c r="U490" s="103"/>
      <c r="V490" s="150"/>
    </row>
    <row r="491" spans="2:22" ht="45" customHeight="1">
      <c r="B491" s="162" t="str">
        <f t="shared" si="6"/>
        <v>7-42</v>
      </c>
      <c r="C491" s="114" t="s">
        <v>99</v>
      </c>
      <c r="D491" s="115" t="s">
        <v>99</v>
      </c>
      <c r="E491" s="42" t="s">
        <v>263</v>
      </c>
      <c r="F491" s="227" t="s">
        <v>1305</v>
      </c>
      <c r="G491" s="228"/>
      <c r="H491" s="120"/>
      <c r="I491" s="121"/>
      <c r="J491" s="102"/>
      <c r="K491" s="120"/>
      <c r="L491" s="121"/>
      <c r="M491" s="102"/>
      <c r="N491" s="120"/>
      <c r="O491" s="121"/>
      <c r="P491" s="102"/>
      <c r="Q491" s="102"/>
      <c r="R491" s="102"/>
      <c r="S491" s="100"/>
      <c r="T491" s="103"/>
      <c r="U491" s="103"/>
      <c r="V491" s="150"/>
    </row>
    <row r="492" spans="2:22" ht="45" customHeight="1">
      <c r="B492" s="162" t="str">
        <f t="shared" si="6"/>
        <v>7-43</v>
      </c>
      <c r="C492" s="114" t="s">
        <v>99</v>
      </c>
      <c r="D492" s="115" t="s">
        <v>99</v>
      </c>
      <c r="E492" s="115" t="s">
        <v>99</v>
      </c>
      <c r="F492" s="227" t="s">
        <v>1306</v>
      </c>
      <c r="G492" s="228"/>
      <c r="H492" s="120"/>
      <c r="I492" s="121"/>
      <c r="J492" s="102"/>
      <c r="K492" s="120"/>
      <c r="L492" s="121"/>
      <c r="M492" s="102"/>
      <c r="N492" s="120"/>
      <c r="O492" s="121"/>
      <c r="P492" s="102"/>
      <c r="Q492" s="102"/>
      <c r="R492" s="102"/>
      <c r="S492" s="100"/>
      <c r="T492" s="103"/>
      <c r="U492" s="103"/>
      <c r="V492" s="150"/>
    </row>
    <row r="493" spans="2:22" ht="45" customHeight="1">
      <c r="B493" s="162" t="str">
        <f t="shared" si="6"/>
        <v>7-44</v>
      </c>
      <c r="C493" s="100" t="s">
        <v>83</v>
      </c>
      <c r="D493" s="42" t="s">
        <v>430</v>
      </c>
      <c r="E493" s="42" t="s">
        <v>441</v>
      </c>
      <c r="F493" s="227" t="s">
        <v>318</v>
      </c>
      <c r="G493" s="228"/>
      <c r="H493" s="155"/>
      <c r="I493" s="156"/>
      <c r="J493" s="155"/>
      <c r="K493" s="120"/>
      <c r="L493" s="121"/>
      <c r="M493" s="102"/>
      <c r="N493" s="155"/>
      <c r="O493" s="156"/>
      <c r="P493" s="155"/>
      <c r="Q493" s="102"/>
      <c r="R493" s="102"/>
      <c r="S493" s="100"/>
      <c r="T493" s="103"/>
      <c r="U493" s="103"/>
      <c r="V493" s="150"/>
    </row>
    <row r="494" spans="2:22" ht="45" customHeight="1">
      <c r="B494" s="162" t="str">
        <f t="shared" si="6"/>
        <v>7-45</v>
      </c>
      <c r="C494" s="114" t="s">
        <v>99</v>
      </c>
      <c r="D494" s="115" t="s">
        <v>99</v>
      </c>
      <c r="E494" s="42" t="s">
        <v>324</v>
      </c>
      <c r="F494" s="227" t="s">
        <v>322</v>
      </c>
      <c r="G494" s="228"/>
      <c r="H494" s="120"/>
      <c r="I494" s="121"/>
      <c r="J494" s="102"/>
      <c r="K494" s="155"/>
      <c r="L494" s="156"/>
      <c r="M494" s="155"/>
      <c r="N494" s="155"/>
      <c r="O494" s="156"/>
      <c r="P494" s="155"/>
      <c r="Q494" s="102"/>
      <c r="R494" s="102"/>
      <c r="S494" s="100"/>
      <c r="T494" s="103"/>
      <c r="U494" s="103"/>
      <c r="V494" s="150"/>
    </row>
    <row r="495" spans="2:22" ht="45" customHeight="1">
      <c r="B495" s="162" t="str">
        <f t="shared" si="6"/>
        <v>7-46</v>
      </c>
      <c r="C495" s="114" t="s">
        <v>99</v>
      </c>
      <c r="D495" s="115" t="s">
        <v>99</v>
      </c>
      <c r="E495" s="42" t="s">
        <v>263</v>
      </c>
      <c r="F495" s="227" t="s">
        <v>1305</v>
      </c>
      <c r="G495" s="228"/>
      <c r="H495" s="120"/>
      <c r="I495" s="121"/>
      <c r="J495" s="102"/>
      <c r="K495" s="120"/>
      <c r="L495" s="121"/>
      <c r="M495" s="102"/>
      <c r="N495" s="120"/>
      <c r="O495" s="121"/>
      <c r="P495" s="102"/>
      <c r="Q495" s="102"/>
      <c r="R495" s="102"/>
      <c r="S495" s="100"/>
      <c r="T495" s="103"/>
      <c r="U495" s="103"/>
      <c r="V495" s="150"/>
    </row>
    <row r="496" spans="2:22" ht="45" customHeight="1">
      <c r="B496" s="162" t="str">
        <f t="shared" si="6"/>
        <v>7-47</v>
      </c>
      <c r="C496" s="114" t="s">
        <v>99</v>
      </c>
      <c r="D496" s="115" t="s">
        <v>99</v>
      </c>
      <c r="E496" s="115" t="s">
        <v>99</v>
      </c>
      <c r="F496" s="227" t="s">
        <v>1306</v>
      </c>
      <c r="G496" s="228"/>
      <c r="H496" s="120"/>
      <c r="I496" s="121"/>
      <c r="J496" s="102"/>
      <c r="K496" s="120"/>
      <c r="L496" s="121"/>
      <c r="M496" s="102"/>
      <c r="N496" s="120"/>
      <c r="O496" s="121"/>
      <c r="P496" s="102"/>
      <c r="Q496" s="102"/>
      <c r="R496" s="102"/>
      <c r="S496" s="100"/>
      <c r="T496" s="103"/>
      <c r="U496" s="103"/>
      <c r="V496" s="150"/>
    </row>
    <row r="497" spans="2:22" ht="45" customHeight="1">
      <c r="B497" s="162" t="str">
        <f t="shared" si="6"/>
        <v>7-48</v>
      </c>
      <c r="C497" s="100" t="s">
        <v>83</v>
      </c>
      <c r="D497" s="42" t="s">
        <v>431</v>
      </c>
      <c r="E497" s="42" t="s">
        <v>442</v>
      </c>
      <c r="F497" s="227" t="s">
        <v>318</v>
      </c>
      <c r="G497" s="228"/>
      <c r="H497" s="155"/>
      <c r="I497" s="156"/>
      <c r="J497" s="155"/>
      <c r="K497" s="120"/>
      <c r="L497" s="121"/>
      <c r="M497" s="102"/>
      <c r="N497" s="155"/>
      <c r="O497" s="156"/>
      <c r="P497" s="155"/>
      <c r="Q497" s="102"/>
      <c r="R497" s="102"/>
      <c r="S497" s="100"/>
      <c r="T497" s="103"/>
      <c r="U497" s="103"/>
      <c r="V497" s="150"/>
    </row>
    <row r="498" spans="2:22" ht="45" customHeight="1">
      <c r="B498" s="162" t="str">
        <f t="shared" si="6"/>
        <v>7-49</v>
      </c>
      <c r="C498" s="114" t="s">
        <v>99</v>
      </c>
      <c r="D498" s="115" t="s">
        <v>99</v>
      </c>
      <c r="E498" s="42" t="s">
        <v>324</v>
      </c>
      <c r="F498" s="227" t="s">
        <v>322</v>
      </c>
      <c r="G498" s="228"/>
      <c r="H498" s="120"/>
      <c r="I498" s="121"/>
      <c r="J498" s="102"/>
      <c r="K498" s="155"/>
      <c r="L498" s="156"/>
      <c r="M498" s="155"/>
      <c r="N498" s="155"/>
      <c r="O498" s="156"/>
      <c r="P498" s="155"/>
      <c r="Q498" s="102"/>
      <c r="R498" s="102"/>
      <c r="S498" s="100"/>
      <c r="T498" s="103"/>
      <c r="U498" s="103"/>
      <c r="V498" s="150"/>
    </row>
    <row r="499" spans="2:22" ht="45" customHeight="1">
      <c r="B499" s="162" t="str">
        <f t="shared" si="6"/>
        <v>7-50</v>
      </c>
      <c r="C499" s="114" t="s">
        <v>99</v>
      </c>
      <c r="D499" s="115" t="s">
        <v>99</v>
      </c>
      <c r="E499" s="42" t="s">
        <v>263</v>
      </c>
      <c r="F499" s="227" t="s">
        <v>1305</v>
      </c>
      <c r="G499" s="228"/>
      <c r="H499" s="120"/>
      <c r="I499" s="121"/>
      <c r="J499" s="102"/>
      <c r="K499" s="120"/>
      <c r="L499" s="121"/>
      <c r="M499" s="102"/>
      <c r="N499" s="120"/>
      <c r="O499" s="121"/>
      <c r="P499" s="102"/>
      <c r="Q499" s="102"/>
      <c r="R499" s="102"/>
      <c r="S499" s="100"/>
      <c r="T499" s="103"/>
      <c r="U499" s="103"/>
      <c r="V499" s="150"/>
    </row>
    <row r="500" spans="2:22" ht="45" customHeight="1">
      <c r="B500" s="162" t="str">
        <f t="shared" si="6"/>
        <v>7-51</v>
      </c>
      <c r="C500" s="114" t="s">
        <v>99</v>
      </c>
      <c r="D500" s="115" t="s">
        <v>99</v>
      </c>
      <c r="E500" s="115" t="s">
        <v>99</v>
      </c>
      <c r="F500" s="227" t="s">
        <v>1306</v>
      </c>
      <c r="G500" s="228"/>
      <c r="H500" s="120"/>
      <c r="I500" s="121"/>
      <c r="J500" s="102"/>
      <c r="K500" s="120"/>
      <c r="L500" s="121"/>
      <c r="M500" s="102"/>
      <c r="N500" s="120"/>
      <c r="O500" s="121"/>
      <c r="P500" s="102"/>
      <c r="Q500" s="102"/>
      <c r="R500" s="102"/>
      <c r="S500" s="100"/>
      <c r="T500" s="103"/>
      <c r="U500" s="103"/>
      <c r="V500" s="150"/>
    </row>
    <row r="501" spans="2:22" ht="45" customHeight="1">
      <c r="B501" s="162" t="str">
        <f t="shared" si="6"/>
        <v>7-52</v>
      </c>
      <c r="C501" s="114" t="s">
        <v>99</v>
      </c>
      <c r="D501" s="115" t="s">
        <v>432</v>
      </c>
      <c r="E501" s="42" t="s">
        <v>331</v>
      </c>
      <c r="F501" s="227" t="s">
        <v>326</v>
      </c>
      <c r="G501" s="228"/>
      <c r="H501" s="102"/>
      <c r="I501" s="121"/>
      <c r="J501" s="102"/>
      <c r="K501" s="102"/>
      <c r="L501" s="121"/>
      <c r="M501" s="102"/>
      <c r="N501" s="102"/>
      <c r="O501" s="121"/>
      <c r="P501" s="102"/>
      <c r="Q501" s="178"/>
      <c r="R501" s="178"/>
      <c r="S501" s="100"/>
      <c r="T501" s="103"/>
      <c r="U501" s="103"/>
      <c r="V501" s="151"/>
    </row>
    <row r="502" spans="2:22" ht="45" customHeight="1">
      <c r="B502" s="162" t="str">
        <f t="shared" si="6"/>
        <v>7-53</v>
      </c>
      <c r="C502" s="114" t="s">
        <v>99</v>
      </c>
      <c r="D502" s="115" t="s">
        <v>433</v>
      </c>
      <c r="E502" s="42" t="s">
        <v>245</v>
      </c>
      <c r="F502" s="227" t="s">
        <v>342</v>
      </c>
      <c r="G502" s="228"/>
      <c r="H502" s="102"/>
      <c r="I502" s="121"/>
      <c r="J502" s="102"/>
      <c r="K502" s="102"/>
      <c r="L502" s="121"/>
      <c r="M502" s="102"/>
      <c r="N502" s="102"/>
      <c r="O502" s="121"/>
      <c r="P502" s="102"/>
      <c r="Q502" s="178"/>
      <c r="R502" s="178"/>
      <c r="S502" s="100"/>
      <c r="T502" s="103"/>
      <c r="U502" s="103"/>
      <c r="V502" s="151"/>
    </row>
    <row r="503" spans="2:22" ht="45" customHeight="1">
      <c r="B503" s="162" t="str">
        <f t="shared" si="6"/>
        <v>7-54</v>
      </c>
      <c r="C503" s="114" t="s">
        <v>99</v>
      </c>
      <c r="D503" s="115" t="s">
        <v>434</v>
      </c>
      <c r="E503" s="42" t="s">
        <v>245</v>
      </c>
      <c r="F503" s="227" t="s">
        <v>343</v>
      </c>
      <c r="G503" s="228"/>
      <c r="H503" s="102"/>
      <c r="I503" s="121"/>
      <c r="J503" s="102"/>
      <c r="K503" s="102"/>
      <c r="L503" s="121"/>
      <c r="M503" s="102"/>
      <c r="N503" s="102"/>
      <c r="O503" s="121"/>
      <c r="P503" s="102"/>
      <c r="Q503" s="178"/>
      <c r="R503" s="178"/>
      <c r="S503" s="100"/>
      <c r="T503" s="103"/>
      <c r="U503" s="103"/>
      <c r="V503" s="151"/>
    </row>
    <row r="504" spans="2:22" ht="45" customHeight="1">
      <c r="B504" s="162" t="str">
        <f t="shared" si="6"/>
        <v>7-55</v>
      </c>
      <c r="C504" s="114" t="s">
        <v>99</v>
      </c>
      <c r="D504" s="115" t="s">
        <v>435</v>
      </c>
      <c r="E504" s="42" t="s">
        <v>331</v>
      </c>
      <c r="F504" s="227" t="s">
        <v>107</v>
      </c>
      <c r="G504" s="228"/>
      <c r="H504" s="102"/>
      <c r="I504" s="121"/>
      <c r="J504" s="102"/>
      <c r="K504" s="102"/>
      <c r="L504" s="121"/>
      <c r="M504" s="102"/>
      <c r="N504" s="102"/>
      <c r="O504" s="121"/>
      <c r="P504" s="102"/>
      <c r="Q504" s="102"/>
      <c r="R504" s="102"/>
      <c r="S504" s="100"/>
      <c r="T504" s="103"/>
      <c r="U504" s="103"/>
      <c r="V504" s="151"/>
    </row>
    <row r="505" spans="2:22" ht="35.450000000000003" customHeight="1">
      <c r="B505" s="162" t="str">
        <f t="shared" si="6"/>
        <v>7-56</v>
      </c>
      <c r="C505" s="100" t="s">
        <v>332</v>
      </c>
      <c r="D505" s="42" t="s">
        <v>160</v>
      </c>
      <c r="E505" s="42" t="s">
        <v>271</v>
      </c>
      <c r="F505" s="227" t="s">
        <v>735</v>
      </c>
      <c r="G505" s="228"/>
      <c r="H505" s="102"/>
      <c r="I505" s="121"/>
      <c r="J505" s="102"/>
      <c r="K505" s="102"/>
      <c r="L505" s="121"/>
      <c r="M505" s="102"/>
      <c r="N505" s="102"/>
      <c r="O505" s="121"/>
      <c r="P505" s="102"/>
      <c r="Q505" s="178"/>
      <c r="R505" s="178"/>
      <c r="S505" s="100"/>
      <c r="T505" s="103"/>
      <c r="U505" s="103"/>
    </row>
    <row r="506" spans="2:22" ht="35.450000000000003" customHeight="1">
      <c r="B506" s="162" t="str">
        <f t="shared" si="6"/>
        <v>7-57</v>
      </c>
      <c r="C506" s="100" t="s">
        <v>331</v>
      </c>
      <c r="D506" s="42" t="s">
        <v>160</v>
      </c>
      <c r="E506" s="42" t="s">
        <v>347</v>
      </c>
      <c r="F506" s="227" t="s">
        <v>348</v>
      </c>
      <c r="G506" s="228"/>
      <c r="H506" s="102"/>
      <c r="I506" s="121"/>
      <c r="J506" s="102"/>
      <c r="K506" s="102"/>
      <c r="L506" s="121"/>
      <c r="M506" s="102"/>
      <c r="N506" s="102"/>
      <c r="O506" s="121"/>
      <c r="P506" s="102"/>
      <c r="Q506" s="178"/>
      <c r="R506" s="178"/>
      <c r="S506" s="100"/>
      <c r="T506" s="103"/>
      <c r="U506" s="103"/>
    </row>
    <row r="507" spans="2:22" ht="35.450000000000003" customHeight="1">
      <c r="B507" s="162" t="str">
        <f t="shared" si="6"/>
        <v>7-58</v>
      </c>
      <c r="C507" s="100" t="s">
        <v>83</v>
      </c>
      <c r="D507" s="42" t="s">
        <v>83</v>
      </c>
      <c r="E507" s="42" t="s">
        <v>344</v>
      </c>
      <c r="F507" s="227" t="s">
        <v>345</v>
      </c>
      <c r="G507" s="228"/>
      <c r="H507" s="102"/>
      <c r="I507" s="121"/>
      <c r="J507" s="102"/>
      <c r="K507" s="102"/>
      <c r="L507" s="121"/>
      <c r="M507" s="102"/>
      <c r="N507" s="102"/>
      <c r="O507" s="121"/>
      <c r="P507" s="102"/>
      <c r="Q507" s="178"/>
      <c r="R507" s="178"/>
      <c r="S507" s="100"/>
      <c r="T507" s="103"/>
      <c r="U507" s="103"/>
    </row>
    <row r="508" spans="2:22" ht="35.450000000000003" customHeight="1">
      <c r="B508" s="162" t="str">
        <f t="shared" si="6"/>
        <v>7-59</v>
      </c>
      <c r="C508" s="100" t="s">
        <v>83</v>
      </c>
      <c r="D508" s="42" t="s">
        <v>83</v>
      </c>
      <c r="E508" s="42" t="s">
        <v>351</v>
      </c>
      <c r="F508" s="227" t="s">
        <v>326</v>
      </c>
      <c r="G508" s="228"/>
      <c r="H508" s="102"/>
      <c r="I508" s="121"/>
      <c r="J508" s="102"/>
      <c r="K508" s="102"/>
      <c r="L508" s="121"/>
      <c r="M508" s="102"/>
      <c r="N508" s="102"/>
      <c r="O508" s="121"/>
      <c r="P508" s="102"/>
      <c r="Q508" s="102"/>
      <c r="R508" s="102"/>
      <c r="S508" s="100"/>
      <c r="T508" s="103"/>
      <c r="U508" s="103"/>
    </row>
    <row r="509" spans="2:22" ht="35.450000000000003" customHeight="1">
      <c r="B509" s="162" t="str">
        <f t="shared" si="6"/>
        <v>7-60</v>
      </c>
      <c r="C509" s="100" t="s">
        <v>346</v>
      </c>
      <c r="D509" s="42" t="s">
        <v>160</v>
      </c>
      <c r="E509" s="42" t="s">
        <v>347</v>
      </c>
      <c r="F509" s="227" t="s">
        <v>349</v>
      </c>
      <c r="G509" s="228"/>
      <c r="H509" s="102"/>
      <c r="I509" s="121"/>
      <c r="J509" s="102"/>
      <c r="K509" s="102"/>
      <c r="L509" s="121"/>
      <c r="M509" s="102"/>
      <c r="N509" s="102"/>
      <c r="O509" s="121"/>
      <c r="P509" s="102"/>
      <c r="Q509" s="178"/>
      <c r="R509" s="178"/>
      <c r="S509" s="100"/>
      <c r="T509" s="103"/>
      <c r="U509" s="103"/>
    </row>
    <row r="510" spans="2:22" ht="35.450000000000003" customHeight="1">
      <c r="B510" s="162" t="str">
        <f t="shared" si="6"/>
        <v>7-61</v>
      </c>
      <c r="C510" s="100" t="s">
        <v>83</v>
      </c>
      <c r="D510" s="42" t="s">
        <v>83</v>
      </c>
      <c r="E510" s="42" t="s">
        <v>344</v>
      </c>
      <c r="F510" s="227" t="s">
        <v>348</v>
      </c>
      <c r="G510" s="228"/>
      <c r="H510" s="102"/>
      <c r="I510" s="121"/>
      <c r="J510" s="102"/>
      <c r="K510" s="102"/>
      <c r="L510" s="121"/>
      <c r="M510" s="102"/>
      <c r="N510" s="102"/>
      <c r="O510" s="121"/>
      <c r="P510" s="102"/>
      <c r="Q510" s="178"/>
      <c r="R510" s="178"/>
      <c r="S510" s="100"/>
      <c r="T510" s="103"/>
      <c r="U510" s="103"/>
    </row>
    <row r="511" spans="2:22" ht="35.450000000000003" customHeight="1">
      <c r="B511" s="162" t="str">
        <f t="shared" si="6"/>
        <v>7-62</v>
      </c>
      <c r="C511" s="100" t="s">
        <v>83</v>
      </c>
      <c r="D511" s="42" t="s">
        <v>83</v>
      </c>
      <c r="E511" s="42" t="s">
        <v>351</v>
      </c>
      <c r="F511" s="227" t="s">
        <v>107</v>
      </c>
      <c r="G511" s="228"/>
      <c r="H511" s="102"/>
      <c r="I511" s="121"/>
      <c r="J511" s="102"/>
      <c r="K511" s="102"/>
      <c r="L511" s="121"/>
      <c r="M511" s="102"/>
      <c r="N511" s="102"/>
      <c r="O511" s="121"/>
      <c r="P511" s="102"/>
      <c r="Q511" s="178"/>
      <c r="R511" s="178"/>
      <c r="S511" s="100"/>
      <c r="T511" s="103"/>
      <c r="U511" s="103"/>
    </row>
    <row r="512" spans="2:22" ht="35.450000000000003" customHeight="1">
      <c r="B512" s="162" t="str">
        <f t="shared" si="6"/>
        <v>7-63</v>
      </c>
      <c r="C512" s="100" t="s">
        <v>350</v>
      </c>
      <c r="D512" s="42" t="s">
        <v>245</v>
      </c>
      <c r="E512" s="42" t="s">
        <v>327</v>
      </c>
      <c r="F512" s="227" t="s">
        <v>227</v>
      </c>
      <c r="G512" s="228"/>
      <c r="H512" s="120"/>
      <c r="I512" s="121"/>
      <c r="J512" s="102"/>
      <c r="K512" s="120"/>
      <c r="L512" s="121"/>
      <c r="M512" s="102"/>
      <c r="N512" s="102"/>
      <c r="O512" s="121"/>
      <c r="P512" s="102"/>
      <c r="Q512" s="102"/>
      <c r="R512" s="102"/>
      <c r="S512" s="100"/>
      <c r="T512" s="103"/>
      <c r="U512" s="103"/>
    </row>
    <row r="513" spans="2:22" ht="35.450000000000003" customHeight="1">
      <c r="B513" s="162" t="str">
        <f t="shared" si="6"/>
        <v>7-64</v>
      </c>
      <c r="C513" s="100" t="s">
        <v>83</v>
      </c>
      <c r="D513" s="42" t="s">
        <v>408</v>
      </c>
      <c r="E513" s="42" t="s">
        <v>328</v>
      </c>
      <c r="F513" s="227" t="s">
        <v>329</v>
      </c>
      <c r="G513" s="228"/>
      <c r="H513" s="120"/>
      <c r="I513" s="121"/>
      <c r="J513" s="102"/>
      <c r="K513" s="120"/>
      <c r="L513" s="121"/>
      <c r="M513" s="102"/>
      <c r="N513" s="102"/>
      <c r="O513" s="121"/>
      <c r="P513" s="102"/>
      <c r="Q513" s="178"/>
      <c r="R513" s="102"/>
      <c r="S513" s="100"/>
      <c r="T513" s="103"/>
      <c r="U513" s="103"/>
    </row>
    <row r="514" spans="2:22" ht="35.450000000000003" customHeight="1">
      <c r="B514" s="162" t="str">
        <f t="shared" si="6"/>
        <v>7-65</v>
      </c>
      <c r="C514" s="100" t="s">
        <v>83</v>
      </c>
      <c r="D514" s="42" t="s">
        <v>83</v>
      </c>
      <c r="E514" s="42" t="s">
        <v>346</v>
      </c>
      <c r="F514" s="227" t="s">
        <v>326</v>
      </c>
      <c r="G514" s="228"/>
      <c r="H514" s="120"/>
      <c r="I514" s="121"/>
      <c r="J514" s="102"/>
      <c r="K514" s="120"/>
      <c r="L514" s="121"/>
      <c r="M514" s="102"/>
      <c r="N514" s="102"/>
      <c r="O514" s="121"/>
      <c r="P514" s="102"/>
      <c r="Q514" s="178"/>
      <c r="R514" s="102"/>
      <c r="S514" s="100"/>
      <c r="T514" s="103"/>
      <c r="U514" s="103"/>
    </row>
    <row r="515" spans="2:22" ht="35.450000000000003" customHeight="1">
      <c r="B515" s="162" t="str">
        <f t="shared" ref="B515:B531" si="7">"7-"&amp;ROW()-449</f>
        <v>7-66</v>
      </c>
      <c r="C515" s="100" t="s">
        <v>83</v>
      </c>
      <c r="D515" s="42" t="s">
        <v>409</v>
      </c>
      <c r="E515" s="42" t="s">
        <v>328</v>
      </c>
      <c r="F515" s="227" t="s">
        <v>330</v>
      </c>
      <c r="G515" s="228"/>
      <c r="H515" s="120"/>
      <c r="I515" s="121"/>
      <c r="J515" s="102"/>
      <c r="K515" s="120"/>
      <c r="L515" s="121"/>
      <c r="M515" s="102"/>
      <c r="N515" s="102"/>
      <c r="O515" s="121"/>
      <c r="P515" s="102"/>
      <c r="Q515" s="178"/>
      <c r="R515" s="102"/>
      <c r="S515" s="100"/>
      <c r="T515" s="103"/>
      <c r="U515" s="103"/>
    </row>
    <row r="516" spans="2:22" ht="35.450000000000003" customHeight="1">
      <c r="B516" s="162" t="str">
        <f t="shared" si="7"/>
        <v>7-67</v>
      </c>
      <c r="C516" s="100" t="s">
        <v>83</v>
      </c>
      <c r="D516" s="42" t="s">
        <v>83</v>
      </c>
      <c r="E516" s="42" t="s">
        <v>346</v>
      </c>
      <c r="F516" s="227" t="s">
        <v>107</v>
      </c>
      <c r="G516" s="228"/>
      <c r="H516" s="120"/>
      <c r="I516" s="121"/>
      <c r="J516" s="102"/>
      <c r="K516" s="120"/>
      <c r="L516" s="121"/>
      <c r="M516" s="102"/>
      <c r="N516" s="102"/>
      <c r="O516" s="121"/>
      <c r="P516" s="102"/>
      <c r="Q516" s="178"/>
      <c r="R516" s="102"/>
      <c r="S516" s="100"/>
      <c r="T516" s="103"/>
      <c r="U516" s="103"/>
    </row>
    <row r="517" spans="2:22" ht="45" customHeight="1">
      <c r="B517" s="162" t="str">
        <f t="shared" si="7"/>
        <v>7-68</v>
      </c>
      <c r="C517" s="114" t="s">
        <v>99</v>
      </c>
      <c r="D517" s="115" t="s">
        <v>432</v>
      </c>
      <c r="E517" s="42" t="s">
        <v>346</v>
      </c>
      <c r="F517" s="227" t="s">
        <v>326</v>
      </c>
      <c r="G517" s="228"/>
      <c r="H517" s="120"/>
      <c r="I517" s="121"/>
      <c r="J517" s="102"/>
      <c r="K517" s="120"/>
      <c r="L517" s="121"/>
      <c r="M517" s="102"/>
      <c r="N517" s="102"/>
      <c r="O517" s="121"/>
      <c r="P517" s="102"/>
      <c r="Q517" s="102"/>
      <c r="R517" s="102"/>
      <c r="S517" s="100"/>
      <c r="T517" s="103"/>
      <c r="U517" s="103"/>
      <c r="V517" s="151"/>
    </row>
    <row r="518" spans="2:22" ht="45" customHeight="1">
      <c r="B518" s="162" t="str">
        <f t="shared" si="7"/>
        <v>7-69</v>
      </c>
      <c r="C518" s="114" t="s">
        <v>99</v>
      </c>
      <c r="D518" s="115" t="s">
        <v>433</v>
      </c>
      <c r="E518" s="42" t="s">
        <v>245</v>
      </c>
      <c r="F518" s="227" t="s">
        <v>342</v>
      </c>
      <c r="G518" s="228"/>
      <c r="H518" s="120"/>
      <c r="I518" s="121"/>
      <c r="J518" s="102"/>
      <c r="K518" s="120"/>
      <c r="L518" s="121"/>
      <c r="M518" s="102"/>
      <c r="N518" s="102"/>
      <c r="O518" s="121"/>
      <c r="P518" s="102"/>
      <c r="Q518" s="178"/>
      <c r="R518" s="102"/>
      <c r="S518" s="100"/>
      <c r="T518" s="103"/>
      <c r="U518" s="103"/>
      <c r="V518" s="151"/>
    </row>
    <row r="519" spans="2:22" ht="45" customHeight="1">
      <c r="B519" s="162" t="str">
        <f t="shared" si="7"/>
        <v>7-70</v>
      </c>
      <c r="C519" s="114" t="s">
        <v>99</v>
      </c>
      <c r="D519" s="115" t="s">
        <v>434</v>
      </c>
      <c r="E519" s="42" t="s">
        <v>245</v>
      </c>
      <c r="F519" s="227" t="s">
        <v>343</v>
      </c>
      <c r="G519" s="228"/>
      <c r="H519" s="120"/>
      <c r="I519" s="121"/>
      <c r="J519" s="102"/>
      <c r="K519" s="120"/>
      <c r="L519" s="121"/>
      <c r="M519" s="102"/>
      <c r="N519" s="102"/>
      <c r="O519" s="121"/>
      <c r="P519" s="102"/>
      <c r="Q519" s="178"/>
      <c r="R519" s="102"/>
      <c r="S519" s="100"/>
      <c r="T519" s="103"/>
      <c r="U519" s="103"/>
      <c r="V519" s="151"/>
    </row>
    <row r="520" spans="2:22" ht="45" customHeight="1">
      <c r="B520" s="162" t="str">
        <f t="shared" si="7"/>
        <v>7-71</v>
      </c>
      <c r="C520" s="114" t="s">
        <v>99</v>
      </c>
      <c r="D520" s="115" t="s">
        <v>435</v>
      </c>
      <c r="E520" s="42" t="s">
        <v>346</v>
      </c>
      <c r="F520" s="227" t="s">
        <v>107</v>
      </c>
      <c r="G520" s="228"/>
      <c r="H520" s="120"/>
      <c r="I520" s="121"/>
      <c r="J520" s="102"/>
      <c r="K520" s="120"/>
      <c r="L520" s="121"/>
      <c r="M520" s="102"/>
      <c r="N520" s="102"/>
      <c r="O520" s="121"/>
      <c r="P520" s="102"/>
      <c r="Q520" s="102"/>
      <c r="R520" s="102"/>
      <c r="S520" s="100"/>
      <c r="T520" s="103"/>
      <c r="U520" s="103"/>
      <c r="V520" s="151"/>
    </row>
    <row r="521" spans="2:22" ht="35.450000000000003" customHeight="1">
      <c r="B521" s="162" t="str">
        <f t="shared" si="7"/>
        <v>7-72</v>
      </c>
      <c r="C521" s="100" t="s">
        <v>274</v>
      </c>
      <c r="D521" s="42" t="s">
        <v>160</v>
      </c>
      <c r="E521" s="42" t="s">
        <v>296</v>
      </c>
      <c r="F521" s="227" t="s">
        <v>352</v>
      </c>
      <c r="G521" s="228"/>
      <c r="H521" s="120"/>
      <c r="I521" s="121"/>
      <c r="J521" s="102"/>
      <c r="K521" s="155"/>
      <c r="L521" s="156"/>
      <c r="M521" s="155"/>
      <c r="N521" s="155"/>
      <c r="O521" s="156"/>
      <c r="P521" s="155"/>
      <c r="Q521" s="102"/>
      <c r="R521" s="102"/>
      <c r="S521" s="100"/>
      <c r="T521" s="103"/>
      <c r="U521" s="103"/>
    </row>
    <row r="522" spans="2:22" ht="35.450000000000003" customHeight="1">
      <c r="B522" s="162" t="str">
        <f t="shared" si="7"/>
        <v>7-73</v>
      </c>
      <c r="C522" s="100" t="s">
        <v>83</v>
      </c>
      <c r="D522" s="42" t="s">
        <v>99</v>
      </c>
      <c r="E522" s="42" t="s">
        <v>83</v>
      </c>
      <c r="F522" s="227" t="s">
        <v>353</v>
      </c>
      <c r="G522" s="228"/>
      <c r="H522" s="102"/>
      <c r="I522" s="20"/>
      <c r="J522" s="102"/>
      <c r="K522" s="102"/>
      <c r="L522" s="20"/>
      <c r="M522" s="102"/>
      <c r="N522" s="102"/>
      <c r="O522" s="20"/>
      <c r="P522" s="102"/>
      <c r="Q522" s="102"/>
      <c r="R522" s="102"/>
      <c r="S522" s="100"/>
      <c r="T522" s="103"/>
      <c r="U522" s="103"/>
    </row>
    <row r="523" spans="2:22" ht="35.450000000000003" customHeight="1">
      <c r="B523" s="162" t="str">
        <f t="shared" si="7"/>
        <v>7-74</v>
      </c>
      <c r="C523" s="100" t="s">
        <v>83</v>
      </c>
      <c r="D523" s="42" t="s">
        <v>99</v>
      </c>
      <c r="E523" s="42" t="s">
        <v>271</v>
      </c>
      <c r="F523" s="227" t="s">
        <v>288</v>
      </c>
      <c r="G523" s="228"/>
      <c r="H523" s="102"/>
      <c r="I523" s="20"/>
      <c r="J523" s="102"/>
      <c r="K523" s="102"/>
      <c r="L523" s="20"/>
      <c r="M523" s="102"/>
      <c r="N523" s="102"/>
      <c r="O523" s="20"/>
      <c r="P523" s="102"/>
      <c r="Q523" s="102"/>
      <c r="R523" s="102"/>
      <c r="S523" s="100"/>
      <c r="T523" s="103"/>
      <c r="U523" s="103"/>
    </row>
    <row r="524" spans="2:22" ht="35.450000000000003" customHeight="1">
      <c r="B524" s="162" t="str">
        <f t="shared" si="7"/>
        <v>7-75</v>
      </c>
      <c r="C524" s="100" t="s">
        <v>276</v>
      </c>
      <c r="D524" s="42" t="s">
        <v>160</v>
      </c>
      <c r="E524" s="42" t="s">
        <v>271</v>
      </c>
      <c r="F524" s="227" t="s">
        <v>353</v>
      </c>
      <c r="G524" s="228"/>
      <c r="H524" s="120"/>
      <c r="I524" s="121"/>
      <c r="J524" s="102"/>
      <c r="K524" s="120"/>
      <c r="L524" s="121"/>
      <c r="M524" s="102"/>
      <c r="N524" s="102"/>
      <c r="O524" s="121"/>
      <c r="P524" s="102"/>
      <c r="Q524" s="178"/>
      <c r="R524" s="102"/>
      <c r="S524" s="100"/>
      <c r="T524" s="103"/>
      <c r="U524" s="103"/>
    </row>
    <row r="525" spans="2:22" ht="35.450000000000003" customHeight="1">
      <c r="B525" s="162" t="str">
        <f t="shared" si="7"/>
        <v>7-76</v>
      </c>
      <c r="C525" s="100" t="s">
        <v>83</v>
      </c>
      <c r="D525" s="42" t="s">
        <v>99</v>
      </c>
      <c r="E525" s="42" t="s">
        <v>271</v>
      </c>
      <c r="F525" s="227" t="s">
        <v>287</v>
      </c>
      <c r="G525" s="228"/>
      <c r="H525" s="102"/>
      <c r="I525" s="20"/>
      <c r="J525" s="102"/>
      <c r="K525" s="102"/>
      <c r="L525" s="20"/>
      <c r="M525" s="102"/>
      <c r="N525" s="102"/>
      <c r="O525" s="20"/>
      <c r="P525" s="102"/>
      <c r="Q525" s="178"/>
      <c r="R525" s="102"/>
      <c r="S525" s="100"/>
      <c r="T525" s="103"/>
      <c r="U525" s="103"/>
    </row>
    <row r="526" spans="2:22" ht="34.5" customHeight="1">
      <c r="B526" s="162" t="str">
        <f t="shared" si="7"/>
        <v>7-77</v>
      </c>
      <c r="C526" s="18" t="s">
        <v>110</v>
      </c>
      <c r="D526" s="18" t="s">
        <v>111</v>
      </c>
      <c r="E526" s="42" t="s">
        <v>109</v>
      </c>
      <c r="F526" s="229" t="s">
        <v>112</v>
      </c>
      <c r="G526" s="230"/>
      <c r="H526" s="120"/>
      <c r="I526" s="121"/>
      <c r="J526" s="102"/>
      <c r="K526" s="120"/>
      <c r="L526" s="121"/>
      <c r="M526" s="102"/>
      <c r="N526" s="120"/>
      <c r="O526" s="121"/>
      <c r="P526" s="102"/>
      <c r="Q526" s="102"/>
      <c r="R526" s="122"/>
      <c r="S526" s="114"/>
      <c r="T526" s="103"/>
      <c r="U526" s="103"/>
      <c r="V526" s="150"/>
    </row>
    <row r="527" spans="2:22" ht="34.5" customHeight="1">
      <c r="B527" s="162" t="str">
        <f t="shared" si="7"/>
        <v>7-78</v>
      </c>
      <c r="C527" s="18" t="s">
        <v>120</v>
      </c>
      <c r="D527" s="18" t="s">
        <v>120</v>
      </c>
      <c r="E527" s="42" t="s">
        <v>109</v>
      </c>
      <c r="F527" s="229" t="s">
        <v>113</v>
      </c>
      <c r="G527" s="230"/>
      <c r="H527" s="120"/>
      <c r="I527" s="121"/>
      <c r="J527" s="102"/>
      <c r="K527" s="120"/>
      <c r="L527" s="121"/>
      <c r="M527" s="102"/>
      <c r="N527" s="120"/>
      <c r="O527" s="121"/>
      <c r="P527" s="102"/>
      <c r="Q527" s="102"/>
      <c r="R527" s="122"/>
      <c r="S527" s="114"/>
      <c r="T527" s="103"/>
      <c r="U527" s="103"/>
      <c r="V527" s="150"/>
    </row>
    <row r="528" spans="2:22" ht="34.5" customHeight="1">
      <c r="B528" s="162" t="str">
        <f t="shared" si="7"/>
        <v>7-79</v>
      </c>
      <c r="C528" s="18" t="s">
        <v>120</v>
      </c>
      <c r="D528" s="18" t="s">
        <v>123</v>
      </c>
      <c r="E528" s="42" t="s">
        <v>109</v>
      </c>
      <c r="F528" s="229" t="s">
        <v>124</v>
      </c>
      <c r="G528" s="230"/>
      <c r="H528" s="120"/>
      <c r="I528" s="121"/>
      <c r="J528" s="102"/>
      <c r="K528" s="120"/>
      <c r="L528" s="121"/>
      <c r="M528" s="102"/>
      <c r="N528" s="120"/>
      <c r="O528" s="121"/>
      <c r="P528" s="102"/>
      <c r="Q528" s="102"/>
      <c r="R528" s="122"/>
      <c r="S528" s="114"/>
      <c r="T528" s="103"/>
      <c r="U528" s="103"/>
      <c r="V528" s="150"/>
    </row>
    <row r="529" spans="2:24" ht="34.5" customHeight="1">
      <c r="B529" s="162" t="str">
        <f t="shared" si="7"/>
        <v>7-80</v>
      </c>
      <c r="C529" s="18" t="s">
        <v>120</v>
      </c>
      <c r="D529" s="18" t="s">
        <v>120</v>
      </c>
      <c r="E529" s="42" t="s">
        <v>109</v>
      </c>
      <c r="F529" s="229" t="s">
        <v>113</v>
      </c>
      <c r="G529" s="230"/>
      <c r="H529" s="120"/>
      <c r="I529" s="121"/>
      <c r="J529" s="102"/>
      <c r="K529" s="120"/>
      <c r="L529" s="121"/>
      <c r="M529" s="102"/>
      <c r="N529" s="120"/>
      <c r="O529" s="121"/>
      <c r="P529" s="102"/>
      <c r="Q529" s="102"/>
      <c r="R529" s="122"/>
      <c r="S529" s="114"/>
      <c r="T529" s="103"/>
      <c r="U529" s="103"/>
      <c r="V529" s="150"/>
    </row>
    <row r="530" spans="2:24" ht="34.5" customHeight="1">
      <c r="B530" s="162" t="str">
        <f t="shared" si="7"/>
        <v>7-81</v>
      </c>
      <c r="C530" s="18" t="s">
        <v>120</v>
      </c>
      <c r="D530" s="18" t="s">
        <v>125</v>
      </c>
      <c r="E530" s="42" t="s">
        <v>109</v>
      </c>
      <c r="F530" s="229" t="s">
        <v>126</v>
      </c>
      <c r="G530" s="230"/>
      <c r="H530" s="120"/>
      <c r="I530" s="121"/>
      <c r="J530" s="102"/>
      <c r="K530" s="120"/>
      <c r="L530" s="121"/>
      <c r="M530" s="102"/>
      <c r="N530" s="120"/>
      <c r="O530" s="121"/>
      <c r="P530" s="102"/>
      <c r="Q530" s="102"/>
      <c r="R530" s="122"/>
      <c r="S530" s="114"/>
      <c r="T530" s="103"/>
      <c r="U530" s="103"/>
      <c r="V530" s="150"/>
    </row>
    <row r="531" spans="2:24" ht="34.5" customHeight="1">
      <c r="B531" s="162" t="str">
        <f t="shared" si="7"/>
        <v>7-82</v>
      </c>
      <c r="C531" s="18" t="s">
        <v>120</v>
      </c>
      <c r="D531" s="18" t="s">
        <v>120</v>
      </c>
      <c r="E531" s="42" t="s">
        <v>109</v>
      </c>
      <c r="F531" s="229" t="s">
        <v>113</v>
      </c>
      <c r="G531" s="230"/>
      <c r="H531" s="120"/>
      <c r="I531" s="121"/>
      <c r="J531" s="102"/>
      <c r="K531" s="120"/>
      <c r="L531" s="121"/>
      <c r="M531" s="102"/>
      <c r="N531" s="120"/>
      <c r="O531" s="121"/>
      <c r="P531" s="102"/>
      <c r="Q531" s="102"/>
      <c r="R531" s="122"/>
      <c r="S531" s="114"/>
      <c r="T531" s="103"/>
      <c r="U531" s="103"/>
      <c r="V531" s="150"/>
    </row>
    <row r="533" spans="2:24">
      <c r="B533" s="2" t="s">
        <v>333</v>
      </c>
      <c r="C533" s="99" t="s">
        <v>334</v>
      </c>
    </row>
    <row r="534" spans="2:24" ht="13.5" customHeight="1">
      <c r="B534" s="231" t="s">
        <v>4</v>
      </c>
      <c r="C534" s="233" t="s">
        <v>5</v>
      </c>
      <c r="D534" s="235" t="s">
        <v>79</v>
      </c>
      <c r="E534" s="235" t="s">
        <v>6</v>
      </c>
      <c r="F534" s="237" t="s">
        <v>7</v>
      </c>
      <c r="G534" s="238"/>
      <c r="H534" s="241" t="s">
        <v>91</v>
      </c>
      <c r="I534" s="241"/>
      <c r="J534" s="241"/>
      <c r="K534" s="241" t="s">
        <v>84</v>
      </c>
      <c r="L534" s="241"/>
      <c r="M534" s="241"/>
      <c r="N534" s="241" t="s">
        <v>85</v>
      </c>
      <c r="O534" s="241"/>
      <c r="P534" s="241"/>
      <c r="Q534" s="235" t="s">
        <v>1253</v>
      </c>
      <c r="R534" s="235" t="s">
        <v>78</v>
      </c>
      <c r="S534" s="242" t="s">
        <v>14</v>
      </c>
      <c r="T534" s="242"/>
      <c r="U534" s="242"/>
    </row>
    <row r="535" spans="2:24">
      <c r="B535" s="232"/>
      <c r="C535" s="234"/>
      <c r="D535" s="236"/>
      <c r="E535" s="236"/>
      <c r="F535" s="239"/>
      <c r="G535" s="240"/>
      <c r="H535" s="149" t="s">
        <v>8</v>
      </c>
      <c r="I535" s="149" t="s">
        <v>9</v>
      </c>
      <c r="J535" s="149" t="s">
        <v>10</v>
      </c>
      <c r="K535" s="149" t="s">
        <v>8</v>
      </c>
      <c r="L535" s="149" t="s">
        <v>9</v>
      </c>
      <c r="M535" s="149" t="s">
        <v>10</v>
      </c>
      <c r="N535" s="149" t="s">
        <v>8</v>
      </c>
      <c r="O535" s="149" t="s">
        <v>9</v>
      </c>
      <c r="P535" s="149" t="s">
        <v>10</v>
      </c>
      <c r="Q535" s="234"/>
      <c r="R535" s="234"/>
      <c r="S535" s="93"/>
      <c r="T535" s="94"/>
      <c r="U535" s="95"/>
    </row>
    <row r="536" spans="2:24" ht="30.6" customHeight="1">
      <c r="B536" s="101" t="s">
        <v>1067</v>
      </c>
      <c r="C536" s="100" t="s">
        <v>751</v>
      </c>
      <c r="D536" s="42" t="s">
        <v>99</v>
      </c>
      <c r="E536" s="42" t="s">
        <v>62</v>
      </c>
      <c r="F536" s="227" t="s">
        <v>449</v>
      </c>
      <c r="G536" s="228"/>
      <c r="H536" s="120"/>
      <c r="I536" s="121"/>
      <c r="J536" s="102"/>
      <c r="K536" s="120"/>
      <c r="L536" s="121"/>
      <c r="M536" s="102"/>
      <c r="N536" s="120"/>
      <c r="O536" s="121"/>
      <c r="P536" s="102"/>
      <c r="Q536" s="102"/>
      <c r="R536" s="102"/>
      <c r="S536" s="100"/>
      <c r="T536" s="103"/>
      <c r="U536" s="103"/>
    </row>
    <row r="537" spans="2:24" ht="30.6" customHeight="1">
      <c r="B537" s="101" t="s">
        <v>1068</v>
      </c>
      <c r="C537" s="100" t="s">
        <v>83</v>
      </c>
      <c r="D537" s="42" t="s">
        <v>99</v>
      </c>
      <c r="E537" s="42" t="s">
        <v>106</v>
      </c>
      <c r="F537" s="227" t="s">
        <v>92</v>
      </c>
      <c r="G537" s="228"/>
      <c r="H537" s="120"/>
      <c r="I537" s="121"/>
      <c r="J537" s="102"/>
      <c r="K537" s="120"/>
      <c r="L537" s="121"/>
      <c r="M537" s="102"/>
      <c r="N537" s="120"/>
      <c r="O537" s="121"/>
      <c r="P537" s="102"/>
      <c r="Q537" s="102"/>
      <c r="R537" s="102"/>
      <c r="S537" s="100"/>
      <c r="T537" s="103"/>
      <c r="U537" s="103"/>
    </row>
    <row r="538" spans="2:24" ht="34.5" customHeight="1">
      <c r="B538" s="101" t="s">
        <v>1069</v>
      </c>
      <c r="C538" s="100" t="s">
        <v>1082</v>
      </c>
      <c r="D538" s="42" t="s">
        <v>1083</v>
      </c>
      <c r="E538" s="42" t="s">
        <v>1084</v>
      </c>
      <c r="F538" s="227" t="s">
        <v>406</v>
      </c>
      <c r="G538" s="228"/>
      <c r="H538" s="120"/>
      <c r="I538" s="121"/>
      <c r="J538" s="102"/>
      <c r="K538" s="120"/>
      <c r="L538" s="121"/>
      <c r="M538" s="102"/>
      <c r="N538" s="155"/>
      <c r="O538" s="156"/>
      <c r="P538" s="155"/>
      <c r="Q538" s="178"/>
      <c r="R538" s="102"/>
      <c r="S538" s="100"/>
      <c r="T538" s="103"/>
      <c r="U538" s="103"/>
      <c r="V538" s="174"/>
      <c r="W538" s="174"/>
      <c r="X538" s="174"/>
    </row>
    <row r="539" spans="2:24" ht="34.5" customHeight="1">
      <c r="B539" s="101" t="s">
        <v>1070</v>
      </c>
      <c r="C539" s="100" t="s">
        <v>1082</v>
      </c>
      <c r="D539" s="42" t="s">
        <v>271</v>
      </c>
      <c r="E539" s="42" t="s">
        <v>1085</v>
      </c>
      <c r="F539" s="227" t="s">
        <v>92</v>
      </c>
      <c r="G539" s="228"/>
      <c r="H539" s="120"/>
      <c r="I539" s="121"/>
      <c r="J539" s="102"/>
      <c r="K539" s="120"/>
      <c r="L539" s="121"/>
      <c r="M539" s="102"/>
      <c r="N539" s="120"/>
      <c r="O539" s="121"/>
      <c r="P539" s="102"/>
      <c r="Q539" s="102"/>
      <c r="R539" s="102"/>
      <c r="S539" s="100"/>
      <c r="T539" s="103"/>
      <c r="U539" s="103"/>
      <c r="V539" s="174"/>
      <c r="W539" s="174"/>
      <c r="X539" s="174"/>
    </row>
    <row r="540" spans="2:24" ht="34.5" customHeight="1">
      <c r="B540" s="101" t="s">
        <v>1071</v>
      </c>
      <c r="C540" s="100" t="s">
        <v>271</v>
      </c>
      <c r="D540" s="42" t="s">
        <v>1086</v>
      </c>
      <c r="E540" s="42" t="s">
        <v>1087</v>
      </c>
      <c r="F540" s="227" t="s">
        <v>93</v>
      </c>
      <c r="G540" s="228"/>
      <c r="H540" s="120"/>
      <c r="I540" s="121"/>
      <c r="J540" s="102"/>
      <c r="K540" s="120"/>
      <c r="L540" s="121"/>
      <c r="M540" s="102"/>
      <c r="N540" s="120"/>
      <c r="O540" s="121"/>
      <c r="P540" s="102"/>
      <c r="Q540" s="102"/>
      <c r="R540" s="102"/>
      <c r="S540" s="100"/>
      <c r="T540" s="103"/>
      <c r="U540" s="103"/>
      <c r="V540" s="174"/>
      <c r="W540" s="174"/>
      <c r="X540" s="174"/>
    </row>
    <row r="541" spans="2:24" ht="30.6" customHeight="1">
      <c r="B541" s="101" t="s">
        <v>1069</v>
      </c>
      <c r="C541" s="100" t="s">
        <v>335</v>
      </c>
      <c r="D541" s="42" t="s">
        <v>271</v>
      </c>
      <c r="E541" s="42" t="s">
        <v>134</v>
      </c>
      <c r="F541" s="227" t="s">
        <v>337</v>
      </c>
      <c r="G541" s="228"/>
      <c r="H541" s="120"/>
      <c r="I541" s="121"/>
      <c r="J541" s="102"/>
      <c r="K541" s="120"/>
      <c r="L541" s="121"/>
      <c r="M541" s="102"/>
      <c r="N541" s="120"/>
      <c r="O541" s="121"/>
      <c r="P541" s="102"/>
      <c r="Q541" s="102"/>
      <c r="R541" s="102"/>
      <c r="S541" s="100"/>
      <c r="T541" s="103"/>
      <c r="U541" s="103"/>
    </row>
    <row r="542" spans="2:24" ht="30.6" customHeight="1">
      <c r="B542" s="101" t="s">
        <v>1070</v>
      </c>
      <c r="C542" s="100" t="s">
        <v>274</v>
      </c>
      <c r="D542" s="42" t="s">
        <v>160</v>
      </c>
      <c r="E542" s="42" t="s">
        <v>271</v>
      </c>
      <c r="F542" s="227" t="s">
        <v>338</v>
      </c>
      <c r="G542" s="228"/>
      <c r="H542" s="120"/>
      <c r="I542" s="121"/>
      <c r="J542" s="102"/>
      <c r="K542" s="120"/>
      <c r="L542" s="121"/>
      <c r="M542" s="102"/>
      <c r="N542" s="120"/>
      <c r="O542" s="121"/>
      <c r="P542" s="102"/>
      <c r="Q542" s="178"/>
      <c r="R542" s="102"/>
      <c r="S542" s="100"/>
      <c r="T542" s="103"/>
      <c r="U542" s="103"/>
    </row>
    <row r="543" spans="2:24" ht="30.6" customHeight="1">
      <c r="B543" s="101" t="s">
        <v>1071</v>
      </c>
      <c r="C543" s="100" t="s">
        <v>83</v>
      </c>
      <c r="D543" s="42" t="s">
        <v>99</v>
      </c>
      <c r="E543" s="42" t="s">
        <v>752</v>
      </c>
      <c r="F543" s="227" t="s">
        <v>1313</v>
      </c>
      <c r="G543" s="228"/>
      <c r="H543" s="155"/>
      <c r="I543" s="156"/>
      <c r="J543" s="155"/>
      <c r="K543" s="120"/>
      <c r="L543" s="121"/>
      <c r="M543" s="102"/>
      <c r="N543" s="155"/>
      <c r="O543" s="156"/>
      <c r="P543" s="155"/>
      <c r="Q543" s="102"/>
      <c r="R543" s="102"/>
      <c r="S543" s="100"/>
      <c r="T543" s="103"/>
      <c r="U543" s="103"/>
    </row>
    <row r="544" spans="2:24" ht="30.6" customHeight="1">
      <c r="B544" s="101" t="s">
        <v>1072</v>
      </c>
      <c r="C544" s="100" t="s">
        <v>83</v>
      </c>
      <c r="D544" s="42" t="s">
        <v>121</v>
      </c>
      <c r="E544" s="42" t="s">
        <v>436</v>
      </c>
      <c r="F544" s="227" t="s">
        <v>187</v>
      </c>
      <c r="G544" s="228"/>
      <c r="H544" s="120"/>
      <c r="I544" s="121"/>
      <c r="J544" s="102"/>
      <c r="K544" s="120"/>
      <c r="L544" s="121"/>
      <c r="M544" s="102"/>
      <c r="N544" s="120"/>
      <c r="O544" s="121"/>
      <c r="P544" s="102"/>
      <c r="Q544" s="102"/>
      <c r="R544" s="102"/>
      <c r="S544" s="100"/>
      <c r="T544" s="103"/>
      <c r="U544" s="103"/>
    </row>
    <row r="545" spans="2:21" ht="30.6" customHeight="1">
      <c r="B545" s="101" t="s">
        <v>1071</v>
      </c>
      <c r="C545" s="100" t="s">
        <v>83</v>
      </c>
      <c r="D545" s="42" t="s">
        <v>122</v>
      </c>
      <c r="E545" s="42" t="s">
        <v>443</v>
      </c>
      <c r="F545" s="227" t="s">
        <v>1316</v>
      </c>
      <c r="G545" s="228"/>
      <c r="H545" s="155"/>
      <c r="I545" s="156"/>
      <c r="J545" s="155"/>
      <c r="K545" s="120"/>
      <c r="L545" s="121"/>
      <c r="M545" s="102"/>
      <c r="N545" s="155"/>
      <c r="O545" s="156"/>
      <c r="P545" s="155"/>
      <c r="Q545" s="102"/>
      <c r="R545" s="102"/>
      <c r="S545" s="100"/>
      <c r="T545" s="103"/>
      <c r="U545" s="103"/>
    </row>
    <row r="546" spans="2:21" ht="30.6" customHeight="1">
      <c r="B546" s="101" t="s">
        <v>1072</v>
      </c>
      <c r="C546" s="100" t="s">
        <v>83</v>
      </c>
      <c r="D546" s="42" t="s">
        <v>121</v>
      </c>
      <c r="E546" s="42" t="s">
        <v>436</v>
      </c>
      <c r="F546" s="227" t="s">
        <v>340</v>
      </c>
      <c r="G546" s="228"/>
      <c r="H546" s="120"/>
      <c r="I546" s="121"/>
      <c r="J546" s="102"/>
      <c r="K546" s="120"/>
      <c r="L546" s="121"/>
      <c r="M546" s="102"/>
      <c r="N546" s="120"/>
      <c r="O546" s="121"/>
      <c r="P546" s="102"/>
      <c r="Q546" s="102"/>
      <c r="R546" s="102"/>
      <c r="S546" s="100"/>
      <c r="T546" s="103"/>
      <c r="U546" s="103"/>
    </row>
    <row r="547" spans="2:21" ht="30.6" customHeight="1">
      <c r="B547" s="101" t="s">
        <v>1073</v>
      </c>
      <c r="C547" s="100" t="s">
        <v>83</v>
      </c>
      <c r="D547" s="42" t="s">
        <v>122</v>
      </c>
      <c r="E547" s="42" t="s">
        <v>324</v>
      </c>
      <c r="F547" s="227" t="s">
        <v>341</v>
      </c>
      <c r="G547" s="228"/>
      <c r="H547" s="120"/>
      <c r="I547" s="121"/>
      <c r="J547" s="102"/>
      <c r="K547" s="120"/>
      <c r="L547" s="121"/>
      <c r="M547" s="102"/>
      <c r="N547" s="120"/>
      <c r="O547" s="121"/>
      <c r="P547" s="102"/>
      <c r="Q547" s="178"/>
      <c r="R547" s="102"/>
      <c r="S547" s="100"/>
      <c r="T547" s="103"/>
      <c r="U547" s="103"/>
    </row>
    <row r="548" spans="2:21" ht="30.6" customHeight="1">
      <c r="B548" s="101" t="s">
        <v>1074</v>
      </c>
      <c r="C548" s="100" t="s">
        <v>276</v>
      </c>
      <c r="D548" s="42" t="s">
        <v>160</v>
      </c>
      <c r="E548" s="42" t="s">
        <v>271</v>
      </c>
      <c r="F548" s="227" t="s">
        <v>338</v>
      </c>
      <c r="G548" s="228"/>
      <c r="H548" s="120"/>
      <c r="I548" s="121"/>
      <c r="J548" s="102"/>
      <c r="K548" s="120"/>
      <c r="L548" s="121"/>
      <c r="M548" s="102"/>
      <c r="N548" s="120"/>
      <c r="O548" s="121"/>
      <c r="P548" s="102"/>
      <c r="Q548" s="178"/>
      <c r="R548" s="102"/>
      <c r="S548" s="100"/>
      <c r="T548" s="103"/>
      <c r="U548" s="103"/>
    </row>
    <row r="549" spans="2:21" ht="30.6" customHeight="1">
      <c r="B549" s="101" t="s">
        <v>1075</v>
      </c>
      <c r="C549" s="100" t="s">
        <v>83</v>
      </c>
      <c r="D549" s="42" t="s">
        <v>99</v>
      </c>
      <c r="E549" s="42" t="s">
        <v>271</v>
      </c>
      <c r="F549" s="227" t="s">
        <v>339</v>
      </c>
      <c r="G549" s="228"/>
      <c r="H549" s="120"/>
      <c r="I549" s="121"/>
      <c r="J549" s="102"/>
      <c r="K549" s="120"/>
      <c r="L549" s="121"/>
      <c r="M549" s="102"/>
      <c r="N549" s="120"/>
      <c r="O549" s="121"/>
      <c r="P549" s="102"/>
      <c r="Q549" s="102"/>
      <c r="R549" s="102"/>
      <c r="S549" s="100"/>
      <c r="T549" s="103"/>
      <c r="U549" s="103"/>
    </row>
    <row r="550" spans="2:21" ht="30.6" customHeight="1">
      <c r="B550" s="101" t="s">
        <v>1076</v>
      </c>
      <c r="C550" s="18" t="s">
        <v>110</v>
      </c>
      <c r="D550" s="18" t="s">
        <v>111</v>
      </c>
      <c r="E550" s="42" t="s">
        <v>109</v>
      </c>
      <c r="F550" s="229" t="s">
        <v>112</v>
      </c>
      <c r="G550" s="230"/>
      <c r="H550" s="120"/>
      <c r="I550" s="121"/>
      <c r="J550" s="102"/>
      <c r="K550" s="120"/>
      <c r="L550" s="121"/>
      <c r="M550" s="102"/>
      <c r="N550" s="120"/>
      <c r="O550" s="121"/>
      <c r="P550" s="102"/>
      <c r="Q550" s="102"/>
      <c r="R550" s="122"/>
      <c r="S550" s="114"/>
      <c r="T550" s="103"/>
      <c r="U550" s="103"/>
    </row>
    <row r="551" spans="2:21" ht="30.6" customHeight="1">
      <c r="B551" s="101" t="s">
        <v>1077</v>
      </c>
      <c r="C551" s="18" t="s">
        <v>120</v>
      </c>
      <c r="D551" s="18" t="s">
        <v>120</v>
      </c>
      <c r="E551" s="42" t="s">
        <v>109</v>
      </c>
      <c r="F551" s="229" t="s">
        <v>113</v>
      </c>
      <c r="G551" s="230"/>
      <c r="H551" s="120"/>
      <c r="I551" s="121"/>
      <c r="J551" s="102"/>
      <c r="K551" s="120"/>
      <c r="L551" s="121"/>
      <c r="M551" s="102"/>
      <c r="N551" s="120"/>
      <c r="O551" s="121"/>
      <c r="P551" s="102"/>
      <c r="Q551" s="102"/>
      <c r="R551" s="122"/>
      <c r="S551" s="114"/>
      <c r="T551" s="103"/>
      <c r="U551" s="103"/>
    </row>
    <row r="552" spans="2:21" ht="30.6" customHeight="1">
      <c r="B552" s="101" t="s">
        <v>1078</v>
      </c>
      <c r="C552" s="18" t="s">
        <v>120</v>
      </c>
      <c r="D552" s="18" t="s">
        <v>123</v>
      </c>
      <c r="E552" s="42" t="s">
        <v>109</v>
      </c>
      <c r="F552" s="229" t="s">
        <v>124</v>
      </c>
      <c r="G552" s="230"/>
      <c r="H552" s="120"/>
      <c r="I552" s="121"/>
      <c r="J552" s="102"/>
      <c r="K552" s="120"/>
      <c r="L552" s="121"/>
      <c r="M552" s="102"/>
      <c r="N552" s="120"/>
      <c r="O552" s="121"/>
      <c r="P552" s="102"/>
      <c r="Q552" s="102"/>
      <c r="R552" s="122"/>
      <c r="S552" s="114"/>
      <c r="T552" s="103"/>
      <c r="U552" s="103"/>
    </row>
    <row r="553" spans="2:21" ht="30.6" customHeight="1">
      <c r="B553" s="101" t="s">
        <v>1079</v>
      </c>
      <c r="C553" s="18" t="s">
        <v>120</v>
      </c>
      <c r="D553" s="18" t="s">
        <v>120</v>
      </c>
      <c r="E553" s="42" t="s">
        <v>109</v>
      </c>
      <c r="F553" s="229" t="s">
        <v>113</v>
      </c>
      <c r="G553" s="230"/>
      <c r="H553" s="120"/>
      <c r="I553" s="121"/>
      <c r="J553" s="102"/>
      <c r="K553" s="120"/>
      <c r="L553" s="121"/>
      <c r="M553" s="102"/>
      <c r="N553" s="120"/>
      <c r="O553" s="121"/>
      <c r="P553" s="102"/>
      <c r="Q553" s="102"/>
      <c r="R553" s="122"/>
      <c r="S553" s="114"/>
      <c r="T553" s="103"/>
      <c r="U553" s="103"/>
    </row>
    <row r="554" spans="2:21" ht="30.6" customHeight="1">
      <c r="B554" s="101" t="s">
        <v>1080</v>
      </c>
      <c r="C554" s="18" t="s">
        <v>120</v>
      </c>
      <c r="D554" s="18" t="s">
        <v>125</v>
      </c>
      <c r="E554" s="42" t="s">
        <v>109</v>
      </c>
      <c r="F554" s="229" t="s">
        <v>126</v>
      </c>
      <c r="G554" s="230"/>
      <c r="H554" s="120"/>
      <c r="I554" s="121"/>
      <c r="J554" s="102"/>
      <c r="K554" s="120"/>
      <c r="L554" s="121"/>
      <c r="M554" s="102"/>
      <c r="N554" s="120"/>
      <c r="O554" s="121"/>
      <c r="P554" s="102"/>
      <c r="Q554" s="102"/>
      <c r="R554" s="122"/>
      <c r="S554" s="114"/>
      <c r="T554" s="103"/>
      <c r="U554" s="103"/>
    </row>
    <row r="555" spans="2:21" ht="30.6" customHeight="1">
      <c r="B555" s="101" t="s">
        <v>1081</v>
      </c>
      <c r="C555" s="18" t="s">
        <v>120</v>
      </c>
      <c r="D555" s="18" t="s">
        <v>120</v>
      </c>
      <c r="E555" s="42" t="s">
        <v>109</v>
      </c>
      <c r="F555" s="229" t="s">
        <v>113</v>
      </c>
      <c r="G555" s="230"/>
      <c r="H555" s="120"/>
      <c r="I555" s="121"/>
      <c r="J555" s="102"/>
      <c r="K555" s="120"/>
      <c r="L555" s="121"/>
      <c r="M555" s="102"/>
      <c r="N555" s="120"/>
      <c r="O555" s="121"/>
      <c r="P555" s="102"/>
      <c r="Q555" s="102"/>
      <c r="R555" s="122"/>
      <c r="S555" s="114"/>
      <c r="T555" s="103"/>
      <c r="U555" s="103"/>
    </row>
  </sheetData>
  <autoFilter ref="B7:U561">
    <filterColumn colId="4" showButton="0"/>
    <filterColumn colId="6" showButton="0"/>
    <filterColumn colId="7" showButton="0"/>
    <filterColumn colId="9" showButton="0"/>
    <filterColumn colId="10" showButton="0"/>
    <filterColumn colId="12" showButton="0"/>
    <filterColumn colId="13" showButton="0"/>
    <filterColumn colId="17" showButton="0"/>
    <filterColumn colId="18" showButton="0"/>
  </autoFilter>
  <sortState ref="J213:J214">
    <sortCondition descending="1" ref="J213:J214"/>
  </sortState>
  <mergeCells count="606">
    <mergeCell ref="R7:R8"/>
    <mergeCell ref="R254:R255"/>
    <mergeCell ref="R353:R354"/>
    <mergeCell ref="R374:R375"/>
    <mergeCell ref="R395:R396"/>
    <mergeCell ref="R425:R426"/>
    <mergeCell ref="R448:R449"/>
    <mergeCell ref="F343:G343"/>
    <mergeCell ref="F258:G258"/>
    <mergeCell ref="F259:G259"/>
    <mergeCell ref="F260:G260"/>
    <mergeCell ref="F357:G357"/>
    <mergeCell ref="F334:G334"/>
    <mergeCell ref="F267:G267"/>
    <mergeCell ref="F269:G269"/>
    <mergeCell ref="F318:G318"/>
    <mergeCell ref="F341:G341"/>
    <mergeCell ref="F342:G342"/>
    <mergeCell ref="F293:G293"/>
    <mergeCell ref="F294:G294"/>
    <mergeCell ref="F295:G295"/>
    <mergeCell ref="F296:G296"/>
    <mergeCell ref="F411:G411"/>
    <mergeCell ref="F410:G410"/>
    <mergeCell ref="F311:G311"/>
    <mergeCell ref="F228:G228"/>
    <mergeCell ref="F232:G232"/>
    <mergeCell ref="F236:G236"/>
    <mergeCell ref="F237:G237"/>
    <mergeCell ref="F225:G225"/>
    <mergeCell ref="F226:G226"/>
    <mergeCell ref="F227:G227"/>
    <mergeCell ref="F358:G358"/>
    <mergeCell ref="F285:G285"/>
    <mergeCell ref="F331:G331"/>
    <mergeCell ref="F327:G327"/>
    <mergeCell ref="F279:G279"/>
    <mergeCell ref="F265:G265"/>
    <mergeCell ref="F275:G275"/>
    <mergeCell ref="F276:G276"/>
    <mergeCell ref="F328:G328"/>
    <mergeCell ref="F329:G329"/>
    <mergeCell ref="F302:G302"/>
    <mergeCell ref="F280:G280"/>
    <mergeCell ref="F281:G281"/>
    <mergeCell ref="F282:G282"/>
    <mergeCell ref="F283:G283"/>
    <mergeCell ref="F239:G239"/>
    <mergeCell ref="F238:G238"/>
    <mergeCell ref="F378:G378"/>
    <mergeCell ref="F379:G379"/>
    <mergeCell ref="F380:G380"/>
    <mergeCell ref="F240:G240"/>
    <mergeCell ref="F385:G385"/>
    <mergeCell ref="F386:G386"/>
    <mergeCell ref="F370:G370"/>
    <mergeCell ref="F371:G371"/>
    <mergeCell ref="F382:G382"/>
    <mergeCell ref="F384:G384"/>
    <mergeCell ref="F340:G340"/>
    <mergeCell ref="F338:G338"/>
    <mergeCell ref="F346:G346"/>
    <mergeCell ref="F322:G322"/>
    <mergeCell ref="F277:G277"/>
    <mergeCell ref="F278:G278"/>
    <mergeCell ref="F262:G262"/>
    <mergeCell ref="F264:G264"/>
    <mergeCell ref="F266:G266"/>
    <mergeCell ref="F268:G268"/>
    <mergeCell ref="F270:G270"/>
    <mergeCell ref="F272:G272"/>
    <mergeCell ref="F361:G361"/>
    <mergeCell ref="F222:G222"/>
    <mergeCell ref="F14:G14"/>
    <mergeCell ref="F15:G15"/>
    <mergeCell ref="F16:G16"/>
    <mergeCell ref="F453:G453"/>
    <mergeCell ref="F412:G412"/>
    <mergeCell ref="F416:G416"/>
    <mergeCell ref="F415:G415"/>
    <mergeCell ref="F414:G414"/>
    <mergeCell ref="F392:G392"/>
    <mergeCell ref="F413:G413"/>
    <mergeCell ref="F421:G421"/>
    <mergeCell ref="F43:G43"/>
    <mergeCell ref="F80:G80"/>
    <mergeCell ref="F81:G81"/>
    <mergeCell ref="F82:G82"/>
    <mergeCell ref="F388:G388"/>
    <mergeCell ref="F409:G409"/>
    <mergeCell ref="F223:G223"/>
    <mergeCell ref="F248:G248"/>
    <mergeCell ref="F345:G345"/>
    <mergeCell ref="F347:G347"/>
    <mergeCell ref="F348:G348"/>
    <mergeCell ref="F247:G247"/>
    <mergeCell ref="F337:G337"/>
    <mergeCell ref="F436:G436"/>
    <mergeCell ref="F390:G390"/>
    <mergeCell ref="F391:G391"/>
    <mergeCell ref="F399:G399"/>
    <mergeCell ref="F400:G400"/>
    <mergeCell ref="F401:G401"/>
    <mergeCell ref="F429:G429"/>
    <mergeCell ref="F430:G430"/>
    <mergeCell ref="F431:G431"/>
    <mergeCell ref="F344:G344"/>
    <mergeCell ref="F359:G359"/>
    <mergeCell ref="F408:G408"/>
    <mergeCell ref="F403:G403"/>
    <mergeCell ref="F404:G404"/>
    <mergeCell ref="F405:G405"/>
    <mergeCell ref="F313:G313"/>
    <mergeCell ref="F286:G286"/>
    <mergeCell ref="F287:G287"/>
    <mergeCell ref="F319:G319"/>
    <mergeCell ref="F324:G324"/>
    <mergeCell ref="F303:G303"/>
    <mergeCell ref="F339:G339"/>
    <mergeCell ref="F45:G45"/>
    <mergeCell ref="F46:G46"/>
    <mergeCell ref="F51:G51"/>
    <mergeCell ref="F52:G52"/>
    <mergeCell ref="F86:G86"/>
    <mergeCell ref="F87:G87"/>
    <mergeCell ref="F89:G89"/>
    <mergeCell ref="F49:G49"/>
    <mergeCell ref="F57:G57"/>
    <mergeCell ref="F54:G54"/>
    <mergeCell ref="F64:G64"/>
    <mergeCell ref="F56:G56"/>
    <mergeCell ref="F58:G58"/>
    <mergeCell ref="F50:G50"/>
    <mergeCell ref="F47:G47"/>
    <mergeCell ref="F90:G90"/>
    <mergeCell ref="F98:G98"/>
    <mergeCell ref="F63:G63"/>
    <mergeCell ref="F72:G72"/>
    <mergeCell ref="F73:G73"/>
    <mergeCell ref="F75:G75"/>
    <mergeCell ref="F76:G76"/>
    <mergeCell ref="F77:G77"/>
    <mergeCell ref="F78:G78"/>
    <mergeCell ref="F79:G79"/>
    <mergeCell ref="F74:G74"/>
    <mergeCell ref="F95:G95"/>
    <mergeCell ref="F97:G97"/>
    <mergeCell ref="F103:G103"/>
    <mergeCell ref="F108:G108"/>
    <mergeCell ref="F509:G509"/>
    <mergeCell ref="F507:G507"/>
    <mergeCell ref="F350:G350"/>
    <mergeCell ref="F349:G349"/>
    <mergeCell ref="F417:G417"/>
    <mergeCell ref="F418:G418"/>
    <mergeCell ref="F419:G419"/>
    <mergeCell ref="F420:G420"/>
    <mergeCell ref="F440:G440"/>
    <mergeCell ref="F441:G441"/>
    <mergeCell ref="F442:G442"/>
    <mergeCell ref="F443:G443"/>
    <mergeCell ref="F444:G444"/>
    <mergeCell ref="F445:G445"/>
    <mergeCell ref="F387:G387"/>
    <mergeCell ref="F389:G389"/>
    <mergeCell ref="F142:G142"/>
    <mergeCell ref="F130:G130"/>
    <mergeCell ref="F132:G132"/>
    <mergeCell ref="F134:G134"/>
    <mergeCell ref="H353:J353"/>
    <mergeCell ref="K353:M353"/>
    <mergeCell ref="N353:P353"/>
    <mergeCell ref="B374:B375"/>
    <mergeCell ref="C374:C375"/>
    <mergeCell ref="D374:D375"/>
    <mergeCell ref="E374:E375"/>
    <mergeCell ref="F374:G375"/>
    <mergeCell ref="F362:G362"/>
    <mergeCell ref="F364:G364"/>
    <mergeCell ref="F365:G365"/>
    <mergeCell ref="F363:G363"/>
    <mergeCell ref="H374:J374"/>
    <mergeCell ref="K374:M374"/>
    <mergeCell ref="N374:P374"/>
    <mergeCell ref="B353:B354"/>
    <mergeCell ref="C353:C354"/>
    <mergeCell ref="D353:D354"/>
    <mergeCell ref="E353:E354"/>
    <mergeCell ref="F353:G354"/>
    <mergeCell ref="F366:G366"/>
    <mergeCell ref="F367:G367"/>
    <mergeCell ref="F368:G368"/>
    <mergeCell ref="F369:G369"/>
    <mergeCell ref="N254:P254"/>
    <mergeCell ref="Q254:Q255"/>
    <mergeCell ref="S254:U254"/>
    <mergeCell ref="F17:G17"/>
    <mergeCell ref="F263:G263"/>
    <mergeCell ref="F271:G271"/>
    <mergeCell ref="F284:G284"/>
    <mergeCell ref="H254:J254"/>
    <mergeCell ref="F84:G84"/>
    <mergeCell ref="F88:G88"/>
    <mergeCell ref="F85:G85"/>
    <mergeCell ref="F224:G224"/>
    <mergeCell ref="F83:G83"/>
    <mergeCell ref="F21:G21"/>
    <mergeCell ref="F20:G20"/>
    <mergeCell ref="F19:G19"/>
    <mergeCell ref="F26:G26"/>
    <mergeCell ref="F27:G27"/>
    <mergeCell ref="F217:G217"/>
    <mergeCell ref="F218:G218"/>
    <mergeCell ref="F96:G96"/>
    <mergeCell ref="F102:G102"/>
    <mergeCell ref="F91:G91"/>
    <mergeCell ref="F131:G131"/>
    <mergeCell ref="S353:U353"/>
    <mergeCell ref="F355:G355"/>
    <mergeCell ref="F356:G356"/>
    <mergeCell ref="F360:G360"/>
    <mergeCell ref="B7:B8"/>
    <mergeCell ref="C7:C8"/>
    <mergeCell ref="E7:E8"/>
    <mergeCell ref="F7:G8"/>
    <mergeCell ref="D7:D8"/>
    <mergeCell ref="S7:U7"/>
    <mergeCell ref="Q7:Q8"/>
    <mergeCell ref="K7:M7"/>
    <mergeCell ref="N7:P7"/>
    <mergeCell ref="H7:J7"/>
    <mergeCell ref="F23:G23"/>
    <mergeCell ref="F24:G24"/>
    <mergeCell ref="F256:G256"/>
    <mergeCell ref="F18:G18"/>
    <mergeCell ref="F335:G335"/>
    <mergeCell ref="B254:B255"/>
    <mergeCell ref="C254:C255"/>
    <mergeCell ref="D254:D255"/>
    <mergeCell ref="E254:E255"/>
    <mergeCell ref="K254:M254"/>
    <mergeCell ref="Q374:Q375"/>
    <mergeCell ref="S374:U374"/>
    <mergeCell ref="F376:G376"/>
    <mergeCell ref="F377:G377"/>
    <mergeCell ref="F381:G381"/>
    <mergeCell ref="F383:G383"/>
    <mergeCell ref="F304:G304"/>
    <mergeCell ref="F246:G246"/>
    <mergeCell ref="F326:G326"/>
    <mergeCell ref="F336:G336"/>
    <mergeCell ref="F298:G298"/>
    <mergeCell ref="F299:G299"/>
    <mergeCell ref="F305:G305"/>
    <mergeCell ref="F306:G306"/>
    <mergeCell ref="F332:G332"/>
    <mergeCell ref="F333:G333"/>
    <mergeCell ref="F261:G261"/>
    <mergeCell ref="F314:G314"/>
    <mergeCell ref="F315:G315"/>
    <mergeCell ref="F310:G310"/>
    <mergeCell ref="F309:G309"/>
    <mergeCell ref="F316:G316"/>
    <mergeCell ref="F317:G317"/>
    <mergeCell ref="Q353:Q354"/>
    <mergeCell ref="F9:G9"/>
    <mergeCell ref="F10:G10"/>
    <mergeCell ref="F11:G11"/>
    <mergeCell ref="F13:G13"/>
    <mergeCell ref="F12:G12"/>
    <mergeCell ref="F257:G257"/>
    <mergeCell ref="F244:G244"/>
    <mergeCell ref="F245:G245"/>
    <mergeCell ref="F241:G241"/>
    <mergeCell ref="F242:G242"/>
    <mergeCell ref="F243:G243"/>
    <mergeCell ref="F114:G114"/>
    <mergeCell ref="F115:G115"/>
    <mergeCell ref="F116:G116"/>
    <mergeCell ref="F117:G117"/>
    <mergeCell ref="F118:G118"/>
    <mergeCell ref="F119:G119"/>
    <mergeCell ref="F94:G94"/>
    <mergeCell ref="F41:G41"/>
    <mergeCell ref="F42:G42"/>
    <mergeCell ref="F53:G53"/>
    <mergeCell ref="F221:G221"/>
    <mergeCell ref="F92:G92"/>
    <mergeCell ref="F93:G93"/>
    <mergeCell ref="F135:G135"/>
    <mergeCell ref="F136:G136"/>
    <mergeCell ref="F152:G152"/>
    <mergeCell ref="F153:G153"/>
    <mergeCell ref="F155:G155"/>
    <mergeCell ref="F156:G156"/>
    <mergeCell ref="F137:G137"/>
    <mergeCell ref="F163:G163"/>
    <mergeCell ref="F133:G133"/>
    <mergeCell ref="F147:G147"/>
    <mergeCell ref="F151:G151"/>
    <mergeCell ref="F148:G148"/>
    <mergeCell ref="F149:G149"/>
    <mergeCell ref="F150:G150"/>
    <mergeCell ref="F164:G164"/>
    <mergeCell ref="F233:G233"/>
    <mergeCell ref="F234:G234"/>
    <mergeCell ref="F235:G235"/>
    <mergeCell ref="F229:G229"/>
    <mergeCell ref="F230:G230"/>
    <mergeCell ref="F231:G231"/>
    <mergeCell ref="F165:G165"/>
    <mergeCell ref="F154:G154"/>
    <mergeCell ref="F158:G158"/>
    <mergeCell ref="F159:G159"/>
    <mergeCell ref="F160:G160"/>
    <mergeCell ref="F161:G161"/>
    <mergeCell ref="F162:G162"/>
    <mergeCell ref="F166:G166"/>
    <mergeCell ref="F167:G167"/>
    <mergeCell ref="F168:G168"/>
    <mergeCell ref="F169:G169"/>
    <mergeCell ref="F170:G170"/>
    <mergeCell ref="F171:G171"/>
    <mergeCell ref="F174:G174"/>
    <mergeCell ref="F172:G172"/>
    <mergeCell ref="F173:G173"/>
    <mergeCell ref="F187:G187"/>
    <mergeCell ref="F22:G22"/>
    <mergeCell ref="F25:G25"/>
    <mergeCell ref="F35:G35"/>
    <mergeCell ref="F36:G36"/>
    <mergeCell ref="F37:G37"/>
    <mergeCell ref="F38:G38"/>
    <mergeCell ref="F39:G39"/>
    <mergeCell ref="F40:G40"/>
    <mergeCell ref="F29:G29"/>
    <mergeCell ref="F30:G30"/>
    <mergeCell ref="F34:G34"/>
    <mergeCell ref="F33:G33"/>
    <mergeCell ref="F32:G32"/>
    <mergeCell ref="F28:G28"/>
    <mergeCell ref="F31:G31"/>
    <mergeCell ref="F44:G44"/>
    <mergeCell ref="F55:G55"/>
    <mergeCell ref="F273:G273"/>
    <mergeCell ref="F274:G274"/>
    <mergeCell ref="F48:G48"/>
    <mergeCell ref="F59:G59"/>
    <mergeCell ref="F60:G60"/>
    <mergeCell ref="F61:G61"/>
    <mergeCell ref="F62:G62"/>
    <mergeCell ref="F65:G65"/>
    <mergeCell ref="F66:G66"/>
    <mergeCell ref="F67:G67"/>
    <mergeCell ref="F68:G68"/>
    <mergeCell ref="F69:G69"/>
    <mergeCell ref="F71:G71"/>
    <mergeCell ref="F70:G70"/>
    <mergeCell ref="F146:G146"/>
    <mergeCell ref="F143:G143"/>
    <mergeCell ref="F144:G144"/>
    <mergeCell ref="F145:G145"/>
    <mergeCell ref="F140:G140"/>
    <mergeCell ref="F141:G141"/>
    <mergeCell ref="F138:G138"/>
    <mergeCell ref="F139:G139"/>
    <mergeCell ref="F99:G99"/>
    <mergeCell ref="F100:G100"/>
    <mergeCell ref="F105:G105"/>
    <mergeCell ref="F106:G106"/>
    <mergeCell ref="S395:U395"/>
    <mergeCell ref="F407:G407"/>
    <mergeCell ref="F120:G120"/>
    <mergeCell ref="F121:G121"/>
    <mergeCell ref="F122:G122"/>
    <mergeCell ref="F123:G123"/>
    <mergeCell ref="F127:G127"/>
    <mergeCell ref="F126:G126"/>
    <mergeCell ref="F109:G109"/>
    <mergeCell ref="F101:G101"/>
    <mergeCell ref="F107:G107"/>
    <mergeCell ref="F124:G124"/>
    <mergeCell ref="F104:G104"/>
    <mergeCell ref="F110:G110"/>
    <mergeCell ref="F111:G111"/>
    <mergeCell ref="F112:G112"/>
    <mergeCell ref="F113:G113"/>
    <mergeCell ref="F128:G128"/>
    <mergeCell ref="F129:G129"/>
    <mergeCell ref="F157:G157"/>
    <mergeCell ref="H395:J395"/>
    <mergeCell ref="K395:M395"/>
    <mergeCell ref="N395:P395"/>
    <mergeCell ref="Q395:Q396"/>
    <mergeCell ref="F395:G396"/>
    <mergeCell ref="F398:G398"/>
    <mergeCell ref="F397:G397"/>
    <mergeCell ref="F402:G402"/>
    <mergeCell ref="F406:G406"/>
    <mergeCell ref="B395:B396"/>
    <mergeCell ref="C395:C396"/>
    <mergeCell ref="D395:D396"/>
    <mergeCell ref="E395:E396"/>
    <mergeCell ref="F254:G255"/>
    <mergeCell ref="F251:G251"/>
    <mergeCell ref="F249:G249"/>
    <mergeCell ref="F250:G250"/>
    <mergeCell ref="F300:G300"/>
    <mergeCell ref="F307:G307"/>
    <mergeCell ref="F325:G325"/>
    <mergeCell ref="F308:G308"/>
    <mergeCell ref="F323:G323"/>
    <mergeCell ref="F320:G320"/>
    <mergeCell ref="F297:G297"/>
    <mergeCell ref="F288:G288"/>
    <mergeCell ref="F289:G289"/>
    <mergeCell ref="F301:G301"/>
    <mergeCell ref="F290:G290"/>
    <mergeCell ref="F291:G291"/>
    <mergeCell ref="F292:G292"/>
    <mergeCell ref="F330:G330"/>
    <mergeCell ref="F321:G321"/>
    <mergeCell ref="F312:G312"/>
    <mergeCell ref="B425:B426"/>
    <mergeCell ref="C425:C426"/>
    <mergeCell ref="D425:D426"/>
    <mergeCell ref="E425:E426"/>
    <mergeCell ref="F425:G426"/>
    <mergeCell ref="F422:G422"/>
    <mergeCell ref="F427:G427"/>
    <mergeCell ref="F428:G428"/>
    <mergeCell ref="F432:G432"/>
    <mergeCell ref="B448:B449"/>
    <mergeCell ref="C448:C449"/>
    <mergeCell ref="D448:D449"/>
    <mergeCell ref="E448:E449"/>
    <mergeCell ref="F448:G449"/>
    <mergeCell ref="F501:G501"/>
    <mergeCell ref="F488:G488"/>
    <mergeCell ref="F502:G502"/>
    <mergeCell ref="F503:G503"/>
    <mergeCell ref="F494:G494"/>
    <mergeCell ref="F495:G495"/>
    <mergeCell ref="F496:G496"/>
    <mergeCell ref="F497:G497"/>
    <mergeCell ref="F498:G498"/>
    <mergeCell ref="F499:G499"/>
    <mergeCell ref="F500:G500"/>
    <mergeCell ref="F464:G464"/>
    <mergeCell ref="F466:G466"/>
    <mergeCell ref="F467:G467"/>
    <mergeCell ref="F457:G457"/>
    <mergeCell ref="F461:G461"/>
    <mergeCell ref="F454:G454"/>
    <mergeCell ref="F463:G463"/>
    <mergeCell ref="F465:G465"/>
    <mergeCell ref="S448:U448"/>
    <mergeCell ref="F450:G450"/>
    <mergeCell ref="F451:G451"/>
    <mergeCell ref="F455:G455"/>
    <mergeCell ref="F458:G458"/>
    <mergeCell ref="H448:J448"/>
    <mergeCell ref="K448:M448"/>
    <mergeCell ref="N448:P448"/>
    <mergeCell ref="Q448:Q449"/>
    <mergeCell ref="F452:G452"/>
    <mergeCell ref="H425:J425"/>
    <mergeCell ref="K425:M425"/>
    <mergeCell ref="N425:P425"/>
    <mergeCell ref="Q425:Q426"/>
    <mergeCell ref="S425:U425"/>
    <mergeCell ref="F437:G437"/>
    <mergeCell ref="F438:G438"/>
    <mergeCell ref="F439:G439"/>
    <mergeCell ref="F434:G434"/>
    <mergeCell ref="F435:G435"/>
    <mergeCell ref="F433:G433"/>
    <mergeCell ref="F459:G459"/>
    <mergeCell ref="F456:G456"/>
    <mergeCell ref="F460:G460"/>
    <mergeCell ref="F487:G487"/>
    <mergeCell ref="F486:G486"/>
    <mergeCell ref="F489:G489"/>
    <mergeCell ref="F524:G524"/>
    <mergeCell ref="F525:G525"/>
    <mergeCell ref="F484:G484"/>
    <mergeCell ref="F485:G485"/>
    <mergeCell ref="F521:G521"/>
    <mergeCell ref="F523:G523"/>
    <mergeCell ref="F490:G490"/>
    <mergeCell ref="F491:G491"/>
    <mergeCell ref="F492:G492"/>
    <mergeCell ref="F505:G505"/>
    <mergeCell ref="F504:G504"/>
    <mergeCell ref="F522:G522"/>
    <mergeCell ref="F510:G510"/>
    <mergeCell ref="F512:G512"/>
    <mergeCell ref="F513:G513"/>
    <mergeCell ref="F517:G517"/>
    <mergeCell ref="F518:G518"/>
    <mergeCell ref="F519:G519"/>
    <mergeCell ref="F462:G462"/>
    <mergeCell ref="F468:G468"/>
    <mergeCell ref="F469:G469"/>
    <mergeCell ref="F470:G470"/>
    <mergeCell ref="F471:G471"/>
    <mergeCell ref="F472:G472"/>
    <mergeCell ref="F473:G473"/>
    <mergeCell ref="F474:G474"/>
    <mergeCell ref="F475:G475"/>
    <mergeCell ref="F478:G478"/>
    <mergeCell ref="F479:G479"/>
    <mergeCell ref="F480:G480"/>
    <mergeCell ref="F481:G481"/>
    <mergeCell ref="F482:G482"/>
    <mergeCell ref="F483:G483"/>
    <mergeCell ref="F476:G476"/>
    <mergeCell ref="F477:G477"/>
    <mergeCell ref="F493:G493"/>
    <mergeCell ref="F506:G506"/>
    <mergeCell ref="F526:G526"/>
    <mergeCell ref="F527:G527"/>
    <mergeCell ref="S534:U534"/>
    <mergeCell ref="F536:G536"/>
    <mergeCell ref="F537:G537"/>
    <mergeCell ref="F541:G541"/>
    <mergeCell ref="F542:G542"/>
    <mergeCell ref="F545:G545"/>
    <mergeCell ref="Q534:Q535"/>
    <mergeCell ref="R534:R535"/>
    <mergeCell ref="F528:G528"/>
    <mergeCell ref="F529:G529"/>
    <mergeCell ref="F530:G530"/>
    <mergeCell ref="F531:G531"/>
    <mergeCell ref="F520:G520"/>
    <mergeCell ref="F508:G508"/>
    <mergeCell ref="F511:G511"/>
    <mergeCell ref="F514:G514"/>
    <mergeCell ref="F515:G515"/>
    <mergeCell ref="F516:G516"/>
    <mergeCell ref="F546:G546"/>
    <mergeCell ref="B534:B535"/>
    <mergeCell ref="C534:C535"/>
    <mergeCell ref="D534:D535"/>
    <mergeCell ref="E534:E535"/>
    <mergeCell ref="F534:G535"/>
    <mergeCell ref="H534:J534"/>
    <mergeCell ref="K534:M534"/>
    <mergeCell ref="N534:P534"/>
    <mergeCell ref="F538:G538"/>
    <mergeCell ref="F539:G539"/>
    <mergeCell ref="F540:G540"/>
    <mergeCell ref="F543:G543"/>
    <mergeCell ref="F544:G544"/>
    <mergeCell ref="F547:G547"/>
    <mergeCell ref="F548:G548"/>
    <mergeCell ref="F549:G549"/>
    <mergeCell ref="F550:G550"/>
    <mergeCell ref="F551:G551"/>
    <mergeCell ref="F552:G552"/>
    <mergeCell ref="F553:G553"/>
    <mergeCell ref="F554:G554"/>
    <mergeCell ref="F555:G555"/>
    <mergeCell ref="F185:G185"/>
    <mergeCell ref="F186:G186"/>
    <mergeCell ref="F184:G184"/>
    <mergeCell ref="F175:G175"/>
    <mergeCell ref="F176:G176"/>
    <mergeCell ref="F177:G177"/>
    <mergeCell ref="F178:G178"/>
    <mergeCell ref="F179:G179"/>
    <mergeCell ref="F180:G180"/>
    <mergeCell ref="F183:G183"/>
    <mergeCell ref="F182:G182"/>
    <mergeCell ref="F181:G181"/>
    <mergeCell ref="F196:G196"/>
    <mergeCell ref="F197:G197"/>
    <mergeCell ref="F193:G193"/>
    <mergeCell ref="F194:G194"/>
    <mergeCell ref="F192:G192"/>
    <mergeCell ref="F190:G190"/>
    <mergeCell ref="F189:G189"/>
    <mergeCell ref="F191:G191"/>
    <mergeCell ref="F188:G188"/>
    <mergeCell ref="F195:G195"/>
    <mergeCell ref="F198:G198"/>
    <mergeCell ref="F220:G220"/>
    <mergeCell ref="F213:G213"/>
    <mergeCell ref="F214:G214"/>
    <mergeCell ref="F215:G215"/>
    <mergeCell ref="F216:G216"/>
    <mergeCell ref="F207:G207"/>
    <mergeCell ref="F209:G209"/>
    <mergeCell ref="F208:G208"/>
    <mergeCell ref="F211:G211"/>
    <mergeCell ref="F210:G210"/>
    <mergeCell ref="F212:G212"/>
    <mergeCell ref="F206:G206"/>
    <mergeCell ref="F204:G204"/>
    <mergeCell ref="F205:G205"/>
    <mergeCell ref="F202:G202"/>
    <mergeCell ref="F203:G203"/>
    <mergeCell ref="F201:G201"/>
    <mergeCell ref="F199:G199"/>
    <mergeCell ref="F200:G200"/>
    <mergeCell ref="F219:G219"/>
  </mergeCells>
  <phoneticPr fontId="28"/>
  <dataValidations count="1">
    <dataValidation type="list" allowBlank="1" showInputMessage="1" showErrorMessage="1" sqref="H450:H531 K355:K371 K376:K392 H427:H445 H397:H422 H355:H371 N355:N371 H376:H392 N376:N392 K427:K445 N450:N531 K450:K531 N536:N555 K256:K350 N256:N350 H256:H350 N427:N445 K536:K555 H536:H555 N397:N422 K397:K422 L221:M223 K9:K251 N9:N251 H9:H251">
      <formula1>"OK,NG,NG（済）,－,未実施"</formula1>
    </dataValidation>
  </dataValidations>
  <pageMargins left="0.55118110236220474" right="0.35433070866141736" top="0.70866141732283472" bottom="0.70866141732283472" header="0.39370078740157483" footer="0.35433070866141736"/>
  <pageSetup paperSize="9" scale="76"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U50"/>
  <sheetViews>
    <sheetView zoomScale="115" zoomScaleNormal="115" workbookViewId="0">
      <pane xSplit="1" ySplit="5" topLeftCell="B6" activePane="bottomRight" state="frozen"/>
      <selection pane="topRight" activeCell="B1" sqref="B1"/>
      <selection pane="bottomLeft" activeCell="A6" sqref="A6"/>
      <selection pane="bottomRight"/>
    </sheetView>
  </sheetViews>
  <sheetFormatPr defaultRowHeight="13.5"/>
  <cols>
    <col min="1" max="1" width="2.25" customWidth="1"/>
    <col min="2" max="2" width="30.75" bestFit="1" customWidth="1"/>
    <col min="3" max="4" width="12.625" bestFit="1" customWidth="1"/>
    <col min="5" max="5" width="4" bestFit="1" customWidth="1"/>
    <col min="6" max="6" width="7.25" bestFit="1" customWidth="1"/>
    <col min="7" max="7" width="9.25" bestFit="1" customWidth="1"/>
    <col min="8" max="8" width="5.25" bestFit="1" customWidth="1"/>
    <col min="10" max="10" width="10.5" bestFit="1" customWidth="1"/>
  </cols>
  <sheetData>
    <row r="4" spans="2:21">
      <c r="B4" s="248" t="s">
        <v>163</v>
      </c>
      <c r="C4" s="249" t="s">
        <v>164</v>
      </c>
      <c r="D4" s="249"/>
      <c r="E4" s="249"/>
      <c r="F4" s="249"/>
      <c r="G4" s="249"/>
      <c r="H4" s="249"/>
      <c r="I4" s="241" t="s">
        <v>91</v>
      </c>
      <c r="J4" s="241"/>
      <c r="K4" s="241"/>
      <c r="L4" s="241" t="s">
        <v>84</v>
      </c>
      <c r="M4" s="241"/>
      <c r="N4" s="241"/>
      <c r="O4" s="241" t="s">
        <v>85</v>
      </c>
      <c r="P4" s="241"/>
      <c r="Q4" s="241"/>
      <c r="R4" s="250" t="s">
        <v>78</v>
      </c>
      <c r="S4" s="242" t="s">
        <v>14</v>
      </c>
      <c r="T4" s="242"/>
      <c r="U4" s="242"/>
    </row>
    <row r="5" spans="2:21">
      <c r="B5" s="248"/>
      <c r="C5" s="138" t="s">
        <v>165</v>
      </c>
      <c r="D5" s="135" t="s">
        <v>166</v>
      </c>
      <c r="E5" s="135" t="s">
        <v>167</v>
      </c>
      <c r="F5" s="135" t="s">
        <v>168</v>
      </c>
      <c r="G5" s="135" t="s">
        <v>169</v>
      </c>
      <c r="H5" s="135" t="s">
        <v>141</v>
      </c>
      <c r="I5" s="136" t="s">
        <v>8</v>
      </c>
      <c r="J5" s="136" t="s">
        <v>9</v>
      </c>
      <c r="K5" s="136" t="s">
        <v>10</v>
      </c>
      <c r="L5" s="136" t="s">
        <v>8</v>
      </c>
      <c r="M5" s="136" t="s">
        <v>9</v>
      </c>
      <c r="N5" s="136" t="s">
        <v>10</v>
      </c>
      <c r="O5" s="136" t="s">
        <v>8</v>
      </c>
      <c r="P5" s="136" t="s">
        <v>9</v>
      </c>
      <c r="Q5" s="136" t="s">
        <v>10</v>
      </c>
      <c r="R5" s="241"/>
      <c r="S5" s="137"/>
      <c r="T5" s="137"/>
      <c r="U5" s="137"/>
    </row>
    <row r="6" spans="2:21">
      <c r="B6" s="110" t="s">
        <v>189</v>
      </c>
      <c r="C6" s="147" t="s">
        <v>170</v>
      </c>
      <c r="D6" s="147" t="s">
        <v>170</v>
      </c>
      <c r="E6" s="147" t="s">
        <v>170</v>
      </c>
      <c r="F6" s="147" t="s">
        <v>170</v>
      </c>
      <c r="G6" s="147" t="s">
        <v>170</v>
      </c>
      <c r="H6" s="147" t="s">
        <v>170</v>
      </c>
      <c r="I6" s="103"/>
      <c r="J6" s="54"/>
      <c r="K6" s="103"/>
      <c r="L6" s="103"/>
      <c r="M6" s="54"/>
      <c r="N6" s="103"/>
      <c r="O6" s="103"/>
      <c r="P6" s="54"/>
      <c r="Q6" s="103"/>
      <c r="R6" s="103"/>
      <c r="S6" s="100"/>
      <c r="T6" s="103"/>
      <c r="U6" s="103"/>
    </row>
    <row r="7" spans="2:21">
      <c r="B7" s="110" t="s">
        <v>190</v>
      </c>
      <c r="C7" s="147" t="s">
        <v>170</v>
      </c>
      <c r="D7" s="147" t="s">
        <v>170</v>
      </c>
      <c r="E7" s="147" t="s">
        <v>170</v>
      </c>
      <c r="F7" s="147" t="s">
        <v>170</v>
      </c>
      <c r="G7" s="147" t="s">
        <v>170</v>
      </c>
      <c r="H7" s="147" t="s">
        <v>170</v>
      </c>
      <c r="I7" s="103"/>
      <c r="J7" s="54"/>
      <c r="K7" s="103"/>
      <c r="L7" s="103"/>
      <c r="M7" s="54"/>
      <c r="N7" s="103"/>
      <c r="O7" s="103"/>
      <c r="P7" s="54"/>
      <c r="Q7" s="103"/>
      <c r="R7" s="103"/>
      <c r="S7" s="100"/>
      <c r="T7" s="103"/>
      <c r="U7" s="103"/>
    </row>
    <row r="8" spans="2:21">
      <c r="B8" s="181" t="s">
        <v>1318</v>
      </c>
      <c r="C8" s="147" t="s">
        <v>170</v>
      </c>
      <c r="D8" s="147" t="s">
        <v>170</v>
      </c>
      <c r="E8" s="147" t="s">
        <v>170</v>
      </c>
      <c r="F8" s="147" t="s">
        <v>170</v>
      </c>
      <c r="G8" s="147" t="s">
        <v>171</v>
      </c>
      <c r="H8" s="147" t="s">
        <v>171</v>
      </c>
      <c r="I8" s="103"/>
      <c r="J8" s="54"/>
      <c r="K8" s="103"/>
      <c r="L8" s="103"/>
      <c r="M8" s="54"/>
      <c r="N8" s="103"/>
      <c r="O8" s="103"/>
      <c r="P8" s="54"/>
      <c r="Q8" s="103"/>
      <c r="R8" s="103"/>
      <c r="S8" s="100"/>
      <c r="T8" s="103"/>
      <c r="U8" s="103"/>
    </row>
    <row r="9" spans="2:21">
      <c r="B9" s="110" t="s">
        <v>191</v>
      </c>
      <c r="C9" s="147" t="s">
        <v>170</v>
      </c>
      <c r="D9" s="147" t="s">
        <v>170</v>
      </c>
      <c r="E9" s="147" t="s">
        <v>170</v>
      </c>
      <c r="F9" s="147" t="s">
        <v>170</v>
      </c>
      <c r="G9" s="147" t="s">
        <v>170</v>
      </c>
      <c r="H9" s="147" t="s">
        <v>170</v>
      </c>
      <c r="I9" s="103"/>
      <c r="J9" s="54"/>
      <c r="K9" s="103"/>
      <c r="L9" s="103"/>
      <c r="M9" s="54"/>
      <c r="N9" s="103"/>
      <c r="O9" s="103"/>
      <c r="P9" s="54"/>
      <c r="Q9" s="103"/>
      <c r="R9" s="103"/>
      <c r="S9" s="100"/>
      <c r="T9" s="103"/>
      <c r="U9" s="103"/>
    </row>
    <row r="10" spans="2:21">
      <c r="B10" s="110" t="s">
        <v>192</v>
      </c>
      <c r="C10" s="147" t="s">
        <v>170</v>
      </c>
      <c r="D10" s="147" t="s">
        <v>170</v>
      </c>
      <c r="E10" s="147" t="s">
        <v>170</v>
      </c>
      <c r="F10" s="147" t="s">
        <v>170</v>
      </c>
      <c r="G10" s="147" t="s">
        <v>170</v>
      </c>
      <c r="H10" s="147" t="s">
        <v>170</v>
      </c>
      <c r="I10" s="103"/>
      <c r="J10" s="54"/>
      <c r="K10" s="103"/>
      <c r="L10" s="103"/>
      <c r="M10" s="54"/>
      <c r="N10" s="103"/>
      <c r="O10" s="103"/>
      <c r="P10" s="54"/>
      <c r="Q10" s="103"/>
      <c r="R10" s="103"/>
      <c r="S10" s="100"/>
      <c r="T10" s="103"/>
      <c r="U10" s="103"/>
    </row>
    <row r="11" spans="2:21">
      <c r="B11" s="181" t="s">
        <v>193</v>
      </c>
      <c r="C11" s="147" t="s">
        <v>170</v>
      </c>
      <c r="D11" s="147" t="s">
        <v>170</v>
      </c>
      <c r="E11" s="147" t="s">
        <v>170</v>
      </c>
      <c r="F11" s="147" t="s">
        <v>170</v>
      </c>
      <c r="G11" s="147" t="s">
        <v>171</v>
      </c>
      <c r="H11" s="147" t="s">
        <v>171</v>
      </c>
      <c r="I11" s="103"/>
      <c r="J11" s="54"/>
      <c r="K11" s="103"/>
      <c r="L11" s="103"/>
      <c r="M11" s="54"/>
      <c r="N11" s="103"/>
      <c r="O11" s="103"/>
      <c r="P11" s="54"/>
      <c r="Q11" s="103"/>
      <c r="R11" s="103"/>
      <c r="S11" s="100"/>
      <c r="T11" s="103"/>
      <c r="U11" s="103"/>
    </row>
    <row r="12" spans="2:21">
      <c r="B12" s="110" t="s">
        <v>194</v>
      </c>
      <c r="C12" s="147" t="s">
        <v>170</v>
      </c>
      <c r="D12" s="147" t="s">
        <v>170</v>
      </c>
      <c r="E12" s="147" t="s">
        <v>170</v>
      </c>
      <c r="F12" s="147" t="s">
        <v>170</v>
      </c>
      <c r="G12" s="147" t="s">
        <v>170</v>
      </c>
      <c r="H12" s="147" t="s">
        <v>170</v>
      </c>
      <c r="I12" s="103"/>
      <c r="J12" s="54"/>
      <c r="K12" s="103"/>
      <c r="L12" s="103"/>
      <c r="M12" s="54"/>
      <c r="N12" s="103"/>
      <c r="O12" s="103"/>
      <c r="P12" s="54"/>
      <c r="Q12" s="103"/>
      <c r="R12" s="103"/>
      <c r="S12" s="100"/>
      <c r="T12" s="103"/>
      <c r="U12" s="103"/>
    </row>
    <row r="13" spans="2:21">
      <c r="B13" s="110" t="s">
        <v>195</v>
      </c>
      <c r="C13" s="147" t="s">
        <v>170</v>
      </c>
      <c r="D13" s="147" t="s">
        <v>170</v>
      </c>
      <c r="E13" s="147" t="s">
        <v>170</v>
      </c>
      <c r="F13" s="147" t="s">
        <v>170</v>
      </c>
      <c r="G13" s="147" t="s">
        <v>170</v>
      </c>
      <c r="H13" s="147" t="s">
        <v>170</v>
      </c>
      <c r="I13" s="103"/>
      <c r="J13" s="54"/>
      <c r="K13" s="103"/>
      <c r="L13" s="103"/>
      <c r="M13" s="54"/>
      <c r="N13" s="103"/>
      <c r="O13" s="103"/>
      <c r="P13" s="54"/>
      <c r="Q13" s="103"/>
      <c r="R13" s="103"/>
      <c r="S13" s="100"/>
      <c r="T13" s="103"/>
      <c r="U13" s="103"/>
    </row>
    <row r="14" spans="2:21">
      <c r="B14" s="181" t="s">
        <v>196</v>
      </c>
      <c r="C14" s="147" t="s">
        <v>170</v>
      </c>
      <c r="D14" s="147" t="s">
        <v>170</v>
      </c>
      <c r="E14" s="147" t="s">
        <v>170</v>
      </c>
      <c r="F14" s="147" t="s">
        <v>170</v>
      </c>
      <c r="G14" s="147" t="s">
        <v>171</v>
      </c>
      <c r="H14" s="147" t="s">
        <v>171</v>
      </c>
      <c r="I14" s="103"/>
      <c r="J14" s="54"/>
      <c r="K14" s="103"/>
      <c r="L14" s="103"/>
      <c r="M14" s="54"/>
      <c r="N14" s="103"/>
      <c r="O14" s="103"/>
      <c r="P14" s="54"/>
      <c r="Q14" s="103"/>
      <c r="R14" s="103"/>
      <c r="S14" s="100"/>
      <c r="T14" s="103"/>
      <c r="U14" s="103"/>
    </row>
    <row r="15" spans="2:21">
      <c r="B15" s="110" t="s">
        <v>197</v>
      </c>
      <c r="C15" s="147" t="s">
        <v>170</v>
      </c>
      <c r="D15" s="147" t="s">
        <v>170</v>
      </c>
      <c r="E15" s="147" t="s">
        <v>170</v>
      </c>
      <c r="F15" s="147" t="s">
        <v>170</v>
      </c>
      <c r="G15" s="147" t="s">
        <v>170</v>
      </c>
      <c r="H15" s="147" t="s">
        <v>170</v>
      </c>
      <c r="I15" s="103"/>
      <c r="J15" s="54"/>
      <c r="K15" s="103"/>
      <c r="L15" s="103"/>
      <c r="M15" s="54"/>
      <c r="N15" s="103"/>
      <c r="O15" s="103"/>
      <c r="P15" s="54"/>
      <c r="Q15" s="103"/>
      <c r="R15" s="103"/>
      <c r="S15" s="100"/>
      <c r="T15" s="103"/>
      <c r="U15" s="103"/>
    </row>
    <row r="16" spans="2:21">
      <c r="B16" s="181" t="s">
        <v>198</v>
      </c>
      <c r="C16" s="147" t="s">
        <v>170</v>
      </c>
      <c r="D16" s="147" t="s">
        <v>170</v>
      </c>
      <c r="E16" s="147" t="s">
        <v>170</v>
      </c>
      <c r="F16" s="147" t="s">
        <v>170</v>
      </c>
      <c r="G16" s="147" t="s">
        <v>170</v>
      </c>
      <c r="H16" s="147" t="s">
        <v>224</v>
      </c>
      <c r="I16" s="103"/>
      <c r="J16" s="54"/>
      <c r="K16" s="103"/>
      <c r="L16" s="103"/>
      <c r="M16" s="54"/>
      <c r="N16" s="103"/>
      <c r="O16" s="103"/>
      <c r="P16" s="54"/>
      <c r="Q16" s="103"/>
      <c r="R16" s="103"/>
      <c r="S16" s="100"/>
      <c r="T16" s="103"/>
      <c r="U16" s="103"/>
    </row>
    <row r="17" spans="2:21">
      <c r="B17" s="181" t="s">
        <v>199</v>
      </c>
      <c r="C17" s="147" t="s">
        <v>170</v>
      </c>
      <c r="D17" s="147" t="s">
        <v>170</v>
      </c>
      <c r="E17" s="147" t="s">
        <v>170</v>
      </c>
      <c r="F17" s="147" t="s">
        <v>170</v>
      </c>
      <c r="G17" s="147" t="s">
        <v>171</v>
      </c>
      <c r="H17" s="147" t="s">
        <v>171</v>
      </c>
      <c r="I17" s="103"/>
      <c r="J17" s="54"/>
      <c r="K17" s="103"/>
      <c r="L17" s="103"/>
      <c r="M17" s="54"/>
      <c r="N17" s="103"/>
      <c r="O17" s="103"/>
      <c r="P17" s="54"/>
      <c r="Q17" s="103"/>
      <c r="R17" s="103"/>
      <c r="S17" s="100"/>
      <c r="T17" s="103"/>
      <c r="U17" s="103"/>
    </row>
    <row r="18" spans="2:21">
      <c r="B18" s="181" t="s">
        <v>200</v>
      </c>
      <c r="C18" s="147" t="s">
        <v>170</v>
      </c>
      <c r="D18" s="147" t="s">
        <v>170</v>
      </c>
      <c r="E18" s="147" t="s">
        <v>170</v>
      </c>
      <c r="F18" s="147" t="s">
        <v>170</v>
      </c>
      <c r="G18" s="147" t="s">
        <v>170</v>
      </c>
      <c r="H18" s="147" t="s">
        <v>224</v>
      </c>
      <c r="I18" s="103"/>
      <c r="J18" s="54"/>
      <c r="K18" s="103"/>
      <c r="L18" s="103"/>
      <c r="M18" s="54"/>
      <c r="N18" s="103"/>
      <c r="O18" s="103"/>
      <c r="P18" s="54"/>
      <c r="Q18" s="103"/>
      <c r="R18" s="103"/>
      <c r="S18" s="100"/>
      <c r="T18" s="103"/>
      <c r="U18" s="103"/>
    </row>
    <row r="19" spans="2:21">
      <c r="B19" s="181" t="s">
        <v>201</v>
      </c>
      <c r="C19" s="147" t="s">
        <v>170</v>
      </c>
      <c r="D19" s="147" t="s">
        <v>170</v>
      </c>
      <c r="E19" s="147" t="s">
        <v>170</v>
      </c>
      <c r="F19" s="147" t="s">
        <v>170</v>
      </c>
      <c r="G19" s="147" t="s">
        <v>170</v>
      </c>
      <c r="H19" s="147" t="s">
        <v>224</v>
      </c>
      <c r="I19" s="103"/>
      <c r="J19" s="54"/>
      <c r="K19" s="103"/>
      <c r="L19" s="103"/>
      <c r="M19" s="54"/>
      <c r="N19" s="103"/>
      <c r="O19" s="103"/>
      <c r="P19" s="54"/>
      <c r="Q19" s="103"/>
      <c r="R19" s="103"/>
      <c r="S19" s="100"/>
      <c r="T19" s="103"/>
      <c r="U19" s="103"/>
    </row>
    <row r="20" spans="2:21">
      <c r="B20" s="181" t="s">
        <v>202</v>
      </c>
      <c r="C20" s="147" t="s">
        <v>170</v>
      </c>
      <c r="D20" s="147" t="s">
        <v>170</v>
      </c>
      <c r="E20" s="147" t="s">
        <v>170</v>
      </c>
      <c r="F20" s="147" t="s">
        <v>170</v>
      </c>
      <c r="G20" s="147" t="s">
        <v>170</v>
      </c>
      <c r="H20" s="147" t="s">
        <v>224</v>
      </c>
      <c r="I20" s="103"/>
      <c r="J20" s="54"/>
      <c r="K20" s="103"/>
      <c r="L20" s="103"/>
      <c r="M20" s="54"/>
      <c r="N20" s="103"/>
      <c r="O20" s="103"/>
      <c r="P20" s="54"/>
      <c r="Q20" s="103"/>
      <c r="R20" s="103"/>
      <c r="S20" s="100"/>
      <c r="T20" s="103"/>
      <c r="U20" s="103"/>
    </row>
    <row r="21" spans="2:21">
      <c r="B21" s="110" t="s">
        <v>203</v>
      </c>
      <c r="C21" s="147" t="s">
        <v>170</v>
      </c>
      <c r="D21" s="147" t="s">
        <v>170</v>
      </c>
      <c r="E21" s="147" t="s">
        <v>170</v>
      </c>
      <c r="F21" s="147" t="s">
        <v>170</v>
      </c>
      <c r="G21" s="147" t="s">
        <v>170</v>
      </c>
      <c r="H21" s="147" t="s">
        <v>170</v>
      </c>
      <c r="I21" s="103"/>
      <c r="J21" s="54"/>
      <c r="K21" s="103"/>
      <c r="L21" s="103"/>
      <c r="M21" s="54"/>
      <c r="N21" s="103"/>
      <c r="O21" s="103"/>
      <c r="P21" s="54"/>
      <c r="Q21" s="103"/>
      <c r="R21" s="103"/>
      <c r="S21" s="100"/>
      <c r="T21" s="103"/>
      <c r="U21" s="103"/>
    </row>
    <row r="22" spans="2:21">
      <c r="B22" s="181" t="s">
        <v>204</v>
      </c>
      <c r="C22" s="147" t="s">
        <v>170</v>
      </c>
      <c r="D22" s="147" t="s">
        <v>170</v>
      </c>
      <c r="E22" s="147" t="s">
        <v>170</v>
      </c>
      <c r="F22" s="147" t="s">
        <v>170</v>
      </c>
      <c r="G22" s="147" t="s">
        <v>171</v>
      </c>
      <c r="H22" s="147" t="s">
        <v>171</v>
      </c>
      <c r="I22" s="103"/>
      <c r="J22" s="54"/>
      <c r="K22" s="103"/>
      <c r="L22" s="103"/>
      <c r="M22" s="54"/>
      <c r="N22" s="103"/>
      <c r="O22" s="103"/>
      <c r="P22" s="54"/>
      <c r="Q22" s="103"/>
      <c r="R22" s="103"/>
      <c r="S22" s="100"/>
      <c r="T22" s="103"/>
      <c r="U22" s="103"/>
    </row>
    <row r="23" spans="2:21">
      <c r="B23" s="110" t="s">
        <v>205</v>
      </c>
      <c r="C23" s="147" t="s">
        <v>170</v>
      </c>
      <c r="D23" s="147" t="s">
        <v>170</v>
      </c>
      <c r="E23" s="147" t="s">
        <v>170</v>
      </c>
      <c r="F23" s="147" t="s">
        <v>170</v>
      </c>
      <c r="G23" s="147" t="s">
        <v>170</v>
      </c>
      <c r="H23" s="147" t="s">
        <v>170</v>
      </c>
      <c r="I23" s="103"/>
      <c r="J23" s="54"/>
      <c r="K23" s="103"/>
      <c r="L23" s="103"/>
      <c r="M23" s="54"/>
      <c r="N23" s="103"/>
      <c r="O23" s="103"/>
      <c r="P23" s="54"/>
      <c r="Q23" s="103"/>
      <c r="R23" s="103"/>
      <c r="S23" s="100"/>
      <c r="T23" s="103"/>
      <c r="U23" s="103"/>
    </row>
    <row r="24" spans="2:21">
      <c r="B24" s="181" t="s">
        <v>206</v>
      </c>
      <c r="C24" s="147" t="s">
        <v>170</v>
      </c>
      <c r="D24" s="147" t="s">
        <v>170</v>
      </c>
      <c r="E24" s="147" t="s">
        <v>170</v>
      </c>
      <c r="F24" s="147" t="s">
        <v>170</v>
      </c>
      <c r="G24" s="147" t="s">
        <v>171</v>
      </c>
      <c r="H24" s="147" t="s">
        <v>171</v>
      </c>
      <c r="I24" s="103"/>
      <c r="J24" s="54"/>
      <c r="K24" s="103"/>
      <c r="L24" s="103"/>
      <c r="M24" s="54"/>
      <c r="N24" s="103"/>
      <c r="O24" s="103"/>
      <c r="P24" s="54"/>
      <c r="Q24" s="103"/>
      <c r="R24" s="103"/>
      <c r="S24" s="100"/>
      <c r="T24" s="103"/>
      <c r="U24" s="103"/>
    </row>
    <row r="25" spans="2:21">
      <c r="B25" s="110" t="s">
        <v>207</v>
      </c>
      <c r="C25" s="147" t="s">
        <v>170</v>
      </c>
      <c r="D25" s="147" t="s">
        <v>170</v>
      </c>
      <c r="E25" s="147" t="s">
        <v>170</v>
      </c>
      <c r="F25" s="147" t="s">
        <v>170</v>
      </c>
      <c r="G25" s="147" t="s">
        <v>170</v>
      </c>
      <c r="H25" s="147" t="s">
        <v>170</v>
      </c>
      <c r="I25" s="103"/>
      <c r="J25" s="54"/>
      <c r="K25" s="103"/>
      <c r="L25" s="103"/>
      <c r="M25" s="54"/>
      <c r="N25" s="103"/>
      <c r="O25" s="103"/>
      <c r="P25" s="54"/>
      <c r="Q25" s="103"/>
      <c r="R25" s="103"/>
      <c r="S25" s="100"/>
      <c r="T25" s="103"/>
      <c r="U25" s="103"/>
    </row>
    <row r="26" spans="2:21">
      <c r="B26" s="110" t="s">
        <v>208</v>
      </c>
      <c r="C26" s="147" t="s">
        <v>170</v>
      </c>
      <c r="D26" s="147" t="s">
        <v>170</v>
      </c>
      <c r="E26" s="147" t="s">
        <v>170</v>
      </c>
      <c r="F26" s="147" t="s">
        <v>170</v>
      </c>
      <c r="G26" s="147" t="s">
        <v>170</v>
      </c>
      <c r="H26" s="147" t="s">
        <v>170</v>
      </c>
      <c r="I26" s="103"/>
      <c r="J26" s="54"/>
      <c r="K26" s="103"/>
      <c r="L26" s="103"/>
      <c r="M26" s="54"/>
      <c r="N26" s="103"/>
      <c r="O26" s="103"/>
      <c r="P26" s="54"/>
      <c r="Q26" s="103"/>
      <c r="R26" s="103"/>
      <c r="S26" s="100"/>
      <c r="T26" s="103"/>
      <c r="U26" s="103"/>
    </row>
    <row r="27" spans="2:21">
      <c r="B27" s="181" t="s">
        <v>177</v>
      </c>
      <c r="C27" s="147" t="s">
        <v>170</v>
      </c>
      <c r="D27" s="147" t="s">
        <v>170</v>
      </c>
      <c r="E27" s="147" t="s">
        <v>170</v>
      </c>
      <c r="F27" s="147" t="s">
        <v>170</v>
      </c>
      <c r="G27" s="147" t="s">
        <v>171</v>
      </c>
      <c r="H27" s="147" t="s">
        <v>171</v>
      </c>
      <c r="I27" s="103"/>
      <c r="J27" s="54"/>
      <c r="K27" s="103"/>
      <c r="L27" s="103"/>
      <c r="M27" s="54"/>
      <c r="N27" s="103"/>
      <c r="O27" s="103"/>
      <c r="P27" s="54"/>
      <c r="Q27" s="103"/>
      <c r="R27" s="103"/>
      <c r="S27" s="100"/>
      <c r="T27" s="103"/>
      <c r="U27" s="103"/>
    </row>
    <row r="28" spans="2:21">
      <c r="B28" s="181" t="s">
        <v>209</v>
      </c>
      <c r="C28" s="147" t="s">
        <v>170</v>
      </c>
      <c r="D28" s="147" t="s">
        <v>170</v>
      </c>
      <c r="E28" s="147" t="s">
        <v>170</v>
      </c>
      <c r="F28" s="147" t="s">
        <v>170</v>
      </c>
      <c r="G28" s="147" t="s">
        <v>171</v>
      </c>
      <c r="H28" s="147" t="s">
        <v>171</v>
      </c>
      <c r="I28" s="103"/>
      <c r="J28" s="54"/>
      <c r="K28" s="103"/>
      <c r="L28" s="103"/>
      <c r="M28" s="54"/>
      <c r="N28" s="103"/>
      <c r="O28" s="103"/>
      <c r="P28" s="54"/>
      <c r="Q28" s="103"/>
      <c r="R28" s="103"/>
      <c r="S28" s="100"/>
      <c r="T28" s="103"/>
      <c r="U28" s="103"/>
    </row>
    <row r="29" spans="2:21">
      <c r="B29" s="181" t="s">
        <v>210</v>
      </c>
      <c r="C29" s="147" t="s">
        <v>170</v>
      </c>
      <c r="D29" s="147" t="s">
        <v>170</v>
      </c>
      <c r="E29" s="147" t="s">
        <v>170</v>
      </c>
      <c r="F29" s="147" t="s">
        <v>170</v>
      </c>
      <c r="G29" s="147" t="s">
        <v>171</v>
      </c>
      <c r="H29" s="147" t="s">
        <v>171</v>
      </c>
      <c r="I29" s="103"/>
      <c r="J29" s="54"/>
      <c r="K29" s="103"/>
      <c r="L29" s="103"/>
      <c r="M29" s="54"/>
      <c r="N29" s="103"/>
      <c r="O29" s="103"/>
      <c r="P29" s="54"/>
      <c r="Q29" s="103"/>
      <c r="R29" s="103"/>
      <c r="S29" s="100"/>
      <c r="T29" s="103"/>
      <c r="U29" s="103"/>
    </row>
    <row r="30" spans="2:21">
      <c r="B30" s="181" t="s">
        <v>211</v>
      </c>
      <c r="C30" s="147" t="s">
        <v>170</v>
      </c>
      <c r="D30" s="147" t="s">
        <v>170</v>
      </c>
      <c r="E30" s="147" t="s">
        <v>170</v>
      </c>
      <c r="F30" s="147" t="s">
        <v>170</v>
      </c>
      <c r="G30" s="147" t="s">
        <v>171</v>
      </c>
      <c r="H30" s="147" t="s">
        <v>171</v>
      </c>
      <c r="I30" s="103"/>
      <c r="J30" s="54"/>
      <c r="K30" s="103"/>
      <c r="L30" s="103"/>
      <c r="M30" s="54"/>
      <c r="N30" s="103"/>
      <c r="O30" s="103"/>
      <c r="P30" s="54"/>
      <c r="Q30" s="103"/>
      <c r="R30" s="103"/>
      <c r="S30" s="100"/>
      <c r="T30" s="103"/>
      <c r="U30" s="103"/>
    </row>
    <row r="31" spans="2:21">
      <c r="B31" s="181" t="s">
        <v>212</v>
      </c>
      <c r="C31" s="147" t="s">
        <v>170</v>
      </c>
      <c r="D31" s="147" t="s">
        <v>170</v>
      </c>
      <c r="E31" s="147" t="s">
        <v>170</v>
      </c>
      <c r="F31" s="147" t="s">
        <v>170</v>
      </c>
      <c r="G31" s="147" t="s">
        <v>171</v>
      </c>
      <c r="H31" s="147" t="s">
        <v>171</v>
      </c>
      <c r="I31" s="103"/>
      <c r="J31" s="54"/>
      <c r="K31" s="103"/>
      <c r="L31" s="103"/>
      <c r="M31" s="54"/>
      <c r="N31" s="103"/>
      <c r="O31" s="103"/>
      <c r="P31" s="54"/>
      <c r="Q31" s="103"/>
      <c r="R31" s="103"/>
      <c r="S31" s="100"/>
      <c r="T31" s="103"/>
      <c r="U31" s="103"/>
    </row>
    <row r="32" spans="2:21">
      <c r="B32" s="181" t="s">
        <v>213</v>
      </c>
      <c r="C32" s="147" t="s">
        <v>170</v>
      </c>
      <c r="D32" s="147" t="s">
        <v>170</v>
      </c>
      <c r="E32" s="147" t="s">
        <v>170</v>
      </c>
      <c r="F32" s="147" t="s">
        <v>170</v>
      </c>
      <c r="G32" s="147" t="s">
        <v>171</v>
      </c>
      <c r="H32" s="147" t="s">
        <v>171</v>
      </c>
      <c r="I32" s="103"/>
      <c r="J32" s="54"/>
      <c r="K32" s="103"/>
      <c r="L32" s="103"/>
      <c r="M32" s="54"/>
      <c r="N32" s="103"/>
      <c r="O32" s="103"/>
      <c r="P32" s="54"/>
      <c r="Q32" s="103"/>
      <c r="R32" s="103"/>
      <c r="S32" s="100"/>
      <c r="T32" s="103"/>
      <c r="U32" s="103"/>
    </row>
    <row r="33" spans="2:21">
      <c r="B33" s="181" t="s">
        <v>214</v>
      </c>
      <c r="C33" s="147" t="s">
        <v>170</v>
      </c>
      <c r="D33" s="147" t="s">
        <v>170</v>
      </c>
      <c r="E33" s="147" t="s">
        <v>170</v>
      </c>
      <c r="F33" s="147" t="s">
        <v>170</v>
      </c>
      <c r="G33" s="147" t="s">
        <v>171</v>
      </c>
      <c r="H33" s="147" t="s">
        <v>171</v>
      </c>
      <c r="I33" s="103"/>
      <c r="J33" s="54"/>
      <c r="K33" s="103"/>
      <c r="L33" s="103"/>
      <c r="M33" s="54"/>
      <c r="N33" s="103"/>
      <c r="O33" s="103"/>
      <c r="P33" s="54"/>
      <c r="Q33" s="103"/>
      <c r="R33" s="103"/>
      <c r="S33" s="100"/>
      <c r="T33" s="103"/>
      <c r="U33" s="103"/>
    </row>
    <row r="34" spans="2:21">
      <c r="B34" s="181" t="s">
        <v>215</v>
      </c>
      <c r="C34" s="147" t="s">
        <v>170</v>
      </c>
      <c r="D34" s="147" t="s">
        <v>170</v>
      </c>
      <c r="E34" s="147" t="s">
        <v>170</v>
      </c>
      <c r="F34" s="147" t="s">
        <v>170</v>
      </c>
      <c r="G34" s="147" t="s">
        <v>171</v>
      </c>
      <c r="H34" s="147" t="s">
        <v>171</v>
      </c>
      <c r="I34" s="103"/>
      <c r="J34" s="54"/>
      <c r="K34" s="103"/>
      <c r="L34" s="103"/>
      <c r="M34" s="54"/>
      <c r="N34" s="103"/>
      <c r="O34" s="103"/>
      <c r="P34" s="54"/>
      <c r="Q34" s="103"/>
      <c r="R34" s="103"/>
      <c r="S34" s="100"/>
      <c r="T34" s="103"/>
      <c r="U34" s="103"/>
    </row>
    <row r="35" spans="2:21">
      <c r="B35" s="181" t="s">
        <v>216</v>
      </c>
      <c r="C35" s="147" t="s">
        <v>170</v>
      </c>
      <c r="D35" s="147" t="s">
        <v>170</v>
      </c>
      <c r="E35" s="147" t="s">
        <v>170</v>
      </c>
      <c r="F35" s="147" t="s">
        <v>170</v>
      </c>
      <c r="G35" s="147" t="s">
        <v>171</v>
      </c>
      <c r="H35" s="147" t="s">
        <v>171</v>
      </c>
      <c r="I35" s="103"/>
      <c r="J35" s="54"/>
      <c r="K35" s="103"/>
      <c r="L35" s="103"/>
      <c r="M35" s="54"/>
      <c r="N35" s="103"/>
      <c r="O35" s="103"/>
      <c r="P35" s="54"/>
      <c r="Q35" s="103"/>
      <c r="R35" s="103"/>
      <c r="S35" s="100"/>
      <c r="T35" s="103"/>
      <c r="U35" s="103"/>
    </row>
    <row r="36" spans="2:21">
      <c r="B36" s="181" t="s">
        <v>217</v>
      </c>
      <c r="C36" s="147" t="s">
        <v>170</v>
      </c>
      <c r="D36" s="147" t="s">
        <v>170</v>
      </c>
      <c r="E36" s="147" t="s">
        <v>170</v>
      </c>
      <c r="F36" s="147" t="s">
        <v>170</v>
      </c>
      <c r="G36" s="147" t="s">
        <v>171</v>
      </c>
      <c r="H36" s="147" t="s">
        <v>171</v>
      </c>
      <c r="I36" s="103"/>
      <c r="J36" s="54"/>
      <c r="K36" s="103"/>
      <c r="L36" s="103"/>
      <c r="M36" s="54"/>
      <c r="N36" s="103"/>
      <c r="O36" s="103"/>
      <c r="P36" s="54"/>
      <c r="Q36" s="103"/>
      <c r="R36" s="103"/>
      <c r="S36" s="100"/>
      <c r="T36" s="103"/>
      <c r="U36" s="103"/>
    </row>
    <row r="37" spans="2:21">
      <c r="B37" s="181" t="s">
        <v>218</v>
      </c>
      <c r="C37" s="147" t="s">
        <v>170</v>
      </c>
      <c r="D37" s="147" t="s">
        <v>170</v>
      </c>
      <c r="E37" s="147" t="s">
        <v>170</v>
      </c>
      <c r="F37" s="147" t="s">
        <v>170</v>
      </c>
      <c r="G37" s="147" t="s">
        <v>171</v>
      </c>
      <c r="H37" s="147" t="s">
        <v>171</v>
      </c>
      <c r="I37" s="103"/>
      <c r="J37" s="54"/>
      <c r="K37" s="103"/>
      <c r="L37" s="103"/>
      <c r="M37" s="54"/>
      <c r="N37" s="103"/>
      <c r="O37" s="103"/>
      <c r="P37" s="54"/>
      <c r="Q37" s="103"/>
      <c r="R37" s="103"/>
      <c r="S37" s="100"/>
      <c r="T37" s="103"/>
      <c r="U37" s="103"/>
    </row>
    <row r="38" spans="2:21">
      <c r="B38" s="181" t="s">
        <v>219</v>
      </c>
      <c r="C38" s="147" t="s">
        <v>170</v>
      </c>
      <c r="D38" s="147" t="s">
        <v>170</v>
      </c>
      <c r="E38" s="147" t="s">
        <v>170</v>
      </c>
      <c r="F38" s="147" t="s">
        <v>170</v>
      </c>
      <c r="G38" s="147" t="s">
        <v>171</v>
      </c>
      <c r="H38" s="147" t="s">
        <v>171</v>
      </c>
      <c r="I38" s="103"/>
      <c r="J38" s="54"/>
      <c r="K38" s="103"/>
      <c r="L38" s="103"/>
      <c r="M38" s="54"/>
      <c r="N38" s="103"/>
      <c r="O38" s="103"/>
      <c r="P38" s="54"/>
      <c r="Q38" s="103"/>
      <c r="R38" s="103"/>
      <c r="S38" s="100"/>
      <c r="T38" s="103"/>
      <c r="U38" s="103"/>
    </row>
    <row r="39" spans="2:21">
      <c r="B39" s="181" t="s">
        <v>220</v>
      </c>
      <c r="C39" s="147" t="s">
        <v>170</v>
      </c>
      <c r="D39" s="147" t="s">
        <v>170</v>
      </c>
      <c r="E39" s="147" t="s">
        <v>170</v>
      </c>
      <c r="F39" s="147" t="s">
        <v>170</v>
      </c>
      <c r="G39" s="147" t="s">
        <v>171</v>
      </c>
      <c r="H39" s="147" t="s">
        <v>171</v>
      </c>
      <c r="I39" s="103"/>
      <c r="J39" s="54"/>
      <c r="K39" s="103"/>
      <c r="L39" s="103"/>
      <c r="M39" s="54"/>
      <c r="N39" s="103"/>
      <c r="O39" s="103"/>
      <c r="P39" s="54"/>
      <c r="Q39" s="103"/>
      <c r="R39" s="103"/>
      <c r="S39" s="100"/>
      <c r="T39" s="103"/>
      <c r="U39" s="103"/>
    </row>
    <row r="40" spans="2:21">
      <c r="B40" s="181" t="s">
        <v>221</v>
      </c>
      <c r="C40" s="147" t="s">
        <v>170</v>
      </c>
      <c r="D40" s="147" t="s">
        <v>170</v>
      </c>
      <c r="E40" s="147" t="s">
        <v>170</v>
      </c>
      <c r="F40" s="147" t="s">
        <v>170</v>
      </c>
      <c r="G40" s="147" t="s">
        <v>171</v>
      </c>
      <c r="H40" s="147" t="s">
        <v>171</v>
      </c>
      <c r="I40" s="103"/>
      <c r="J40" s="54"/>
      <c r="K40" s="103"/>
      <c r="L40" s="103"/>
      <c r="M40" s="54"/>
      <c r="N40" s="103"/>
      <c r="O40" s="103"/>
      <c r="P40" s="54"/>
      <c r="Q40" s="103"/>
      <c r="R40" s="103"/>
      <c r="S40" s="100"/>
      <c r="T40" s="103"/>
      <c r="U40" s="103"/>
    </row>
    <row r="41" spans="2:21">
      <c r="B41" s="181" t="s">
        <v>222</v>
      </c>
      <c r="C41" s="147" t="s">
        <v>170</v>
      </c>
      <c r="D41" s="147" t="s">
        <v>170</v>
      </c>
      <c r="E41" s="147" t="s">
        <v>170</v>
      </c>
      <c r="F41" s="147" t="s">
        <v>170</v>
      </c>
      <c r="G41" s="147" t="s">
        <v>170</v>
      </c>
      <c r="H41" s="147" t="s">
        <v>171</v>
      </c>
      <c r="I41" s="103"/>
      <c r="J41" s="54"/>
      <c r="K41" s="103"/>
      <c r="L41" s="103"/>
      <c r="M41" s="54"/>
      <c r="N41" s="103"/>
      <c r="O41" s="103"/>
      <c r="P41" s="54"/>
      <c r="Q41" s="103"/>
      <c r="R41" s="103"/>
      <c r="S41" s="100"/>
      <c r="T41" s="103"/>
      <c r="U41" s="103"/>
    </row>
    <row r="42" spans="2:21">
      <c r="B42" s="110" t="s">
        <v>223</v>
      </c>
      <c r="C42" s="147" t="s">
        <v>170</v>
      </c>
      <c r="D42" s="147" t="s">
        <v>170</v>
      </c>
      <c r="E42" s="147" t="s">
        <v>170</v>
      </c>
      <c r="F42" s="147" t="s">
        <v>170</v>
      </c>
      <c r="G42" s="147" t="s">
        <v>170</v>
      </c>
      <c r="H42" s="147" t="s">
        <v>170</v>
      </c>
      <c r="I42" s="103"/>
      <c r="J42" s="54"/>
      <c r="K42" s="103"/>
      <c r="L42" s="103"/>
      <c r="M42" s="54"/>
      <c r="N42" s="103"/>
      <c r="O42" s="103"/>
      <c r="P42" s="54"/>
      <c r="Q42" s="103"/>
      <c r="R42" s="103"/>
      <c r="S42" s="100"/>
      <c r="T42" s="103"/>
      <c r="U42" s="103"/>
    </row>
    <row r="43" spans="2:21">
      <c r="B43" s="180" t="s">
        <v>225</v>
      </c>
      <c r="C43" s="147" t="s">
        <v>170</v>
      </c>
      <c r="D43" s="147" t="s">
        <v>170</v>
      </c>
      <c r="E43" s="147" t="s">
        <v>170</v>
      </c>
      <c r="F43" s="147" t="s">
        <v>170</v>
      </c>
      <c r="G43" s="147" t="s">
        <v>171</v>
      </c>
      <c r="H43" s="147" t="s">
        <v>171</v>
      </c>
      <c r="I43" s="103"/>
      <c r="J43" s="54"/>
      <c r="K43" s="103"/>
      <c r="L43" s="103"/>
      <c r="M43" s="54"/>
      <c r="N43" s="103"/>
      <c r="O43" s="103"/>
      <c r="P43" s="54"/>
      <c r="Q43" s="103"/>
      <c r="R43" s="103"/>
      <c r="S43" s="100"/>
      <c r="T43" s="103"/>
      <c r="U43" s="103"/>
    </row>
    <row r="44" spans="2:21">
      <c r="B44" s="180" t="s">
        <v>226</v>
      </c>
      <c r="C44" s="147" t="s">
        <v>171</v>
      </c>
      <c r="D44" s="147" t="s">
        <v>171</v>
      </c>
      <c r="E44" s="147" t="s">
        <v>171</v>
      </c>
      <c r="F44" s="147" t="s">
        <v>171</v>
      </c>
      <c r="G44" s="147" t="s">
        <v>170</v>
      </c>
      <c r="H44" s="147" t="s">
        <v>170</v>
      </c>
      <c r="I44" s="103"/>
      <c r="J44" s="54"/>
      <c r="K44" s="103"/>
      <c r="L44" s="103"/>
      <c r="M44" s="54"/>
      <c r="N44" s="103"/>
      <c r="O44" s="103"/>
      <c r="P44" s="54"/>
      <c r="Q44" s="103"/>
      <c r="R44" s="103"/>
      <c r="S44" s="100"/>
      <c r="T44" s="103"/>
      <c r="U44" s="103"/>
    </row>
    <row r="45" spans="2:21">
      <c r="B45" s="181" t="s">
        <v>127</v>
      </c>
      <c r="C45" s="147" t="s">
        <v>171</v>
      </c>
      <c r="D45" s="147" t="s">
        <v>171</v>
      </c>
      <c r="E45" s="147" t="s">
        <v>171</v>
      </c>
      <c r="F45" s="147" t="s">
        <v>171</v>
      </c>
      <c r="G45" s="147" t="s">
        <v>170</v>
      </c>
      <c r="H45" s="147" t="s">
        <v>170</v>
      </c>
      <c r="I45" s="103"/>
      <c r="J45" s="54"/>
      <c r="K45" s="103"/>
      <c r="L45" s="103"/>
      <c r="M45" s="54"/>
      <c r="N45" s="103"/>
      <c r="O45" s="103"/>
      <c r="P45" s="54"/>
      <c r="Q45" s="103"/>
      <c r="R45" s="103"/>
      <c r="S45" s="100"/>
      <c r="T45" s="103"/>
      <c r="U45" s="103"/>
    </row>
    <row r="46" spans="2:21">
      <c r="B46" s="181" t="s">
        <v>128</v>
      </c>
      <c r="C46" s="147" t="s">
        <v>170</v>
      </c>
      <c r="D46" s="147" t="s">
        <v>170</v>
      </c>
      <c r="E46" s="147" t="s">
        <v>170</v>
      </c>
      <c r="F46" s="147" t="s">
        <v>170</v>
      </c>
      <c r="G46" s="147" t="s">
        <v>171</v>
      </c>
      <c r="H46" s="147" t="s">
        <v>171</v>
      </c>
      <c r="I46" s="103"/>
      <c r="J46" s="54"/>
      <c r="K46" s="103"/>
      <c r="L46" s="103"/>
      <c r="M46" s="54"/>
      <c r="N46" s="103"/>
      <c r="O46" s="103"/>
      <c r="P46" s="54"/>
      <c r="Q46" s="103"/>
      <c r="R46" s="103"/>
      <c r="S46" s="100"/>
      <c r="T46" s="103"/>
      <c r="U46" s="103"/>
    </row>
    <row r="47" spans="2:21">
      <c r="B47" s="181" t="s">
        <v>129</v>
      </c>
      <c r="C47" s="147" t="s">
        <v>170</v>
      </c>
      <c r="D47" s="147" t="s">
        <v>170</v>
      </c>
      <c r="E47" s="147" t="s">
        <v>170</v>
      </c>
      <c r="F47" s="147" t="s">
        <v>170</v>
      </c>
      <c r="G47" s="147" t="s">
        <v>171</v>
      </c>
      <c r="H47" s="147" t="s">
        <v>171</v>
      </c>
      <c r="I47" s="103"/>
      <c r="J47" s="54"/>
      <c r="K47" s="103"/>
      <c r="L47" s="103"/>
      <c r="M47" s="54"/>
      <c r="N47" s="103"/>
      <c r="O47" s="103"/>
      <c r="P47" s="54"/>
      <c r="Q47" s="103"/>
      <c r="R47" s="103"/>
      <c r="S47" s="100"/>
      <c r="T47" s="103"/>
      <c r="U47" s="103"/>
    </row>
    <row r="48" spans="2:21">
      <c r="B48" s="181" t="s">
        <v>1319</v>
      </c>
      <c r="C48" s="147" t="s">
        <v>170</v>
      </c>
      <c r="D48" s="147" t="s">
        <v>170</v>
      </c>
      <c r="E48" s="147" t="s">
        <v>170</v>
      </c>
      <c r="F48" s="147" t="s">
        <v>170</v>
      </c>
      <c r="G48" s="147" t="s">
        <v>171</v>
      </c>
      <c r="H48" s="147" t="s">
        <v>171</v>
      </c>
      <c r="I48" s="103"/>
      <c r="J48" s="54"/>
      <c r="K48" s="103"/>
      <c r="L48" s="103"/>
      <c r="M48" s="54"/>
      <c r="N48" s="103"/>
      <c r="O48" s="103"/>
      <c r="P48" s="54"/>
      <c r="Q48" s="103"/>
      <c r="R48" s="103"/>
      <c r="S48" s="100"/>
      <c r="T48" s="103"/>
      <c r="U48" s="103"/>
    </row>
    <row r="49" spans="2:21">
      <c r="B49" s="181" t="s">
        <v>1320</v>
      </c>
      <c r="C49" s="147" t="s">
        <v>170</v>
      </c>
      <c r="D49" s="147" t="s">
        <v>170</v>
      </c>
      <c r="E49" s="147" t="s">
        <v>170</v>
      </c>
      <c r="F49" s="147" t="s">
        <v>170</v>
      </c>
      <c r="G49" s="147" t="s">
        <v>171</v>
      </c>
      <c r="H49" s="147" t="s">
        <v>171</v>
      </c>
      <c r="I49" s="103"/>
      <c r="J49" s="54"/>
      <c r="K49" s="103"/>
      <c r="L49" s="103"/>
      <c r="M49" s="54"/>
      <c r="N49" s="103"/>
      <c r="O49" s="103"/>
      <c r="P49" s="54"/>
      <c r="Q49" s="103"/>
      <c r="R49" s="103"/>
      <c r="S49" s="100"/>
      <c r="T49" s="103"/>
      <c r="U49" s="103"/>
    </row>
    <row r="50" spans="2:21">
      <c r="B50" s="181" t="s">
        <v>1321</v>
      </c>
      <c r="C50" s="147" t="s">
        <v>170</v>
      </c>
      <c r="D50" s="147" t="s">
        <v>170</v>
      </c>
      <c r="E50" s="147" t="s">
        <v>170</v>
      </c>
      <c r="F50" s="147" t="s">
        <v>170</v>
      </c>
      <c r="G50" s="147" t="s">
        <v>171</v>
      </c>
      <c r="H50" s="147" t="s">
        <v>171</v>
      </c>
      <c r="I50" s="103"/>
      <c r="J50" s="54"/>
      <c r="K50" s="103"/>
      <c r="L50" s="103"/>
      <c r="M50" s="54"/>
      <c r="N50" s="103"/>
      <c r="O50" s="103"/>
      <c r="P50" s="54"/>
      <c r="Q50" s="103"/>
      <c r="R50" s="103"/>
      <c r="S50" s="100"/>
      <c r="T50" s="103"/>
      <c r="U50" s="103"/>
    </row>
  </sheetData>
  <autoFilter ref="C5:H47"/>
  <mergeCells count="7">
    <mergeCell ref="S4:U4"/>
    <mergeCell ref="B4:B5"/>
    <mergeCell ref="C4:H4"/>
    <mergeCell ref="I4:K4"/>
    <mergeCell ref="L4:N4"/>
    <mergeCell ref="O4:Q4"/>
    <mergeCell ref="R4:R5"/>
  </mergeCells>
  <phoneticPr fontId="2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S10"/>
  <sheetViews>
    <sheetView workbookViewId="0">
      <pane xSplit="1" ySplit="5" topLeftCell="B6" activePane="bottomRight" state="frozen"/>
      <selection pane="topRight" activeCell="B1" sqref="B1"/>
      <selection pane="bottomLeft" activeCell="A6" sqref="A6"/>
      <selection pane="bottomRight"/>
    </sheetView>
  </sheetViews>
  <sheetFormatPr defaultRowHeight="13.5"/>
  <cols>
    <col min="1" max="1" width="2.25" customWidth="1"/>
    <col min="2" max="2" width="30.75" bestFit="1" customWidth="1"/>
    <col min="3" max="3" width="16.875" bestFit="1" customWidth="1"/>
    <col min="4" max="5" width="17.125" customWidth="1"/>
    <col min="6" max="6" width="19.375" customWidth="1"/>
  </cols>
  <sheetData>
    <row r="4" spans="2:19">
      <c r="B4" s="248" t="s">
        <v>163</v>
      </c>
      <c r="C4" s="248" t="s">
        <v>176</v>
      </c>
      <c r="D4" s="248"/>
      <c r="E4" s="248"/>
      <c r="F4" s="248"/>
      <c r="G4" s="241" t="s">
        <v>91</v>
      </c>
      <c r="H4" s="241"/>
      <c r="I4" s="241"/>
      <c r="J4" s="241" t="s">
        <v>84</v>
      </c>
      <c r="K4" s="241"/>
      <c r="L4" s="241"/>
      <c r="M4" s="241" t="s">
        <v>85</v>
      </c>
      <c r="N4" s="241"/>
      <c r="O4" s="241"/>
      <c r="P4" s="250" t="s">
        <v>78</v>
      </c>
      <c r="Q4" s="242" t="s">
        <v>14</v>
      </c>
      <c r="R4" s="242"/>
      <c r="S4" s="242"/>
    </row>
    <row r="5" spans="2:19">
      <c r="B5" s="248"/>
      <c r="C5" s="148" t="s">
        <v>261</v>
      </c>
      <c r="D5" s="148" t="s">
        <v>262</v>
      </c>
      <c r="E5" s="248" t="s">
        <v>263</v>
      </c>
      <c r="F5" s="248"/>
      <c r="G5" s="139" t="s">
        <v>8</v>
      </c>
      <c r="H5" s="139" t="s">
        <v>9</v>
      </c>
      <c r="I5" s="139" t="s">
        <v>10</v>
      </c>
      <c r="J5" s="139" t="s">
        <v>8</v>
      </c>
      <c r="K5" s="139" t="s">
        <v>9</v>
      </c>
      <c r="L5" s="139" t="s">
        <v>10</v>
      </c>
      <c r="M5" s="139" t="s">
        <v>8</v>
      </c>
      <c r="N5" s="139" t="s">
        <v>9</v>
      </c>
      <c r="O5" s="139" t="s">
        <v>10</v>
      </c>
      <c r="P5" s="241"/>
      <c r="Q5" s="140"/>
      <c r="R5" s="140"/>
      <c r="S5" s="140"/>
    </row>
    <row r="6" spans="2:19" ht="12.95" customHeight="1">
      <c r="B6" s="100" t="s">
        <v>251</v>
      </c>
      <c r="C6" s="251" t="s">
        <v>264</v>
      </c>
      <c r="D6" s="251" t="s">
        <v>266</v>
      </c>
      <c r="E6" s="251" t="s">
        <v>174</v>
      </c>
      <c r="F6" s="251" t="s">
        <v>175</v>
      </c>
      <c r="G6" s="103"/>
      <c r="H6" s="54"/>
      <c r="I6" s="103"/>
      <c r="J6" s="103"/>
      <c r="K6" s="54"/>
      <c r="L6" s="103"/>
      <c r="M6" s="103"/>
      <c r="N6" s="54"/>
      <c r="O6" s="103"/>
      <c r="P6" s="103"/>
      <c r="Q6" s="100"/>
      <c r="R6" s="103"/>
      <c r="S6" s="103"/>
    </row>
    <row r="7" spans="2:19">
      <c r="B7" s="100" t="s">
        <v>247</v>
      </c>
      <c r="C7" s="251"/>
      <c r="D7" s="251"/>
      <c r="E7" s="251"/>
      <c r="F7" s="251"/>
      <c r="G7" s="103"/>
      <c r="H7" s="54"/>
      <c r="I7" s="103"/>
      <c r="J7" s="103"/>
      <c r="K7" s="54"/>
      <c r="L7" s="103"/>
      <c r="M7" s="103"/>
      <c r="N7" s="54"/>
      <c r="O7" s="103"/>
      <c r="P7" s="103"/>
      <c r="Q7" s="100"/>
      <c r="R7" s="103"/>
      <c r="S7" s="103"/>
    </row>
    <row r="8" spans="2:19">
      <c r="B8" s="100" t="s">
        <v>248</v>
      </c>
      <c r="C8" s="251"/>
      <c r="D8" s="251"/>
      <c r="E8" s="251"/>
      <c r="F8" s="251"/>
      <c r="G8" s="103"/>
      <c r="H8" s="54"/>
      <c r="I8" s="103"/>
      <c r="J8" s="103"/>
      <c r="K8" s="54"/>
      <c r="L8" s="103"/>
      <c r="M8" s="103"/>
      <c r="N8" s="54"/>
      <c r="O8" s="103"/>
      <c r="P8" s="103"/>
      <c r="Q8" s="100"/>
      <c r="R8" s="103"/>
      <c r="S8" s="103"/>
    </row>
    <row r="9" spans="2:19">
      <c r="B9" s="100" t="s">
        <v>249</v>
      </c>
      <c r="C9" s="251"/>
      <c r="D9" s="251"/>
      <c r="E9" s="251"/>
      <c r="F9" s="251"/>
      <c r="G9" s="103"/>
      <c r="H9" s="54"/>
      <c r="I9" s="103"/>
      <c r="J9" s="103"/>
      <c r="K9" s="54"/>
      <c r="L9" s="103"/>
      <c r="M9" s="103"/>
      <c r="N9" s="54"/>
      <c r="O9" s="103"/>
      <c r="P9" s="103"/>
      <c r="Q9" s="100"/>
      <c r="R9" s="103"/>
      <c r="S9" s="103"/>
    </row>
    <row r="10" spans="2:19">
      <c r="B10" s="100" t="s">
        <v>250</v>
      </c>
      <c r="C10" s="251"/>
      <c r="D10" s="251"/>
      <c r="E10" s="251"/>
      <c r="F10" s="251"/>
      <c r="G10" s="103"/>
      <c r="H10" s="54"/>
      <c r="I10" s="103"/>
      <c r="J10" s="103"/>
      <c r="K10" s="54"/>
      <c r="L10" s="103"/>
      <c r="M10" s="103"/>
      <c r="N10" s="54"/>
      <c r="O10" s="103"/>
      <c r="P10" s="103"/>
      <c r="Q10" s="100"/>
      <c r="R10" s="103"/>
      <c r="S10" s="103"/>
    </row>
  </sheetData>
  <mergeCells count="12">
    <mergeCell ref="Q4:S4"/>
    <mergeCell ref="C6:C10"/>
    <mergeCell ref="D6:D10"/>
    <mergeCell ref="F6:F10"/>
    <mergeCell ref="E6:E10"/>
    <mergeCell ref="B4:B5"/>
    <mergeCell ref="G4:I4"/>
    <mergeCell ref="J4:L4"/>
    <mergeCell ref="M4:O4"/>
    <mergeCell ref="P4:P5"/>
    <mergeCell ref="C4:F4"/>
    <mergeCell ref="E5:F5"/>
  </mergeCells>
  <phoneticPr fontId="2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2"/>
  <sheetViews>
    <sheetView zoomScale="85" zoomScaleNormal="85" workbookViewId="0"/>
  </sheetViews>
  <sheetFormatPr defaultRowHeight="13.5"/>
  <cols>
    <col min="1" max="1" width="4.125" customWidth="1"/>
    <col min="2" max="2" width="56.5" bestFit="1" customWidth="1"/>
    <col min="3" max="3" width="30.5" customWidth="1"/>
    <col min="4" max="4" width="65.5" style="163" bestFit="1" customWidth="1"/>
  </cols>
  <sheetData>
    <row r="1" spans="1:7">
      <c r="A1" t="s">
        <v>94</v>
      </c>
    </row>
    <row r="4" spans="1:7">
      <c r="A4" s="106" t="s">
        <v>488</v>
      </c>
      <c r="E4" s="164" t="s">
        <v>450</v>
      </c>
    </row>
    <row r="5" spans="1:7">
      <c r="A5" s="108"/>
      <c r="B5" s="106" t="s">
        <v>489</v>
      </c>
      <c r="C5" s="111"/>
    </row>
    <row r="6" spans="1:7">
      <c r="B6" s="107" t="s">
        <v>95</v>
      </c>
      <c r="C6" s="107" t="s">
        <v>96</v>
      </c>
      <c r="D6" s="165" t="s">
        <v>97</v>
      </c>
      <c r="E6" s="166" t="s">
        <v>490</v>
      </c>
      <c r="F6" s="166" t="s">
        <v>491</v>
      </c>
      <c r="G6" s="166" t="s">
        <v>477</v>
      </c>
    </row>
    <row r="7" spans="1:7">
      <c r="A7" s="108"/>
      <c r="B7" s="109" t="s">
        <v>451</v>
      </c>
      <c r="C7" s="128" t="s">
        <v>492</v>
      </c>
      <c r="D7" s="117"/>
      <c r="E7" s="167"/>
      <c r="F7" s="167"/>
      <c r="G7" s="167"/>
    </row>
    <row r="8" spans="1:7">
      <c r="A8" s="108"/>
      <c r="B8" s="109" t="s">
        <v>493</v>
      </c>
      <c r="C8" s="128" t="s">
        <v>494</v>
      </c>
      <c r="D8" s="117"/>
      <c r="E8" s="167"/>
      <c r="F8" s="167"/>
      <c r="G8" s="167"/>
    </row>
    <row r="9" spans="1:7">
      <c r="A9" s="108"/>
      <c r="B9" s="109" t="s">
        <v>455</v>
      </c>
      <c r="C9" s="128" t="s">
        <v>495</v>
      </c>
      <c r="D9" s="117"/>
      <c r="E9" s="167"/>
      <c r="F9" s="167"/>
      <c r="G9" s="167"/>
    </row>
    <row r="10" spans="1:7">
      <c r="A10" s="108"/>
      <c r="B10" s="109" t="s">
        <v>458</v>
      </c>
      <c r="C10" s="128" t="s">
        <v>459</v>
      </c>
      <c r="D10" s="117"/>
      <c r="E10" s="167"/>
      <c r="F10" s="167"/>
      <c r="G10" s="167"/>
    </row>
    <row r="11" spans="1:7">
      <c r="A11" s="108"/>
      <c r="B11" s="109" t="s">
        <v>496</v>
      </c>
      <c r="C11" s="128" t="s">
        <v>497</v>
      </c>
      <c r="D11" s="117"/>
      <c r="E11" s="167"/>
      <c r="F11" s="167"/>
      <c r="G11" s="167"/>
    </row>
    <row r="12" spans="1:7">
      <c r="A12" s="108"/>
      <c r="B12" s="109" t="s">
        <v>1274</v>
      </c>
      <c r="C12" s="128" t="s">
        <v>140</v>
      </c>
      <c r="D12" s="117"/>
      <c r="E12" s="167"/>
      <c r="F12" s="167"/>
      <c r="G12" s="167"/>
    </row>
    <row r="13" spans="1:7">
      <c r="A13" s="108"/>
      <c r="B13" s="109" t="s">
        <v>498</v>
      </c>
      <c r="C13" s="128" t="s">
        <v>465</v>
      </c>
      <c r="D13" s="117"/>
      <c r="E13" s="167"/>
      <c r="F13" s="167"/>
      <c r="G13" s="167"/>
    </row>
    <row r="14" spans="1:7">
      <c r="A14" s="108"/>
      <c r="B14" s="109" t="s">
        <v>499</v>
      </c>
      <c r="C14" s="128" t="s">
        <v>466</v>
      </c>
      <c r="D14" s="117"/>
      <c r="E14" s="167"/>
      <c r="F14" s="167"/>
      <c r="G14" s="167"/>
    </row>
    <row r="15" spans="1:7">
      <c r="A15" s="108"/>
      <c r="B15" s="109" t="s">
        <v>467</v>
      </c>
      <c r="C15" s="128" t="s">
        <v>485</v>
      </c>
      <c r="D15" s="117"/>
      <c r="E15" s="167"/>
      <c r="F15" s="167"/>
      <c r="G15" s="167"/>
    </row>
    <row r="16" spans="1:7">
      <c r="A16" s="108"/>
      <c r="B16" s="109" t="s">
        <v>469</v>
      </c>
      <c r="C16" s="128" t="s">
        <v>500</v>
      </c>
      <c r="D16" s="117"/>
      <c r="E16" s="167"/>
      <c r="F16" s="167"/>
      <c r="G16" s="167"/>
    </row>
    <row r="17" spans="1:7">
      <c r="A17" s="108"/>
      <c r="B17" s="128" t="s">
        <v>1275</v>
      </c>
      <c r="C17" s="128" t="s">
        <v>470</v>
      </c>
      <c r="D17" s="117"/>
      <c r="E17" s="167"/>
      <c r="F17" s="167"/>
      <c r="G17" s="167"/>
    </row>
    <row r="18" spans="1:7">
      <c r="A18" s="108"/>
      <c r="B18" s="128" t="s">
        <v>471</v>
      </c>
      <c r="C18" s="128" t="s">
        <v>472</v>
      </c>
      <c r="D18" s="117"/>
      <c r="E18" s="167"/>
      <c r="F18" s="167"/>
      <c r="G18" s="167"/>
    </row>
    <row r="19" spans="1:7">
      <c r="A19" s="108"/>
      <c r="B19" s="128" t="s">
        <v>501</v>
      </c>
      <c r="C19" s="128" t="s">
        <v>473</v>
      </c>
      <c r="D19" s="117"/>
      <c r="E19" s="167"/>
      <c r="F19" s="167"/>
      <c r="G19" s="167"/>
    </row>
    <row r="20" spans="1:7">
      <c r="A20" s="108"/>
      <c r="B20" s="128" t="s">
        <v>502</v>
      </c>
      <c r="C20" s="128" t="s">
        <v>474</v>
      </c>
      <c r="D20" s="117"/>
      <c r="E20" s="167"/>
      <c r="F20" s="167"/>
      <c r="G20" s="167"/>
    </row>
    <row r="21" spans="1:7">
      <c r="A21" s="108"/>
      <c r="B21" s="106" t="s">
        <v>503</v>
      </c>
      <c r="C21" s="111"/>
    </row>
    <row r="22" spans="1:7">
      <c r="B22" s="107" t="s">
        <v>95</v>
      </c>
      <c r="C22" s="107" t="s">
        <v>96</v>
      </c>
      <c r="D22" s="165" t="s">
        <v>97</v>
      </c>
      <c r="E22" s="166" t="s">
        <v>476</v>
      </c>
      <c r="F22" s="166" t="s">
        <v>491</v>
      </c>
      <c r="G22" s="166" t="s">
        <v>504</v>
      </c>
    </row>
    <row r="23" spans="1:7">
      <c r="B23" s="109" t="s">
        <v>505</v>
      </c>
      <c r="C23" s="109" t="s">
        <v>480</v>
      </c>
      <c r="D23" s="117" t="s">
        <v>391</v>
      </c>
      <c r="E23" s="167"/>
      <c r="F23" s="167"/>
      <c r="G23" s="167"/>
    </row>
    <row r="24" spans="1:7">
      <c r="B24" s="109" t="s">
        <v>481</v>
      </c>
      <c r="C24" s="109" t="s">
        <v>506</v>
      </c>
      <c r="D24" s="117"/>
      <c r="E24" s="167"/>
      <c r="F24" s="167"/>
      <c r="G24" s="167"/>
    </row>
    <row r="25" spans="1:7" ht="27">
      <c r="B25" s="109" t="s">
        <v>507</v>
      </c>
      <c r="C25" s="109" t="s">
        <v>508</v>
      </c>
      <c r="D25" s="117" t="s">
        <v>392</v>
      </c>
      <c r="E25" s="167"/>
      <c r="F25" s="167"/>
      <c r="G25" s="167"/>
    </row>
    <row r="26" spans="1:7">
      <c r="B26" s="109" t="s">
        <v>509</v>
      </c>
      <c r="C26" s="109" t="s">
        <v>482</v>
      </c>
      <c r="D26" s="117"/>
      <c r="E26" s="167"/>
      <c r="F26" s="167"/>
      <c r="G26" s="167"/>
    </row>
    <row r="27" spans="1:7">
      <c r="B27" s="109" t="s">
        <v>483</v>
      </c>
      <c r="C27" s="109" t="s">
        <v>510</v>
      </c>
      <c r="D27" s="117"/>
      <c r="E27" s="167"/>
      <c r="F27" s="167"/>
      <c r="G27" s="167"/>
    </row>
    <row r="28" spans="1:7">
      <c r="B28" s="109" t="s">
        <v>511</v>
      </c>
      <c r="C28" s="109" t="s">
        <v>512</v>
      </c>
      <c r="D28" s="117"/>
      <c r="E28" s="167"/>
      <c r="F28" s="167"/>
      <c r="G28" s="167"/>
    </row>
    <row r="29" spans="1:7">
      <c r="B29" s="109" t="s">
        <v>513</v>
      </c>
      <c r="C29" s="109" t="s">
        <v>514</v>
      </c>
      <c r="D29" s="117"/>
      <c r="E29" s="167"/>
      <c r="F29" s="167"/>
      <c r="G29" s="167"/>
    </row>
    <row r="30" spans="1:7">
      <c r="B30" s="118"/>
      <c r="C30" s="118"/>
      <c r="D30" s="168"/>
    </row>
    <row r="31" spans="1:7">
      <c r="A31" s="106" t="s">
        <v>753</v>
      </c>
    </row>
    <row r="32" spans="1:7">
      <c r="A32" s="108"/>
      <c r="B32" s="106" t="s">
        <v>104</v>
      </c>
      <c r="C32" s="111"/>
    </row>
    <row r="33" spans="1:6">
      <c r="B33" s="107" t="s">
        <v>95</v>
      </c>
      <c r="C33" s="107" t="s">
        <v>96</v>
      </c>
      <c r="D33" s="165" t="s">
        <v>97</v>
      </c>
      <c r="E33" s="166" t="s">
        <v>476</v>
      </c>
      <c r="F33" s="166" t="s">
        <v>491</v>
      </c>
    </row>
    <row r="34" spans="1:6">
      <c r="A34" s="108"/>
      <c r="B34" s="109" t="s">
        <v>451</v>
      </c>
      <c r="C34" s="128" t="s">
        <v>452</v>
      </c>
      <c r="D34" s="117"/>
      <c r="E34" s="167"/>
      <c r="F34" s="167"/>
    </row>
    <row r="35" spans="1:6">
      <c r="A35" s="108"/>
      <c r="B35" s="109" t="s">
        <v>493</v>
      </c>
      <c r="C35" s="128" t="s">
        <v>454</v>
      </c>
      <c r="D35" s="117"/>
      <c r="E35" s="167"/>
      <c r="F35" s="167"/>
    </row>
    <row r="36" spans="1:6">
      <c r="A36" s="108"/>
      <c r="B36" s="109" t="s">
        <v>455</v>
      </c>
      <c r="C36" s="128" t="s">
        <v>495</v>
      </c>
      <c r="D36" s="117"/>
      <c r="E36" s="167"/>
      <c r="F36" s="167"/>
    </row>
    <row r="37" spans="1:6">
      <c r="A37" s="108"/>
      <c r="B37" s="109" t="s">
        <v>458</v>
      </c>
      <c r="C37" s="128" t="s">
        <v>459</v>
      </c>
      <c r="D37" s="117"/>
      <c r="E37" s="167"/>
      <c r="F37" s="167"/>
    </row>
    <row r="38" spans="1:6">
      <c r="A38" s="108"/>
      <c r="B38" s="109" t="s">
        <v>461</v>
      </c>
      <c r="C38" s="128" t="s">
        <v>497</v>
      </c>
      <c r="D38" s="117"/>
      <c r="E38" s="167"/>
      <c r="F38" s="167"/>
    </row>
    <row r="39" spans="1:6">
      <c r="A39" s="108"/>
      <c r="B39" s="109" t="s">
        <v>1274</v>
      </c>
      <c r="C39" s="128" t="s">
        <v>140</v>
      </c>
      <c r="D39" s="117"/>
      <c r="E39" s="167"/>
      <c r="F39" s="167"/>
    </row>
    <row r="40" spans="1:6">
      <c r="A40" s="108"/>
      <c r="B40" s="109" t="s">
        <v>464</v>
      </c>
      <c r="C40" s="128" t="s">
        <v>465</v>
      </c>
      <c r="D40" s="117"/>
      <c r="E40" s="167"/>
      <c r="F40" s="167"/>
    </row>
    <row r="41" spans="1:6">
      <c r="A41" s="108"/>
      <c r="B41" s="109" t="s">
        <v>499</v>
      </c>
      <c r="C41" s="128" t="s">
        <v>466</v>
      </c>
      <c r="D41" s="117"/>
      <c r="E41" s="167"/>
      <c r="F41" s="167"/>
    </row>
    <row r="42" spans="1:6">
      <c r="A42" s="108"/>
      <c r="B42" s="109" t="s">
        <v>467</v>
      </c>
      <c r="C42" s="128" t="s">
        <v>468</v>
      </c>
      <c r="D42" s="117"/>
      <c r="E42" s="167"/>
      <c r="F42" s="167"/>
    </row>
    <row r="43" spans="1:6">
      <c r="A43" s="108"/>
      <c r="B43" s="128" t="s">
        <v>1275</v>
      </c>
      <c r="C43" s="128" t="s">
        <v>470</v>
      </c>
      <c r="D43" s="117"/>
      <c r="E43" s="167"/>
      <c r="F43" s="167"/>
    </row>
    <row r="44" spans="1:6">
      <c r="A44" s="108"/>
      <c r="B44" s="106" t="s">
        <v>105</v>
      </c>
      <c r="C44" s="111"/>
    </row>
    <row r="45" spans="1:6">
      <c r="B45" s="107" t="s">
        <v>95</v>
      </c>
      <c r="C45" s="107" t="s">
        <v>96</v>
      </c>
      <c r="D45" s="165" t="s">
        <v>97</v>
      </c>
      <c r="E45" s="166" t="s">
        <v>476</v>
      </c>
      <c r="F45" s="166" t="s">
        <v>491</v>
      </c>
    </row>
    <row r="46" spans="1:6">
      <c r="B46" s="109" t="s">
        <v>754</v>
      </c>
      <c r="C46" s="109" t="s">
        <v>755</v>
      </c>
      <c r="D46" s="117"/>
      <c r="E46" s="167"/>
      <c r="F46" s="167"/>
    </row>
    <row r="47" spans="1:6">
      <c r="B47" s="118"/>
      <c r="C47" s="118"/>
      <c r="D47" s="168"/>
    </row>
    <row r="48" spans="1:6">
      <c r="A48" s="252" t="s">
        <v>515</v>
      </c>
      <c r="B48" s="252"/>
      <c r="C48" s="111"/>
      <c r="E48" s="111"/>
    </row>
    <row r="49" spans="1:5">
      <c r="B49" t="s">
        <v>104</v>
      </c>
    </row>
    <row r="50" spans="1:5">
      <c r="B50" s="107" t="s">
        <v>95</v>
      </c>
      <c r="C50" s="107" t="s">
        <v>96</v>
      </c>
      <c r="D50" s="165" t="s">
        <v>97</v>
      </c>
      <c r="E50" s="166" t="s">
        <v>476</v>
      </c>
    </row>
    <row r="51" spans="1:5">
      <c r="A51" s="108"/>
      <c r="B51" s="109" t="s">
        <v>517</v>
      </c>
      <c r="C51" s="128" t="s">
        <v>452</v>
      </c>
      <c r="D51" s="117"/>
      <c r="E51" s="167"/>
    </row>
    <row r="52" spans="1:5">
      <c r="A52" s="108"/>
      <c r="B52" s="109" t="s">
        <v>453</v>
      </c>
      <c r="C52" s="128" t="s">
        <v>454</v>
      </c>
      <c r="D52" s="117"/>
      <c r="E52" s="167"/>
    </row>
    <row r="53" spans="1:5">
      <c r="A53" s="108"/>
      <c r="B53" s="109" t="s">
        <v>456</v>
      </c>
      <c r="C53" s="128" t="s">
        <v>457</v>
      </c>
      <c r="D53" s="117"/>
      <c r="E53" s="167"/>
    </row>
    <row r="54" spans="1:5">
      <c r="A54" s="108"/>
      <c r="B54" s="109" t="s">
        <v>518</v>
      </c>
      <c r="C54" s="128" t="s">
        <v>460</v>
      </c>
      <c r="D54" s="117"/>
      <c r="E54" s="167"/>
    </row>
    <row r="55" spans="1:5">
      <c r="A55" s="108"/>
      <c r="B55" s="109" t="s">
        <v>461</v>
      </c>
      <c r="C55" s="128" t="s">
        <v>462</v>
      </c>
      <c r="D55" s="117"/>
      <c r="E55" s="167"/>
    </row>
    <row r="56" spans="1:5">
      <c r="A56" s="108"/>
      <c r="B56" s="109" t="s">
        <v>1274</v>
      </c>
      <c r="C56" s="128" t="s">
        <v>484</v>
      </c>
      <c r="D56" s="117"/>
      <c r="E56" s="167"/>
    </row>
    <row r="57" spans="1:5">
      <c r="A57" s="108"/>
      <c r="B57" s="109" t="s">
        <v>464</v>
      </c>
      <c r="C57" s="128" t="s">
        <v>465</v>
      </c>
      <c r="D57" s="117"/>
      <c r="E57" s="167"/>
    </row>
    <row r="58" spans="1:5">
      <c r="A58" s="108"/>
      <c r="B58" s="109" t="s">
        <v>519</v>
      </c>
      <c r="C58" s="128" t="s">
        <v>520</v>
      </c>
      <c r="D58" s="117"/>
      <c r="E58" s="167"/>
    </row>
    <row r="59" spans="1:5">
      <c r="A59" s="108"/>
      <c r="B59" s="109" t="s">
        <v>521</v>
      </c>
      <c r="C59" s="128" t="s">
        <v>468</v>
      </c>
      <c r="D59" s="117"/>
      <c r="E59" s="167"/>
    </row>
    <row r="60" spans="1:5">
      <c r="A60" s="108"/>
      <c r="B60" s="109" t="s">
        <v>522</v>
      </c>
      <c r="C60" s="128" t="s">
        <v>523</v>
      </c>
      <c r="D60" s="117"/>
      <c r="E60" s="167"/>
    </row>
    <row r="61" spans="1:5">
      <c r="A61" s="108"/>
      <c r="B61" s="128" t="s">
        <v>1275</v>
      </c>
      <c r="C61" s="128" t="s">
        <v>470</v>
      </c>
      <c r="D61" s="117"/>
      <c r="E61" s="167"/>
    </row>
    <row r="62" spans="1:5">
      <c r="A62" s="108"/>
      <c r="B62" s="128" t="s">
        <v>524</v>
      </c>
      <c r="C62" s="128" t="s">
        <v>472</v>
      </c>
      <c r="D62" s="117"/>
      <c r="E62" s="167"/>
    </row>
    <row r="63" spans="1:5">
      <c r="A63" s="108"/>
      <c r="B63" s="128" t="s">
        <v>486</v>
      </c>
      <c r="C63" s="128" t="s">
        <v>473</v>
      </c>
      <c r="D63" s="117"/>
      <c r="E63" s="167"/>
    </row>
    <row r="64" spans="1:5">
      <c r="A64" s="108"/>
      <c r="B64" s="128" t="s">
        <v>487</v>
      </c>
      <c r="C64" s="128" t="s">
        <v>474</v>
      </c>
      <c r="D64" s="117"/>
      <c r="E64" s="167"/>
    </row>
    <row r="65" spans="1:5">
      <c r="A65" s="108"/>
      <c r="B65" s="130"/>
      <c r="C65" s="131"/>
      <c r="D65" s="132"/>
      <c r="E65" s="119"/>
    </row>
    <row r="66" spans="1:5">
      <c r="A66" s="108"/>
      <c r="B66" s="118" t="s">
        <v>475</v>
      </c>
      <c r="C66" s="132"/>
      <c r="D66" s="168"/>
    </row>
    <row r="67" spans="1:5">
      <c r="B67" s="107" t="s">
        <v>95</v>
      </c>
      <c r="C67" s="107" t="s">
        <v>96</v>
      </c>
      <c r="D67" s="165" t="s">
        <v>97</v>
      </c>
      <c r="E67" s="166" t="s">
        <v>525</v>
      </c>
    </row>
    <row r="68" spans="1:5">
      <c r="B68" s="133" t="s">
        <v>527</v>
      </c>
      <c r="C68" s="133"/>
      <c r="D68" s="169"/>
      <c r="E68" s="167"/>
    </row>
    <row r="69" spans="1:5">
      <c r="B69" s="133" t="s">
        <v>528</v>
      </c>
      <c r="C69" s="133"/>
      <c r="D69" s="169"/>
      <c r="E69" s="167"/>
    </row>
    <row r="70" spans="1:5">
      <c r="A70" s="108"/>
      <c r="B70" s="109" t="s">
        <v>529</v>
      </c>
      <c r="C70" s="109" t="s">
        <v>530</v>
      </c>
      <c r="D70" s="117"/>
      <c r="E70" s="167"/>
    </row>
    <row r="71" spans="1:5">
      <c r="A71" s="108"/>
      <c r="B71" s="109" t="s">
        <v>531</v>
      </c>
      <c r="C71" s="109" t="s">
        <v>532</v>
      </c>
      <c r="D71" s="117"/>
      <c r="E71" s="167"/>
    </row>
    <row r="72" spans="1:5">
      <c r="A72" s="108"/>
      <c r="B72" s="109" t="s">
        <v>533</v>
      </c>
      <c r="C72" s="109" t="s">
        <v>534</v>
      </c>
      <c r="D72" s="117"/>
      <c r="E72" s="167"/>
    </row>
    <row r="73" spans="1:5" ht="27">
      <c r="A73" s="108"/>
      <c r="B73" s="109" t="s">
        <v>535</v>
      </c>
      <c r="C73" s="109" t="s">
        <v>536</v>
      </c>
      <c r="D73" s="117" t="s">
        <v>537</v>
      </c>
      <c r="E73" s="167"/>
    </row>
    <row r="74" spans="1:5">
      <c r="A74" s="108"/>
      <c r="B74" s="109" t="s">
        <v>538</v>
      </c>
      <c r="C74" s="109" t="s">
        <v>539</v>
      </c>
      <c r="D74" s="117" t="s">
        <v>540</v>
      </c>
      <c r="E74" s="167"/>
    </row>
    <row r="75" spans="1:5">
      <c r="A75" s="108"/>
      <c r="B75" s="109" t="s">
        <v>541</v>
      </c>
      <c r="C75" s="109" t="s">
        <v>138</v>
      </c>
      <c r="D75" s="117" t="s">
        <v>542</v>
      </c>
      <c r="E75" s="167"/>
    </row>
    <row r="76" spans="1:5">
      <c r="A76" s="108"/>
      <c r="B76" s="109" t="s">
        <v>543</v>
      </c>
      <c r="C76" s="109" t="s">
        <v>544</v>
      </c>
      <c r="D76" s="117" t="s">
        <v>540</v>
      </c>
      <c r="E76" s="167"/>
    </row>
    <row r="77" spans="1:5">
      <c r="A77" s="108"/>
      <c r="B77" s="109" t="s">
        <v>545</v>
      </c>
      <c r="C77" s="109" t="s">
        <v>546</v>
      </c>
      <c r="D77" s="117" t="s">
        <v>542</v>
      </c>
      <c r="E77" s="167"/>
    </row>
    <row r="78" spans="1:5">
      <c r="A78" s="108"/>
      <c r="B78" s="109" t="s">
        <v>547</v>
      </c>
      <c r="C78" s="109" t="s">
        <v>548</v>
      </c>
      <c r="D78" s="117" t="s">
        <v>549</v>
      </c>
      <c r="E78" s="167"/>
    </row>
    <row r="79" spans="1:5">
      <c r="A79" s="108"/>
      <c r="B79" s="109" t="s">
        <v>550</v>
      </c>
      <c r="C79" s="109" t="s">
        <v>551</v>
      </c>
      <c r="D79" s="117" t="s">
        <v>540</v>
      </c>
      <c r="E79" s="167"/>
    </row>
    <row r="80" spans="1:5" ht="39" customHeight="1">
      <c r="A80" s="108"/>
      <c r="B80" s="109" t="s">
        <v>552</v>
      </c>
      <c r="C80" s="109" t="s">
        <v>553</v>
      </c>
      <c r="D80" s="117" t="s">
        <v>554</v>
      </c>
      <c r="E80" s="167"/>
    </row>
    <row r="81" spans="1:5">
      <c r="A81" s="108"/>
      <c r="B81" s="109" t="s">
        <v>555</v>
      </c>
      <c r="C81" s="110" t="s">
        <v>139</v>
      </c>
      <c r="D81" s="117"/>
      <c r="E81" s="167"/>
    </row>
    <row r="82" spans="1:5">
      <c r="A82" s="108"/>
      <c r="B82" s="109" t="s">
        <v>556</v>
      </c>
      <c r="C82" s="109" t="s">
        <v>557</v>
      </c>
      <c r="D82" s="117" t="s">
        <v>558</v>
      </c>
      <c r="E82" s="167"/>
    </row>
    <row r="83" spans="1:5">
      <c r="A83" s="108"/>
      <c r="B83" s="109" t="s">
        <v>559</v>
      </c>
      <c r="C83" s="109"/>
      <c r="D83" s="117"/>
      <c r="E83" s="167"/>
    </row>
    <row r="84" spans="1:5" ht="27">
      <c r="A84" s="108"/>
      <c r="B84" s="109" t="s">
        <v>560</v>
      </c>
      <c r="C84" s="109" t="s">
        <v>561</v>
      </c>
      <c r="D84" s="134" t="s">
        <v>562</v>
      </c>
      <c r="E84" s="167"/>
    </row>
    <row r="85" spans="1:5">
      <c r="A85" s="108"/>
      <c r="B85" s="109" t="s">
        <v>563</v>
      </c>
      <c r="C85" s="117" t="s">
        <v>564</v>
      </c>
      <c r="D85" s="117"/>
      <c r="E85" s="167"/>
    </row>
    <row r="86" spans="1:5">
      <c r="A86" s="108"/>
      <c r="B86" s="109" t="s">
        <v>565</v>
      </c>
      <c r="C86" s="109" t="s">
        <v>463</v>
      </c>
      <c r="D86" s="134" t="s">
        <v>566</v>
      </c>
      <c r="E86" s="167"/>
    </row>
    <row r="87" spans="1:5">
      <c r="A87" s="108"/>
      <c r="B87" s="109" t="s">
        <v>567</v>
      </c>
      <c r="C87" s="109" t="s">
        <v>568</v>
      </c>
      <c r="D87" s="134" t="s">
        <v>569</v>
      </c>
      <c r="E87" s="167"/>
    </row>
    <row r="88" spans="1:5">
      <c r="A88" s="108"/>
      <c r="B88" s="109" t="s">
        <v>570</v>
      </c>
      <c r="C88" s="110" t="s">
        <v>571</v>
      </c>
      <c r="D88" s="134"/>
      <c r="E88" s="167"/>
    </row>
    <row r="89" spans="1:5" ht="27">
      <c r="A89" s="108"/>
      <c r="B89" s="109" t="s">
        <v>565</v>
      </c>
      <c r="C89" s="109" t="s">
        <v>572</v>
      </c>
      <c r="D89" s="134" t="s">
        <v>573</v>
      </c>
      <c r="E89" s="167"/>
    </row>
    <row r="90" spans="1:5">
      <c r="A90" s="108"/>
      <c r="B90" s="109" t="s">
        <v>567</v>
      </c>
      <c r="C90" s="109" t="s">
        <v>568</v>
      </c>
      <c r="D90" s="134" t="s">
        <v>566</v>
      </c>
      <c r="E90" s="167"/>
    </row>
    <row r="91" spans="1:5">
      <c r="A91" s="108"/>
      <c r="B91" s="109" t="s">
        <v>574</v>
      </c>
      <c r="C91" s="109" t="s">
        <v>575</v>
      </c>
      <c r="D91" s="117"/>
      <c r="E91" s="167"/>
    </row>
    <row r="92" spans="1:5">
      <c r="A92" s="108"/>
      <c r="B92" s="109" t="s">
        <v>565</v>
      </c>
      <c r="C92" s="109" t="s">
        <v>463</v>
      </c>
      <c r="D92" s="134" t="s">
        <v>576</v>
      </c>
      <c r="E92" s="167"/>
    </row>
    <row r="93" spans="1:5">
      <c r="A93" s="108"/>
      <c r="B93" s="109" t="s">
        <v>577</v>
      </c>
      <c r="C93" s="109" t="s">
        <v>578</v>
      </c>
      <c r="D93" s="109"/>
      <c r="E93" s="167"/>
    </row>
    <row r="94" spans="1:5">
      <c r="A94" s="108"/>
      <c r="B94" s="109" t="s">
        <v>565</v>
      </c>
      <c r="C94" s="109" t="s">
        <v>572</v>
      </c>
      <c r="D94" s="117"/>
      <c r="E94" s="167"/>
    </row>
    <row r="95" spans="1:5">
      <c r="A95" s="108"/>
      <c r="B95" s="109" t="s">
        <v>579</v>
      </c>
      <c r="C95" s="110" t="s">
        <v>580</v>
      </c>
      <c r="D95" s="134"/>
      <c r="E95" s="167"/>
    </row>
    <row r="96" spans="1:5">
      <c r="A96" s="108"/>
      <c r="B96" s="109" t="s">
        <v>565</v>
      </c>
      <c r="C96" s="109" t="s">
        <v>572</v>
      </c>
      <c r="D96" s="134" t="s">
        <v>576</v>
      </c>
      <c r="E96" s="167"/>
    </row>
    <row r="97" spans="1:5">
      <c r="A97" s="108"/>
      <c r="B97" s="109" t="s">
        <v>581</v>
      </c>
      <c r="C97" s="110" t="s">
        <v>141</v>
      </c>
      <c r="D97" s="117"/>
      <c r="E97" s="167"/>
    </row>
    <row r="98" spans="1:5">
      <c r="A98" s="108"/>
      <c r="B98" s="109" t="s">
        <v>565</v>
      </c>
      <c r="C98" s="109" t="s">
        <v>582</v>
      </c>
      <c r="D98" s="134" t="s">
        <v>583</v>
      </c>
      <c r="E98" s="167"/>
    </row>
    <row r="99" spans="1:5">
      <c r="A99" s="108"/>
      <c r="B99" s="109" t="s">
        <v>567</v>
      </c>
      <c r="C99" s="109" t="s">
        <v>584</v>
      </c>
      <c r="D99" s="134" t="s">
        <v>585</v>
      </c>
      <c r="E99" s="167"/>
    </row>
    <row r="100" spans="1:5">
      <c r="A100" s="108"/>
      <c r="B100" s="109" t="s">
        <v>586</v>
      </c>
      <c r="C100" s="117" t="s">
        <v>587</v>
      </c>
      <c r="D100" s="117"/>
      <c r="E100" s="167"/>
    </row>
    <row r="101" spans="1:5">
      <c r="A101" s="108"/>
      <c r="B101" s="109" t="s">
        <v>588</v>
      </c>
      <c r="C101" s="109" t="s">
        <v>589</v>
      </c>
      <c r="D101" s="134" t="s">
        <v>590</v>
      </c>
      <c r="E101" s="167"/>
    </row>
    <row r="102" spans="1:5">
      <c r="A102" s="108"/>
      <c r="B102" s="109" t="s">
        <v>591</v>
      </c>
      <c r="C102" s="117" t="s">
        <v>592</v>
      </c>
      <c r="D102" s="117"/>
      <c r="E102" s="167"/>
    </row>
    <row r="103" spans="1:5">
      <c r="A103" s="108"/>
      <c r="B103" s="109" t="s">
        <v>593</v>
      </c>
      <c r="C103" s="109" t="s">
        <v>594</v>
      </c>
      <c r="D103" s="134" t="s">
        <v>590</v>
      </c>
      <c r="E103" s="167"/>
    </row>
    <row r="104" spans="1:5">
      <c r="A104" s="108"/>
      <c r="B104" s="109" t="s">
        <v>595</v>
      </c>
      <c r="C104" s="109" t="s">
        <v>596</v>
      </c>
      <c r="D104" s="134" t="s">
        <v>585</v>
      </c>
      <c r="E104" s="167"/>
    </row>
    <row r="105" spans="1:5">
      <c r="A105" s="108"/>
      <c r="B105" s="109" t="s">
        <v>597</v>
      </c>
      <c r="C105" s="109" t="s">
        <v>598</v>
      </c>
      <c r="D105" s="134" t="s">
        <v>599</v>
      </c>
      <c r="E105" s="167"/>
    </row>
    <row r="106" spans="1:5">
      <c r="A106" s="108"/>
      <c r="B106" s="109" t="s">
        <v>600</v>
      </c>
      <c r="C106" s="109" t="s">
        <v>601</v>
      </c>
      <c r="D106" s="134" t="s">
        <v>602</v>
      </c>
      <c r="E106" s="167"/>
    </row>
    <row r="107" spans="1:5">
      <c r="A107" s="108"/>
      <c r="B107" s="109" t="s">
        <v>603</v>
      </c>
      <c r="C107" s="110" t="s">
        <v>604</v>
      </c>
      <c r="D107" s="117"/>
      <c r="E107" s="167"/>
    </row>
    <row r="108" spans="1:5">
      <c r="A108" s="108"/>
      <c r="B108" s="109" t="s">
        <v>605</v>
      </c>
      <c r="C108" s="109" t="s">
        <v>606</v>
      </c>
      <c r="D108" s="117" t="s">
        <v>607</v>
      </c>
      <c r="E108" s="167"/>
    </row>
    <row r="109" spans="1:5">
      <c r="A109" s="108"/>
      <c r="B109" s="109" t="s">
        <v>608</v>
      </c>
      <c r="C109" s="109" t="s">
        <v>609</v>
      </c>
      <c r="D109" s="117"/>
      <c r="E109" s="167"/>
    </row>
    <row r="110" spans="1:5">
      <c r="A110" s="108"/>
      <c r="B110" s="109" t="s">
        <v>610</v>
      </c>
      <c r="C110" s="109" t="s">
        <v>611</v>
      </c>
      <c r="D110" s="117"/>
      <c r="E110" s="167"/>
    </row>
    <row r="111" spans="1:5">
      <c r="A111" s="108"/>
      <c r="B111" s="109" t="s">
        <v>612</v>
      </c>
      <c r="C111" s="109" t="s">
        <v>613</v>
      </c>
      <c r="D111" s="117" t="s">
        <v>614</v>
      </c>
      <c r="E111" s="167"/>
    </row>
    <row r="112" spans="1:5">
      <c r="A112" s="108"/>
      <c r="B112" s="109" t="s">
        <v>615</v>
      </c>
      <c r="C112" s="109" t="s">
        <v>616</v>
      </c>
      <c r="D112" s="117"/>
      <c r="E112" s="167"/>
    </row>
    <row r="113" spans="1:5">
      <c r="A113" s="108"/>
      <c r="B113" s="109" t="s">
        <v>617</v>
      </c>
      <c r="C113" s="109" t="s">
        <v>618</v>
      </c>
      <c r="D113" s="117"/>
      <c r="E113" s="167"/>
    </row>
    <row r="114" spans="1:5">
      <c r="A114" s="108"/>
      <c r="B114" s="109" t="s">
        <v>619</v>
      </c>
      <c r="C114" s="109" t="s">
        <v>620</v>
      </c>
      <c r="D114" s="117"/>
      <c r="E114" s="167"/>
    </row>
    <row r="115" spans="1:5">
      <c r="A115" s="108"/>
      <c r="B115" s="109" t="s">
        <v>621</v>
      </c>
      <c r="C115" s="109" t="s">
        <v>622</v>
      </c>
      <c r="D115" s="117"/>
      <c r="E115" s="167"/>
    </row>
    <row r="116" spans="1:5">
      <c r="A116" s="108"/>
      <c r="B116" s="109" t="s">
        <v>623</v>
      </c>
      <c r="C116" s="109" t="s">
        <v>624</v>
      </c>
      <c r="D116" s="117"/>
      <c r="E116" s="167"/>
    </row>
    <row r="117" spans="1:5">
      <c r="A117" s="108"/>
      <c r="B117" s="109" t="s">
        <v>625</v>
      </c>
      <c r="C117" s="109" t="s">
        <v>626</v>
      </c>
      <c r="D117" s="117"/>
      <c r="E117" s="167"/>
    </row>
    <row r="118" spans="1:5">
      <c r="A118" s="108"/>
      <c r="B118" s="109" t="s">
        <v>627</v>
      </c>
      <c r="C118" s="109" t="s">
        <v>628</v>
      </c>
      <c r="D118" s="117"/>
      <c r="E118" s="167"/>
    </row>
    <row r="119" spans="1:5">
      <c r="A119" s="108"/>
      <c r="B119" s="109" t="s">
        <v>629</v>
      </c>
      <c r="C119" s="109" t="s">
        <v>630</v>
      </c>
      <c r="D119" s="117"/>
      <c r="E119" s="167"/>
    </row>
    <row r="120" spans="1:5">
      <c r="A120" s="108"/>
      <c r="B120" s="109" t="s">
        <v>631</v>
      </c>
      <c r="C120" s="109" t="s">
        <v>632</v>
      </c>
      <c r="D120" s="117"/>
      <c r="E120" s="167"/>
    </row>
    <row r="121" spans="1:5">
      <c r="A121" s="108"/>
      <c r="B121" s="109" t="s">
        <v>633</v>
      </c>
      <c r="C121" s="109" t="s">
        <v>634</v>
      </c>
      <c r="D121" s="117"/>
      <c r="E121" s="167"/>
    </row>
    <row r="122" spans="1:5">
      <c r="A122" s="108"/>
      <c r="B122" s="109" t="s">
        <v>635</v>
      </c>
      <c r="C122" s="109" t="s">
        <v>636</v>
      </c>
      <c r="D122" s="134" t="s">
        <v>585</v>
      </c>
      <c r="E122" s="167"/>
    </row>
    <row r="123" spans="1:5">
      <c r="A123" s="108"/>
      <c r="B123" s="109" t="s">
        <v>637</v>
      </c>
      <c r="C123" s="109" t="s">
        <v>638</v>
      </c>
      <c r="D123" s="134" t="s">
        <v>585</v>
      </c>
      <c r="E123" s="167"/>
    </row>
    <row r="124" spans="1:5">
      <c r="A124" s="108"/>
      <c r="B124" s="109" t="s">
        <v>639</v>
      </c>
      <c r="C124" s="109" t="s">
        <v>640</v>
      </c>
      <c r="D124" s="117" t="s">
        <v>542</v>
      </c>
      <c r="E124" s="167"/>
    </row>
    <row r="125" spans="1:5">
      <c r="A125" s="108"/>
      <c r="B125" s="109" t="s">
        <v>641</v>
      </c>
      <c r="C125" s="109" t="s">
        <v>142</v>
      </c>
      <c r="D125" s="117" t="s">
        <v>642</v>
      </c>
      <c r="E125" s="167"/>
    </row>
    <row r="126" spans="1:5">
      <c r="A126" s="108"/>
      <c r="B126" s="109" t="s">
        <v>643</v>
      </c>
      <c r="C126" s="109" t="s">
        <v>143</v>
      </c>
      <c r="D126" s="117" t="s">
        <v>540</v>
      </c>
      <c r="E126" s="167"/>
    </row>
    <row r="127" spans="1:5">
      <c r="A127" s="108"/>
      <c r="B127" s="109" t="s">
        <v>644</v>
      </c>
      <c r="C127" s="109" t="s">
        <v>144</v>
      </c>
      <c r="D127" s="117" t="s">
        <v>542</v>
      </c>
      <c r="E127" s="167"/>
    </row>
    <row r="128" spans="1:5">
      <c r="A128" s="108"/>
      <c r="B128" s="109" t="s">
        <v>645</v>
      </c>
      <c r="C128" s="109" t="s">
        <v>145</v>
      </c>
      <c r="D128" s="117" t="s">
        <v>646</v>
      </c>
      <c r="E128" s="167"/>
    </row>
    <row r="129" spans="1:5">
      <c r="A129" s="108"/>
      <c r="B129" s="109" t="s">
        <v>647</v>
      </c>
      <c r="C129" s="109" t="s">
        <v>648</v>
      </c>
      <c r="D129" s="134" t="s">
        <v>649</v>
      </c>
      <c r="E129" s="167"/>
    </row>
    <row r="130" spans="1:5">
      <c r="A130" s="108"/>
      <c r="B130" s="109" t="s">
        <v>650</v>
      </c>
      <c r="C130" s="109" t="s">
        <v>146</v>
      </c>
      <c r="D130" s="134" t="s">
        <v>651</v>
      </c>
      <c r="E130" s="167"/>
    </row>
    <row r="131" spans="1:5">
      <c r="A131" s="108"/>
      <c r="B131" s="109" t="s">
        <v>652</v>
      </c>
      <c r="C131" s="109" t="s">
        <v>147</v>
      </c>
      <c r="D131" s="134" t="s">
        <v>653</v>
      </c>
      <c r="E131" s="167"/>
    </row>
    <row r="132" spans="1:5">
      <c r="A132" s="108"/>
      <c r="B132" s="109" t="s">
        <v>654</v>
      </c>
      <c r="C132" s="109" t="s">
        <v>148</v>
      </c>
      <c r="D132" s="134" t="s">
        <v>649</v>
      </c>
      <c r="E132" s="167"/>
    </row>
    <row r="133" spans="1:5">
      <c r="A133" s="108"/>
      <c r="B133" s="109" t="s">
        <v>655</v>
      </c>
      <c r="C133" s="109" t="s">
        <v>149</v>
      </c>
      <c r="D133" s="134" t="s">
        <v>656</v>
      </c>
      <c r="E133" s="167"/>
    </row>
    <row r="134" spans="1:5">
      <c r="A134" s="108"/>
      <c r="B134" s="109" t="s">
        <v>657</v>
      </c>
      <c r="C134" s="109" t="s">
        <v>658</v>
      </c>
      <c r="D134" s="134" t="s">
        <v>653</v>
      </c>
      <c r="E134" s="167"/>
    </row>
    <row r="135" spans="1:5">
      <c r="A135" s="108"/>
      <c r="B135" s="109" t="s">
        <v>659</v>
      </c>
      <c r="C135" s="109" t="s">
        <v>150</v>
      </c>
      <c r="D135" s="134" t="s">
        <v>656</v>
      </c>
      <c r="E135" s="167"/>
    </row>
    <row r="136" spans="1:5">
      <c r="A136" s="108"/>
      <c r="B136" s="109" t="s">
        <v>660</v>
      </c>
      <c r="C136" s="109" t="s">
        <v>151</v>
      </c>
      <c r="D136" s="134" t="s">
        <v>653</v>
      </c>
      <c r="E136" s="167"/>
    </row>
    <row r="137" spans="1:5">
      <c r="A137" s="108"/>
      <c r="B137" s="109" t="s">
        <v>661</v>
      </c>
      <c r="C137" s="109" t="s">
        <v>152</v>
      </c>
      <c r="D137" s="134" t="s">
        <v>649</v>
      </c>
      <c r="E137" s="167"/>
    </row>
    <row r="138" spans="1:5">
      <c r="A138" s="108"/>
      <c r="B138" s="109" t="s">
        <v>662</v>
      </c>
      <c r="C138" s="109" t="s">
        <v>153</v>
      </c>
      <c r="D138" s="134" t="s">
        <v>653</v>
      </c>
      <c r="E138" s="167"/>
    </row>
    <row r="139" spans="1:5">
      <c r="A139" s="108"/>
      <c r="B139" s="109" t="s">
        <v>663</v>
      </c>
      <c r="C139" s="109" t="s">
        <v>154</v>
      </c>
      <c r="D139" s="134" t="s">
        <v>656</v>
      </c>
      <c r="E139" s="167"/>
    </row>
    <row r="140" spans="1:5">
      <c r="A140" s="108"/>
      <c r="B140" s="109" t="s">
        <v>664</v>
      </c>
      <c r="C140" s="109" t="s">
        <v>155</v>
      </c>
      <c r="D140" s="134" t="s">
        <v>653</v>
      </c>
      <c r="E140" s="167"/>
    </row>
    <row r="141" spans="1:5">
      <c r="A141" s="108"/>
      <c r="B141" s="109" t="s">
        <v>665</v>
      </c>
      <c r="C141" s="109" t="s">
        <v>156</v>
      </c>
      <c r="D141" s="134" t="s">
        <v>649</v>
      </c>
      <c r="E141" s="167"/>
    </row>
    <row r="142" spans="1:5">
      <c r="A142" s="108"/>
      <c r="B142" s="109" t="s">
        <v>666</v>
      </c>
      <c r="C142" s="109" t="s">
        <v>157</v>
      </c>
      <c r="D142" s="134" t="s">
        <v>583</v>
      </c>
      <c r="E142" s="167"/>
    </row>
    <row r="143" spans="1:5">
      <c r="A143" s="108"/>
      <c r="B143" s="109" t="s">
        <v>667</v>
      </c>
      <c r="C143" s="109" t="s">
        <v>158</v>
      </c>
      <c r="D143" s="134" t="s">
        <v>656</v>
      </c>
      <c r="E143" s="167"/>
    </row>
    <row r="144" spans="1:5">
      <c r="A144" s="108"/>
      <c r="B144" s="109" t="s">
        <v>668</v>
      </c>
      <c r="C144" s="109" t="s">
        <v>669</v>
      </c>
      <c r="D144" s="117"/>
      <c r="E144" s="167"/>
    </row>
    <row r="145" spans="1:5" ht="27">
      <c r="A145" s="108"/>
      <c r="B145" s="109" t="s">
        <v>670</v>
      </c>
      <c r="C145" s="109" t="s">
        <v>671</v>
      </c>
      <c r="D145" s="117" t="s">
        <v>672</v>
      </c>
      <c r="E145" s="167"/>
    </row>
    <row r="146" spans="1:5" ht="27">
      <c r="A146" s="108"/>
      <c r="B146" s="109" t="s">
        <v>673</v>
      </c>
      <c r="C146" s="109" t="s">
        <v>159</v>
      </c>
      <c r="D146" s="117" t="s">
        <v>674</v>
      </c>
      <c r="E146" s="167"/>
    </row>
    <row r="147" spans="1:5" ht="27">
      <c r="A147" s="108"/>
      <c r="B147" s="109" t="s">
        <v>675</v>
      </c>
      <c r="C147" s="109" t="s">
        <v>676</v>
      </c>
      <c r="D147" s="117" t="s">
        <v>677</v>
      </c>
      <c r="E147" s="167"/>
    </row>
    <row r="148" spans="1:5">
      <c r="A148" s="108"/>
      <c r="B148" s="109" t="s">
        <v>678</v>
      </c>
      <c r="C148" s="109" t="s">
        <v>679</v>
      </c>
      <c r="D148" s="117"/>
      <c r="E148" s="167"/>
    </row>
    <row r="149" spans="1:5">
      <c r="A149" s="108"/>
      <c r="B149" s="109" t="s">
        <v>680</v>
      </c>
      <c r="C149" s="109" t="s">
        <v>681</v>
      </c>
      <c r="D149" s="117"/>
      <c r="E149" s="167"/>
    </row>
    <row r="150" spans="1:5">
      <c r="A150" s="108"/>
      <c r="B150" s="109" t="s">
        <v>682</v>
      </c>
      <c r="C150" s="109" t="s">
        <v>683</v>
      </c>
      <c r="D150" s="117"/>
      <c r="E150" s="167"/>
    </row>
    <row r="151" spans="1:5">
      <c r="A151" s="108"/>
      <c r="B151" s="109" t="s">
        <v>684</v>
      </c>
      <c r="C151" s="109" t="s">
        <v>685</v>
      </c>
      <c r="D151" s="117" t="s">
        <v>686</v>
      </c>
      <c r="E151" s="167"/>
    </row>
    <row r="152" spans="1:5">
      <c r="A152" s="108"/>
      <c r="B152" s="109" t="s">
        <v>687</v>
      </c>
      <c r="C152" s="109" t="s">
        <v>688</v>
      </c>
      <c r="D152" s="117" t="s">
        <v>689</v>
      </c>
      <c r="E152" s="167"/>
    </row>
    <row r="153" spans="1:5">
      <c r="A153" s="108"/>
      <c r="B153" s="109" t="s">
        <v>690</v>
      </c>
      <c r="C153" s="109" t="s">
        <v>691</v>
      </c>
      <c r="D153" s="117"/>
      <c r="E153" s="167"/>
    </row>
    <row r="154" spans="1:5">
      <c r="A154" s="108"/>
      <c r="B154" s="109" t="s">
        <v>692</v>
      </c>
      <c r="C154" s="109" t="s">
        <v>693</v>
      </c>
      <c r="D154" s="117" t="s">
        <v>694</v>
      </c>
      <c r="E154" s="167"/>
    </row>
    <row r="155" spans="1:5">
      <c r="A155" s="108"/>
      <c r="B155" s="109" t="s">
        <v>695</v>
      </c>
      <c r="C155" s="109" t="s">
        <v>696</v>
      </c>
      <c r="D155" s="117"/>
      <c r="E155" s="167"/>
    </row>
    <row r="156" spans="1:5">
      <c r="A156" s="108"/>
      <c r="B156" s="109" t="s">
        <v>697</v>
      </c>
      <c r="C156" s="109" t="s">
        <v>698</v>
      </c>
      <c r="D156" s="117"/>
      <c r="E156" s="167"/>
    </row>
    <row r="157" spans="1:5">
      <c r="A157" s="108"/>
      <c r="B157" s="109" t="s">
        <v>699</v>
      </c>
      <c r="C157" s="109"/>
      <c r="D157" s="117"/>
      <c r="E157" s="167"/>
    </row>
    <row r="158" spans="1:5">
      <c r="A158" s="108"/>
      <c r="B158" s="109" t="s">
        <v>700</v>
      </c>
      <c r="C158" s="109"/>
      <c r="D158" s="117"/>
      <c r="E158" s="167"/>
    </row>
    <row r="159" spans="1:5">
      <c r="A159" s="108"/>
      <c r="B159" s="109" t="s">
        <v>701</v>
      </c>
      <c r="C159" s="109" t="s">
        <v>702</v>
      </c>
      <c r="D159" s="117"/>
      <c r="E159" s="167"/>
    </row>
    <row r="160" spans="1:5">
      <c r="A160" s="108"/>
      <c r="B160" s="109" t="s">
        <v>699</v>
      </c>
      <c r="C160" s="109"/>
      <c r="D160" s="117"/>
      <c r="E160" s="167"/>
    </row>
    <row r="161" spans="1:11">
      <c r="A161" s="108"/>
      <c r="B161" s="109" t="s">
        <v>700</v>
      </c>
      <c r="C161" s="109"/>
      <c r="D161" s="117"/>
      <c r="E161" s="167"/>
    </row>
    <row r="162" spans="1:11">
      <c r="A162" s="108"/>
      <c r="B162" s="109" t="s">
        <v>703</v>
      </c>
      <c r="C162" s="109" t="s">
        <v>704</v>
      </c>
      <c r="D162" s="117"/>
      <c r="E162" s="167"/>
    </row>
    <row r="163" spans="1:11">
      <c r="A163" s="108"/>
      <c r="B163" s="109" t="s">
        <v>705</v>
      </c>
      <c r="C163" s="109" t="s">
        <v>706</v>
      </c>
      <c r="D163" s="117"/>
      <c r="E163" s="167"/>
    </row>
    <row r="164" spans="1:11">
      <c r="A164" s="108"/>
      <c r="B164" s="109" t="s">
        <v>707</v>
      </c>
      <c r="C164" s="109" t="s">
        <v>708</v>
      </c>
      <c r="D164" s="134" t="s">
        <v>709</v>
      </c>
      <c r="E164" s="167"/>
    </row>
    <row r="165" spans="1:11">
      <c r="A165" s="108"/>
      <c r="B165" s="109" t="s">
        <v>710</v>
      </c>
      <c r="C165" s="109" t="s">
        <v>711</v>
      </c>
      <c r="D165" s="117"/>
      <c r="E165" s="167"/>
    </row>
    <row r="166" spans="1:11">
      <c r="A166" s="108"/>
      <c r="B166" s="109" t="s">
        <v>712</v>
      </c>
      <c r="C166" s="109" t="s">
        <v>713</v>
      </c>
      <c r="D166" s="117" t="s">
        <v>714</v>
      </c>
      <c r="E166" s="167"/>
    </row>
    <row r="167" spans="1:11">
      <c r="A167" s="108"/>
      <c r="B167" s="109" t="s">
        <v>715</v>
      </c>
      <c r="C167" s="109" t="s">
        <v>716</v>
      </c>
      <c r="D167" s="117" t="s">
        <v>717</v>
      </c>
      <c r="E167" s="167"/>
    </row>
    <row r="168" spans="1:11">
      <c r="A168" s="108"/>
      <c r="B168" s="109" t="s">
        <v>718</v>
      </c>
      <c r="C168" s="109" t="s">
        <v>719</v>
      </c>
      <c r="D168" s="117"/>
      <c r="E168" s="167"/>
    </row>
    <row r="169" spans="1:11">
      <c r="A169" s="108"/>
      <c r="B169" s="109" t="s">
        <v>565</v>
      </c>
      <c r="C169" s="109" t="s">
        <v>720</v>
      </c>
      <c r="D169" s="134" t="s">
        <v>721</v>
      </c>
      <c r="E169" s="167"/>
    </row>
    <row r="170" spans="1:11">
      <c r="A170" s="108"/>
      <c r="B170" s="109" t="s">
        <v>722</v>
      </c>
      <c r="C170" s="109" t="s">
        <v>723</v>
      </c>
      <c r="D170" s="117"/>
      <c r="E170" s="167"/>
    </row>
    <row r="172" spans="1:11">
      <c r="A172" s="159" t="s">
        <v>757</v>
      </c>
      <c r="B172" s="127"/>
      <c r="C172" s="127"/>
    </row>
    <row r="173" spans="1:11">
      <c r="B173" t="s">
        <v>104</v>
      </c>
    </row>
    <row r="174" spans="1:11">
      <c r="B174" s="107" t="s">
        <v>95</v>
      </c>
      <c r="C174" s="107" t="s">
        <v>96</v>
      </c>
      <c r="D174" s="165" t="s">
        <v>97</v>
      </c>
      <c r="E174" s="166" t="s">
        <v>525</v>
      </c>
      <c r="F174" s="166" t="s">
        <v>491</v>
      </c>
      <c r="G174" s="166" t="s">
        <v>477</v>
      </c>
      <c r="H174" s="166" t="s">
        <v>478</v>
      </c>
      <c r="I174" s="166" t="s">
        <v>479</v>
      </c>
      <c r="J174" s="166" t="s">
        <v>526</v>
      </c>
      <c r="K174" s="166" t="s">
        <v>516</v>
      </c>
    </row>
    <row r="175" spans="1:11">
      <c r="A175" s="108"/>
      <c r="B175" s="109" t="s">
        <v>451</v>
      </c>
      <c r="C175" s="128" t="s">
        <v>452</v>
      </c>
      <c r="D175" s="117"/>
      <c r="E175" s="167"/>
      <c r="F175" s="167"/>
      <c r="G175" s="167"/>
      <c r="H175" s="167"/>
      <c r="I175" s="167"/>
      <c r="J175" s="167"/>
      <c r="K175" s="167"/>
    </row>
    <row r="176" spans="1:11">
      <c r="A176" s="108"/>
      <c r="B176" s="109" t="s">
        <v>453</v>
      </c>
      <c r="C176" s="128" t="s">
        <v>454</v>
      </c>
      <c r="D176" s="117"/>
      <c r="E176" s="167"/>
      <c r="F176" s="167"/>
      <c r="G176" s="167"/>
      <c r="H176" s="167"/>
      <c r="I176" s="167"/>
      <c r="J176" s="167"/>
      <c r="K176" s="167"/>
    </row>
    <row r="177" spans="1:11">
      <c r="A177" s="108"/>
      <c r="B177" s="109" t="s">
        <v>456</v>
      </c>
      <c r="C177" s="128" t="s">
        <v>457</v>
      </c>
      <c r="D177" s="117"/>
      <c r="E177" s="167"/>
      <c r="F177" s="167"/>
      <c r="G177" s="167"/>
      <c r="H177" s="167"/>
      <c r="I177" s="167"/>
      <c r="J177" s="167"/>
      <c r="K177" s="167"/>
    </row>
    <row r="178" spans="1:11">
      <c r="A178" s="108"/>
      <c r="B178" s="109" t="s">
        <v>518</v>
      </c>
      <c r="C178" s="128" t="s">
        <v>460</v>
      </c>
      <c r="D178" s="117"/>
      <c r="E178" s="167"/>
      <c r="F178" s="167"/>
      <c r="G178" s="167"/>
      <c r="H178" s="167"/>
      <c r="I178" s="167"/>
      <c r="J178" s="167"/>
      <c r="K178" s="167"/>
    </row>
    <row r="179" spans="1:11">
      <c r="A179" s="108"/>
      <c r="B179" s="109" t="s">
        <v>461</v>
      </c>
      <c r="C179" s="128" t="s">
        <v>462</v>
      </c>
      <c r="D179" s="117"/>
      <c r="E179" s="167"/>
      <c r="F179" s="167"/>
      <c r="G179" s="167"/>
      <c r="H179" s="167"/>
      <c r="I179" s="167"/>
      <c r="J179" s="167"/>
      <c r="K179" s="167"/>
    </row>
    <row r="180" spans="1:11">
      <c r="A180" s="108"/>
      <c r="B180" s="109" t="s">
        <v>1274</v>
      </c>
      <c r="C180" s="128" t="s">
        <v>140</v>
      </c>
      <c r="D180" s="117"/>
      <c r="E180" s="167"/>
      <c r="F180" s="167"/>
      <c r="G180" s="167"/>
      <c r="H180" s="167"/>
      <c r="I180" s="167"/>
      <c r="J180" s="167"/>
      <c r="K180" s="167"/>
    </row>
    <row r="181" spans="1:11">
      <c r="A181" s="108"/>
      <c r="B181" s="109" t="s">
        <v>464</v>
      </c>
      <c r="C181" s="128" t="s">
        <v>465</v>
      </c>
      <c r="D181" s="117"/>
      <c r="E181" s="167"/>
      <c r="F181" s="167"/>
      <c r="G181" s="167"/>
      <c r="H181" s="167"/>
      <c r="I181" s="167"/>
      <c r="J181" s="167"/>
      <c r="K181" s="167"/>
    </row>
    <row r="182" spans="1:11">
      <c r="A182" s="108"/>
      <c r="B182" s="109" t="s">
        <v>519</v>
      </c>
      <c r="C182" s="128" t="s">
        <v>466</v>
      </c>
      <c r="D182" s="117"/>
      <c r="E182" s="167"/>
      <c r="F182" s="167"/>
      <c r="G182" s="167"/>
      <c r="H182" s="167"/>
      <c r="I182" s="167"/>
      <c r="J182" s="167"/>
      <c r="K182" s="167"/>
    </row>
    <row r="183" spans="1:11">
      <c r="A183" s="108"/>
      <c r="B183" s="109" t="s">
        <v>467</v>
      </c>
      <c r="C183" s="128" t="s">
        <v>468</v>
      </c>
      <c r="D183" s="117"/>
      <c r="E183" s="167"/>
      <c r="F183" s="167"/>
      <c r="G183" s="167"/>
      <c r="H183" s="167"/>
      <c r="I183" s="167"/>
      <c r="J183" s="167"/>
      <c r="K183" s="167"/>
    </row>
    <row r="184" spans="1:11">
      <c r="A184" s="108"/>
      <c r="B184" s="109" t="s">
        <v>522</v>
      </c>
      <c r="C184" s="128" t="s">
        <v>523</v>
      </c>
      <c r="D184" s="117"/>
      <c r="E184" s="167"/>
      <c r="F184" s="167"/>
      <c r="G184" s="167"/>
      <c r="H184" s="167"/>
      <c r="I184" s="167"/>
      <c r="J184" s="167"/>
      <c r="K184" s="167"/>
    </row>
    <row r="185" spans="1:11">
      <c r="A185" s="108"/>
      <c r="B185" s="128" t="s">
        <v>1275</v>
      </c>
      <c r="C185" s="128" t="s">
        <v>470</v>
      </c>
      <c r="D185" s="117"/>
      <c r="E185" s="167"/>
      <c r="F185" s="167"/>
      <c r="G185" s="167"/>
      <c r="H185" s="167"/>
      <c r="I185" s="167"/>
      <c r="J185" s="167"/>
      <c r="K185" s="167"/>
    </row>
    <row r="186" spans="1:11">
      <c r="A186" s="108"/>
      <c r="B186" s="128" t="s">
        <v>471</v>
      </c>
      <c r="C186" s="128" t="s">
        <v>472</v>
      </c>
      <c r="D186" s="117"/>
      <c r="E186" s="167"/>
      <c r="F186" s="167"/>
      <c r="G186" s="167"/>
      <c r="H186" s="167"/>
      <c r="I186" s="167"/>
      <c r="J186" s="167"/>
      <c r="K186" s="167"/>
    </row>
    <row r="187" spans="1:11">
      <c r="A187" s="108"/>
      <c r="B187" s="128" t="s">
        <v>486</v>
      </c>
      <c r="C187" s="128" t="s">
        <v>473</v>
      </c>
      <c r="D187" s="117"/>
      <c r="E187" s="167"/>
      <c r="F187" s="167"/>
      <c r="G187" s="167"/>
      <c r="H187" s="167"/>
      <c r="I187" s="167"/>
      <c r="J187" s="167"/>
      <c r="K187" s="167"/>
    </row>
    <row r="188" spans="1:11">
      <c r="A188" s="108"/>
      <c r="B188" s="128" t="s">
        <v>487</v>
      </c>
      <c r="C188" s="128" t="s">
        <v>474</v>
      </c>
      <c r="D188" s="117"/>
      <c r="E188" s="167"/>
      <c r="F188" s="167"/>
      <c r="G188" s="167"/>
      <c r="H188" s="167"/>
      <c r="I188" s="167"/>
      <c r="J188" s="167"/>
      <c r="K188" s="167"/>
    </row>
    <row r="189" spans="1:11">
      <c r="A189" s="129"/>
      <c r="B189" s="132" t="s">
        <v>756</v>
      </c>
      <c r="C189" s="131"/>
      <c r="D189" s="170"/>
    </row>
    <row r="191" spans="1:11">
      <c r="A191" s="160" t="s">
        <v>393</v>
      </c>
    </row>
    <row r="192" spans="1:11">
      <c r="B192" t="s">
        <v>104</v>
      </c>
    </row>
    <row r="193" spans="1:11">
      <c r="B193" s="107" t="s">
        <v>95</v>
      </c>
      <c r="C193" s="107" t="s">
        <v>96</v>
      </c>
      <c r="D193" s="165" t="s">
        <v>97</v>
      </c>
      <c r="E193" s="166" t="s">
        <v>525</v>
      </c>
      <c r="F193" s="166" t="s">
        <v>491</v>
      </c>
      <c r="G193" s="166" t="s">
        <v>477</v>
      </c>
      <c r="H193" s="166" t="s">
        <v>478</v>
      </c>
      <c r="I193" s="166" t="s">
        <v>479</v>
      </c>
      <c r="J193" s="166" t="s">
        <v>526</v>
      </c>
      <c r="K193" s="166" t="s">
        <v>516</v>
      </c>
    </row>
    <row r="194" spans="1:11">
      <c r="A194" s="108"/>
      <c r="B194" s="109" t="s">
        <v>517</v>
      </c>
      <c r="C194" s="128" t="s">
        <v>452</v>
      </c>
      <c r="D194" s="117"/>
      <c r="E194" s="167"/>
      <c r="F194" s="167"/>
      <c r="G194" s="167"/>
      <c r="H194" s="167"/>
      <c r="I194" s="167"/>
      <c r="J194" s="167"/>
      <c r="K194" s="167"/>
    </row>
    <row r="195" spans="1:11">
      <c r="A195" s="108"/>
      <c r="B195" s="109" t="s">
        <v>453</v>
      </c>
      <c r="C195" s="128" t="s">
        <v>454</v>
      </c>
      <c r="D195" s="117"/>
      <c r="E195" s="167"/>
      <c r="F195" s="167"/>
      <c r="G195" s="167"/>
      <c r="H195" s="167"/>
      <c r="I195" s="167"/>
      <c r="J195" s="167"/>
      <c r="K195" s="167"/>
    </row>
    <row r="196" spans="1:11">
      <c r="A196" s="108"/>
      <c r="B196" s="109" t="s">
        <v>455</v>
      </c>
      <c r="C196" s="128" t="s">
        <v>457</v>
      </c>
      <c r="D196" s="117"/>
      <c r="E196" s="167"/>
      <c r="F196" s="167"/>
      <c r="G196" s="167"/>
      <c r="H196" s="167"/>
      <c r="I196" s="167"/>
      <c r="J196" s="167"/>
      <c r="K196" s="167"/>
    </row>
    <row r="197" spans="1:11">
      <c r="A197" s="108"/>
      <c r="B197" s="109" t="s">
        <v>518</v>
      </c>
      <c r="C197" s="128" t="s">
        <v>460</v>
      </c>
      <c r="D197" s="117"/>
      <c r="E197" s="167"/>
      <c r="F197" s="167"/>
      <c r="G197" s="167"/>
      <c r="H197" s="167"/>
      <c r="I197" s="167"/>
      <c r="J197" s="167"/>
      <c r="K197" s="167"/>
    </row>
    <row r="198" spans="1:11">
      <c r="A198" s="108"/>
      <c r="B198" s="109" t="s">
        <v>461</v>
      </c>
      <c r="C198" s="128" t="s">
        <v>462</v>
      </c>
      <c r="D198" s="117"/>
      <c r="E198" s="167"/>
      <c r="F198" s="167"/>
      <c r="G198" s="167"/>
      <c r="H198" s="167"/>
      <c r="I198" s="167"/>
      <c r="J198" s="167"/>
      <c r="K198" s="167"/>
    </row>
    <row r="199" spans="1:11">
      <c r="A199" s="108"/>
      <c r="B199" s="109" t="s">
        <v>1274</v>
      </c>
      <c r="C199" s="128" t="s">
        <v>484</v>
      </c>
      <c r="D199" s="117"/>
      <c r="E199" s="167"/>
      <c r="F199" s="167"/>
      <c r="G199" s="167"/>
      <c r="H199" s="167"/>
      <c r="I199" s="167"/>
      <c r="J199" s="167"/>
      <c r="K199" s="167"/>
    </row>
    <row r="200" spans="1:11">
      <c r="A200" s="108"/>
      <c r="B200" s="109" t="s">
        <v>464</v>
      </c>
      <c r="C200" s="128" t="s">
        <v>465</v>
      </c>
      <c r="D200" s="117"/>
      <c r="E200" s="167"/>
      <c r="F200" s="167"/>
      <c r="G200" s="167"/>
      <c r="H200" s="167"/>
      <c r="I200" s="167"/>
      <c r="J200" s="167"/>
      <c r="K200" s="167"/>
    </row>
    <row r="201" spans="1:11">
      <c r="A201" s="108"/>
      <c r="B201" s="109" t="s">
        <v>519</v>
      </c>
      <c r="C201" s="128" t="s">
        <v>520</v>
      </c>
      <c r="D201" s="117"/>
      <c r="E201" s="167"/>
      <c r="F201" s="167"/>
      <c r="G201" s="167"/>
      <c r="H201" s="167"/>
      <c r="I201" s="167"/>
      <c r="J201" s="167"/>
      <c r="K201" s="167"/>
    </row>
    <row r="202" spans="1:11">
      <c r="A202" s="108"/>
      <c r="B202" s="109" t="s">
        <v>521</v>
      </c>
      <c r="C202" s="128" t="s">
        <v>468</v>
      </c>
      <c r="D202" s="117"/>
      <c r="E202" s="167"/>
      <c r="F202" s="167"/>
      <c r="G202" s="167"/>
      <c r="H202" s="167"/>
      <c r="I202" s="167"/>
      <c r="J202" s="167"/>
      <c r="K202" s="167"/>
    </row>
    <row r="203" spans="1:11">
      <c r="A203" s="108"/>
      <c r="B203" s="128" t="s">
        <v>1275</v>
      </c>
      <c r="C203" s="128" t="s">
        <v>470</v>
      </c>
      <c r="D203" s="117"/>
      <c r="E203" s="167"/>
      <c r="F203" s="167"/>
      <c r="G203" s="167"/>
      <c r="H203" s="167"/>
      <c r="I203" s="167"/>
      <c r="J203" s="167"/>
      <c r="K203" s="167"/>
    </row>
    <row r="204" spans="1:11">
      <c r="B204" s="132" t="s">
        <v>756</v>
      </c>
      <c r="C204" s="131"/>
      <c r="D204" s="170"/>
    </row>
    <row r="206" spans="1:11">
      <c r="A206" s="160" t="s">
        <v>1312</v>
      </c>
    </row>
    <row r="207" spans="1:11">
      <c r="B207" t="s">
        <v>104</v>
      </c>
    </row>
    <row r="208" spans="1:11">
      <c r="B208" s="107" t="s">
        <v>95</v>
      </c>
      <c r="C208" s="107" t="s">
        <v>96</v>
      </c>
      <c r="D208" s="165" t="s">
        <v>97</v>
      </c>
      <c r="E208" s="166" t="s">
        <v>476</v>
      </c>
    </row>
    <row r="209" spans="1:5">
      <c r="A209" s="108"/>
      <c r="B209" s="109" t="s">
        <v>517</v>
      </c>
      <c r="C209" s="128" t="s">
        <v>452</v>
      </c>
      <c r="D209" s="117"/>
      <c r="E209" s="167"/>
    </row>
    <row r="210" spans="1:5">
      <c r="A210" s="108"/>
      <c r="B210" s="109" t="s">
        <v>453</v>
      </c>
      <c r="C210" s="128" t="s">
        <v>454</v>
      </c>
      <c r="D210" s="117"/>
      <c r="E210" s="167"/>
    </row>
    <row r="211" spans="1:5">
      <c r="A211" s="108"/>
      <c r="B211" s="109" t="s">
        <v>455</v>
      </c>
      <c r="C211" s="128" t="s">
        <v>457</v>
      </c>
      <c r="D211" s="117"/>
      <c r="E211" s="167"/>
    </row>
    <row r="212" spans="1:5">
      <c r="A212" s="108"/>
      <c r="B212" s="109" t="s">
        <v>518</v>
      </c>
      <c r="C212" s="128" t="s">
        <v>460</v>
      </c>
      <c r="D212" s="117"/>
      <c r="E212" s="167"/>
    </row>
    <row r="213" spans="1:5">
      <c r="A213" s="108"/>
      <c r="B213" s="109" t="s">
        <v>461</v>
      </c>
      <c r="C213" s="128" t="s">
        <v>462</v>
      </c>
      <c r="D213" s="117"/>
      <c r="E213" s="167"/>
    </row>
    <row r="214" spans="1:5">
      <c r="A214" s="108"/>
      <c r="B214" s="109" t="s">
        <v>1274</v>
      </c>
      <c r="C214" s="128" t="s">
        <v>140</v>
      </c>
      <c r="D214" s="117"/>
      <c r="E214" s="167"/>
    </row>
    <row r="215" spans="1:5">
      <c r="A215" s="108"/>
      <c r="B215" s="109" t="s">
        <v>464</v>
      </c>
      <c r="C215" s="128" t="s">
        <v>465</v>
      </c>
      <c r="D215" s="117"/>
      <c r="E215" s="167"/>
    </row>
    <row r="216" spans="1:5">
      <c r="A216" s="108"/>
      <c r="B216" s="109" t="s">
        <v>519</v>
      </c>
      <c r="C216" s="128" t="s">
        <v>520</v>
      </c>
      <c r="D216" s="117"/>
      <c r="E216" s="167"/>
    </row>
    <row r="217" spans="1:5">
      <c r="A217" s="108"/>
      <c r="B217" s="109" t="s">
        <v>521</v>
      </c>
      <c r="C217" s="128" t="s">
        <v>468</v>
      </c>
      <c r="D217" s="117"/>
      <c r="E217" s="167"/>
    </row>
    <row r="218" spans="1:5">
      <c r="A218" s="108"/>
      <c r="B218" s="128" t="s">
        <v>1275</v>
      </c>
      <c r="C218" s="128" t="s">
        <v>470</v>
      </c>
      <c r="D218" s="117"/>
      <c r="E218" s="167"/>
    </row>
    <row r="219" spans="1:5">
      <c r="B219" s="130"/>
      <c r="C219" s="131"/>
      <c r="D219" s="170"/>
    </row>
    <row r="220" spans="1:5">
      <c r="B220" s="107" t="s">
        <v>95</v>
      </c>
      <c r="C220" s="107" t="s">
        <v>96</v>
      </c>
      <c r="D220" s="165" t="s">
        <v>97</v>
      </c>
      <c r="E220" s="166" t="s">
        <v>476</v>
      </c>
    </row>
    <row r="221" spans="1:5" ht="19.5" customHeight="1">
      <c r="B221" s="109" t="s">
        <v>1315</v>
      </c>
      <c r="C221" s="128" t="s">
        <v>1293</v>
      </c>
      <c r="D221" s="117" t="s">
        <v>1314</v>
      </c>
      <c r="E221" s="167"/>
    </row>
    <row r="223" spans="1:5">
      <c r="A223" s="160" t="s">
        <v>1291</v>
      </c>
    </row>
    <row r="224" spans="1:5">
      <c r="B224" t="s">
        <v>104</v>
      </c>
    </row>
    <row r="225" spans="1:5">
      <c r="B225" s="107" t="s">
        <v>95</v>
      </c>
      <c r="C225" s="107" t="s">
        <v>96</v>
      </c>
      <c r="D225" s="165" t="s">
        <v>97</v>
      </c>
      <c r="E225" s="166" t="s">
        <v>476</v>
      </c>
    </row>
    <row r="226" spans="1:5">
      <c r="A226" s="108"/>
      <c r="B226" s="109" t="s">
        <v>517</v>
      </c>
      <c r="C226" s="128" t="s">
        <v>452</v>
      </c>
      <c r="D226" s="117"/>
      <c r="E226" s="167"/>
    </row>
    <row r="227" spans="1:5">
      <c r="A227" s="108"/>
      <c r="B227" s="109" t="s">
        <v>453</v>
      </c>
      <c r="C227" s="128" t="s">
        <v>454</v>
      </c>
      <c r="D227" s="117"/>
      <c r="E227" s="167"/>
    </row>
    <row r="228" spans="1:5">
      <c r="A228" s="108"/>
      <c r="B228" s="109" t="s">
        <v>455</v>
      </c>
      <c r="C228" s="128" t="s">
        <v>457</v>
      </c>
      <c r="D228" s="117"/>
      <c r="E228" s="167"/>
    </row>
    <row r="229" spans="1:5">
      <c r="A229" s="108"/>
      <c r="B229" s="109" t="s">
        <v>458</v>
      </c>
      <c r="C229" s="128" t="s">
        <v>459</v>
      </c>
      <c r="D229" s="117"/>
      <c r="E229" s="167"/>
    </row>
    <row r="230" spans="1:5">
      <c r="A230" s="108"/>
      <c r="B230" s="109" t="s">
        <v>461</v>
      </c>
      <c r="C230" s="128" t="s">
        <v>462</v>
      </c>
      <c r="D230" s="117"/>
      <c r="E230" s="167"/>
    </row>
    <row r="231" spans="1:5">
      <c r="A231" s="108"/>
      <c r="B231" s="109" t="s">
        <v>1274</v>
      </c>
      <c r="C231" s="128" t="s">
        <v>140</v>
      </c>
      <c r="D231" s="117"/>
      <c r="E231" s="167"/>
    </row>
    <row r="232" spans="1:5">
      <c r="A232" s="108"/>
      <c r="B232" s="109" t="s">
        <v>464</v>
      </c>
      <c r="C232" s="128" t="s">
        <v>465</v>
      </c>
      <c r="D232" s="117"/>
      <c r="E232" s="167"/>
    </row>
    <row r="233" spans="1:5">
      <c r="A233" s="108"/>
      <c r="B233" s="109" t="s">
        <v>519</v>
      </c>
      <c r="C233" s="128" t="s">
        <v>520</v>
      </c>
      <c r="D233" s="117"/>
      <c r="E233" s="167"/>
    </row>
    <row r="234" spans="1:5">
      <c r="A234" s="108"/>
      <c r="B234" s="109" t="s">
        <v>467</v>
      </c>
      <c r="C234" s="128" t="s">
        <v>468</v>
      </c>
      <c r="D234" s="117"/>
      <c r="E234" s="167"/>
    </row>
    <row r="235" spans="1:5">
      <c r="A235" s="108"/>
      <c r="B235" s="128" t="s">
        <v>1275</v>
      </c>
      <c r="C235" s="128" t="s">
        <v>470</v>
      </c>
      <c r="D235" s="117"/>
      <c r="E235" s="167"/>
    </row>
    <row r="236" spans="1:5">
      <c r="B236" s="130"/>
      <c r="C236" s="131"/>
      <c r="D236" s="170"/>
    </row>
    <row r="237" spans="1:5">
      <c r="B237" s="107" t="s">
        <v>95</v>
      </c>
      <c r="C237" s="107" t="s">
        <v>96</v>
      </c>
      <c r="D237" s="165" t="s">
        <v>97</v>
      </c>
      <c r="E237" s="166" t="s">
        <v>476</v>
      </c>
    </row>
    <row r="238" spans="1:5">
      <c r="B238" s="109" t="s">
        <v>1292</v>
      </c>
      <c r="C238" s="128" t="s">
        <v>1293</v>
      </c>
      <c r="D238" s="117"/>
      <c r="E238" s="167"/>
    </row>
    <row r="239" spans="1:5">
      <c r="B239" s="109" t="s">
        <v>1294</v>
      </c>
      <c r="C239" s="128" t="s">
        <v>1295</v>
      </c>
      <c r="D239" s="117"/>
      <c r="E239" s="167"/>
    </row>
    <row r="240" spans="1:5">
      <c r="B240" s="109" t="s">
        <v>1296</v>
      </c>
      <c r="C240" s="128" t="s">
        <v>1297</v>
      </c>
      <c r="D240" s="117"/>
      <c r="E240" s="167"/>
    </row>
    <row r="241" spans="1:6">
      <c r="B241" s="109" t="s">
        <v>1298</v>
      </c>
      <c r="C241" s="128" t="s">
        <v>1299</v>
      </c>
      <c r="D241" s="117" t="s">
        <v>1303</v>
      </c>
      <c r="E241" s="167"/>
    </row>
    <row r="242" spans="1:6">
      <c r="B242" s="109" t="s">
        <v>1301</v>
      </c>
      <c r="C242" s="128" t="s">
        <v>1300</v>
      </c>
      <c r="D242" s="117" t="s">
        <v>1302</v>
      </c>
      <c r="E242" s="167"/>
    </row>
    <row r="244" spans="1:6">
      <c r="A244" s="160" t="s">
        <v>1327</v>
      </c>
    </row>
    <row r="245" spans="1:6">
      <c r="B245" t="s">
        <v>104</v>
      </c>
    </row>
    <row r="246" spans="1:6">
      <c r="B246" s="107" t="s">
        <v>95</v>
      </c>
      <c r="C246" s="107" t="s">
        <v>96</v>
      </c>
      <c r="D246" s="165" t="s">
        <v>97</v>
      </c>
      <c r="E246" s="166" t="s">
        <v>476</v>
      </c>
      <c r="F246" s="166" t="s">
        <v>491</v>
      </c>
    </row>
    <row r="247" spans="1:6">
      <c r="A247" s="108"/>
      <c r="B247" s="109" t="s">
        <v>517</v>
      </c>
      <c r="C247" s="128" t="s">
        <v>452</v>
      </c>
      <c r="D247" s="117"/>
      <c r="E247" s="167"/>
      <c r="F247" s="167"/>
    </row>
    <row r="248" spans="1:6">
      <c r="A248" s="108"/>
      <c r="B248" s="109" t="s">
        <v>453</v>
      </c>
      <c r="C248" s="128" t="s">
        <v>454</v>
      </c>
      <c r="D248" s="117"/>
      <c r="E248" s="167"/>
      <c r="F248" s="167"/>
    </row>
    <row r="249" spans="1:6">
      <c r="A249" s="108"/>
      <c r="B249" s="109" t="s">
        <v>455</v>
      </c>
      <c r="C249" s="128" t="s">
        <v>457</v>
      </c>
      <c r="D249" s="117"/>
      <c r="E249" s="167"/>
      <c r="F249" s="167"/>
    </row>
    <row r="250" spans="1:6">
      <c r="A250" s="108"/>
      <c r="B250" s="109" t="s">
        <v>518</v>
      </c>
      <c r="C250" s="128" t="s">
        <v>460</v>
      </c>
      <c r="D250" s="117"/>
      <c r="E250" s="167"/>
      <c r="F250" s="167"/>
    </row>
    <row r="251" spans="1:6">
      <c r="A251" s="108"/>
      <c r="B251" s="109" t="s">
        <v>461</v>
      </c>
      <c r="C251" s="128" t="s">
        <v>462</v>
      </c>
      <c r="D251" s="117"/>
      <c r="E251" s="167"/>
      <c r="F251" s="167"/>
    </row>
    <row r="252" spans="1:6">
      <c r="A252" s="108"/>
      <c r="B252" s="109" t="s">
        <v>1274</v>
      </c>
      <c r="C252" s="128" t="s">
        <v>140</v>
      </c>
      <c r="D252" s="117"/>
      <c r="E252" s="167"/>
      <c r="F252" s="167"/>
    </row>
    <row r="253" spans="1:6">
      <c r="A253" s="108"/>
      <c r="B253" s="109" t="s">
        <v>464</v>
      </c>
      <c r="C253" s="128" t="s">
        <v>465</v>
      </c>
      <c r="D253" s="117"/>
      <c r="E253" s="167"/>
      <c r="F253" s="167"/>
    </row>
    <row r="254" spans="1:6">
      <c r="A254" s="108"/>
      <c r="B254" s="109" t="s">
        <v>519</v>
      </c>
      <c r="C254" s="128" t="s">
        <v>520</v>
      </c>
      <c r="D254" s="117"/>
      <c r="E254" s="167"/>
      <c r="F254" s="167"/>
    </row>
    <row r="255" spans="1:6">
      <c r="A255" s="108"/>
      <c r="B255" s="109" t="s">
        <v>521</v>
      </c>
      <c r="C255" s="128" t="s">
        <v>468</v>
      </c>
      <c r="D255" s="117"/>
      <c r="E255" s="167"/>
      <c r="F255" s="167"/>
    </row>
    <row r="256" spans="1:6">
      <c r="A256" s="108"/>
      <c r="B256" s="128" t="s">
        <v>1275</v>
      </c>
      <c r="C256" s="128" t="s">
        <v>470</v>
      </c>
      <c r="D256" s="117"/>
      <c r="E256" s="167"/>
      <c r="F256" s="167"/>
    </row>
    <row r="257" spans="1:6">
      <c r="A257" s="108"/>
      <c r="B257" s="128" t="s">
        <v>471</v>
      </c>
      <c r="C257" s="128" t="s">
        <v>472</v>
      </c>
      <c r="D257" s="117"/>
      <c r="E257" s="167"/>
      <c r="F257" s="167"/>
    </row>
    <row r="258" spans="1:6">
      <c r="A258" s="108"/>
      <c r="B258" s="128" t="s">
        <v>486</v>
      </c>
      <c r="C258" s="128" t="s">
        <v>473</v>
      </c>
      <c r="D258" s="117"/>
      <c r="E258" s="167"/>
      <c r="F258" s="167"/>
    </row>
    <row r="259" spans="1:6">
      <c r="A259" s="108"/>
      <c r="B259" s="128" t="s">
        <v>487</v>
      </c>
      <c r="C259" s="128" t="s">
        <v>474</v>
      </c>
      <c r="D259" s="117"/>
      <c r="E259" s="167"/>
      <c r="F259" s="167"/>
    </row>
    <row r="260" spans="1:6">
      <c r="B260" s="130"/>
      <c r="C260" s="131"/>
      <c r="D260" s="170"/>
    </row>
    <row r="261" spans="1:6">
      <c r="B261" s="107" t="s">
        <v>95</v>
      </c>
      <c r="C261" s="107" t="s">
        <v>96</v>
      </c>
      <c r="D261" s="165" t="s">
        <v>97</v>
      </c>
      <c r="E261" s="166" t="s">
        <v>476</v>
      </c>
      <c r="F261" s="166" t="s">
        <v>491</v>
      </c>
    </row>
    <row r="262" spans="1:6">
      <c r="B262" s="109" t="s">
        <v>1269</v>
      </c>
      <c r="C262" s="128" t="s">
        <v>140</v>
      </c>
      <c r="D262" s="117" t="s">
        <v>188</v>
      </c>
      <c r="E262" s="167"/>
      <c r="F262" s="167"/>
    </row>
    <row r="263" spans="1:6">
      <c r="B263" s="109" t="s">
        <v>1270</v>
      </c>
      <c r="C263" s="128" t="s">
        <v>1272</v>
      </c>
      <c r="D263" s="117"/>
      <c r="E263" s="179"/>
      <c r="F263" s="179"/>
    </row>
    <row r="264" spans="1:6">
      <c r="B264" s="109" t="s">
        <v>1271</v>
      </c>
      <c r="C264" s="128" t="s">
        <v>1273</v>
      </c>
      <c r="D264" s="117"/>
      <c r="E264" s="167"/>
      <c r="F264" s="167"/>
    </row>
    <row r="266" spans="1:6">
      <c r="A266" s="160" t="s">
        <v>1289</v>
      </c>
    </row>
    <row r="267" spans="1:6">
      <c r="B267" t="s">
        <v>104</v>
      </c>
    </row>
    <row r="268" spans="1:6">
      <c r="B268" s="107" t="s">
        <v>95</v>
      </c>
      <c r="C268" s="107" t="s">
        <v>96</v>
      </c>
      <c r="D268" s="165" t="s">
        <v>97</v>
      </c>
      <c r="E268" s="166" t="s">
        <v>476</v>
      </c>
    </row>
    <row r="269" spans="1:6">
      <c r="A269" s="108"/>
      <c r="B269" s="109" t="s">
        <v>517</v>
      </c>
      <c r="C269" s="128" t="s">
        <v>452</v>
      </c>
      <c r="D269" s="117"/>
      <c r="E269" s="167"/>
    </row>
    <row r="270" spans="1:6">
      <c r="A270" s="108"/>
      <c r="B270" s="109" t="s">
        <v>453</v>
      </c>
      <c r="C270" s="128" t="s">
        <v>454</v>
      </c>
      <c r="D270" s="117"/>
      <c r="E270" s="167"/>
    </row>
    <row r="271" spans="1:6">
      <c r="A271" s="108"/>
      <c r="B271" s="109" t="s">
        <v>455</v>
      </c>
      <c r="C271" s="128" t="s">
        <v>457</v>
      </c>
      <c r="D271" s="117"/>
      <c r="E271" s="167"/>
    </row>
    <row r="272" spans="1:6">
      <c r="A272" s="108"/>
      <c r="B272" s="109" t="s">
        <v>518</v>
      </c>
      <c r="C272" s="128" t="s">
        <v>460</v>
      </c>
      <c r="D272" s="117"/>
      <c r="E272" s="167"/>
    </row>
    <row r="273" spans="1:5">
      <c r="A273" s="108"/>
      <c r="B273" s="109" t="s">
        <v>461</v>
      </c>
      <c r="C273" s="128" t="s">
        <v>462</v>
      </c>
      <c r="D273" s="117"/>
      <c r="E273" s="167"/>
    </row>
    <row r="274" spans="1:5">
      <c r="A274" s="108"/>
      <c r="B274" s="109" t="s">
        <v>1274</v>
      </c>
      <c r="C274" s="128" t="s">
        <v>140</v>
      </c>
      <c r="D274" s="117"/>
      <c r="E274" s="167"/>
    </row>
    <row r="275" spans="1:5">
      <c r="A275" s="108"/>
      <c r="B275" s="109" t="s">
        <v>464</v>
      </c>
      <c r="C275" s="128" t="s">
        <v>465</v>
      </c>
      <c r="D275" s="117"/>
      <c r="E275" s="167"/>
    </row>
    <row r="276" spans="1:5">
      <c r="A276" s="108"/>
      <c r="B276" s="109" t="s">
        <v>519</v>
      </c>
      <c r="C276" s="128" t="s">
        <v>520</v>
      </c>
      <c r="D276" s="117"/>
      <c r="E276" s="167"/>
    </row>
    <row r="277" spans="1:5">
      <c r="A277" s="108"/>
      <c r="B277" s="109" t="s">
        <v>521</v>
      </c>
      <c r="C277" s="128" t="s">
        <v>468</v>
      </c>
      <c r="D277" s="117"/>
      <c r="E277" s="167"/>
    </row>
    <row r="278" spans="1:5">
      <c r="A278" s="108"/>
      <c r="B278" s="128" t="s">
        <v>1275</v>
      </c>
      <c r="C278" s="128" t="s">
        <v>470</v>
      </c>
      <c r="D278" s="117"/>
      <c r="E278" s="167"/>
    </row>
    <row r="279" spans="1:5">
      <c r="B279" s="130"/>
      <c r="C279" s="131"/>
      <c r="D279" s="170"/>
    </row>
    <row r="280" spans="1:5">
      <c r="B280" s="107" t="s">
        <v>95</v>
      </c>
      <c r="C280" s="107" t="s">
        <v>96</v>
      </c>
      <c r="D280" s="165" t="s">
        <v>97</v>
      </c>
      <c r="E280" s="166" t="s">
        <v>476</v>
      </c>
    </row>
    <row r="281" spans="1:5">
      <c r="B281" s="109" t="s">
        <v>1283</v>
      </c>
      <c r="C281" s="128" t="s">
        <v>1284</v>
      </c>
      <c r="D281" s="117" t="s">
        <v>1285</v>
      </c>
      <c r="E281" s="167"/>
    </row>
    <row r="282" spans="1:5" ht="54">
      <c r="B282" s="109" t="s">
        <v>1286</v>
      </c>
      <c r="C282" s="128" t="s">
        <v>1287</v>
      </c>
      <c r="D282" s="117" t="s">
        <v>1288</v>
      </c>
      <c r="E282" s="167"/>
    </row>
  </sheetData>
  <mergeCells count="1">
    <mergeCell ref="A48:B48"/>
  </mergeCells>
  <phoneticPr fontId="28"/>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257" t="s">
        <v>4</v>
      </c>
      <c r="C6" s="253" t="s">
        <v>30</v>
      </c>
      <c r="D6" s="253" t="s">
        <v>56</v>
      </c>
      <c r="E6" s="57"/>
      <c r="F6" s="258" t="s">
        <v>7</v>
      </c>
      <c r="G6" s="259"/>
      <c r="H6" s="241" t="s">
        <v>12</v>
      </c>
      <c r="I6" s="241"/>
      <c r="J6" s="241"/>
      <c r="K6" s="242" t="s">
        <v>14</v>
      </c>
      <c r="L6" s="242"/>
      <c r="M6" s="242"/>
      <c r="N6" s="260"/>
      <c r="O6" s="260"/>
      <c r="P6" s="260"/>
    </row>
    <row r="7" spans="1:17">
      <c r="B7" s="232"/>
      <c r="C7" s="234"/>
      <c r="D7" s="234"/>
      <c r="E7" s="58"/>
      <c r="F7" s="239"/>
      <c r="G7" s="240"/>
      <c r="H7" s="45" t="s">
        <v>8</v>
      </c>
      <c r="I7" s="45" t="s">
        <v>9</v>
      </c>
      <c r="J7" s="45" t="s">
        <v>10</v>
      </c>
      <c r="K7" s="30"/>
      <c r="L7" s="32"/>
      <c r="M7" s="33"/>
      <c r="N7" s="44"/>
      <c r="O7" s="44"/>
      <c r="P7" s="44"/>
      <c r="Q7" s="3" t="s">
        <v>23</v>
      </c>
    </row>
    <row r="8" spans="1:17">
      <c r="B8" s="38" t="s">
        <v>15</v>
      </c>
      <c r="C8" s="29" t="s">
        <v>31</v>
      </c>
      <c r="D8" s="28" t="s">
        <v>33</v>
      </c>
      <c r="E8" s="39"/>
      <c r="F8" s="227" t="s">
        <v>28</v>
      </c>
      <c r="G8" s="228"/>
      <c r="H8" s="53"/>
      <c r="I8" s="54"/>
      <c r="J8" s="53"/>
      <c r="K8" s="39"/>
      <c r="L8" s="34"/>
      <c r="M8" s="35"/>
      <c r="N8" s="44"/>
      <c r="O8" s="44"/>
      <c r="P8" s="44"/>
      <c r="Q8" s="3" t="s">
        <v>24</v>
      </c>
    </row>
    <row r="9" spans="1:17">
      <c r="B9" s="16"/>
      <c r="C9" s="40"/>
      <c r="D9" s="29" t="s">
        <v>33</v>
      </c>
      <c r="E9" s="49"/>
      <c r="F9" s="261" t="s">
        <v>29</v>
      </c>
      <c r="G9" s="262"/>
      <c r="H9" s="47"/>
      <c r="I9" s="48"/>
      <c r="J9" s="47"/>
      <c r="K9" s="49"/>
      <c r="L9" s="55"/>
      <c r="M9" s="56"/>
      <c r="N9" s="44"/>
      <c r="O9" s="44"/>
      <c r="P9" s="44"/>
      <c r="Q9" s="3" t="s">
        <v>25</v>
      </c>
    </row>
    <row r="10" spans="1:17" s="15" customFormat="1">
      <c r="B10" s="38" t="s">
        <v>16</v>
      </c>
      <c r="C10" s="46" t="s">
        <v>32</v>
      </c>
      <c r="D10" s="18" t="s">
        <v>35</v>
      </c>
      <c r="E10" s="59"/>
      <c r="F10" s="227" t="s">
        <v>36</v>
      </c>
      <c r="G10" s="254"/>
      <c r="H10" s="53"/>
      <c r="I10" s="54"/>
      <c r="J10" s="53"/>
      <c r="K10" s="31"/>
      <c r="L10" s="36"/>
      <c r="M10" s="37"/>
      <c r="N10" s="1"/>
      <c r="O10" s="1"/>
      <c r="P10" s="1"/>
      <c r="Q10" s="3" t="s">
        <v>26</v>
      </c>
    </row>
    <row r="11" spans="1:17" s="15" customFormat="1">
      <c r="B11" s="16"/>
      <c r="C11" s="17"/>
      <c r="D11" s="18" t="s">
        <v>37</v>
      </c>
      <c r="E11" s="59"/>
      <c r="F11" s="227" t="s">
        <v>38</v>
      </c>
      <c r="G11" s="254"/>
      <c r="H11" s="19"/>
      <c r="I11" s="20"/>
      <c r="J11" s="19"/>
      <c r="K11" s="31"/>
      <c r="L11" s="36"/>
      <c r="M11" s="37"/>
      <c r="N11" s="1"/>
      <c r="O11" s="1"/>
      <c r="P11" s="1"/>
      <c r="Q11" s="3" t="s">
        <v>27</v>
      </c>
    </row>
    <row r="12" spans="1:17" s="15" customFormat="1" ht="27" customHeight="1">
      <c r="B12" s="16"/>
      <c r="C12" s="17"/>
      <c r="D12" s="18" t="s">
        <v>39</v>
      </c>
      <c r="E12" s="59"/>
      <c r="F12" s="227" t="s">
        <v>40</v>
      </c>
      <c r="G12" s="228"/>
      <c r="H12" s="19"/>
      <c r="I12" s="20"/>
      <c r="J12" s="19"/>
      <c r="K12" s="31"/>
      <c r="L12" s="36"/>
      <c r="M12" s="37"/>
      <c r="N12" s="1"/>
      <c r="O12" s="1"/>
      <c r="P12" s="1"/>
      <c r="Q12" s="15" t="s">
        <v>61</v>
      </c>
    </row>
    <row r="13" spans="1:17" s="15" customFormat="1" ht="27" customHeight="1">
      <c r="B13" s="16"/>
      <c r="C13" s="17"/>
      <c r="D13" s="18" t="s">
        <v>41</v>
      </c>
      <c r="E13" s="59"/>
      <c r="F13" s="227" t="s">
        <v>44</v>
      </c>
      <c r="G13" s="228"/>
      <c r="H13" s="19"/>
      <c r="I13" s="20"/>
      <c r="J13" s="19"/>
      <c r="K13" s="39"/>
      <c r="L13" s="36"/>
      <c r="M13" s="37"/>
      <c r="N13" s="1"/>
      <c r="O13" s="1"/>
      <c r="P13" s="1"/>
    </row>
    <row r="14" spans="1:17" s="15" customFormat="1" ht="27" customHeight="1">
      <c r="B14" s="21"/>
      <c r="C14" s="22"/>
      <c r="D14" s="18" t="s">
        <v>42</v>
      </c>
      <c r="E14" s="59"/>
      <c r="F14" s="227" t="s">
        <v>43</v>
      </c>
      <c r="G14" s="228"/>
      <c r="H14" s="19"/>
      <c r="I14" s="20"/>
      <c r="J14" s="19"/>
      <c r="K14" s="31"/>
      <c r="L14" s="36"/>
      <c r="M14" s="37"/>
      <c r="N14" s="1"/>
      <c r="O14" s="1"/>
      <c r="P14" s="1"/>
    </row>
    <row r="15" spans="1:17" s="15" customFormat="1" ht="27" customHeight="1">
      <c r="B15" s="41" t="s">
        <v>18</v>
      </c>
      <c r="C15" s="18" t="s">
        <v>45</v>
      </c>
      <c r="D15" s="18" t="s">
        <v>46</v>
      </c>
      <c r="E15" s="59"/>
      <c r="F15" s="227" t="s">
        <v>47</v>
      </c>
      <c r="G15" s="254"/>
      <c r="H15" s="53"/>
      <c r="I15" s="54"/>
      <c r="J15" s="53"/>
      <c r="K15" s="31"/>
      <c r="L15" s="36"/>
      <c r="M15" s="37"/>
      <c r="N15" s="1"/>
      <c r="O15" s="1"/>
      <c r="P15" s="1"/>
    </row>
    <row r="16" spans="1:17" s="15" customFormat="1" ht="27" customHeight="1">
      <c r="B16" s="41" t="s">
        <v>19</v>
      </c>
      <c r="C16" s="18" t="s">
        <v>48</v>
      </c>
      <c r="D16" s="18" t="s">
        <v>49</v>
      </c>
      <c r="E16" s="59"/>
      <c r="F16" s="227" t="s">
        <v>50</v>
      </c>
      <c r="G16" s="254"/>
      <c r="H16" s="54"/>
      <c r="I16" s="54"/>
      <c r="J16" s="53"/>
      <c r="K16" s="31"/>
      <c r="L16" s="36"/>
      <c r="M16" s="37"/>
      <c r="N16" s="1"/>
      <c r="O16" s="1"/>
      <c r="P16" s="1"/>
    </row>
    <row r="17" spans="2:16" s="15" customFormat="1" ht="27" customHeight="1">
      <c r="B17" s="21" t="s">
        <v>20</v>
      </c>
      <c r="C17" s="18" t="s">
        <v>51</v>
      </c>
      <c r="D17" s="18" t="s">
        <v>52</v>
      </c>
      <c r="E17" s="60"/>
      <c r="F17" s="255" t="s">
        <v>53</v>
      </c>
      <c r="G17" s="256"/>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257" t="s">
        <v>4</v>
      </c>
      <c r="C22" s="253" t="s">
        <v>30</v>
      </c>
      <c r="D22" s="253" t="s">
        <v>34</v>
      </c>
      <c r="E22" s="253" t="s">
        <v>58</v>
      </c>
      <c r="F22" s="258" t="s">
        <v>7</v>
      </c>
      <c r="G22" s="259"/>
      <c r="H22" s="241" t="s">
        <v>12</v>
      </c>
      <c r="I22" s="241"/>
      <c r="J22" s="241"/>
      <c r="K22" s="242" t="s">
        <v>14</v>
      </c>
      <c r="L22" s="242"/>
      <c r="M22" s="242"/>
    </row>
    <row r="23" spans="2:16">
      <c r="B23" s="232"/>
      <c r="C23" s="234"/>
      <c r="D23" s="234"/>
      <c r="E23" s="234"/>
      <c r="F23" s="239"/>
      <c r="G23" s="240"/>
      <c r="H23" s="45" t="s">
        <v>8</v>
      </c>
      <c r="I23" s="45" t="s">
        <v>9</v>
      </c>
      <c r="J23" s="45" t="s">
        <v>10</v>
      </c>
      <c r="K23" s="30"/>
      <c r="L23" s="32"/>
      <c r="M23" s="33"/>
    </row>
    <row r="24" spans="2:16" ht="40.5">
      <c r="B24" s="38" t="s">
        <v>15</v>
      </c>
      <c r="C24" s="29" t="s">
        <v>55</v>
      </c>
      <c r="D24" s="42" t="s">
        <v>57</v>
      </c>
      <c r="E24" s="43" t="s">
        <v>59</v>
      </c>
      <c r="F24" s="227" t="s">
        <v>60</v>
      </c>
      <c r="G24" s="228"/>
      <c r="H24" s="53"/>
      <c r="I24" s="54"/>
      <c r="J24" s="53"/>
      <c r="K24" s="39"/>
      <c r="L24" s="34"/>
      <c r="M24" s="35"/>
    </row>
    <row r="25" spans="2:16">
      <c r="B25" s="41" t="s">
        <v>16</v>
      </c>
      <c r="C25" s="18"/>
      <c r="D25" s="18"/>
      <c r="E25" s="59"/>
      <c r="F25" s="227"/>
      <c r="G25" s="254"/>
      <c r="H25" s="53"/>
      <c r="I25" s="54"/>
      <c r="J25" s="53"/>
      <c r="K25" s="31"/>
      <c r="L25" s="36"/>
      <c r="M25" s="37"/>
    </row>
    <row r="26" spans="2:16">
      <c r="B26" s="41"/>
      <c r="C26" s="18"/>
      <c r="D26" s="18"/>
      <c r="E26" s="59"/>
      <c r="F26" s="227"/>
      <c r="G26" s="254"/>
      <c r="H26" s="19"/>
      <c r="I26" s="20"/>
      <c r="J26" s="19"/>
      <c r="K26" s="31"/>
      <c r="L26" s="36"/>
      <c r="M26" s="37"/>
    </row>
    <row r="27" spans="2:16">
      <c r="B27" s="41"/>
      <c r="C27" s="18"/>
      <c r="D27" s="18"/>
      <c r="E27" s="59"/>
      <c r="F27" s="227"/>
      <c r="G27" s="228"/>
      <c r="H27" s="19"/>
      <c r="I27" s="20"/>
      <c r="J27" s="19"/>
      <c r="K27" s="31"/>
      <c r="L27" s="36"/>
      <c r="M27" s="37"/>
    </row>
    <row r="28" spans="2:16">
      <c r="B28" s="41"/>
      <c r="C28" s="18"/>
      <c r="D28" s="18"/>
      <c r="E28" s="59"/>
      <c r="F28" s="227"/>
      <c r="G28" s="228"/>
      <c r="H28" s="19"/>
      <c r="I28" s="20"/>
      <c r="J28" s="19"/>
      <c r="K28" s="39"/>
      <c r="L28" s="36"/>
      <c r="M28" s="37"/>
    </row>
    <row r="29" spans="2:16">
      <c r="B29" s="41"/>
      <c r="C29" s="18"/>
      <c r="D29" s="18"/>
      <c r="E29" s="59"/>
      <c r="F29" s="227"/>
      <c r="G29" s="228"/>
      <c r="H29" s="19"/>
      <c r="I29" s="20"/>
      <c r="J29" s="19"/>
      <c r="K29" s="31"/>
      <c r="L29" s="36"/>
      <c r="M29" s="37"/>
    </row>
    <row r="30" spans="2:16">
      <c r="B30" s="41" t="s">
        <v>18</v>
      </c>
      <c r="C30" s="18"/>
      <c r="D30" s="18"/>
      <c r="E30" s="59"/>
      <c r="F30" s="227"/>
      <c r="G30" s="254"/>
      <c r="H30" s="53"/>
      <c r="I30" s="54"/>
      <c r="J30" s="53"/>
      <c r="K30" s="31"/>
      <c r="L30" s="36"/>
      <c r="M30" s="37"/>
    </row>
    <row r="31" spans="2:16">
      <c r="B31" s="41" t="s">
        <v>19</v>
      </c>
      <c r="C31" s="18"/>
      <c r="D31" s="18"/>
      <c r="E31" s="59"/>
      <c r="F31" s="227"/>
      <c r="G31" s="254"/>
      <c r="H31" s="54"/>
      <c r="I31" s="54"/>
      <c r="J31" s="53"/>
      <c r="K31" s="31"/>
      <c r="L31" s="36"/>
      <c r="M31" s="37"/>
    </row>
    <row r="32" spans="2:16">
      <c r="B32" s="21" t="s">
        <v>20</v>
      </c>
      <c r="C32" s="18"/>
      <c r="D32" s="18"/>
      <c r="E32" s="60"/>
      <c r="F32" s="255"/>
      <c r="G32" s="256"/>
      <c r="H32" s="19"/>
      <c r="I32" s="20"/>
      <c r="J32" s="19"/>
      <c r="K32" s="50"/>
      <c r="L32" s="51"/>
      <c r="M32" s="52"/>
    </row>
  </sheetData>
  <mergeCells count="33">
    <mergeCell ref="B6:B7"/>
    <mergeCell ref="C6:C7"/>
    <mergeCell ref="D6:D7"/>
    <mergeCell ref="F6:G7"/>
    <mergeCell ref="H6:J6"/>
    <mergeCell ref="F13:G13"/>
    <mergeCell ref="F14:G14"/>
    <mergeCell ref="N6:P6"/>
    <mergeCell ref="F8:G8"/>
    <mergeCell ref="F9:G9"/>
    <mergeCell ref="F10:G10"/>
    <mergeCell ref="F11:G11"/>
    <mergeCell ref="F12:G12"/>
    <mergeCell ref="K6:M6"/>
    <mergeCell ref="F31:G31"/>
    <mergeCell ref="F32:G32"/>
    <mergeCell ref="F25:G25"/>
    <mergeCell ref="F26:G26"/>
    <mergeCell ref="F27:G27"/>
    <mergeCell ref="F24:G24"/>
    <mergeCell ref="F28:G28"/>
    <mergeCell ref="F29:G29"/>
    <mergeCell ref="F30:G30"/>
    <mergeCell ref="K22:M22"/>
    <mergeCell ref="H22:J22"/>
    <mergeCell ref="E22:E23"/>
    <mergeCell ref="F15:G15"/>
    <mergeCell ref="F16:G16"/>
    <mergeCell ref="F17:G17"/>
    <mergeCell ref="B22:B23"/>
    <mergeCell ref="C22:C23"/>
    <mergeCell ref="D22:D23"/>
    <mergeCell ref="F22:G23"/>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2</vt:i4>
      </vt:variant>
    </vt:vector>
  </HeadingPairs>
  <TitlesOfParts>
    <vt:vector size="9" baseType="lpstr">
      <vt:lpstr>表紙</vt:lpstr>
      <vt:lpstr>変更履歴</vt:lpstr>
      <vt:lpstr>テスト項目</vt:lpstr>
      <vt:lpstr>画面項目マトリクス</vt:lpstr>
      <vt:lpstr>ヘッダ項目クリック_マトリクス</vt:lpstr>
      <vt:lpstr>リクエストパラメータチェックシート</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2019-01-09T07:03:53Z</dcterms:modified>
</cp:coreProperties>
</file>