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ヘッダ項目マトリクス_車両からプロファイル検索" sheetId="22" r:id="rId4"/>
    <sheet name="ヘッダ項目マトリクス_この車両が登録されているプロファイル" sheetId="23" r:id="rId5"/>
    <sheet name="リクエストパラメータチェックシート" sheetId="21" r:id="rId6"/>
    <sheet name="IT、ST（案）テスト項目" sheetId="14"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6"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6" hidden="1">[2]FEM92SIM!#REF!</definedName>
    <definedName name="_Fill" localSheetId="4" hidden="1">[2]FEM92SIM!#REF!</definedName>
    <definedName name="_Fill" hidden="1">[2]FEM92SIM!#REF!</definedName>
    <definedName name="_xlnm._FilterDatabase" localSheetId="6" hidden="1">'IT、ST（案）テスト項目'!#REF!</definedName>
    <definedName name="_xlnm._FilterDatabase" localSheetId="2" hidden="1">テスト項目!$B$7:$U$256</definedName>
    <definedName name="_xlnm._FilterDatabase" localSheetId="5" hidden="1">リクエストパラメータチェックシート!$B$90:$I$192</definedName>
    <definedName name="_Key1" localSheetId="6" hidden="1">#REF!</definedName>
    <definedName name="_Key1" localSheetId="2" hidden="1">#REF!</definedName>
    <definedName name="_Key1" localSheetId="4" hidden="1">#REF!</definedName>
    <definedName name="_Key1" hidden="1">#REF!</definedName>
    <definedName name="_Order1" hidden="1">0</definedName>
    <definedName name="_Order2" hidden="1">0</definedName>
    <definedName name="_Sort" localSheetId="6" hidden="1">#REF!</definedName>
    <definedName name="_Sort" localSheetId="2" hidden="1">#REF!</definedName>
    <definedName name="_Sort" localSheetId="4" hidden="1">#REF!</definedName>
    <definedName name="_Sort" hidden="1">#REF!</definedName>
    <definedName name="_Table1_In1" localSheetId="6" hidden="1">#REF!</definedName>
    <definedName name="_Table1_In1" localSheetId="2" hidden="1">#REF!</definedName>
    <definedName name="_Table1_In1" localSheetId="4" hidden="1">#REF!</definedName>
    <definedName name="_Table1_In1" hidden="1">#REF!</definedName>
    <definedName name="_Table1_Out" localSheetId="6" hidden="1">#REF!</definedName>
    <definedName name="_Table1_Out" localSheetId="2" hidden="1">#REF!</definedName>
    <definedName name="_Table1_Out" localSheetId="4" hidden="1">#REF!</definedName>
    <definedName name="_Table1_Out" hidden="1">#REF!</definedName>
    <definedName name="_ZA1" localSheetId="6">#REF!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6">[3]ﾃﾞｰﾀﾍﾞｰｽ変更点!#REF!</definedName>
    <definedName name="A_ACT_DATA" localSheetId="4">[3]ﾃﾞｰﾀﾍﾞｰｽ変更点!#REF!</definedName>
    <definedName name="A_ACT_DATA">[3]ﾃﾞｰﾀﾍﾞｰｽ変更点!#REF!</definedName>
    <definedName name="A_ACTUAL_OPERATION" localSheetId="6">[4]TableDesign!#REF!</definedName>
    <definedName name="A_ACTUAL_OPERATION" localSheetId="4">[4]TableDesign!#REF!</definedName>
    <definedName name="A_ACTUAL_OPERATION">[4]TableDesign!#REF!</definedName>
    <definedName name="A_AREA" localSheetId="6">[3]ﾃﾞｰﾀﾍﾞｰｽ変更点!#REF!</definedName>
    <definedName name="A_AREA" localSheetId="4">[3]ﾃﾞｰﾀﾍﾞｰｽ変更点!#REF!</definedName>
    <definedName name="A_AREA">[3]ﾃﾞｰﾀﾍﾞｰｽ変更点!#REF!</definedName>
    <definedName name="A_AREA_DEFINE" localSheetId="6">[3]ﾃﾞｰﾀﾍﾞｰｽ変更点!#REF!</definedName>
    <definedName name="A_AREA_DEFINE" localSheetId="4">[3]ﾃﾞｰﾀﾍﾞｰｽ変更点!#REF!</definedName>
    <definedName name="A_AREA_DEFINE">[3]ﾃﾞｰﾀﾍﾞｰｽ変更点!#REF!</definedName>
    <definedName name="A_AREA_INIT" localSheetId="6">[3]ﾃﾞｰﾀﾍﾞｰｽ変更点!#REF!</definedName>
    <definedName name="A_AREA_INIT" localSheetId="4">[3]ﾃﾞｰﾀﾍﾞｰｽ変更点!#REF!</definedName>
    <definedName name="A_AREA_INIT">[3]ﾃﾞｰﾀﾍﾞｰｽ変更点!#REF!</definedName>
    <definedName name="A_AREA_MASTER" localSheetId="6">[3]ﾃﾞｰﾀﾍﾞｰｽ変更点!#REF!</definedName>
    <definedName name="A_AREA_MASTER" localSheetId="4">[3]ﾃﾞｰﾀﾍﾞｰｽ変更点!#REF!</definedName>
    <definedName name="A_AREA_MASTER">[3]ﾃﾞｰﾀﾍﾞｰｽ変更点!#REF!</definedName>
    <definedName name="A_ASK" localSheetId="6">[3]ﾃﾞｰﾀﾍﾞｰｽ変更点!#REF!</definedName>
    <definedName name="A_ASK" localSheetId="4">[3]ﾃﾞｰﾀﾍﾞｰｽ変更点!#REF!</definedName>
    <definedName name="A_ASK">[3]ﾃﾞｰﾀﾍﾞｰｽ変更点!#REF!</definedName>
    <definedName name="A_ASK_LOG" localSheetId="6">[5]テーブル設計!#REF!</definedName>
    <definedName name="A_ASK_LOG" localSheetId="4">[5]テーブル設計!#REF!</definedName>
    <definedName name="A_ASK_LOG">[5]テーブル設計!#REF!</definedName>
    <definedName name="A_ASK_SYSTEM" localSheetId="6">[3]ﾃﾞｰﾀﾍﾞｰｽ変更点!#REF!</definedName>
    <definedName name="A_ASK_SYSTEM" localSheetId="4">[3]ﾃﾞｰﾀﾍﾞｰｽ変更点!#REF!</definedName>
    <definedName name="A_ASK_SYSTEM">[3]ﾃﾞｰﾀﾍﾞｰｽ変更点!#REF!</definedName>
    <definedName name="A_ATC_ERROR" localSheetId="6">[5]テーブル設計!#REF!</definedName>
    <definedName name="A_ATC_ERROR" localSheetId="4">[5]テーブル設計!#REF!</definedName>
    <definedName name="A_ATC_ERROR">[5]テーブル設計!#REF!</definedName>
    <definedName name="A_AUTHORITY_GROUP" localSheetId="6">[3]ﾃﾞｰﾀﾍﾞｰｽ変更点!#REF!</definedName>
    <definedName name="A_AUTHORITY_GROUP" localSheetId="4">[3]ﾃﾞｰﾀﾍﾞｰｽ変更点!#REF!</definedName>
    <definedName name="A_AUTHORITY_GROUP">[3]ﾃﾞｰﾀﾍﾞｰｽ変更点!#REF!</definedName>
    <definedName name="A_AUTHORITY_GROUP_DATA" localSheetId="6">[3]ﾃﾞｰﾀﾍﾞｰｽ変更点!#REF!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6">[5]テーブル設計!#REF!</definedName>
    <definedName name="A_AUTHORITY_MASTER" localSheetId="4">[5]テーブル設計!#REF!</definedName>
    <definedName name="A_AUTHORITY_MASTER">[5]テーブル設計!#REF!</definedName>
    <definedName name="A_BONDED_STORE" localSheetId="6">[5]テーブル設計!#REF!</definedName>
    <definedName name="A_BONDED_STORE" localSheetId="4">[5]テーブル設計!#REF!</definedName>
    <definedName name="A_BONDED_STORE">[5]テーブル設計!#REF!</definedName>
    <definedName name="A_CAR_DATA" localSheetId="6">[3]ﾃﾞｰﾀﾍﾞｰｽ変更点!#REF!</definedName>
    <definedName name="A_CAR_DATA" localSheetId="4">[3]ﾃﾞｰﾀﾍﾞｰｽ変更点!#REF!</definedName>
    <definedName name="A_CAR_DATA">[3]ﾃﾞｰﾀﾍﾞｰｽ変更点!#REF!</definedName>
    <definedName name="A_CAR_MASTER" localSheetId="6">[3]ﾃﾞｰﾀﾍﾞｰｽ変更点!#REF!</definedName>
    <definedName name="A_CAR_MASTER" localSheetId="4">[3]ﾃﾞｰﾀﾍﾞｰｽ変更点!#REF!</definedName>
    <definedName name="A_CAR_MASTER">[3]ﾃﾞｰﾀﾍﾞｰｽ変更点!#REF!</definedName>
    <definedName name="A_CAR_MONTHLY_DATA" localSheetId="6">[3]ﾃﾞｰﾀﾍﾞｰｽ変更点!#REF!</definedName>
    <definedName name="A_CAR_MONTHLY_DATA" localSheetId="4">[3]ﾃﾞｰﾀﾍﾞｰｽ変更点!#REF!</definedName>
    <definedName name="A_CAR_MONTHLY_DATA">[3]ﾃﾞｰﾀﾍﾞｰｽ変更点!#REF!</definedName>
    <definedName name="A_CAR_OWNER_HISTORY" localSheetId="6">[3]ﾃﾞｰﾀﾍﾞｰｽ変更点!#REF!</definedName>
    <definedName name="A_CAR_OWNER_HISTORY" localSheetId="4">[3]ﾃﾞｰﾀﾍﾞｰｽ変更点!#REF!</definedName>
    <definedName name="A_CAR_OWNER_HISTORY">[3]ﾃﾞｰﾀﾍﾞｰｽ変更点!#REF!</definedName>
    <definedName name="A_CAUTION" localSheetId="6">[4]TableDesign!#REF!</definedName>
    <definedName name="A_CAUTION" localSheetId="4">[4]TableDesign!#REF!</definedName>
    <definedName name="A_CAUTION">[4]TableDesign!#REF!</definedName>
    <definedName name="A_CAUTION_DATA" localSheetId="6">[3]ﾃﾞｰﾀﾍﾞｰｽ変更点!#REF!</definedName>
    <definedName name="A_CAUTION_DATA" localSheetId="4">[3]ﾃﾞｰﾀﾍﾞｰｽ変更点!#REF!</definedName>
    <definedName name="A_CAUTION_DATA">[3]ﾃﾞｰﾀﾍﾞｰｽ変更点!#REF!</definedName>
    <definedName name="A_CAUTION_ENABLED" localSheetId="6">[3]ﾃﾞｰﾀﾍﾞｰｽ変更点!#REF!</definedName>
    <definedName name="A_CAUTION_ENABLED" localSheetId="4">[3]ﾃﾞｰﾀﾍﾞｰｽ変更点!#REF!</definedName>
    <definedName name="A_CAUTION_ENABLED">[3]ﾃﾞｰﾀﾍﾞｰｽ変更点!#REF!</definedName>
    <definedName name="A_CAUTION_ICON" localSheetId="6">[3]ﾃﾞｰﾀﾍﾞｰｽ変更点!#REF!</definedName>
    <definedName name="A_CAUTION_ICON" localSheetId="4">[3]ﾃﾞｰﾀﾍﾞｰｽ変更点!#REF!</definedName>
    <definedName name="A_CAUTION_ICON">[3]ﾃﾞｰﾀﾍﾞｰｽ変更点!#REF!</definedName>
    <definedName name="A_CAUTION_INIT" localSheetId="6">[3]ﾃﾞｰﾀﾍﾞｰｽ変更点!#REF!</definedName>
    <definedName name="A_CAUTION_INIT" localSheetId="4">[3]ﾃﾞｰﾀﾍﾞｰｽ変更点!#REF!</definedName>
    <definedName name="A_CAUTION_INIT">[3]ﾃﾞｰﾀﾍﾞｰｽ変更点!#REF!</definedName>
    <definedName name="A_CAUTION_MASTER" localSheetId="6">[3]ﾃﾞｰﾀﾍﾞｰｽ変更点!#REF!</definedName>
    <definedName name="A_CAUTION_MASTER" localSheetId="4">[3]ﾃﾞｰﾀﾍﾞｰｽ変更点!#REF!</definedName>
    <definedName name="A_CAUTION_MASTER">[3]ﾃﾞｰﾀﾍﾞｰｽ変更点!#REF!</definedName>
    <definedName name="A_CLASS1_MASTER" localSheetId="6">[3]ﾃﾞｰﾀﾍﾞｰｽ変更点!#REF!</definedName>
    <definedName name="A_CLASS1_MASTER" localSheetId="4">[3]ﾃﾞｰﾀﾍﾞｰｽ変更点!#REF!</definedName>
    <definedName name="A_CLASS1_MASTER">[3]ﾃﾞｰﾀﾍﾞｰｽ変更点!#REF!</definedName>
    <definedName name="A_CLASS2_MASTER" localSheetId="6">[3]ﾃﾞｰﾀﾍﾞｰｽ変更点!#REF!</definedName>
    <definedName name="A_CLASS2_MASTER" localSheetId="4">[3]ﾃﾞｰﾀﾍﾞｰｽ変更点!#REF!</definedName>
    <definedName name="A_CLASS2_MASTER">[3]ﾃﾞｰﾀﾍﾞｰｽ変更点!#REF!</definedName>
    <definedName name="A_COMM_DATA" localSheetId="6">[3]ﾃﾞｰﾀﾍﾞｰｽ変更点!#REF!</definedName>
    <definedName name="A_COMM_DATA" localSheetId="4">[3]ﾃﾞｰﾀﾍﾞｰｽ変更点!#REF!</definedName>
    <definedName name="A_COMM_DATA">[3]ﾃﾞｰﾀﾍﾞｰｽ変更点!#REF!</definedName>
    <definedName name="A_COMM_STATUS_MASTER" localSheetId="6">[3]ﾃﾞｰﾀﾍﾞｰｽ変更点!#REF!</definedName>
    <definedName name="A_COMM_STATUS_MASTER" localSheetId="4">[3]ﾃﾞｰﾀﾍﾞｰｽ変更点!#REF!</definedName>
    <definedName name="A_COMM_STATUS_MASTER">[3]ﾃﾞｰﾀﾍﾞｰｽ変更点!#REF!</definedName>
    <definedName name="A_CONFIG_DEFINE" localSheetId="6">[3]ﾃﾞｰﾀﾍﾞｰｽ変更点!#REF!</definedName>
    <definedName name="A_CONFIG_DEFINE" localSheetId="4">[3]ﾃﾞｰﾀﾍﾞｰｽ変更点!#REF!</definedName>
    <definedName name="A_CONFIG_DEFINE">[3]ﾃﾞｰﾀﾍﾞｰｽ変更点!#REF!</definedName>
    <definedName name="A_CONFIG_FLAG" localSheetId="6">[5]テーブル設計!#REF!</definedName>
    <definedName name="A_CONFIG_FLAG" localSheetId="4">[5]テーブル設計!#REF!</definedName>
    <definedName name="A_CONFIG_FLAG">[5]テーブル設計!#REF!</definedName>
    <definedName name="A_CONFIG_INIT" localSheetId="6">[3]ﾃﾞｰﾀﾍﾞｰｽ変更点!#REF!</definedName>
    <definedName name="A_CONFIG_INIT" localSheetId="4">[3]ﾃﾞｰﾀﾍﾞｰｽ変更点!#REF!</definedName>
    <definedName name="A_CONFIG_INIT">[3]ﾃﾞｰﾀﾍﾞｰｽ変更点!#REF!</definedName>
    <definedName name="A_CONFIG_PATTERN" localSheetId="6">[3]ﾃﾞｰﾀﾍﾞｰｽ変更点!#REF!</definedName>
    <definedName name="A_CONFIG_PATTERN" localSheetId="4">[3]ﾃﾞｰﾀﾍﾞｰｽ変更点!#REF!</definedName>
    <definedName name="A_CONFIG_PATTERN">[3]ﾃﾞｰﾀﾍﾞｰｽ変更点!#REF!</definedName>
    <definedName name="A_CONFIG_PATTERN_DATA" localSheetId="6">[3]ﾃﾞｰﾀﾍﾞｰｽ変更点!#REF!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6">[5]テーブル設計!#REF!</definedName>
    <definedName name="A_CONFIG_USER_FLAG" localSheetId="4">[5]テーブル設計!#REF!</definedName>
    <definedName name="A_CONFIG_USER_FLAG">[5]テーブル設計!#REF!</definedName>
    <definedName name="A_CONTRACT" localSheetId="6">[5]テーブル設計!#REF!</definedName>
    <definedName name="A_CONTRACT" localSheetId="4">[5]テーブル設計!#REF!</definedName>
    <definedName name="A_CONTRACT">[5]テーブル設計!#REF!</definedName>
    <definedName name="A_CUSTOMER" localSheetId="6">[3]ﾃﾞｰﾀﾍﾞｰｽ変更点!#REF!</definedName>
    <definedName name="A_CUSTOMER" localSheetId="4">[3]ﾃﾞｰﾀﾍﾞｰｽ変更点!#REF!</definedName>
    <definedName name="A_CUSTOMER">[3]ﾃﾞｰﾀﾍﾞｰｽ変更点!#REF!</definedName>
    <definedName name="A_CUSTOMER_CAR" localSheetId="6">[3]ﾃﾞｰﾀﾍﾞｰｽ変更点!#REF!</definedName>
    <definedName name="A_CUSTOMER_CAR" localSheetId="4">[3]ﾃﾞｰﾀﾍﾞｰｽ変更点!#REF!</definedName>
    <definedName name="A_CUSTOMER_CAR">[3]ﾃﾞｰﾀﾍﾞｰｽ変更点!#REF!</definedName>
    <definedName name="A_CUSTOMER_MASTER" localSheetId="6">[4]TableDesign!#REF!</definedName>
    <definedName name="A_CUSTOMER_MASTER" localSheetId="4">[4]TableDesign!#REF!</definedName>
    <definedName name="A_CUSTOMER_MASTER">[4]TableDesign!#REF!</definedName>
    <definedName name="A_DIVISION_MASTER" localSheetId="6">[3]ﾃﾞｰﾀﾍﾞｰｽ変更点!#REF!</definedName>
    <definedName name="A_DIVISION_MASTER" localSheetId="4">[3]ﾃﾞｰﾀﾍﾞｰｽ変更点!#REF!</definedName>
    <definedName name="A_DIVISION_MASTER">[3]ﾃﾞｰﾀﾍﾞｰｽ変更点!#REF!</definedName>
    <definedName name="A_DOPA" localSheetId="6">[3]ﾃﾞｰﾀﾍﾞｰｽ変更点!#REF!</definedName>
    <definedName name="A_DOPA" localSheetId="4">[3]ﾃﾞｰﾀﾍﾞｰｽ変更点!#REF!</definedName>
    <definedName name="A_DOPA">[3]ﾃﾞｰﾀﾍﾞｰｽ変更点!#REF!</definedName>
    <definedName name="A_DOPA_OWNER_HISTORY" localSheetId="6">[3]ﾃﾞｰﾀﾍﾞｰｽ変更点!#REF!</definedName>
    <definedName name="A_DOPA_OWNER_HISTORY" localSheetId="4">[3]ﾃﾞｰﾀﾍﾞｰｽ変更点!#REF!</definedName>
    <definedName name="A_DOPA_OWNER_HISTORY">[3]ﾃﾞｰﾀﾍﾞｰｽ変更点!#REF!</definedName>
    <definedName name="A_DOPA_SERVER" localSheetId="6">[3]ﾃﾞｰﾀﾍﾞｰｽ変更点!#REF!</definedName>
    <definedName name="A_DOPA_SERVER" localSheetId="4">[3]ﾃﾞｰﾀﾍﾞｰｽ変更点!#REF!</definedName>
    <definedName name="A_DOPA_SERVER">[3]ﾃﾞｰﾀﾍﾞｰｽ変更点!#REF!</definedName>
    <definedName name="A_EQUIPMENT_HISTORY" localSheetId="6">[3]ﾃﾞｰﾀﾍﾞｰｽ変更点!#REF!</definedName>
    <definedName name="A_EQUIPMENT_HISTORY" localSheetId="4">[3]ﾃﾞｰﾀﾍﾞｰｽ変更点!#REF!</definedName>
    <definedName name="A_EQUIPMENT_HISTORY">[3]ﾃﾞｰﾀﾍﾞｰｽ変更点!#REF!</definedName>
    <definedName name="A_ERROR" localSheetId="6">[3]ﾃﾞｰﾀﾍﾞｰｽ変更点!#REF!</definedName>
    <definedName name="A_ERROR" localSheetId="4">[3]ﾃﾞｰﾀﾍﾞｰｽ変更点!#REF!</definedName>
    <definedName name="A_ERROR">[3]ﾃﾞｰﾀﾍﾞｰｽ変更点!#REF!</definedName>
    <definedName name="A_ERROR_ENABLED" localSheetId="6">[3]ﾃﾞｰﾀﾍﾞｰｽ変更点!#REF!</definedName>
    <definedName name="A_ERROR_ENABLED" localSheetId="4">[3]ﾃﾞｰﾀﾍﾞｰｽ変更点!#REF!</definedName>
    <definedName name="A_ERROR_ENABLED">[3]ﾃﾞｰﾀﾍﾞｰｽ変更点!#REF!</definedName>
    <definedName name="A_ERROR_MASTER" localSheetId="6">[3]ﾃﾞｰﾀﾍﾞｰｽ変更点!#REF!</definedName>
    <definedName name="A_ERROR_MASTER" localSheetId="4">[3]ﾃﾞｰﾀﾍﾞｰｽ変更点!#REF!</definedName>
    <definedName name="A_ERROR_MASTER">[3]ﾃﾞｰﾀﾍﾞｰｽ変更点!#REF!</definedName>
    <definedName name="A_EVENT_CATEGORY" localSheetId="6">[4]TableDesign!#REF!</definedName>
    <definedName name="A_EVENT_CATEGORY" localSheetId="4">[4]TableDesign!#REF!</definedName>
    <definedName name="A_EVENT_CATEGORY">[4]TableDesign!#REF!</definedName>
    <definedName name="A_EVENT_DIVISION" localSheetId="6">[3]ﾃﾞｰﾀﾍﾞｰｽ変更点!#REF!</definedName>
    <definedName name="A_EVENT_DIVISION" localSheetId="4">[3]ﾃﾞｰﾀﾍﾞｰｽ変更点!#REF!</definedName>
    <definedName name="A_EVENT_DIVISION">[3]ﾃﾞｰﾀﾍﾞｰｽ変更点!#REF!</definedName>
    <definedName name="A_EVENT_MASTER" localSheetId="6">[3]ﾃﾞｰﾀﾍﾞｰｽ変更点!#REF!</definedName>
    <definedName name="A_EVENT_MASTER" localSheetId="4">[3]ﾃﾞｰﾀﾍﾞｰｽ変更点!#REF!</definedName>
    <definedName name="A_EVENT_MASTER">[3]ﾃﾞｰﾀﾍﾞｰｽ変更点!#REF!</definedName>
    <definedName name="A_EVENT_NOTICE" localSheetId="6">[3]ﾃﾞｰﾀﾍﾞｰｽ変更点!#REF!</definedName>
    <definedName name="A_EVENT_NOTICE" localSheetId="4">[3]ﾃﾞｰﾀﾍﾞｰｽ変更点!#REF!</definedName>
    <definedName name="A_EVENT_NOTICE">[3]ﾃﾞｰﾀﾍﾞｰｽ変更点!#REF!</definedName>
    <definedName name="A_FUEL_GAUGE" localSheetId="6">[4]TableDesign!#REF!</definedName>
    <definedName name="A_FUEL_GAUGE" localSheetId="4">[4]TableDesign!#REF!</definedName>
    <definedName name="A_FUEL_GAUGE">[4]TableDesign!#REF!</definedName>
    <definedName name="A_GAUGE_FUEL_WTTEMP" localSheetId="6">[3]ﾃﾞｰﾀﾍﾞｰｽ変更点!#REF!</definedName>
    <definedName name="A_GAUGE_FUEL_WTTEMP" localSheetId="4">[3]ﾃﾞｰﾀﾍﾞｰｽ変更点!#REF!</definedName>
    <definedName name="A_GAUGE_FUEL_WTTEMP">[3]ﾃﾞｰﾀﾍﾞｰｽ変更点!#REF!</definedName>
    <definedName name="A_GIS_DEFINE" localSheetId="6">[4]TableDesign!#REF!</definedName>
    <definedName name="A_GIS_DEFINE" localSheetId="4">[4]TableDesign!#REF!</definedName>
    <definedName name="A_GIS_DEFINE">[4]TableDesign!#REF!</definedName>
    <definedName name="A_GPS" localSheetId="6">[3]ﾃﾞｰﾀﾍﾞｰｽ変更点!#REF!</definedName>
    <definedName name="A_GPS" localSheetId="4">[3]ﾃﾞｰﾀﾍﾞｰｽ変更点!#REF!</definedName>
    <definedName name="A_GPS">[3]ﾃﾞｰﾀﾍﾞｰｽ変更点!#REF!</definedName>
    <definedName name="A_GRANT_AUTHORITY" localSheetId="6">[3]ﾃﾞｰﾀﾍﾞｰｽ変更点!#REF!</definedName>
    <definedName name="A_GRANT_AUTHORITY" localSheetId="4">[3]ﾃﾞｰﾀﾍﾞｰｽ変更点!#REF!</definedName>
    <definedName name="A_GRANT_AUTHORITY">[3]ﾃﾞｰﾀﾍﾞｰｽ変更点!#REF!</definedName>
    <definedName name="A_GROUP_MASTER" localSheetId="6">[3]ﾃﾞｰﾀﾍﾞｰｽ変更点!#REF!</definedName>
    <definedName name="A_GROUP_MASTER" localSheetId="4">[3]ﾃﾞｰﾀﾍﾞｰｽ変更点!#REF!</definedName>
    <definedName name="A_GROUP_MASTER">[3]ﾃﾞｰﾀﾍﾞｰｽ変更点!#REF!</definedName>
    <definedName name="A_IGNORE_CAUTION" localSheetId="6">[5]テーブル設計!#REF!</definedName>
    <definedName name="A_IGNORE_CAUTION" localSheetId="4">[5]テーブル設計!#REF!</definedName>
    <definedName name="A_IGNORE_CAUTION">[5]テーブル設計!#REF!</definedName>
    <definedName name="A_IGNORE_ERROR" localSheetId="6">[5]テーブル設計!#REF!</definedName>
    <definedName name="A_IGNORE_ERROR" localSheetId="4">[5]テーブル設計!#REF!</definedName>
    <definedName name="A_IGNORE_ERROR">[5]テーブル設計!#REF!</definedName>
    <definedName name="A_INFORM_MASTER" localSheetId="6">[3]ﾃﾞｰﾀﾍﾞｰｽ変更点!#REF!</definedName>
    <definedName name="A_INFORM_MASTER" localSheetId="4">[3]ﾃﾞｰﾀﾍﾞｰｽ変更点!#REF!</definedName>
    <definedName name="A_INFORM_MASTER">[3]ﾃﾞｰﾀﾍﾞｰｽ変更点!#REF!</definedName>
    <definedName name="A_INFORMATION" localSheetId="6">[3]ﾃﾞｰﾀﾍﾞｰｽ変更点!#REF!</definedName>
    <definedName name="A_INFORMATION" localSheetId="4">[3]ﾃﾞｰﾀﾍﾞｰｽ変更点!#REF!</definedName>
    <definedName name="A_INFORMATION">[3]ﾃﾞｰﾀﾍﾞｰｽ変更点!#REF!</definedName>
    <definedName name="A_INFORMATION_READED" localSheetId="6">[3]ﾃﾞｰﾀﾍﾞｰｽ変更点!#REF!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6">[5]テーブル設計!#REF!</definedName>
    <definedName name="A_INVALID_PART_TERMINAL" localSheetId="4">[5]テーブル設計!#REF!</definedName>
    <definedName name="A_INVALID_PART_TERMINAL">[5]テーブル設計!#REF!</definedName>
    <definedName name="A_KIND_MASTER" localSheetId="6">[3]ﾃﾞｰﾀﾍﾞｰｽ変更点!#REF!</definedName>
    <definedName name="A_KIND_MASTER" localSheetId="4">[3]ﾃﾞｰﾀﾍﾞｰｽ変更点!#REF!</definedName>
    <definedName name="A_KIND_MASTER">[3]ﾃﾞｰﾀﾍﾞｰｽ変更点!#REF!</definedName>
    <definedName name="A_KRO_APPLICATION" localSheetId="6">[3]ﾃﾞｰﾀﾍﾞｰｽ変更点!#REF!</definedName>
    <definedName name="A_KRO_APPLICATION" localSheetId="4">[3]ﾃﾞｰﾀﾍﾞｰｽ変更点!#REF!</definedName>
    <definedName name="A_KRO_APPLICATION">[3]ﾃﾞｰﾀﾍﾞｰｽ変更点!#REF!</definedName>
    <definedName name="A_KRO_APPLICATION_DATA" localSheetId="6">[3]ﾃﾞｰﾀﾍﾞｰｽ変更点!#REF!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6">[3]ﾃﾞｰﾀﾍﾞｰｽ変更点!#REF!</definedName>
    <definedName name="A_KRO_COMPLETION" localSheetId="4">[3]ﾃﾞｰﾀﾍﾞｰｽ変更点!#REF!</definedName>
    <definedName name="A_KRO_COMPLETION">[3]ﾃﾞｰﾀﾍﾞｰｽ変更点!#REF!</definedName>
    <definedName name="A_KRO_COMPLETION_DATA" localSheetId="6">[3]ﾃﾞｰﾀﾍﾞｰｽ変更点!#REF!</definedName>
    <definedName name="A_KRO_COMPLETION_DATA" localSheetId="4">[3]ﾃﾞｰﾀﾍﾞｰｽ変更点!#REF!</definedName>
    <definedName name="A_KRO_COMPLETION_DATA">[3]ﾃﾞｰﾀﾍﾞｰｽ変更点!#REF!</definedName>
    <definedName name="A_KRO_EMERGENCY" localSheetId="6">[5]テーブル設計!#REF!</definedName>
    <definedName name="A_KRO_EMERGENCY" localSheetId="4">[5]テーブル設計!#REF!</definedName>
    <definedName name="A_KRO_EMERGENCY">[5]テーブル設計!#REF!</definedName>
    <definedName name="A_KRO_REPORT" localSheetId="6">[3]ﾃﾞｰﾀﾍﾞｰｽ変更点!#REF!</definedName>
    <definedName name="A_KRO_REPORT" localSheetId="4">[3]ﾃﾞｰﾀﾍﾞｰｽ変更点!#REF!</definedName>
    <definedName name="A_KRO_REPORT">[3]ﾃﾞｰﾀﾍﾞｰｽ変更点!#REF!</definedName>
    <definedName name="A_LANDMARK" localSheetId="6">[3]ﾃﾞｰﾀﾍﾞｰｽ変更点!#REF!</definedName>
    <definedName name="A_LANDMARK" localSheetId="4">[3]ﾃﾞｰﾀﾍﾞｰｽ変更点!#REF!</definedName>
    <definedName name="A_LANDMARK">[3]ﾃﾞｰﾀﾍﾞｰｽ変更点!#REF!</definedName>
    <definedName name="A_LANDMARK_CLASS" localSheetId="6">[3]ﾃﾞｰﾀﾍﾞｰｽ変更点!#REF!</definedName>
    <definedName name="A_LANDMARK_CLASS" localSheetId="4">[3]ﾃﾞｰﾀﾍﾞｰｽ変更点!#REF!</definedName>
    <definedName name="A_LANDMARK_CLASS">[3]ﾃﾞｰﾀﾍﾞｰｽ変更点!#REF!</definedName>
    <definedName name="A_LOGON_HISTORY" localSheetId="6">[3]ﾃﾞｰﾀﾍﾞｰｽ変更点!#REF!</definedName>
    <definedName name="A_LOGON_HISTORY" localSheetId="4">[3]ﾃﾞｰﾀﾍﾞｰｽ変更点!#REF!</definedName>
    <definedName name="A_LOGON_HISTORY">[3]ﾃﾞｰﾀﾍﾞｰｽ変更点!#REF!</definedName>
    <definedName name="A_MACHINE_ERROR" localSheetId="6">[4]TableDesign!#REF!</definedName>
    <definedName name="A_MACHINE_ERROR" localSheetId="4">[4]TableDesign!#REF!</definedName>
    <definedName name="A_MACHINE_ERROR">[4]TableDesign!#REF!</definedName>
    <definedName name="A_MACHINE_STATUS_MASTER" localSheetId="6">[3]ﾃﾞｰﾀﾍﾞｰｽ変更点!#REF!</definedName>
    <definedName name="A_MACHINE_STATUS_MASTER" localSheetId="4">[3]ﾃﾞｰﾀﾍﾞｰｽ変更点!#REF!</definedName>
    <definedName name="A_MACHINE_STATUS_MASTER">[3]ﾃﾞｰﾀﾍﾞｰｽ変更点!#REF!</definedName>
    <definedName name="A_MAINTENANCE_DATA" localSheetId="6">[3]ﾃﾞｰﾀﾍﾞｰｽ変更点!#REF!</definedName>
    <definedName name="A_MAINTENANCE_DATA" localSheetId="4">[3]ﾃﾞｰﾀﾍﾞｰｽ変更点!#REF!</definedName>
    <definedName name="A_MAINTENANCE_DATA">[3]ﾃﾞｰﾀﾍﾞｰｽ変更点!#REF!</definedName>
    <definedName name="A_MAINTENANCE_INFORM" localSheetId="6">[3]ﾃﾞｰﾀﾍﾞｰｽ変更点!#REF!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6">[3]ﾃﾞｰﾀﾍﾞｰｽ変更点!#REF!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6">[4]TableDesign!#REF!</definedName>
    <definedName name="A_MAINTENANCE_TIME" localSheetId="4">[4]TableDesign!#REF!</definedName>
    <definedName name="A_MAINTENANCE_TIME">[4]TableDesign!#REF!</definedName>
    <definedName name="A_MAKER_MASTER" localSheetId="6">[3]ﾃﾞｰﾀﾍﾞｰｽ変更点!#REF!</definedName>
    <definedName name="A_MAKER_MASTER" localSheetId="4">[3]ﾃﾞｰﾀﾍﾞｰｽ変更点!#REF!</definedName>
    <definedName name="A_MAKER_MASTER">[3]ﾃﾞｰﾀﾍﾞｰｽ変更点!#REF!</definedName>
    <definedName name="A_MARK_MACHINE" localSheetId="6">[4]TableDesign!#REF!</definedName>
    <definedName name="A_MARK_MACHINE" localSheetId="4">[4]TableDesign!#REF!</definedName>
    <definedName name="A_MARK_MACHINE">[4]TableDesign!#REF!</definedName>
    <definedName name="A_MARK_NOTIFICATION" localSheetId="6">[4]TableDesign!#REF!</definedName>
    <definedName name="A_MARK_NOTIFICATION" localSheetId="4">[4]TableDesign!#REF!</definedName>
    <definedName name="A_MARK_NOTIFICATION">[4]TableDesign!#REF!</definedName>
    <definedName name="A_MARK_NOTIFICATION_DETAIL" localSheetId="6">[4]TableDesign!#REF!</definedName>
    <definedName name="A_MARK_NOTIFICATION_DETAIL" localSheetId="4">[4]TableDesign!#REF!</definedName>
    <definedName name="A_MARK_NOTIFICATION_DETAIL">[4]TableDesign!#REF!</definedName>
    <definedName name="A_MEMO" localSheetId="6">[3]ﾃﾞｰﾀﾍﾞｰｽ変更点!#REF!</definedName>
    <definedName name="A_MEMO" localSheetId="4">[3]ﾃﾞｰﾀﾍﾞｰｽ変更点!#REF!</definedName>
    <definedName name="A_MEMO">[3]ﾃﾞｰﾀﾍﾞｰｽ変更点!#REF!</definedName>
    <definedName name="A_MEMORY_MODIFY" localSheetId="6">[3]ﾃﾞｰﾀﾍﾞｰｽ変更点!#REF!</definedName>
    <definedName name="A_MEMORY_MODIFY" localSheetId="4">[3]ﾃﾞｰﾀﾍﾞｰｽ変更点!#REF!</definedName>
    <definedName name="A_MEMORY_MODIFY">[3]ﾃﾞｰﾀﾍﾞｰｽ変更点!#REF!</definedName>
    <definedName name="A_MEMORY_MODIFY_DATA" localSheetId="6">[3]ﾃﾞｰﾀﾍﾞｰｽ変更点!#REF!</definedName>
    <definedName name="A_MEMORY_MODIFY_DATA" localSheetId="4">[3]ﾃﾞｰﾀﾍﾞｰｽ変更点!#REF!</definedName>
    <definedName name="A_MEMORY_MODIFY_DATA">[3]ﾃﾞｰﾀﾍﾞｰｽ変更点!#REF!</definedName>
    <definedName name="A_MESSAGE" localSheetId="6">[3]ﾃﾞｰﾀﾍﾞｰｽ変更点!#REF!</definedName>
    <definedName name="A_MESSAGE" localSheetId="4">[3]ﾃﾞｰﾀﾍﾞｰｽ変更点!#REF!</definedName>
    <definedName name="A_MESSAGE">[3]ﾃﾞｰﾀﾍﾞｰｽ変更点!#REF!</definedName>
    <definedName name="A_MESSAGE_MASTER" localSheetId="6">[3]ﾃﾞｰﾀﾍﾞｰｽ変更点!#REF!</definedName>
    <definedName name="A_MESSAGE_MASTER" localSheetId="4">[3]ﾃﾞｰﾀﾍﾞｰｽ変更点!#REF!</definedName>
    <definedName name="A_MESSAGE_MASTER">[3]ﾃﾞｰﾀﾍﾞｰｽ変更点!#REF!</definedName>
    <definedName name="A_MONTHLY_ATT_SMR" localSheetId="6">[4]TableDesign!#REF!</definedName>
    <definedName name="A_MONTHLY_ATT_SMR" localSheetId="4">[4]TableDesign!#REF!</definedName>
    <definedName name="A_MONTHLY_ATT_SMR">[4]TableDesign!#REF!</definedName>
    <definedName name="A_MONTHLY_ERROR" localSheetId="6">[4]TableDesign!#REF!</definedName>
    <definedName name="A_MONTHLY_ERROR" localSheetId="4">[4]TableDesign!#REF!</definedName>
    <definedName name="A_MONTHLY_ERROR">[4]TableDesign!#REF!</definedName>
    <definedName name="A_MONTHLY_LOAD" localSheetId="6">[4]TableDesign!#REF!</definedName>
    <definedName name="A_MONTHLY_LOAD" localSheetId="4">[4]TableDesign!#REF!</definedName>
    <definedName name="A_MONTHLY_LOAD">[4]TableDesign!#REF!</definedName>
    <definedName name="A_MONTHLY_MOVEMENT" localSheetId="6">[4]TableDesign!#REF!</definedName>
    <definedName name="A_MONTHLY_MOVEMENT" localSheetId="4">[4]TableDesign!#REF!</definedName>
    <definedName name="A_MONTHLY_MOVEMENT">[4]TableDesign!#REF!</definedName>
    <definedName name="A_MONTHLY_OPERATION" localSheetId="6">[4]TableDesign!#REF!</definedName>
    <definedName name="A_MONTHLY_OPERATION" localSheetId="4">[4]TableDesign!#REF!</definedName>
    <definedName name="A_MONTHLY_OPERATION">[4]TableDesign!#REF!</definedName>
    <definedName name="A_MONTHLY_SMR" localSheetId="6">[4]TableDesign!#REF!</definedName>
    <definedName name="A_MONTHLY_SMR" localSheetId="4">[4]TableDesign!#REF!</definedName>
    <definedName name="A_MONTHLY_SMR">[4]TableDesign!#REF!</definedName>
    <definedName name="A_MONTHLY_WORKING_SMR" localSheetId="6">[4]TableDesign!#REF!</definedName>
    <definedName name="A_MONTHLY_WORKING_SMR" localSheetId="4">[4]TableDesign!#REF!</definedName>
    <definedName name="A_MONTHLY_WORKING_SMR">[4]TableDesign!#REF!</definedName>
    <definedName name="A_MONTLY_LOAD" localSheetId="6">[4]TableDesign!#REF!</definedName>
    <definedName name="A_MONTLY_LOAD" localSheetId="4">[4]TableDesign!#REF!</definedName>
    <definedName name="A_MONTLY_LOAD">[4]TableDesign!#REF!</definedName>
    <definedName name="A_MULTI_OPE" localSheetId="6">[3]ﾃﾞｰﾀﾍﾞｰｽ変更点!#REF!</definedName>
    <definedName name="A_MULTI_OPE" localSheetId="4">[3]ﾃﾞｰﾀﾍﾞｰｽ変更点!#REF!</definedName>
    <definedName name="A_MULTI_OPE">[3]ﾃﾞｰﾀﾍﾞｰｽ変更点!#REF!</definedName>
    <definedName name="A_MULTI_OPE_DATA" localSheetId="6">[5]テーブル設計!#REF!</definedName>
    <definedName name="A_MULTI_OPE_DATA" localSheetId="4">[5]テーブル設計!#REF!</definedName>
    <definedName name="A_MULTI_OPE_DATA">[5]テーブル設計!#REF!</definedName>
    <definedName name="A_NLS_DB_RESOURCE" localSheetId="6">[4]TableDesign!#REF!</definedName>
    <definedName name="A_NLS_DB_RESOURCE" localSheetId="4">[4]TableDesign!#REF!</definedName>
    <definedName name="A_NLS_DB_RESOURCE">[4]TableDesign!#REF!</definedName>
    <definedName name="A_NLS_LANG" localSheetId="6">[4]TableDesign!#REF!</definedName>
    <definedName name="A_NLS_LANG" localSheetId="4">[4]TableDesign!#REF!</definedName>
    <definedName name="A_NLS_LANG">[4]TableDesign!#REF!</definedName>
    <definedName name="A_NLS_RESOURCE" localSheetId="6">[4]TableDesign!#REF!</definedName>
    <definedName name="A_NLS_RESOURCE" localSheetId="4">[4]TableDesign!#REF!</definedName>
    <definedName name="A_NLS_RESOURCE">[4]TableDesign!#REF!</definedName>
    <definedName name="A_NOT_ACTIVE" localSheetId="6">[3]ﾃﾞｰﾀﾍﾞｰｽ変更点!#REF!</definedName>
    <definedName name="A_NOT_ACTIVE" localSheetId="4">[3]ﾃﾞｰﾀﾍﾞｰｽ変更点!#REF!</definedName>
    <definedName name="A_NOT_ACTIVE">[3]ﾃﾞｰﾀﾍﾞｰｽ変更点!#REF!</definedName>
    <definedName name="A_OPERATION_CATEGORY" localSheetId="6">[4]TableDesign!#REF!</definedName>
    <definedName name="A_OPERATION_CATEGORY" localSheetId="4">[4]TableDesign!#REF!</definedName>
    <definedName name="A_OPERATION_CATEGORY">[4]TableDesign!#REF!</definedName>
    <definedName name="A_OPERATION_CLASS" localSheetId="6">[5]テーブル設計!#REF!</definedName>
    <definedName name="A_OPERATION_CLASS" localSheetId="4">[5]テーブル設計!#REF!</definedName>
    <definedName name="A_OPERATION_CLASS">[5]テーブル設計!#REF!</definedName>
    <definedName name="A_OPERATION_LOG" localSheetId="6">[3]ﾃﾞｰﾀﾍﾞｰｽ変更点!#REF!</definedName>
    <definedName name="A_OPERATION_LOG" localSheetId="4">[3]ﾃﾞｰﾀﾍﾞｰｽ変更点!#REF!</definedName>
    <definedName name="A_OPERATION_LOG">[3]ﾃﾞｰﾀﾍﾞｰｽ変更点!#REF!</definedName>
    <definedName name="A_OPERATION_LOG2" localSheetId="6">[5]テーブル設計!#REF!</definedName>
    <definedName name="A_OPERATION_LOG2" localSheetId="4">[5]テーブル設計!#REF!</definedName>
    <definedName name="A_OPERATION_LOG2">[5]テーブル設計!#REF!</definedName>
    <definedName name="A_OPERATION_MAP" localSheetId="6">[4]TableDesign!#REF!</definedName>
    <definedName name="A_OPERATION_MAP" localSheetId="4">[4]TableDesign!#REF!</definedName>
    <definedName name="A_OPERATION_MAP">[4]TableDesign!#REF!</definedName>
    <definedName name="A_OPERATION_MASTER" localSheetId="6">[5]テーブル設計!#REF!</definedName>
    <definedName name="A_OPERATION_MASTER" localSheetId="4">[5]テーブル設計!#REF!</definedName>
    <definedName name="A_OPERATION_MASTER">[5]テーブル設計!#REF!</definedName>
    <definedName name="A_ORBCOMM" localSheetId="6">[3]ﾃﾞｰﾀﾍﾞｰｽ変更点!#REF!</definedName>
    <definedName name="A_ORBCOMM" localSheetId="4">[3]ﾃﾞｰﾀﾍﾞｰｽ変更点!#REF!</definedName>
    <definedName name="A_ORBCOMM">[3]ﾃﾞｰﾀﾍﾞｰｽ変更点!#REF!</definedName>
    <definedName name="A_ORBCOMM_OWNER_HISTORY" localSheetId="6">[3]ﾃﾞｰﾀﾍﾞｰｽ変更点!#REF!</definedName>
    <definedName name="A_ORBCOMM_OWNER_HISTORY" localSheetId="4">[3]ﾃﾞｰﾀﾍﾞｰｽ変更点!#REF!</definedName>
    <definedName name="A_ORBCOMM_OWNER_HISTORY">[3]ﾃﾞｰﾀﾍﾞｰｽ変更点!#REF!</definedName>
    <definedName name="A_PLANT_CAR" localSheetId="6">[5]テーブル設計!#REF!</definedName>
    <definedName name="A_PLANT_CAR" localSheetId="4">[5]テーブル設計!#REF!</definedName>
    <definedName name="A_PLANT_CAR">[5]テーブル設計!#REF!</definedName>
    <definedName name="A_PLANT_ERROR" localSheetId="6">[5]テーブル設計!#REF!</definedName>
    <definedName name="A_PLANT_ERROR" localSheetId="4">[5]テーブル設計!#REF!</definedName>
    <definedName name="A_PLANT_ERROR">[5]テーブル設計!#REF!</definedName>
    <definedName name="A_PLANT_GPS" localSheetId="6">[5]テーブル設計!#REF!</definedName>
    <definedName name="A_PLANT_GPS" localSheetId="4">[5]テーブル設計!#REF!</definedName>
    <definedName name="A_PLANT_GPS">[5]テーブル設計!#REF!</definedName>
    <definedName name="A_PREVENT_THEFT_KEY" localSheetId="6">[3]ﾃﾞｰﾀﾍﾞｰｽ変更点!#REF!</definedName>
    <definedName name="A_PREVENT_THEFT_KEY" localSheetId="4">[3]ﾃﾞｰﾀﾍﾞｰｽ変更点!#REF!</definedName>
    <definedName name="A_PREVENT_THEFT_KEY">[3]ﾃﾞｰﾀﾍﾞｰｽ変更点!#REF!</definedName>
    <definedName name="A_PRIVATE_TARGET_CAR" localSheetId="6">[3]ﾃﾞｰﾀﾍﾞｰｽ変更点!#REF!</definedName>
    <definedName name="A_PRIVATE_TARGET_CAR" localSheetId="4">[3]ﾃﾞｰﾀﾍﾞｰｽ変更点!#REF!</definedName>
    <definedName name="A_PRIVATE_TARGET_CAR">[3]ﾃﾞｰﾀﾍﾞｰｽ変更点!#REF!</definedName>
    <definedName name="A_RECEIVE_LIST" localSheetId="6">[5]テーブル設計!#REF!</definedName>
    <definedName name="A_RECEIVE_LIST" localSheetId="4">[5]テーブル設計!#REF!</definedName>
    <definedName name="A_RECEIVE_LIST">[5]テーブル設計!#REF!</definedName>
    <definedName name="A_RECEIVE_LOG" localSheetId="6">[3]ﾃﾞｰﾀﾍﾞｰｽ変更点!#REF!</definedName>
    <definedName name="A_RECEIVE_LOG" localSheetId="4">[3]ﾃﾞｰﾀﾍﾞｰｽ変更点!#REF!</definedName>
    <definedName name="A_RECEIVE_LOG">[3]ﾃﾞｰﾀﾍﾞｰｽ変更点!#REF!</definedName>
    <definedName name="A_REGION_DATA" localSheetId="6">[4]TableDesign!#REF!</definedName>
    <definedName name="A_REGION_DATA" localSheetId="4">[4]TableDesign!#REF!</definedName>
    <definedName name="A_REGION_DATA">[4]TableDesign!#REF!</definedName>
    <definedName name="A_REGION_MASTER" localSheetId="6">[4]TableDesign!#REF!</definedName>
    <definedName name="A_REGION_MASTER" localSheetId="4">[4]TableDesign!#REF!</definedName>
    <definedName name="A_REGION_MASTER">[4]TableDesign!#REF!</definedName>
    <definedName name="A_RENTAL_TERMINAL" localSheetId="6">[5]テーブル設計!#REF!</definedName>
    <definedName name="A_RENTAL_TERMINAL" localSheetId="4">[5]テーブル設計!#REF!</definedName>
    <definedName name="A_RENTAL_TERMINAL">[5]テーブル設計!#REF!</definedName>
    <definedName name="A_REQUEST" localSheetId="6">[3]ﾃﾞｰﾀﾍﾞｰｽ変更点!#REF!</definedName>
    <definedName name="A_REQUEST" localSheetId="4">[3]ﾃﾞｰﾀﾍﾞｰｽ変更点!#REF!</definedName>
    <definedName name="A_REQUEST">[3]ﾃﾞｰﾀﾍﾞｰｽ変更点!#REF!</definedName>
    <definedName name="A_REQUEST_COUNT" localSheetId="6">[3]ﾃﾞｰﾀﾍﾞｰｽ変更点!#REF!</definedName>
    <definedName name="A_REQUEST_COUNT" localSheetId="4">[3]ﾃﾞｰﾀﾍﾞｰｽ変更点!#REF!</definedName>
    <definedName name="A_REQUEST_COUNT">[3]ﾃﾞｰﾀﾍﾞｰｽ変更点!#REF!</definedName>
    <definedName name="A_REQUEST_LOG" localSheetId="6">[3]ﾃﾞｰﾀﾍﾞｰｽ変更点!#REF!</definedName>
    <definedName name="A_REQUEST_LOG" localSheetId="4">[3]ﾃﾞｰﾀﾍﾞｰｽ変更点!#REF!</definedName>
    <definedName name="A_REQUEST_LOG">[3]ﾃﾞｰﾀﾍﾞｰｽ変更点!#REF!</definedName>
    <definedName name="A_RIVATE_TARGET_CAR" localSheetId="6">[4]TableDesign!#REF!</definedName>
    <definedName name="A_RIVATE_TARGET_CAR" localSheetId="4">[4]TableDesign!#REF!</definedName>
    <definedName name="A_RIVATE_TARGET_CAR">[4]TableDesign!#REF!</definedName>
    <definedName name="A_RUNNING_LOG" localSheetId="6">[3]ﾃﾞｰﾀﾍﾞｰｽ変更点!#REF!</definedName>
    <definedName name="A_RUNNING_LOG" localSheetId="4">[3]ﾃﾞｰﾀﾍﾞｰｽ変更点!#REF!</definedName>
    <definedName name="A_RUNNING_LOG">[3]ﾃﾞｰﾀﾍﾞｰｽ変更点!#REF!</definedName>
    <definedName name="A_SAVE_INFORMATION" localSheetId="6">[5]テーブル設計!#REF!</definedName>
    <definedName name="A_SAVE_INFORMATION" localSheetId="4">[5]テーブル設計!#REF!</definedName>
    <definedName name="A_SAVE_INFORMATION">[5]テーブル設計!#REF!</definedName>
    <definedName name="A_SELFCARINSPECTION" localSheetId="6">[3]ﾃﾞｰﾀﾍﾞｰｽ変更点!#REF!</definedName>
    <definedName name="A_SELFCARINSPECTION" localSheetId="4">[3]ﾃﾞｰﾀﾍﾞｰｽ変更点!#REF!</definedName>
    <definedName name="A_SELFCARINSPECTION">[3]ﾃﾞｰﾀﾍﾞｰｽ変更点!#REF!</definedName>
    <definedName name="A_SEND_LIST" localSheetId="6">[5]テーブル設計!#REF!</definedName>
    <definedName name="A_SEND_LIST" localSheetId="4">[5]テーブル設計!#REF!</definedName>
    <definedName name="A_SEND_LIST">[5]テーブル設計!#REF!</definedName>
    <definedName name="A_SEND_LOG" localSheetId="6">[5]テーブル設計!#REF!</definedName>
    <definedName name="A_SEND_LOG" localSheetId="4">[5]テーブル設計!#REF!</definedName>
    <definedName name="A_SEND_LOG">[5]テーブル設計!#REF!</definedName>
    <definedName name="A_SERVER_COMMUNICATION" localSheetId="6">[4]TableDesign!#REF!</definedName>
    <definedName name="A_SERVER_COMMUNICATION" localSheetId="4">[4]TableDesign!#REF!</definedName>
    <definedName name="A_SERVER_COMMUNICATION">[4]TableDesign!#REF!</definedName>
    <definedName name="A_SERVER_INFORMATION" localSheetId="6">[3]ﾃﾞｰﾀﾍﾞｰｽ変更点!#REF!</definedName>
    <definedName name="A_SERVER_INFORMATION" localSheetId="4">[3]ﾃﾞｰﾀﾍﾞｰｽ変更点!#REF!</definedName>
    <definedName name="A_SERVER_INFORMATION">[3]ﾃﾞｰﾀﾍﾞｰｽ変更点!#REF!</definedName>
    <definedName name="A_SERVICE_METER" localSheetId="6">[3]ﾃﾞｰﾀﾍﾞｰｽ変更点!#REF!</definedName>
    <definedName name="A_SERVICE_METER" localSheetId="4">[3]ﾃﾞｰﾀﾍﾞｰｽ変更点!#REF!</definedName>
    <definedName name="A_SERVICE_METER">[3]ﾃﾞｰﾀﾍﾞｰｽ変更点!#REF!</definedName>
    <definedName name="A_SERVICE_METER2" localSheetId="6">[5]テーブル設計!#REF!</definedName>
    <definedName name="A_SERVICE_METER2" localSheetId="4">[5]テーブル設計!#REF!</definedName>
    <definedName name="A_SERVICE_METER2">[5]テーブル設計!#REF!</definedName>
    <definedName name="A_SERVICEMAN" localSheetId="6">[5]テーブル設計!#REF!</definedName>
    <definedName name="A_SERVICEMAN" localSheetId="4">[5]テーブル設計!#REF!</definedName>
    <definedName name="A_SERVICEMAN">[5]テーブル設計!#REF!</definedName>
    <definedName name="A_SERVICEMAN_CHARGE" localSheetId="6">[5]テーブル設計!#REF!</definedName>
    <definedName name="A_SERVICEMAN_CHARGE" localSheetId="4">[5]テーブル設計!#REF!</definedName>
    <definedName name="A_SERVICEMAN_CHARGE">[5]テーブル設計!#REF!</definedName>
    <definedName name="A_SHIPMENT" localSheetId="6">[3]ﾃﾞｰﾀﾍﾞｰｽ変更点!#REF!</definedName>
    <definedName name="A_SHIPMENT" localSheetId="4">[3]ﾃﾞｰﾀﾍﾞｰｽ変更点!#REF!</definedName>
    <definedName name="A_SHIPMENT">[3]ﾃﾞｰﾀﾍﾞｰｽ変更点!#REF!</definedName>
    <definedName name="A_SHOW" localSheetId="6">[3]ﾃﾞｰﾀﾍﾞｰｽ変更点!#REF!</definedName>
    <definedName name="A_SHOW" localSheetId="4">[3]ﾃﾞｰﾀﾍﾞｰｽ変更点!#REF!</definedName>
    <definedName name="A_SHOW">[3]ﾃﾞｰﾀﾍﾞｰｽ変更点!#REF!</definedName>
    <definedName name="A_SHOW_GROUP" localSheetId="6">[3]ﾃﾞｰﾀﾍﾞｰｽ変更点!#REF!</definedName>
    <definedName name="A_SHOW_GROUP" localSheetId="4">[3]ﾃﾞｰﾀﾍﾞｰｽ変更点!#REF!</definedName>
    <definedName name="A_SHOW_GROUP">[3]ﾃﾞｰﾀﾍﾞｰｽ変更点!#REF!</definedName>
    <definedName name="A_SPECIAL_AREA" localSheetId="6">[3]ﾃﾞｰﾀﾍﾞｰｽ変更点!#REF!</definedName>
    <definedName name="A_SPECIAL_AREA" localSheetId="4">[3]ﾃﾞｰﾀﾍﾞｰｽ変更点!#REF!</definedName>
    <definedName name="A_SPECIAL_AREA">[3]ﾃﾞｰﾀﾍﾞｰｽ変更点!#REF!</definedName>
    <definedName name="A_SUB_GROUP" localSheetId="6">[4]TableDesign!#REF!</definedName>
    <definedName name="A_SUB_GROUP" localSheetId="4">[4]TableDesign!#REF!</definedName>
    <definedName name="A_SUB_GROUP">[4]TableDesign!#REF!</definedName>
    <definedName name="A_SUB_GROUP_CAR" localSheetId="6">[4]TableDesign!#REF!</definedName>
    <definedName name="A_SUB_GROUP_CAR" localSheetId="4">[4]TableDesign!#REF!</definedName>
    <definedName name="A_SUB_GROUP_CAR">[4]TableDesign!#REF!</definedName>
    <definedName name="A_SYSTEM_COMMTERM_INFO" localSheetId="6">[3]ﾃﾞｰﾀﾍﾞｰｽ変更点!#REF!</definedName>
    <definedName name="A_SYSTEM_COMMTERM_INFO" localSheetId="4">[3]ﾃﾞｰﾀﾍﾞｰｽ変更点!#REF!</definedName>
    <definedName name="A_SYSTEM_COMMTERM_INFO">[3]ﾃﾞｰﾀﾍﾞｰｽ変更点!#REF!</definedName>
    <definedName name="A_SYSTEM_LOG" localSheetId="6">[3]ﾃﾞｰﾀﾍﾞｰｽ変更点!#REF!</definedName>
    <definedName name="A_SYSTEM_LOG" localSheetId="4">[3]ﾃﾞｰﾀﾍﾞｰｽ変更点!#REF!</definedName>
    <definedName name="A_SYSTEM_LOG">[3]ﾃﾞｰﾀﾍﾞｰｽ変更点!#REF!</definedName>
    <definedName name="A_SYSTEM_NOTICE" localSheetId="6">[3]ﾃﾞｰﾀﾍﾞｰｽ変更点!#REF!</definedName>
    <definedName name="A_SYSTEM_NOTICE" localSheetId="4">[3]ﾃﾞｰﾀﾍﾞｰｽ変更点!#REF!</definedName>
    <definedName name="A_SYSTEM_NOTICE">[3]ﾃﾞｰﾀﾍﾞｰｽ変更点!#REF!</definedName>
    <definedName name="A_TARGET" localSheetId="6">[3]ﾃﾞｰﾀﾍﾞｰｽ変更点!#REF!</definedName>
    <definedName name="A_TARGET" localSheetId="4">[3]ﾃﾞｰﾀﾍﾞｰｽ変更点!#REF!</definedName>
    <definedName name="A_TARGET">[3]ﾃﾞｰﾀﾍﾞｰｽ変更点!#REF!</definedName>
    <definedName name="A_TARGET_CAR" localSheetId="6">[3]ﾃﾞｰﾀﾍﾞｰｽ変更点!#REF!</definedName>
    <definedName name="A_TARGET_CAR" localSheetId="4">[3]ﾃﾞｰﾀﾍﾞｰｽ変更点!#REF!</definedName>
    <definedName name="A_TARGET_CAR">[3]ﾃﾞｰﾀﾍﾞｰｽ変更点!#REF!</definedName>
    <definedName name="A_TERMINAL_AREA" localSheetId="6">[3]ﾃﾞｰﾀﾍﾞｰｽ変更点!#REF!</definedName>
    <definedName name="A_TERMINAL_AREA" localSheetId="4">[3]ﾃﾞｰﾀﾍﾞｰｽ変更点!#REF!</definedName>
    <definedName name="A_TERMINAL_AREA">[3]ﾃﾞｰﾀﾍﾞｰｽ変更点!#REF!</definedName>
    <definedName name="A_TERMINAL_CAUTION" localSheetId="6">[3]ﾃﾞｰﾀﾍﾞｰｽ変更点!#REF!</definedName>
    <definedName name="A_TERMINAL_CAUTION" localSheetId="4">[3]ﾃﾞｰﾀﾍﾞｰｽ変更点!#REF!</definedName>
    <definedName name="A_TERMINAL_CAUTION">[3]ﾃﾞｰﾀﾍﾞｰｽ変更点!#REF!</definedName>
    <definedName name="A_TERMINAL_ERROR" localSheetId="6">[3]ﾃﾞｰﾀﾍﾞｰｽ変更点!#REF!</definedName>
    <definedName name="A_TERMINAL_ERROR" localSheetId="4">[3]ﾃﾞｰﾀﾍﾞｰｽ変更点!#REF!</definedName>
    <definedName name="A_TERMINAL_ERROR">[3]ﾃﾞｰﾀﾍﾞｰｽ変更点!#REF!</definedName>
    <definedName name="A_TERMINAL_KIND" localSheetId="6">[3]ﾃﾞｰﾀﾍﾞｰｽ変更点!#REF!</definedName>
    <definedName name="A_TERMINAL_KIND" localSheetId="4">[3]ﾃﾞｰﾀﾍﾞｰｽ変更点!#REF!</definedName>
    <definedName name="A_TERMINAL_KIND">[3]ﾃﾞｰﾀﾍﾞｰｽ変更点!#REF!</definedName>
    <definedName name="A_TERMINAL_MASTER" localSheetId="6">[3]ﾃﾞｰﾀﾍﾞｰｽ変更点!#REF!</definedName>
    <definedName name="A_TERMINAL_MASTER" localSheetId="4">[3]ﾃﾞｰﾀﾍﾞｰｽ変更点!#REF!</definedName>
    <definedName name="A_TERMINAL_MASTER">[3]ﾃﾞｰﾀﾍﾞｰｽ変更点!#REF!</definedName>
    <definedName name="A_TERMINAL_PART_MASTER" localSheetId="6">[3]ﾃﾞｰﾀﾍﾞｰｽ変更点!#REF!</definedName>
    <definedName name="A_TERMINAL_PART_MASTER" localSheetId="4">[3]ﾃﾞｰﾀﾍﾞｰｽ変更点!#REF!</definedName>
    <definedName name="A_TERMINAL_PART_MASTER">[3]ﾃﾞｰﾀﾍﾞｰｽ変更点!#REF!</definedName>
    <definedName name="A_TYPE_MASTER" localSheetId="6">[3]ﾃﾞｰﾀﾍﾞｰｽ変更点!#REF!</definedName>
    <definedName name="A_TYPE_MASTER" localSheetId="4">[3]ﾃﾞｰﾀﾍﾞｰｽ変更点!#REF!</definedName>
    <definedName name="A_TYPE_MASTER">[3]ﾃﾞｰﾀﾍﾞｰｽ変更点!#REF!</definedName>
    <definedName name="A_UFO" localSheetId="6">[3]ﾃﾞｰﾀﾍﾞｰｽ変更点!#REF!</definedName>
    <definedName name="A_UFO" localSheetId="4">[3]ﾃﾞｰﾀﾍﾞｰｽ変更点!#REF!</definedName>
    <definedName name="A_UFO">[3]ﾃﾞｰﾀﾍﾞｰｽ変更点!#REF!</definedName>
    <definedName name="A_UNRELIABLE_RECEIVE" localSheetId="6">[3]ﾃﾞｰﾀﾍﾞｰｽ変更点!#REF!</definedName>
    <definedName name="A_UNRELIABLE_RECEIVE" localSheetId="4">[3]ﾃﾞｰﾀﾍﾞｰｽ変更点!#REF!</definedName>
    <definedName name="A_UNRELIABLE_RECEIVE">[3]ﾃﾞｰﾀﾍﾞｰｽ変更点!#REF!</definedName>
    <definedName name="A_USER_MASTER" localSheetId="6">[3]ﾃﾞｰﾀﾍﾞｰｽ変更点!#REF!</definedName>
    <definedName name="A_USER_MASTER" localSheetId="4">[3]ﾃﾞｰﾀﾍﾞｰｽ変更点!#REF!</definedName>
    <definedName name="A_USER_MASTER">[3]ﾃﾞｰﾀﾍﾞｰｽ変更点!#REF!</definedName>
    <definedName name="A_USER_TEMP" localSheetId="6">[3]ﾃﾞｰﾀﾍﾞｰｽ変更点!#REF!</definedName>
    <definedName name="A_USER_TEMP" localSheetId="4">[3]ﾃﾞｰﾀﾍﾞｰｽ変更点!#REF!</definedName>
    <definedName name="A_USER_TEMP">[3]ﾃﾞｰﾀﾍﾞｰｽ変更点!#REF!</definedName>
    <definedName name="A_WATER_TEMP_GAUGE" localSheetId="6">[4]TableDesign!#REF!</definedName>
    <definedName name="A_WATER_TEMP_GAUGE" localSheetId="4">[4]TableDesign!#REF!</definedName>
    <definedName name="A_WATER_TEMP_GAUGE">[4]TableDesign!#REF!</definedName>
    <definedName name="AA" localSheetId="6">'[6]DATA-COMMUNICATION-FORMAT'!#REF!</definedName>
    <definedName name="AA" localSheetId="4">'[6]DATA-COMMUNICATION-FORMAT'!#REF!</definedName>
    <definedName name="AA">'[6]DATA-COMMUNICATION-FORMAT'!#REF!</definedName>
    <definedName name="AAA" localSheetId="6">#REF!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6" hidden="1">[7]基本仕様１!#REF!</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6">[3]ﾃﾞｰﾀﾍﾞｰｽ変更点!#REF!</definedName>
    <definedName name="B__PREVENT_THEFT_KEY" localSheetId="4">[3]ﾃﾞｰﾀﾍﾞｰｽ変更点!#REF!</definedName>
    <definedName name="B__PREVENT_THEFT_KEY">[3]ﾃﾞｰﾀﾍﾞｰｽ変更点!#REF!</definedName>
    <definedName name="B_ACT_DATA" localSheetId="6">[3]ﾃﾞｰﾀﾍﾞｰｽ変更点!#REF!</definedName>
    <definedName name="B_ACT_DATA" localSheetId="4">[3]ﾃﾞｰﾀﾍﾞｰｽ変更点!#REF!</definedName>
    <definedName name="B_ACT_DATA">[3]ﾃﾞｰﾀﾍﾞｰｽ変更点!#REF!</definedName>
    <definedName name="B_ACTUAL_OPERATION" localSheetId="6">[4]TableDesign!#REF!</definedName>
    <definedName name="B_ACTUAL_OPERATION" localSheetId="4">[4]TableDesign!#REF!</definedName>
    <definedName name="B_ACTUAL_OPERATION">[4]TableDesign!#REF!</definedName>
    <definedName name="B_AREA" localSheetId="6">[3]ﾃﾞｰﾀﾍﾞｰｽ変更点!#REF!</definedName>
    <definedName name="B_AREA" localSheetId="4">[3]ﾃﾞｰﾀﾍﾞｰｽ変更点!#REF!</definedName>
    <definedName name="B_AREA">[3]ﾃﾞｰﾀﾍﾞｰｽ変更点!#REF!</definedName>
    <definedName name="B_AREA_DEFINE" localSheetId="6">[3]ﾃﾞｰﾀﾍﾞｰｽ変更点!#REF!</definedName>
    <definedName name="B_AREA_DEFINE" localSheetId="4">[3]ﾃﾞｰﾀﾍﾞｰｽ変更点!#REF!</definedName>
    <definedName name="B_AREA_DEFINE">[3]ﾃﾞｰﾀﾍﾞｰｽ変更点!#REF!</definedName>
    <definedName name="B_AREA_INIT" localSheetId="6">[3]ﾃﾞｰﾀﾍﾞｰｽ変更点!#REF!</definedName>
    <definedName name="B_AREA_INIT" localSheetId="4">[3]ﾃﾞｰﾀﾍﾞｰｽ変更点!#REF!</definedName>
    <definedName name="B_AREA_INIT">[3]ﾃﾞｰﾀﾍﾞｰｽ変更点!#REF!</definedName>
    <definedName name="B_AREA_MASTER" localSheetId="6">[3]ﾃﾞｰﾀﾍﾞｰｽ変更点!#REF!</definedName>
    <definedName name="B_AREA_MASTER" localSheetId="4">[3]ﾃﾞｰﾀﾍﾞｰｽ変更点!#REF!</definedName>
    <definedName name="B_AREA_MASTER">[3]ﾃﾞｰﾀﾍﾞｰｽ変更点!#REF!</definedName>
    <definedName name="B_ASK" localSheetId="6">[3]ﾃﾞｰﾀﾍﾞｰｽ変更点!#REF!</definedName>
    <definedName name="B_ASK" localSheetId="4">[3]ﾃﾞｰﾀﾍﾞｰｽ変更点!#REF!</definedName>
    <definedName name="B_ASK">[3]ﾃﾞｰﾀﾍﾞｰｽ変更点!#REF!</definedName>
    <definedName name="B_ASK_LOG" localSheetId="6">[5]テーブル設計!#REF!</definedName>
    <definedName name="B_ASK_LOG" localSheetId="4">[5]テーブル設計!#REF!</definedName>
    <definedName name="B_ASK_LOG">[5]テーブル設計!#REF!</definedName>
    <definedName name="B_ASK_SYSTEM" localSheetId="6">[3]ﾃﾞｰﾀﾍﾞｰｽ変更点!#REF!</definedName>
    <definedName name="B_ASK_SYSTEM" localSheetId="4">[3]ﾃﾞｰﾀﾍﾞｰｽ変更点!#REF!</definedName>
    <definedName name="B_ASK_SYSTEM">[3]ﾃﾞｰﾀﾍﾞｰｽ変更点!#REF!</definedName>
    <definedName name="B_ATC_ERROR" localSheetId="6">[5]テーブル設計!#REF!</definedName>
    <definedName name="B_ATC_ERROR" localSheetId="4">[5]テーブル設計!#REF!</definedName>
    <definedName name="B_ATC_ERROR">[5]テーブル設計!#REF!</definedName>
    <definedName name="B_AUTHORITY_GROUP" localSheetId="6">[3]ﾃﾞｰﾀﾍﾞｰｽ変更点!#REF!</definedName>
    <definedName name="B_AUTHORITY_GROUP" localSheetId="4">[3]ﾃﾞｰﾀﾍﾞｰｽ変更点!#REF!</definedName>
    <definedName name="B_AUTHORITY_GROUP">[3]ﾃﾞｰﾀﾍﾞｰｽ変更点!#REF!</definedName>
    <definedName name="B_AUTHORITY_GROUP_DATA" localSheetId="6">[3]ﾃﾞｰﾀﾍﾞｰｽ変更点!#REF!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6">[5]テーブル設計!#REF!</definedName>
    <definedName name="B_AUTHORITY_MASTER" localSheetId="4">[5]テーブル設計!#REF!</definedName>
    <definedName name="B_AUTHORITY_MASTER">[5]テーブル設計!#REF!</definedName>
    <definedName name="B_BONDED_STORE" localSheetId="6">[5]テーブル設計!#REF!</definedName>
    <definedName name="B_BONDED_STORE" localSheetId="4">[5]テーブル設計!#REF!</definedName>
    <definedName name="B_BONDED_STORE">[5]テーブル設計!#REF!</definedName>
    <definedName name="B_CAR_DATA" localSheetId="6">[3]ﾃﾞｰﾀﾍﾞｰｽ変更点!#REF!</definedName>
    <definedName name="B_CAR_DATA" localSheetId="4">[3]ﾃﾞｰﾀﾍﾞｰｽ変更点!#REF!</definedName>
    <definedName name="B_CAR_DATA">[3]ﾃﾞｰﾀﾍﾞｰｽ変更点!#REF!</definedName>
    <definedName name="B_CAR_MASTER" localSheetId="6">[3]ﾃﾞｰﾀﾍﾞｰｽ変更点!#REF!</definedName>
    <definedName name="B_CAR_MASTER" localSheetId="4">[3]ﾃﾞｰﾀﾍﾞｰｽ変更点!#REF!</definedName>
    <definedName name="B_CAR_MASTER">[3]ﾃﾞｰﾀﾍﾞｰｽ変更点!#REF!</definedName>
    <definedName name="B_CAR_MONTHLY_DATA" localSheetId="6">[3]ﾃﾞｰﾀﾍﾞｰｽ変更点!#REF!</definedName>
    <definedName name="B_CAR_MONTHLY_DATA" localSheetId="4">[3]ﾃﾞｰﾀﾍﾞｰｽ変更点!#REF!</definedName>
    <definedName name="B_CAR_MONTHLY_DATA">[3]ﾃﾞｰﾀﾍﾞｰｽ変更点!#REF!</definedName>
    <definedName name="B_CAR_OWNER_HISTORY" localSheetId="6">[3]ﾃﾞｰﾀﾍﾞｰｽ変更点!#REF!</definedName>
    <definedName name="B_CAR_OWNER_HISTORY" localSheetId="4">[3]ﾃﾞｰﾀﾍﾞｰｽ変更点!#REF!</definedName>
    <definedName name="B_CAR_OWNER_HISTORY">[3]ﾃﾞｰﾀﾍﾞｰｽ変更点!#REF!</definedName>
    <definedName name="B_CAUTION" localSheetId="6">[4]TableDesign!#REF!</definedName>
    <definedName name="B_CAUTION" localSheetId="4">[4]TableDesign!#REF!</definedName>
    <definedName name="B_CAUTION">[4]TableDesign!#REF!</definedName>
    <definedName name="B_CAUTION_DATA" localSheetId="6">[3]ﾃﾞｰﾀﾍﾞｰｽ変更点!#REF!</definedName>
    <definedName name="B_CAUTION_DATA" localSheetId="4">[3]ﾃﾞｰﾀﾍﾞｰｽ変更点!#REF!</definedName>
    <definedName name="B_CAUTION_DATA">[3]ﾃﾞｰﾀﾍﾞｰｽ変更点!#REF!</definedName>
    <definedName name="B_CAUTION_ENABLED" localSheetId="6">[3]ﾃﾞｰﾀﾍﾞｰｽ変更点!#REF!</definedName>
    <definedName name="B_CAUTION_ENABLED" localSheetId="4">[3]ﾃﾞｰﾀﾍﾞｰｽ変更点!#REF!</definedName>
    <definedName name="B_CAUTION_ENABLED">[3]ﾃﾞｰﾀﾍﾞｰｽ変更点!#REF!</definedName>
    <definedName name="B_CAUTION_ICON" localSheetId="6">[3]ﾃﾞｰﾀﾍﾞｰｽ変更点!#REF!</definedName>
    <definedName name="B_CAUTION_ICON" localSheetId="4">[3]ﾃﾞｰﾀﾍﾞｰｽ変更点!#REF!</definedName>
    <definedName name="B_CAUTION_ICON">[3]ﾃﾞｰﾀﾍﾞｰｽ変更点!#REF!</definedName>
    <definedName name="B_CAUTION_INIT" localSheetId="6">[3]ﾃﾞｰﾀﾍﾞｰｽ変更点!#REF!</definedName>
    <definedName name="B_CAUTION_INIT" localSheetId="4">[3]ﾃﾞｰﾀﾍﾞｰｽ変更点!#REF!</definedName>
    <definedName name="B_CAUTION_INIT">[3]ﾃﾞｰﾀﾍﾞｰｽ変更点!#REF!</definedName>
    <definedName name="B_CAUTION_MASTER" localSheetId="6">[3]ﾃﾞｰﾀﾍﾞｰｽ変更点!#REF!</definedName>
    <definedName name="B_CAUTION_MASTER" localSheetId="4">[3]ﾃﾞｰﾀﾍﾞｰｽ変更点!#REF!</definedName>
    <definedName name="B_CAUTION_MASTER">[3]ﾃﾞｰﾀﾍﾞｰｽ変更点!#REF!</definedName>
    <definedName name="B_CLASS1_MASTER" localSheetId="6">[3]ﾃﾞｰﾀﾍﾞｰｽ変更点!#REF!</definedName>
    <definedName name="B_CLASS1_MASTER" localSheetId="4">[3]ﾃﾞｰﾀﾍﾞｰｽ変更点!#REF!</definedName>
    <definedName name="B_CLASS1_MASTER">[3]ﾃﾞｰﾀﾍﾞｰｽ変更点!#REF!</definedName>
    <definedName name="B_CLASS2_MASTER" localSheetId="6">[3]ﾃﾞｰﾀﾍﾞｰｽ変更点!#REF!</definedName>
    <definedName name="B_CLASS2_MASTER" localSheetId="4">[3]ﾃﾞｰﾀﾍﾞｰｽ変更点!#REF!</definedName>
    <definedName name="B_CLASS2_MASTER">[3]ﾃﾞｰﾀﾍﾞｰｽ変更点!#REF!</definedName>
    <definedName name="B_COMM_DATA" localSheetId="6">[3]ﾃﾞｰﾀﾍﾞｰｽ変更点!#REF!</definedName>
    <definedName name="B_COMM_DATA" localSheetId="4">[3]ﾃﾞｰﾀﾍﾞｰｽ変更点!#REF!</definedName>
    <definedName name="B_COMM_DATA">[3]ﾃﾞｰﾀﾍﾞｰｽ変更点!#REF!</definedName>
    <definedName name="B_COMM_STATUS_MASTER" localSheetId="6">[3]ﾃﾞｰﾀﾍﾞｰｽ変更点!#REF!</definedName>
    <definedName name="B_COMM_STATUS_MASTER" localSheetId="4">[3]ﾃﾞｰﾀﾍﾞｰｽ変更点!#REF!</definedName>
    <definedName name="B_COMM_STATUS_MASTER">[3]ﾃﾞｰﾀﾍﾞｰｽ変更点!#REF!</definedName>
    <definedName name="B_CONFIG_DEFINE" localSheetId="6">[3]ﾃﾞｰﾀﾍﾞｰｽ変更点!#REF!</definedName>
    <definedName name="B_CONFIG_DEFINE" localSheetId="4">[3]ﾃﾞｰﾀﾍﾞｰｽ変更点!#REF!</definedName>
    <definedName name="B_CONFIG_DEFINE">[3]ﾃﾞｰﾀﾍﾞｰｽ変更点!#REF!</definedName>
    <definedName name="B_CONFIG_FLAG" localSheetId="6">[5]テーブル設計!#REF!</definedName>
    <definedName name="B_CONFIG_FLAG" localSheetId="4">[5]テーブル設計!#REF!</definedName>
    <definedName name="B_CONFIG_FLAG">[5]テーブル設計!#REF!</definedName>
    <definedName name="B_CONFIG_INIT" localSheetId="6">[3]ﾃﾞｰﾀﾍﾞｰｽ変更点!#REF!</definedName>
    <definedName name="B_CONFIG_INIT" localSheetId="4">[3]ﾃﾞｰﾀﾍﾞｰｽ変更点!#REF!</definedName>
    <definedName name="B_CONFIG_INIT">[3]ﾃﾞｰﾀﾍﾞｰｽ変更点!#REF!</definedName>
    <definedName name="B_CONFIG_PATTERN" localSheetId="6">[3]ﾃﾞｰﾀﾍﾞｰｽ変更点!#REF!</definedName>
    <definedName name="B_CONFIG_PATTERN" localSheetId="4">[3]ﾃﾞｰﾀﾍﾞｰｽ変更点!#REF!</definedName>
    <definedName name="B_CONFIG_PATTERN">[3]ﾃﾞｰﾀﾍﾞｰｽ変更点!#REF!</definedName>
    <definedName name="B_CONFIG_PATTERN_DATA" localSheetId="6">[3]ﾃﾞｰﾀﾍﾞｰｽ変更点!#REF!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6">[5]テーブル設計!#REF!</definedName>
    <definedName name="B_CONFIG_USER_FLAG" localSheetId="4">[5]テーブル設計!#REF!</definedName>
    <definedName name="B_CONFIG_USER_FLAG">[5]テーブル設計!#REF!</definedName>
    <definedName name="B_CONTRACT" localSheetId="6">[5]テーブル設計!#REF!</definedName>
    <definedName name="B_CONTRACT" localSheetId="4">[5]テーブル設計!#REF!</definedName>
    <definedName name="B_CONTRACT">[5]テーブル設計!#REF!</definedName>
    <definedName name="B_CUSTOMER" localSheetId="6">[3]ﾃﾞｰﾀﾍﾞｰｽ変更点!#REF!</definedName>
    <definedName name="B_CUSTOMER" localSheetId="4">[3]ﾃﾞｰﾀﾍﾞｰｽ変更点!#REF!</definedName>
    <definedName name="B_CUSTOMER">[3]ﾃﾞｰﾀﾍﾞｰｽ変更点!#REF!</definedName>
    <definedName name="B_CUSTOMER_CAR" localSheetId="6">[3]ﾃﾞｰﾀﾍﾞｰｽ変更点!#REF!</definedName>
    <definedName name="B_CUSTOMER_CAR" localSheetId="4">[3]ﾃﾞｰﾀﾍﾞｰｽ変更点!#REF!</definedName>
    <definedName name="B_CUSTOMER_CAR">[3]ﾃﾞｰﾀﾍﾞｰｽ変更点!#REF!</definedName>
    <definedName name="B_CUSTOMER_MASTER" localSheetId="6">[4]TableDesign!#REF!</definedName>
    <definedName name="B_CUSTOMER_MASTER" localSheetId="4">[4]TableDesign!#REF!</definedName>
    <definedName name="B_CUSTOMER_MASTER">[4]TableDesign!#REF!</definedName>
    <definedName name="B_DIVISION_MASTER" localSheetId="6">[3]ﾃﾞｰﾀﾍﾞｰｽ変更点!#REF!</definedName>
    <definedName name="B_DIVISION_MASTER" localSheetId="4">[3]ﾃﾞｰﾀﾍﾞｰｽ変更点!#REF!</definedName>
    <definedName name="B_DIVISION_MASTER">[3]ﾃﾞｰﾀﾍﾞｰｽ変更点!#REF!</definedName>
    <definedName name="B_DOPA" localSheetId="6">[3]ﾃﾞｰﾀﾍﾞｰｽ変更点!#REF!</definedName>
    <definedName name="B_DOPA" localSheetId="4">[3]ﾃﾞｰﾀﾍﾞｰｽ変更点!#REF!</definedName>
    <definedName name="B_DOPA">[3]ﾃﾞｰﾀﾍﾞｰｽ変更点!#REF!</definedName>
    <definedName name="B_DOPA_OWNER_HISTORY" localSheetId="6">[3]ﾃﾞｰﾀﾍﾞｰｽ変更点!#REF!</definedName>
    <definedName name="B_DOPA_OWNER_HISTORY" localSheetId="4">[3]ﾃﾞｰﾀﾍﾞｰｽ変更点!#REF!</definedName>
    <definedName name="B_DOPA_OWNER_HISTORY">[3]ﾃﾞｰﾀﾍﾞｰｽ変更点!#REF!</definedName>
    <definedName name="B_DOPA_SERVER" localSheetId="6">[3]ﾃﾞｰﾀﾍﾞｰｽ変更点!#REF!</definedName>
    <definedName name="B_DOPA_SERVER" localSheetId="4">[3]ﾃﾞｰﾀﾍﾞｰｽ変更点!#REF!</definedName>
    <definedName name="B_DOPA_SERVER">[3]ﾃﾞｰﾀﾍﾞｰｽ変更点!#REF!</definedName>
    <definedName name="B_EQUIPMENT_HISTORY" localSheetId="6">[3]ﾃﾞｰﾀﾍﾞｰｽ変更点!#REF!</definedName>
    <definedName name="B_EQUIPMENT_HISTORY" localSheetId="4">[3]ﾃﾞｰﾀﾍﾞｰｽ変更点!#REF!</definedName>
    <definedName name="B_EQUIPMENT_HISTORY">[3]ﾃﾞｰﾀﾍﾞｰｽ変更点!#REF!</definedName>
    <definedName name="B_ERROR" localSheetId="6">[3]ﾃﾞｰﾀﾍﾞｰｽ変更点!#REF!</definedName>
    <definedName name="B_ERROR" localSheetId="4">[3]ﾃﾞｰﾀﾍﾞｰｽ変更点!#REF!</definedName>
    <definedName name="B_ERROR">[3]ﾃﾞｰﾀﾍﾞｰｽ変更点!#REF!</definedName>
    <definedName name="B_ERROR_ENABLED" localSheetId="6">[3]ﾃﾞｰﾀﾍﾞｰｽ変更点!#REF!</definedName>
    <definedName name="B_ERROR_ENABLED" localSheetId="4">[3]ﾃﾞｰﾀﾍﾞｰｽ変更点!#REF!</definedName>
    <definedName name="B_ERROR_ENABLED">[3]ﾃﾞｰﾀﾍﾞｰｽ変更点!#REF!</definedName>
    <definedName name="B_ERROR_MASTER" localSheetId="6">[3]ﾃﾞｰﾀﾍﾞｰｽ変更点!#REF!</definedName>
    <definedName name="B_ERROR_MASTER" localSheetId="4">[3]ﾃﾞｰﾀﾍﾞｰｽ変更点!#REF!</definedName>
    <definedName name="B_ERROR_MASTER">[3]ﾃﾞｰﾀﾍﾞｰｽ変更点!#REF!</definedName>
    <definedName name="B_EVENT_CATEGORY" localSheetId="6">[4]TableDesign!#REF!</definedName>
    <definedName name="B_EVENT_CATEGORY" localSheetId="4">[4]TableDesign!#REF!</definedName>
    <definedName name="B_EVENT_CATEGORY">[4]TableDesign!#REF!</definedName>
    <definedName name="B_EVENT_DIVISION" localSheetId="6">[3]ﾃﾞｰﾀﾍﾞｰｽ変更点!#REF!</definedName>
    <definedName name="B_EVENT_DIVISION" localSheetId="4">[3]ﾃﾞｰﾀﾍﾞｰｽ変更点!#REF!</definedName>
    <definedName name="B_EVENT_DIVISION">[3]ﾃﾞｰﾀﾍﾞｰｽ変更点!#REF!</definedName>
    <definedName name="B_EVENT_MASTER" localSheetId="6">[3]ﾃﾞｰﾀﾍﾞｰｽ変更点!#REF!</definedName>
    <definedName name="B_EVENT_MASTER" localSheetId="4">[3]ﾃﾞｰﾀﾍﾞｰｽ変更点!#REF!</definedName>
    <definedName name="B_EVENT_MASTER">[3]ﾃﾞｰﾀﾍﾞｰｽ変更点!#REF!</definedName>
    <definedName name="B_EVENT_NOTICE" localSheetId="6">[3]ﾃﾞｰﾀﾍﾞｰｽ変更点!#REF!</definedName>
    <definedName name="B_EVENT_NOTICE" localSheetId="4">[3]ﾃﾞｰﾀﾍﾞｰｽ変更点!#REF!</definedName>
    <definedName name="B_EVENT_NOTICE">[3]ﾃﾞｰﾀﾍﾞｰｽ変更点!#REF!</definedName>
    <definedName name="B_FUEL_GAUGE" localSheetId="6">[4]TableDesign!#REF!</definedName>
    <definedName name="B_FUEL_GAUGE" localSheetId="4">[4]TableDesign!#REF!</definedName>
    <definedName name="B_FUEL_GAUGE">[4]TableDesign!#REF!</definedName>
    <definedName name="B_GAUGE_FUEL_WTTEMP" localSheetId="6">[3]ﾃﾞｰﾀﾍﾞｰｽ変更点!#REF!</definedName>
    <definedName name="B_GAUGE_FUEL_WTTEMP" localSheetId="4">[3]ﾃﾞｰﾀﾍﾞｰｽ変更点!#REF!</definedName>
    <definedName name="B_GAUGE_FUEL_WTTEMP">[3]ﾃﾞｰﾀﾍﾞｰｽ変更点!#REF!</definedName>
    <definedName name="B_GIS_DEFINE" localSheetId="6">[4]TableDesign!#REF!</definedName>
    <definedName name="B_GIS_DEFINE" localSheetId="4">[4]TableDesign!#REF!</definedName>
    <definedName name="B_GIS_DEFINE">[4]TableDesign!#REF!</definedName>
    <definedName name="B_GPS" localSheetId="6">[3]ﾃﾞｰﾀﾍﾞｰｽ変更点!#REF!</definedName>
    <definedName name="B_GPS" localSheetId="4">[3]ﾃﾞｰﾀﾍﾞｰｽ変更点!#REF!</definedName>
    <definedName name="B_GPS">[3]ﾃﾞｰﾀﾍﾞｰｽ変更点!#REF!</definedName>
    <definedName name="B_GRANT_AUTHORITY" localSheetId="6">[3]ﾃﾞｰﾀﾍﾞｰｽ変更点!#REF!</definedName>
    <definedName name="B_GRANT_AUTHORITY" localSheetId="4">[3]ﾃﾞｰﾀﾍﾞｰｽ変更点!#REF!</definedName>
    <definedName name="B_GRANT_AUTHORITY">[3]ﾃﾞｰﾀﾍﾞｰｽ変更点!#REF!</definedName>
    <definedName name="B_GROUP_MASTER" localSheetId="6">[3]ﾃﾞｰﾀﾍﾞｰｽ変更点!#REF!</definedName>
    <definedName name="B_GROUP_MASTER" localSheetId="4">[3]ﾃﾞｰﾀﾍﾞｰｽ変更点!#REF!</definedName>
    <definedName name="B_GROUP_MASTER">[3]ﾃﾞｰﾀﾍﾞｰｽ変更点!#REF!</definedName>
    <definedName name="B_IGNORE_CAUTION" localSheetId="6">[5]テーブル設計!#REF!</definedName>
    <definedName name="B_IGNORE_CAUTION" localSheetId="4">[5]テーブル設計!#REF!</definedName>
    <definedName name="B_IGNORE_CAUTION">[5]テーブル設計!#REF!</definedName>
    <definedName name="B_IGNORE_ERROR" localSheetId="6">[5]テーブル設計!#REF!</definedName>
    <definedName name="B_IGNORE_ERROR" localSheetId="4">[5]テーブル設計!#REF!</definedName>
    <definedName name="B_IGNORE_ERROR">[5]テーブル設計!#REF!</definedName>
    <definedName name="B_INFORM_MASTER" localSheetId="6">[3]ﾃﾞｰﾀﾍﾞｰｽ変更点!#REF!</definedName>
    <definedName name="B_INFORM_MASTER" localSheetId="4">[3]ﾃﾞｰﾀﾍﾞｰｽ変更点!#REF!</definedName>
    <definedName name="B_INFORM_MASTER">[3]ﾃﾞｰﾀﾍﾞｰｽ変更点!#REF!</definedName>
    <definedName name="B_INFORMATION" localSheetId="6">[3]ﾃﾞｰﾀﾍﾞｰｽ変更点!#REF!</definedName>
    <definedName name="B_INFORMATION" localSheetId="4">[3]ﾃﾞｰﾀﾍﾞｰｽ変更点!#REF!</definedName>
    <definedName name="B_INFORMATION">[3]ﾃﾞｰﾀﾍﾞｰｽ変更点!#REF!</definedName>
    <definedName name="B_INFORMATION_READED" localSheetId="6">[3]ﾃﾞｰﾀﾍﾞｰｽ変更点!#REF!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6">[5]テーブル設計!#REF!</definedName>
    <definedName name="B_INVALID_PART_TERMINAL" localSheetId="4">[5]テーブル設計!#REF!</definedName>
    <definedName name="B_INVALID_PART_TERMINAL">[5]テーブル設計!#REF!</definedName>
    <definedName name="B_KIND_MASTER" localSheetId="6">[3]ﾃﾞｰﾀﾍﾞｰｽ変更点!#REF!</definedName>
    <definedName name="B_KIND_MASTER" localSheetId="4">[3]ﾃﾞｰﾀﾍﾞｰｽ変更点!#REF!</definedName>
    <definedName name="B_KIND_MASTER">[3]ﾃﾞｰﾀﾍﾞｰｽ変更点!#REF!</definedName>
    <definedName name="B_KRO_APPLICATION" localSheetId="6">[3]ﾃﾞｰﾀﾍﾞｰｽ変更点!#REF!</definedName>
    <definedName name="B_KRO_APPLICATION" localSheetId="4">[3]ﾃﾞｰﾀﾍﾞｰｽ変更点!#REF!</definedName>
    <definedName name="B_KRO_APPLICATION">[3]ﾃﾞｰﾀﾍﾞｰｽ変更点!#REF!</definedName>
    <definedName name="B_KRO_APPLICATION_DATA" localSheetId="6">[3]ﾃﾞｰﾀﾍﾞｰｽ変更点!#REF!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6">[3]ﾃﾞｰﾀﾍﾞｰｽ変更点!#REF!</definedName>
    <definedName name="B_KRO_COMPLETION" localSheetId="4">[3]ﾃﾞｰﾀﾍﾞｰｽ変更点!#REF!</definedName>
    <definedName name="B_KRO_COMPLETION">[3]ﾃﾞｰﾀﾍﾞｰｽ変更点!#REF!</definedName>
    <definedName name="B_KRO_COMPLETION_DATA" localSheetId="6">[3]ﾃﾞｰﾀﾍﾞｰｽ変更点!#REF!</definedName>
    <definedName name="B_KRO_COMPLETION_DATA" localSheetId="4">[3]ﾃﾞｰﾀﾍﾞｰｽ変更点!#REF!</definedName>
    <definedName name="B_KRO_COMPLETION_DATA">[3]ﾃﾞｰﾀﾍﾞｰｽ変更点!#REF!</definedName>
    <definedName name="B_KRO_EMERGENCY" localSheetId="6">[5]テーブル設計!#REF!</definedName>
    <definedName name="B_KRO_EMERGENCY" localSheetId="4">[5]テーブル設計!#REF!</definedName>
    <definedName name="B_KRO_EMERGENCY">[5]テーブル設計!#REF!</definedName>
    <definedName name="B_KRO_REPORT" localSheetId="6">[3]ﾃﾞｰﾀﾍﾞｰｽ変更点!#REF!</definedName>
    <definedName name="B_KRO_REPORT" localSheetId="4">[3]ﾃﾞｰﾀﾍﾞｰｽ変更点!#REF!</definedName>
    <definedName name="B_KRO_REPORT">[3]ﾃﾞｰﾀﾍﾞｰｽ変更点!#REF!</definedName>
    <definedName name="B_LANDMARK" localSheetId="6">[3]ﾃﾞｰﾀﾍﾞｰｽ変更点!#REF!</definedName>
    <definedName name="B_LANDMARK" localSheetId="4">[3]ﾃﾞｰﾀﾍﾞｰｽ変更点!#REF!</definedName>
    <definedName name="B_LANDMARK">[3]ﾃﾞｰﾀﾍﾞｰｽ変更点!#REF!</definedName>
    <definedName name="B_LANDMARK_CLASS" localSheetId="6">[3]ﾃﾞｰﾀﾍﾞｰｽ変更点!#REF!</definedName>
    <definedName name="B_LANDMARK_CLASS" localSheetId="4">[3]ﾃﾞｰﾀﾍﾞｰｽ変更点!#REF!</definedName>
    <definedName name="B_LANDMARK_CLASS">[3]ﾃﾞｰﾀﾍﾞｰｽ変更点!#REF!</definedName>
    <definedName name="B_LOGON_HISTORY" localSheetId="6">[3]ﾃﾞｰﾀﾍﾞｰｽ変更点!#REF!</definedName>
    <definedName name="B_LOGON_HISTORY" localSheetId="4">[3]ﾃﾞｰﾀﾍﾞｰｽ変更点!#REF!</definedName>
    <definedName name="B_LOGON_HISTORY">[3]ﾃﾞｰﾀﾍﾞｰｽ変更点!#REF!</definedName>
    <definedName name="B_MACHINE_ERROR" localSheetId="6">[4]TableDesign!#REF!</definedName>
    <definedName name="B_MACHINE_ERROR" localSheetId="4">[4]TableDesign!#REF!</definedName>
    <definedName name="B_MACHINE_ERROR">[4]TableDesign!#REF!</definedName>
    <definedName name="B_MACHINE_STATUS_MASTER" localSheetId="6">[3]ﾃﾞｰﾀﾍﾞｰｽ変更点!#REF!</definedName>
    <definedName name="B_MACHINE_STATUS_MASTER" localSheetId="4">[3]ﾃﾞｰﾀﾍﾞｰｽ変更点!#REF!</definedName>
    <definedName name="B_MACHINE_STATUS_MASTER">[3]ﾃﾞｰﾀﾍﾞｰｽ変更点!#REF!</definedName>
    <definedName name="B_MAINTENANCE_DATA" localSheetId="6">[3]ﾃﾞｰﾀﾍﾞｰｽ変更点!#REF!</definedName>
    <definedName name="B_MAINTENANCE_DATA" localSheetId="4">[3]ﾃﾞｰﾀﾍﾞｰｽ変更点!#REF!</definedName>
    <definedName name="B_MAINTENANCE_DATA">[3]ﾃﾞｰﾀﾍﾞｰｽ変更点!#REF!</definedName>
    <definedName name="B_MAINTENANCE_INFORM" localSheetId="6">[3]ﾃﾞｰﾀﾍﾞｰｽ変更点!#REF!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6">[3]ﾃﾞｰﾀﾍﾞｰｽ変更点!#REF!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6">[4]TableDesign!#REF!</definedName>
    <definedName name="B_MAINTENANCE_TIME" localSheetId="4">[4]TableDesign!#REF!</definedName>
    <definedName name="B_MAINTENANCE_TIME">[4]TableDesign!#REF!</definedName>
    <definedName name="B_MAKER_MASTER" localSheetId="6">[3]ﾃﾞｰﾀﾍﾞｰｽ変更点!#REF!</definedName>
    <definedName name="B_MAKER_MASTER" localSheetId="4">[3]ﾃﾞｰﾀﾍﾞｰｽ変更点!#REF!</definedName>
    <definedName name="B_MAKER_MASTER">[3]ﾃﾞｰﾀﾍﾞｰｽ変更点!#REF!</definedName>
    <definedName name="B_MARK_MACHINE" localSheetId="6">[4]TableDesign!#REF!</definedName>
    <definedName name="B_MARK_MACHINE" localSheetId="4">[4]TableDesign!#REF!</definedName>
    <definedName name="B_MARK_MACHINE">[4]TableDesign!#REF!</definedName>
    <definedName name="B_MARK_NOTIFICATION" localSheetId="6">[4]TableDesign!#REF!</definedName>
    <definedName name="B_MARK_NOTIFICATION" localSheetId="4">[4]TableDesign!#REF!</definedName>
    <definedName name="B_MARK_NOTIFICATION">[4]TableDesign!#REF!</definedName>
    <definedName name="B_MARK_NOTIFICATION_DETAIL" localSheetId="6">[4]TableDesign!#REF!</definedName>
    <definedName name="B_MARK_NOTIFICATION_DETAIL" localSheetId="4">[4]TableDesign!#REF!</definedName>
    <definedName name="B_MARK_NOTIFICATION_DETAIL">[4]TableDesign!#REF!</definedName>
    <definedName name="B_MEMO" localSheetId="6">[3]ﾃﾞｰﾀﾍﾞｰｽ変更点!#REF!</definedName>
    <definedName name="B_MEMO" localSheetId="4">[3]ﾃﾞｰﾀﾍﾞｰｽ変更点!#REF!</definedName>
    <definedName name="B_MEMO">[3]ﾃﾞｰﾀﾍﾞｰｽ変更点!#REF!</definedName>
    <definedName name="B_MEMORY_MODIFY" localSheetId="6">[3]ﾃﾞｰﾀﾍﾞｰｽ変更点!#REF!</definedName>
    <definedName name="B_MEMORY_MODIFY" localSheetId="4">[3]ﾃﾞｰﾀﾍﾞｰｽ変更点!#REF!</definedName>
    <definedName name="B_MEMORY_MODIFY">[3]ﾃﾞｰﾀﾍﾞｰｽ変更点!#REF!</definedName>
    <definedName name="B_MEMORY_MODIFY_DATA" localSheetId="6">[3]ﾃﾞｰﾀﾍﾞｰｽ変更点!#REF!</definedName>
    <definedName name="B_MEMORY_MODIFY_DATA" localSheetId="4">[3]ﾃﾞｰﾀﾍﾞｰｽ変更点!#REF!</definedName>
    <definedName name="B_MEMORY_MODIFY_DATA">[3]ﾃﾞｰﾀﾍﾞｰｽ変更点!#REF!</definedName>
    <definedName name="B_MESSAGE" localSheetId="6">[3]ﾃﾞｰﾀﾍﾞｰｽ変更点!#REF!</definedName>
    <definedName name="B_MESSAGE" localSheetId="4">[3]ﾃﾞｰﾀﾍﾞｰｽ変更点!#REF!</definedName>
    <definedName name="B_MESSAGE">[3]ﾃﾞｰﾀﾍﾞｰｽ変更点!#REF!</definedName>
    <definedName name="B_MESSAGE_MASTER" localSheetId="6">[3]ﾃﾞｰﾀﾍﾞｰｽ変更点!#REF!</definedName>
    <definedName name="B_MESSAGE_MASTER" localSheetId="4">[3]ﾃﾞｰﾀﾍﾞｰｽ変更点!#REF!</definedName>
    <definedName name="B_MESSAGE_MASTER">[3]ﾃﾞｰﾀﾍﾞｰｽ変更点!#REF!</definedName>
    <definedName name="B_MONTHLY_ATT_SMR" localSheetId="6">[4]TableDesign!#REF!</definedName>
    <definedName name="B_MONTHLY_ATT_SMR" localSheetId="4">[4]TableDesign!#REF!</definedName>
    <definedName name="B_MONTHLY_ATT_SMR">[4]TableDesign!#REF!</definedName>
    <definedName name="B_MONTHLY_ERROR" localSheetId="6">[4]TableDesign!#REF!</definedName>
    <definedName name="B_MONTHLY_ERROR" localSheetId="4">[4]TableDesign!#REF!</definedName>
    <definedName name="B_MONTHLY_ERROR">[4]TableDesign!#REF!</definedName>
    <definedName name="B_MONTHLY_LOAD" localSheetId="6">[4]TableDesign!#REF!</definedName>
    <definedName name="B_MONTHLY_LOAD" localSheetId="4">[4]TableDesign!#REF!</definedName>
    <definedName name="B_MONTHLY_LOAD">[4]TableDesign!#REF!</definedName>
    <definedName name="B_MONTHLY_MOVEMENT" localSheetId="6">[4]TableDesign!#REF!</definedName>
    <definedName name="B_MONTHLY_MOVEMENT" localSheetId="4">[4]TableDesign!#REF!</definedName>
    <definedName name="B_MONTHLY_MOVEMENT">[4]TableDesign!#REF!</definedName>
    <definedName name="B_MONTHLY_OPERATION" localSheetId="6">[4]TableDesign!#REF!</definedName>
    <definedName name="B_MONTHLY_OPERATION" localSheetId="4">[4]TableDesign!#REF!</definedName>
    <definedName name="B_MONTHLY_OPERATION">[4]TableDesign!#REF!</definedName>
    <definedName name="B_MONTHLY_SMR" localSheetId="6">[4]TableDesign!#REF!</definedName>
    <definedName name="B_MONTHLY_SMR" localSheetId="4">[4]TableDesign!#REF!</definedName>
    <definedName name="B_MONTHLY_SMR">[4]TableDesign!#REF!</definedName>
    <definedName name="B_MONTHLY_WORKING_SMR" localSheetId="6">[4]TableDesign!#REF!</definedName>
    <definedName name="B_MONTHLY_WORKING_SMR" localSheetId="4">[4]TableDesign!#REF!</definedName>
    <definedName name="B_MONTHLY_WORKING_SMR">[4]TableDesign!#REF!</definedName>
    <definedName name="B_MONTLY_LOAD" localSheetId="6">[4]TableDesign!#REF!</definedName>
    <definedName name="B_MONTLY_LOAD" localSheetId="4">[4]TableDesign!#REF!</definedName>
    <definedName name="B_MONTLY_LOAD">[4]TableDesign!#REF!</definedName>
    <definedName name="B_MULTI_OPE" localSheetId="6">[3]ﾃﾞｰﾀﾍﾞｰｽ変更点!#REF!</definedName>
    <definedName name="B_MULTI_OPE" localSheetId="4">[3]ﾃﾞｰﾀﾍﾞｰｽ変更点!#REF!</definedName>
    <definedName name="B_MULTI_OPE">[3]ﾃﾞｰﾀﾍﾞｰｽ変更点!#REF!</definedName>
    <definedName name="B_MULTI_OPE_DATA" localSheetId="6">[5]テーブル設計!#REF!</definedName>
    <definedName name="B_MULTI_OPE_DATA" localSheetId="4">[5]テーブル設計!#REF!</definedName>
    <definedName name="B_MULTI_OPE_DATA">[5]テーブル設計!#REF!</definedName>
    <definedName name="B_NLS_DB_RESOURCE" localSheetId="6">[4]TableDesign!#REF!</definedName>
    <definedName name="B_NLS_DB_RESOURCE" localSheetId="4">[4]TableDesign!#REF!</definedName>
    <definedName name="B_NLS_DB_RESOURCE">[4]TableDesign!#REF!</definedName>
    <definedName name="B_NLS_LANG" localSheetId="6">[4]TableDesign!#REF!</definedName>
    <definedName name="B_NLS_LANG" localSheetId="4">[4]TableDesign!#REF!</definedName>
    <definedName name="B_NLS_LANG">[4]TableDesign!#REF!</definedName>
    <definedName name="B_NLS_RESOURCE" localSheetId="6">[4]TableDesign!#REF!</definedName>
    <definedName name="B_NLS_RESOURCE" localSheetId="4">[4]TableDesign!#REF!</definedName>
    <definedName name="B_NLS_RESOURCE">[4]TableDesign!#REF!</definedName>
    <definedName name="B_NOT_ACTIVE" localSheetId="6">[3]ﾃﾞｰﾀﾍﾞｰｽ変更点!#REF!</definedName>
    <definedName name="B_NOT_ACTIVE" localSheetId="4">[3]ﾃﾞｰﾀﾍﾞｰｽ変更点!#REF!</definedName>
    <definedName name="B_NOT_ACTIVE">[3]ﾃﾞｰﾀﾍﾞｰｽ変更点!#REF!</definedName>
    <definedName name="B_OPERATION_CATEGORY" localSheetId="6">[4]TableDesign!#REF!</definedName>
    <definedName name="B_OPERATION_CATEGORY" localSheetId="4">[4]TableDesign!#REF!</definedName>
    <definedName name="B_OPERATION_CATEGORY">[4]TableDesign!#REF!</definedName>
    <definedName name="B_OPERATION_CLASS" localSheetId="6">[5]テーブル設計!#REF!</definedName>
    <definedName name="B_OPERATION_CLASS" localSheetId="4">[5]テーブル設計!#REF!</definedName>
    <definedName name="B_OPERATION_CLASS">[5]テーブル設計!#REF!</definedName>
    <definedName name="B_OPERATION_LOG" localSheetId="6">[3]ﾃﾞｰﾀﾍﾞｰｽ変更点!#REF!</definedName>
    <definedName name="B_OPERATION_LOG" localSheetId="4">[3]ﾃﾞｰﾀﾍﾞｰｽ変更点!#REF!</definedName>
    <definedName name="B_OPERATION_LOG">[3]ﾃﾞｰﾀﾍﾞｰｽ変更点!#REF!</definedName>
    <definedName name="B_OPERATION_LOG2" localSheetId="6">[5]テーブル設計!#REF!</definedName>
    <definedName name="B_OPERATION_LOG2" localSheetId="4">[5]テーブル設計!#REF!</definedName>
    <definedName name="B_OPERATION_LOG2">[5]テーブル設計!#REF!</definedName>
    <definedName name="B_OPERATION_MAP" localSheetId="6">[4]TableDesign!#REF!</definedName>
    <definedName name="B_OPERATION_MAP" localSheetId="4">[4]TableDesign!#REF!</definedName>
    <definedName name="B_OPERATION_MAP">[4]TableDesign!#REF!</definedName>
    <definedName name="B_OPERATION_MASTER" localSheetId="6">[5]テーブル設計!#REF!</definedName>
    <definedName name="B_OPERATION_MASTER" localSheetId="4">[5]テーブル設計!#REF!</definedName>
    <definedName name="B_OPERATION_MASTER">[5]テーブル設計!#REF!</definedName>
    <definedName name="B_ORBCOMM" localSheetId="6">[3]ﾃﾞｰﾀﾍﾞｰｽ変更点!#REF!</definedName>
    <definedName name="B_ORBCOMM" localSheetId="4">[3]ﾃﾞｰﾀﾍﾞｰｽ変更点!#REF!</definedName>
    <definedName name="B_ORBCOMM">[3]ﾃﾞｰﾀﾍﾞｰｽ変更点!#REF!</definedName>
    <definedName name="B_ORBCOMM_OWNER_HISTORY" localSheetId="6">[3]ﾃﾞｰﾀﾍﾞｰｽ変更点!#REF!</definedName>
    <definedName name="B_ORBCOMM_OWNER_HISTORY" localSheetId="4">[3]ﾃﾞｰﾀﾍﾞｰｽ変更点!#REF!</definedName>
    <definedName name="B_ORBCOMM_OWNER_HISTORY">[3]ﾃﾞｰﾀﾍﾞｰｽ変更点!#REF!</definedName>
    <definedName name="B_PLANT_CAR" localSheetId="6">[5]テーブル設計!#REF!</definedName>
    <definedName name="B_PLANT_CAR" localSheetId="4">[5]テーブル設計!#REF!</definedName>
    <definedName name="B_PLANT_CAR">[5]テーブル設計!#REF!</definedName>
    <definedName name="B_PLANT_ERROR" localSheetId="6">[5]テーブル設計!#REF!</definedName>
    <definedName name="B_PLANT_ERROR" localSheetId="4">[5]テーブル設計!#REF!</definedName>
    <definedName name="B_PLANT_ERROR">[5]テーブル設計!#REF!</definedName>
    <definedName name="B_PLANT_GPS" localSheetId="6">[5]テーブル設計!#REF!</definedName>
    <definedName name="B_PLANT_GPS" localSheetId="4">[5]テーブル設計!#REF!</definedName>
    <definedName name="B_PLANT_GPS">[5]テーブル設計!#REF!</definedName>
    <definedName name="B_PREVENT_THEFT_KEY" localSheetId="6">[3]ﾃﾞｰﾀﾍﾞｰｽ変更点!#REF!</definedName>
    <definedName name="B_PREVENT_THEFT_KEY" localSheetId="4">[3]ﾃﾞｰﾀﾍﾞｰｽ変更点!#REF!</definedName>
    <definedName name="B_PREVENT_THEFT_KEY">[3]ﾃﾞｰﾀﾍﾞｰｽ変更点!#REF!</definedName>
    <definedName name="B_PRIVATE_TARGET_CAR" localSheetId="6">[3]ﾃﾞｰﾀﾍﾞｰｽ変更点!#REF!</definedName>
    <definedName name="B_PRIVATE_TARGET_CAR" localSheetId="4">[3]ﾃﾞｰﾀﾍﾞｰｽ変更点!#REF!</definedName>
    <definedName name="B_PRIVATE_TARGET_CAR">[3]ﾃﾞｰﾀﾍﾞｰｽ変更点!#REF!</definedName>
    <definedName name="B_RECEIVE_LIST" localSheetId="6">[5]テーブル設計!#REF!</definedName>
    <definedName name="B_RECEIVE_LIST" localSheetId="4">[5]テーブル設計!#REF!</definedName>
    <definedName name="B_RECEIVE_LIST">[5]テーブル設計!#REF!</definedName>
    <definedName name="B_RECEIVE_LOG" localSheetId="6">[3]ﾃﾞｰﾀﾍﾞｰｽ変更点!#REF!</definedName>
    <definedName name="B_RECEIVE_LOG" localSheetId="4">[3]ﾃﾞｰﾀﾍﾞｰｽ変更点!#REF!</definedName>
    <definedName name="B_RECEIVE_LOG">[3]ﾃﾞｰﾀﾍﾞｰｽ変更点!#REF!</definedName>
    <definedName name="B_REGION_DATA" localSheetId="6">[4]TableDesign!#REF!</definedName>
    <definedName name="B_REGION_DATA" localSheetId="4">[4]TableDesign!#REF!</definedName>
    <definedName name="B_REGION_DATA">[4]TableDesign!#REF!</definedName>
    <definedName name="B_REGION_MASTER" localSheetId="6">[4]TableDesign!#REF!</definedName>
    <definedName name="B_REGION_MASTER" localSheetId="4">[4]TableDesign!#REF!</definedName>
    <definedName name="B_REGION_MASTER">[4]TableDesign!#REF!</definedName>
    <definedName name="B_RENTAL_TERMINAL" localSheetId="6">[5]テーブル設計!#REF!</definedName>
    <definedName name="B_RENTAL_TERMINAL" localSheetId="4">[5]テーブル設計!#REF!</definedName>
    <definedName name="B_RENTAL_TERMINAL">[5]テーブル設計!#REF!</definedName>
    <definedName name="B_REQUEST" localSheetId="6">[3]ﾃﾞｰﾀﾍﾞｰｽ変更点!#REF!</definedName>
    <definedName name="B_REQUEST" localSheetId="4">[3]ﾃﾞｰﾀﾍﾞｰｽ変更点!#REF!</definedName>
    <definedName name="B_REQUEST">[3]ﾃﾞｰﾀﾍﾞｰｽ変更点!#REF!</definedName>
    <definedName name="B_REQUEST_COUNT" localSheetId="6">[3]ﾃﾞｰﾀﾍﾞｰｽ変更点!#REF!</definedName>
    <definedName name="B_REQUEST_COUNT" localSheetId="4">[3]ﾃﾞｰﾀﾍﾞｰｽ変更点!#REF!</definedName>
    <definedName name="B_REQUEST_COUNT">[3]ﾃﾞｰﾀﾍﾞｰｽ変更点!#REF!</definedName>
    <definedName name="B_REQUEST_LOG" localSheetId="6">[3]ﾃﾞｰﾀﾍﾞｰｽ変更点!#REF!</definedName>
    <definedName name="B_REQUEST_LOG" localSheetId="4">[3]ﾃﾞｰﾀﾍﾞｰｽ変更点!#REF!</definedName>
    <definedName name="B_REQUEST_LOG">[3]ﾃﾞｰﾀﾍﾞｰｽ変更点!#REF!</definedName>
    <definedName name="B_RIVATE_TARGET_CAR" localSheetId="6">[4]TableDesign!#REF!</definedName>
    <definedName name="B_RIVATE_TARGET_CAR" localSheetId="4">[4]TableDesign!#REF!</definedName>
    <definedName name="B_RIVATE_TARGET_CAR">[4]TableDesign!#REF!</definedName>
    <definedName name="B_RUNNING_LOG" localSheetId="6">[3]ﾃﾞｰﾀﾍﾞｰｽ変更点!#REF!</definedName>
    <definedName name="B_RUNNING_LOG" localSheetId="4">[3]ﾃﾞｰﾀﾍﾞｰｽ変更点!#REF!</definedName>
    <definedName name="B_RUNNING_LOG">[3]ﾃﾞｰﾀﾍﾞｰｽ変更点!#REF!</definedName>
    <definedName name="B_SAVE_INFORMATION" localSheetId="6">[5]テーブル設計!#REF!</definedName>
    <definedName name="B_SAVE_INFORMATION" localSheetId="4">[5]テーブル設計!#REF!</definedName>
    <definedName name="B_SAVE_INFORMATION">[5]テーブル設計!#REF!</definedName>
    <definedName name="B_SELFCARINSPECTION" localSheetId="6">[3]ﾃﾞｰﾀﾍﾞｰｽ変更点!#REF!</definedName>
    <definedName name="B_SELFCARINSPECTION" localSheetId="4">[3]ﾃﾞｰﾀﾍﾞｰｽ変更点!#REF!</definedName>
    <definedName name="B_SELFCARINSPECTION">[3]ﾃﾞｰﾀﾍﾞｰｽ変更点!#REF!</definedName>
    <definedName name="B_SEND_LIST" localSheetId="6">[5]テーブル設計!#REF!</definedName>
    <definedName name="B_SEND_LIST" localSheetId="4">[5]テーブル設計!#REF!</definedName>
    <definedName name="B_SEND_LIST">[5]テーブル設計!#REF!</definedName>
    <definedName name="B_SEND_LOG" localSheetId="6">[5]テーブル設計!#REF!</definedName>
    <definedName name="B_SEND_LOG" localSheetId="4">[5]テーブル設計!#REF!</definedName>
    <definedName name="B_SEND_LOG">[5]テーブル設計!#REF!</definedName>
    <definedName name="B_SERVER_COMMUNICATION" localSheetId="6">[4]TableDesign!#REF!</definedName>
    <definedName name="B_SERVER_COMMUNICATION" localSheetId="4">[4]TableDesign!#REF!</definedName>
    <definedName name="B_SERVER_COMMUNICATION">[4]TableDesign!#REF!</definedName>
    <definedName name="B_SERVER_INFORMATION" localSheetId="6">[3]ﾃﾞｰﾀﾍﾞｰｽ変更点!#REF!</definedName>
    <definedName name="B_SERVER_INFORMATION" localSheetId="4">[3]ﾃﾞｰﾀﾍﾞｰｽ変更点!#REF!</definedName>
    <definedName name="B_SERVER_INFORMATION">[3]ﾃﾞｰﾀﾍﾞｰｽ変更点!#REF!</definedName>
    <definedName name="B_SERVICE_METER" localSheetId="6">[3]ﾃﾞｰﾀﾍﾞｰｽ変更点!#REF!</definedName>
    <definedName name="B_SERVICE_METER" localSheetId="4">[3]ﾃﾞｰﾀﾍﾞｰｽ変更点!#REF!</definedName>
    <definedName name="B_SERVICE_METER">[3]ﾃﾞｰﾀﾍﾞｰｽ変更点!#REF!</definedName>
    <definedName name="B_SERVICE_METER2" localSheetId="6">[5]テーブル設計!#REF!</definedName>
    <definedName name="B_SERVICE_METER2" localSheetId="4">[5]テーブル設計!#REF!</definedName>
    <definedName name="B_SERVICE_METER2">[5]テーブル設計!#REF!</definedName>
    <definedName name="B_SERVICEMAN" localSheetId="6">[5]テーブル設計!#REF!</definedName>
    <definedName name="B_SERVICEMAN" localSheetId="4">[5]テーブル設計!#REF!</definedName>
    <definedName name="B_SERVICEMAN">[5]テーブル設計!#REF!</definedName>
    <definedName name="B_SERVICEMAN_CHARGE" localSheetId="6">[5]テーブル設計!#REF!</definedName>
    <definedName name="B_SERVICEMAN_CHARGE" localSheetId="4">[5]テーブル設計!#REF!</definedName>
    <definedName name="B_SERVICEMAN_CHARGE">[5]テーブル設計!#REF!</definedName>
    <definedName name="B_SHIPMENT" localSheetId="6">[3]ﾃﾞｰﾀﾍﾞｰｽ変更点!#REF!</definedName>
    <definedName name="B_SHIPMENT" localSheetId="4">[3]ﾃﾞｰﾀﾍﾞｰｽ変更点!#REF!</definedName>
    <definedName name="B_SHIPMENT">[3]ﾃﾞｰﾀﾍﾞｰｽ変更点!#REF!</definedName>
    <definedName name="B_SHOW" localSheetId="6">[3]ﾃﾞｰﾀﾍﾞｰｽ変更点!#REF!</definedName>
    <definedName name="B_SHOW" localSheetId="4">[3]ﾃﾞｰﾀﾍﾞｰｽ変更点!#REF!</definedName>
    <definedName name="B_SHOW">[3]ﾃﾞｰﾀﾍﾞｰｽ変更点!#REF!</definedName>
    <definedName name="B_SHOW_GROUP" localSheetId="6">[3]ﾃﾞｰﾀﾍﾞｰｽ変更点!#REF!</definedName>
    <definedName name="B_SHOW_GROUP" localSheetId="4">[3]ﾃﾞｰﾀﾍﾞｰｽ変更点!#REF!</definedName>
    <definedName name="B_SHOW_GROUP">[3]ﾃﾞｰﾀﾍﾞｰｽ変更点!#REF!</definedName>
    <definedName name="B_SPECIAL_AREA" localSheetId="6">[3]ﾃﾞｰﾀﾍﾞｰｽ変更点!#REF!</definedName>
    <definedName name="B_SPECIAL_AREA" localSheetId="4">[3]ﾃﾞｰﾀﾍﾞｰｽ変更点!#REF!</definedName>
    <definedName name="B_SPECIAL_AREA">[3]ﾃﾞｰﾀﾍﾞｰｽ変更点!#REF!</definedName>
    <definedName name="B_SUB_GROUP" localSheetId="6">[4]TableDesign!#REF!</definedName>
    <definedName name="B_SUB_GROUP" localSheetId="4">[4]TableDesign!#REF!</definedName>
    <definedName name="B_SUB_GROUP">[4]TableDesign!#REF!</definedName>
    <definedName name="B_SUB_GROUP_CAR" localSheetId="6">[4]TableDesign!#REF!</definedName>
    <definedName name="B_SUB_GROUP_CAR" localSheetId="4">[4]TableDesign!#REF!</definedName>
    <definedName name="B_SUB_GROUP_CAR">[4]TableDesign!#REF!</definedName>
    <definedName name="B_SYSTEM_COMMTERM_INFO" localSheetId="6">[3]ﾃﾞｰﾀﾍﾞｰｽ変更点!#REF!</definedName>
    <definedName name="B_SYSTEM_COMMTERM_INFO" localSheetId="4">[3]ﾃﾞｰﾀﾍﾞｰｽ変更点!#REF!</definedName>
    <definedName name="B_SYSTEM_COMMTERM_INFO">[3]ﾃﾞｰﾀﾍﾞｰｽ変更点!#REF!</definedName>
    <definedName name="B_SYSTEM_LOG" localSheetId="6">[3]ﾃﾞｰﾀﾍﾞｰｽ変更点!#REF!</definedName>
    <definedName name="B_SYSTEM_LOG" localSheetId="4">[3]ﾃﾞｰﾀﾍﾞｰｽ変更点!#REF!</definedName>
    <definedName name="B_SYSTEM_LOG">[3]ﾃﾞｰﾀﾍﾞｰｽ変更点!#REF!</definedName>
    <definedName name="B_SYSTEM_NOTICE" localSheetId="6">[3]ﾃﾞｰﾀﾍﾞｰｽ変更点!#REF!</definedName>
    <definedName name="B_SYSTEM_NOTICE" localSheetId="4">[3]ﾃﾞｰﾀﾍﾞｰｽ変更点!#REF!</definedName>
    <definedName name="B_SYSTEM_NOTICE">[3]ﾃﾞｰﾀﾍﾞｰｽ変更点!#REF!</definedName>
    <definedName name="B_TARGET" localSheetId="6">[3]ﾃﾞｰﾀﾍﾞｰｽ変更点!#REF!</definedName>
    <definedName name="B_TARGET" localSheetId="4">[3]ﾃﾞｰﾀﾍﾞｰｽ変更点!#REF!</definedName>
    <definedName name="B_TARGET">[3]ﾃﾞｰﾀﾍﾞｰｽ変更点!#REF!</definedName>
    <definedName name="B_TARGET_CAR" localSheetId="6">[3]ﾃﾞｰﾀﾍﾞｰｽ変更点!#REF!</definedName>
    <definedName name="B_TARGET_CAR" localSheetId="4">[3]ﾃﾞｰﾀﾍﾞｰｽ変更点!#REF!</definedName>
    <definedName name="B_TARGET_CAR">[3]ﾃﾞｰﾀﾍﾞｰｽ変更点!#REF!</definedName>
    <definedName name="B_TERMINAL_AREA" localSheetId="6">[3]ﾃﾞｰﾀﾍﾞｰｽ変更点!#REF!</definedName>
    <definedName name="B_TERMINAL_AREA" localSheetId="4">[3]ﾃﾞｰﾀﾍﾞｰｽ変更点!#REF!</definedName>
    <definedName name="B_TERMINAL_AREA">[3]ﾃﾞｰﾀﾍﾞｰｽ変更点!#REF!</definedName>
    <definedName name="B_TERMINAL_CAUTION" localSheetId="6">[3]ﾃﾞｰﾀﾍﾞｰｽ変更点!#REF!</definedName>
    <definedName name="B_TERMINAL_CAUTION" localSheetId="4">[3]ﾃﾞｰﾀﾍﾞｰｽ変更点!#REF!</definedName>
    <definedName name="B_TERMINAL_CAUTION">[3]ﾃﾞｰﾀﾍﾞｰｽ変更点!#REF!</definedName>
    <definedName name="B_TERMINAL_ERROR" localSheetId="6">[3]ﾃﾞｰﾀﾍﾞｰｽ変更点!#REF!</definedName>
    <definedName name="B_TERMINAL_ERROR" localSheetId="4">[3]ﾃﾞｰﾀﾍﾞｰｽ変更点!#REF!</definedName>
    <definedName name="B_TERMINAL_ERROR">[3]ﾃﾞｰﾀﾍﾞｰｽ変更点!#REF!</definedName>
    <definedName name="B_TERMINAL_KIND" localSheetId="6">[3]ﾃﾞｰﾀﾍﾞｰｽ変更点!#REF!</definedName>
    <definedName name="B_TERMINAL_KIND" localSheetId="4">[3]ﾃﾞｰﾀﾍﾞｰｽ変更点!#REF!</definedName>
    <definedName name="B_TERMINAL_KIND">[3]ﾃﾞｰﾀﾍﾞｰｽ変更点!#REF!</definedName>
    <definedName name="B_TERMINAL_MASTER" localSheetId="6">[3]ﾃﾞｰﾀﾍﾞｰｽ変更点!#REF!</definedName>
    <definedName name="B_TERMINAL_MASTER" localSheetId="4">[3]ﾃﾞｰﾀﾍﾞｰｽ変更点!#REF!</definedName>
    <definedName name="B_TERMINAL_MASTER">[3]ﾃﾞｰﾀﾍﾞｰｽ変更点!#REF!</definedName>
    <definedName name="B_TERMINAL_PART_MASTER" localSheetId="6">[3]ﾃﾞｰﾀﾍﾞｰｽ変更点!#REF!</definedName>
    <definedName name="B_TERMINAL_PART_MASTER" localSheetId="4">[3]ﾃﾞｰﾀﾍﾞｰｽ変更点!#REF!</definedName>
    <definedName name="B_TERMINAL_PART_MASTER">[3]ﾃﾞｰﾀﾍﾞｰｽ変更点!#REF!</definedName>
    <definedName name="B_TYPE_MASTER" localSheetId="6">[3]ﾃﾞｰﾀﾍﾞｰｽ変更点!#REF!</definedName>
    <definedName name="B_TYPE_MASTER" localSheetId="4">[3]ﾃﾞｰﾀﾍﾞｰｽ変更点!#REF!</definedName>
    <definedName name="B_TYPE_MASTER">[3]ﾃﾞｰﾀﾍﾞｰｽ変更点!#REF!</definedName>
    <definedName name="B_UFO" localSheetId="6">[3]ﾃﾞｰﾀﾍﾞｰｽ変更点!#REF!</definedName>
    <definedName name="B_UFO" localSheetId="4">[3]ﾃﾞｰﾀﾍﾞｰｽ変更点!#REF!</definedName>
    <definedName name="B_UFO">[3]ﾃﾞｰﾀﾍﾞｰｽ変更点!#REF!</definedName>
    <definedName name="B_UNRELIABLE_RECEIVE" localSheetId="6">[3]ﾃﾞｰﾀﾍﾞｰｽ変更点!#REF!</definedName>
    <definedName name="B_UNRELIABLE_RECEIVE" localSheetId="4">[3]ﾃﾞｰﾀﾍﾞｰｽ変更点!#REF!</definedName>
    <definedName name="B_UNRELIABLE_RECEIVE">[3]ﾃﾞｰﾀﾍﾞｰｽ変更点!#REF!</definedName>
    <definedName name="B_USER_MASTER" localSheetId="6">[3]ﾃﾞｰﾀﾍﾞｰｽ変更点!#REF!</definedName>
    <definedName name="B_USER_MASTER" localSheetId="4">[3]ﾃﾞｰﾀﾍﾞｰｽ変更点!#REF!</definedName>
    <definedName name="B_USER_MASTER">[3]ﾃﾞｰﾀﾍﾞｰｽ変更点!#REF!</definedName>
    <definedName name="B_USER_TEMP" localSheetId="6">[3]ﾃﾞｰﾀﾍﾞｰｽ変更点!#REF!</definedName>
    <definedName name="B_USER_TEMP" localSheetId="4">[3]ﾃﾞｰﾀﾍﾞｰｽ変更点!#REF!</definedName>
    <definedName name="B_USER_TEMP">[3]ﾃﾞｰﾀﾍﾞｰｽ変更点!#REF!</definedName>
    <definedName name="B_WATER_TEMP_GAUGE" localSheetId="6">[4]TableDesign!#REF!</definedName>
    <definedName name="B_WATER_TEMP_GAUGE" localSheetId="4">[4]TableDesign!#REF!</definedName>
    <definedName name="B_WATER_TEMP_GAUGE">[4]TableDesign!#REF!</definedName>
    <definedName name="BB" localSheetId="6">'[8]DATA-COMMUNICATION-FORMAT'!#REF!</definedName>
    <definedName name="BB" localSheetId="4">'[8]DATA-COMMUNICATION-FORMAT'!#REF!</definedName>
    <definedName name="BB">'[8]DATA-COMMUNICATION-FORMAT'!#REF!</definedName>
    <definedName name="bbb" localSheetId="6" hidden="1">#REF!</definedName>
    <definedName name="bbb" localSheetId="2" hidden="1">#REF!</definedName>
    <definedName name="bbb" localSheetId="4"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6">[5]テーブル設計!#REF!</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6">[3]ﾃﾞｰﾀﾍﾞｰｽ変更点!#REF!</definedName>
    <definedName name="C_ACT_DATA" localSheetId="4">[3]ﾃﾞｰﾀﾍﾞｰｽ変更点!#REF!</definedName>
    <definedName name="C_ACT_DATA">[3]ﾃﾞｰﾀﾍﾞｰｽ変更点!#REF!</definedName>
    <definedName name="C_ACTUAL_OPERATION" localSheetId="6">[4]TableDesign!#REF!</definedName>
    <definedName name="C_ACTUAL_OPERATION" localSheetId="4">[4]TableDesign!#REF!</definedName>
    <definedName name="C_ACTUAL_OPERATION">[4]TableDesign!#REF!</definedName>
    <definedName name="C_AREA" localSheetId="6">[3]ﾃﾞｰﾀﾍﾞｰｽ変更点!#REF!</definedName>
    <definedName name="C_AREA" localSheetId="4">[3]ﾃﾞｰﾀﾍﾞｰｽ変更点!#REF!</definedName>
    <definedName name="C_AREA">[3]ﾃﾞｰﾀﾍﾞｰｽ変更点!#REF!</definedName>
    <definedName name="C_AREA_DEFINE" localSheetId="6">[3]ﾃﾞｰﾀﾍﾞｰｽ変更点!#REF!</definedName>
    <definedName name="C_AREA_DEFINE" localSheetId="4">[3]ﾃﾞｰﾀﾍﾞｰｽ変更点!#REF!</definedName>
    <definedName name="C_AREA_DEFINE">[3]ﾃﾞｰﾀﾍﾞｰｽ変更点!#REF!</definedName>
    <definedName name="C_AREA_INIT" localSheetId="6">[3]ﾃﾞｰﾀﾍﾞｰｽ変更点!#REF!</definedName>
    <definedName name="C_AREA_INIT" localSheetId="4">[3]ﾃﾞｰﾀﾍﾞｰｽ変更点!#REF!</definedName>
    <definedName name="C_AREA_INIT">[3]ﾃﾞｰﾀﾍﾞｰｽ変更点!#REF!</definedName>
    <definedName name="C_AREA_MASTER" localSheetId="6">[3]ﾃﾞｰﾀﾍﾞｰｽ変更点!#REF!</definedName>
    <definedName name="C_AREA_MASTER" localSheetId="4">[3]ﾃﾞｰﾀﾍﾞｰｽ変更点!#REF!</definedName>
    <definedName name="C_AREA_MASTER">[3]ﾃﾞｰﾀﾍﾞｰｽ変更点!#REF!</definedName>
    <definedName name="C_ASK" localSheetId="6">[3]ﾃﾞｰﾀﾍﾞｰｽ変更点!#REF!</definedName>
    <definedName name="C_ASK" localSheetId="4">[3]ﾃﾞｰﾀﾍﾞｰｽ変更点!#REF!</definedName>
    <definedName name="C_ASK">[3]ﾃﾞｰﾀﾍﾞｰｽ変更点!#REF!</definedName>
    <definedName name="C_ASK_LOG" localSheetId="6">[5]テーブル設計!#REF!</definedName>
    <definedName name="C_ASK_LOG" localSheetId="4">[5]テーブル設計!#REF!</definedName>
    <definedName name="C_ASK_LOG">[5]テーブル設計!#REF!</definedName>
    <definedName name="C_ASK_SYSTEM" localSheetId="6">[3]ﾃﾞｰﾀﾍﾞｰｽ変更点!#REF!</definedName>
    <definedName name="C_ASK_SYSTEM" localSheetId="4">[3]ﾃﾞｰﾀﾍﾞｰｽ変更点!#REF!</definedName>
    <definedName name="C_ASK_SYSTEM">[3]ﾃﾞｰﾀﾍﾞｰｽ変更点!#REF!</definedName>
    <definedName name="C_ATC_ERROR" localSheetId="6">[5]テーブル設計!#REF!</definedName>
    <definedName name="C_ATC_ERROR" localSheetId="4">[5]テーブル設計!#REF!</definedName>
    <definedName name="C_ATC_ERROR">[5]テーブル設計!#REF!</definedName>
    <definedName name="C_AUTHORITY_GROUP" localSheetId="6">[3]ﾃﾞｰﾀﾍﾞｰｽ変更点!#REF!</definedName>
    <definedName name="C_AUTHORITY_GROUP" localSheetId="4">[3]ﾃﾞｰﾀﾍﾞｰｽ変更点!#REF!</definedName>
    <definedName name="C_AUTHORITY_GROUP">[3]ﾃﾞｰﾀﾍﾞｰｽ変更点!#REF!</definedName>
    <definedName name="C_AUTHORITY_GROUP_DATA" localSheetId="6">[3]ﾃﾞｰﾀﾍﾞｰｽ変更点!#REF!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6">[5]テーブル設計!#REF!</definedName>
    <definedName name="C_AUTHORITY_MASTER" localSheetId="4">[5]テーブル設計!#REF!</definedName>
    <definedName name="C_AUTHORITY_MASTER">[5]テーブル設計!#REF!</definedName>
    <definedName name="C_BONDED_STORE" localSheetId="6">[5]テーブル設計!#REF!</definedName>
    <definedName name="C_BONDED_STORE" localSheetId="4">[5]テーブル設計!#REF!</definedName>
    <definedName name="C_BONDED_STORE">[5]テーブル設計!#REF!</definedName>
    <definedName name="C_CAR_DATA" localSheetId="6">[3]ﾃﾞｰﾀﾍﾞｰｽ変更点!#REF!</definedName>
    <definedName name="C_CAR_DATA" localSheetId="4">[3]ﾃﾞｰﾀﾍﾞｰｽ変更点!#REF!</definedName>
    <definedName name="C_CAR_DATA">[3]ﾃﾞｰﾀﾍﾞｰｽ変更点!#REF!</definedName>
    <definedName name="C_CAR_MASTER" localSheetId="6">[3]ﾃﾞｰﾀﾍﾞｰｽ変更点!#REF!</definedName>
    <definedName name="C_CAR_MASTER" localSheetId="4">[3]ﾃﾞｰﾀﾍﾞｰｽ変更点!#REF!</definedName>
    <definedName name="C_CAR_MASTER">[3]ﾃﾞｰﾀﾍﾞｰｽ変更点!#REF!</definedName>
    <definedName name="C_CAR_MONTHLY_DATA" localSheetId="6">[3]ﾃﾞｰﾀﾍﾞｰｽ変更点!#REF!</definedName>
    <definedName name="C_CAR_MONTHLY_DATA" localSheetId="4">[3]ﾃﾞｰﾀﾍﾞｰｽ変更点!#REF!</definedName>
    <definedName name="C_CAR_MONTHLY_DATA">[3]ﾃﾞｰﾀﾍﾞｰｽ変更点!#REF!</definedName>
    <definedName name="C_CAR_OWNER_HISTORY" localSheetId="6">[3]ﾃﾞｰﾀﾍﾞｰｽ変更点!#REF!</definedName>
    <definedName name="C_CAR_OWNER_HISTORY" localSheetId="4">[3]ﾃﾞｰﾀﾍﾞｰｽ変更点!#REF!</definedName>
    <definedName name="C_CAR_OWNER_HISTORY">[3]ﾃﾞｰﾀﾍﾞｰｽ変更点!#REF!</definedName>
    <definedName name="C_CAUTION" localSheetId="6">[4]TableDesign!#REF!</definedName>
    <definedName name="C_CAUTION" localSheetId="4">[4]TableDesign!#REF!</definedName>
    <definedName name="C_CAUTION">[4]TableDesign!#REF!</definedName>
    <definedName name="C_CAUTION_DATA" localSheetId="6">[3]ﾃﾞｰﾀﾍﾞｰｽ変更点!#REF!</definedName>
    <definedName name="C_CAUTION_DATA" localSheetId="4">[3]ﾃﾞｰﾀﾍﾞｰｽ変更点!#REF!</definedName>
    <definedName name="C_CAUTION_DATA">[3]ﾃﾞｰﾀﾍﾞｰｽ変更点!#REF!</definedName>
    <definedName name="C_CAUTION_ENABLED" localSheetId="6">[3]ﾃﾞｰﾀﾍﾞｰｽ変更点!#REF!</definedName>
    <definedName name="C_CAUTION_ENABLED" localSheetId="4">[3]ﾃﾞｰﾀﾍﾞｰｽ変更点!#REF!</definedName>
    <definedName name="C_CAUTION_ENABLED">[3]ﾃﾞｰﾀﾍﾞｰｽ変更点!#REF!</definedName>
    <definedName name="C_CAUTION_ICON" localSheetId="6">[3]ﾃﾞｰﾀﾍﾞｰｽ変更点!#REF!</definedName>
    <definedName name="C_CAUTION_ICON" localSheetId="4">[3]ﾃﾞｰﾀﾍﾞｰｽ変更点!#REF!</definedName>
    <definedName name="C_CAUTION_ICON">[3]ﾃﾞｰﾀﾍﾞｰｽ変更点!#REF!</definedName>
    <definedName name="C_CAUTION_INIT" localSheetId="6">[3]ﾃﾞｰﾀﾍﾞｰｽ変更点!#REF!</definedName>
    <definedName name="C_CAUTION_INIT" localSheetId="4">[3]ﾃﾞｰﾀﾍﾞｰｽ変更点!#REF!</definedName>
    <definedName name="C_CAUTION_INIT">[3]ﾃﾞｰﾀﾍﾞｰｽ変更点!#REF!</definedName>
    <definedName name="C_CAUTION_MASTER" localSheetId="6">[3]ﾃﾞｰﾀﾍﾞｰｽ変更点!#REF!</definedName>
    <definedName name="C_CAUTION_MASTER" localSheetId="4">[3]ﾃﾞｰﾀﾍﾞｰｽ変更点!#REF!</definedName>
    <definedName name="C_CAUTION_MASTER">[3]ﾃﾞｰﾀﾍﾞｰｽ変更点!#REF!</definedName>
    <definedName name="C_CLASS1_MASTER" localSheetId="6">[3]ﾃﾞｰﾀﾍﾞｰｽ変更点!#REF!</definedName>
    <definedName name="C_CLASS1_MASTER" localSheetId="4">[3]ﾃﾞｰﾀﾍﾞｰｽ変更点!#REF!</definedName>
    <definedName name="C_CLASS1_MASTER">[3]ﾃﾞｰﾀﾍﾞｰｽ変更点!#REF!</definedName>
    <definedName name="C_CLASS2_MASTER" localSheetId="6">[3]ﾃﾞｰﾀﾍﾞｰｽ変更点!#REF!</definedName>
    <definedName name="C_CLASS2_MASTER" localSheetId="4">[3]ﾃﾞｰﾀﾍﾞｰｽ変更点!#REF!</definedName>
    <definedName name="C_CLASS2_MASTER">[3]ﾃﾞｰﾀﾍﾞｰｽ変更点!#REF!</definedName>
    <definedName name="C_COMM_DATA" localSheetId="6">[3]ﾃﾞｰﾀﾍﾞｰｽ変更点!#REF!</definedName>
    <definedName name="C_COMM_DATA" localSheetId="4">[3]ﾃﾞｰﾀﾍﾞｰｽ変更点!#REF!</definedName>
    <definedName name="C_COMM_DATA">[3]ﾃﾞｰﾀﾍﾞｰｽ変更点!#REF!</definedName>
    <definedName name="C_COMM_STATUS_MASTER" localSheetId="6">[3]ﾃﾞｰﾀﾍﾞｰｽ変更点!#REF!</definedName>
    <definedName name="C_COMM_STATUS_MASTER" localSheetId="4">[3]ﾃﾞｰﾀﾍﾞｰｽ変更点!#REF!</definedName>
    <definedName name="C_COMM_STATUS_MASTER">[3]ﾃﾞｰﾀﾍﾞｰｽ変更点!#REF!</definedName>
    <definedName name="C_CONFIG_DEFINE" localSheetId="6">[3]ﾃﾞｰﾀﾍﾞｰｽ変更点!#REF!</definedName>
    <definedName name="C_CONFIG_DEFINE" localSheetId="4">[3]ﾃﾞｰﾀﾍﾞｰｽ変更点!#REF!</definedName>
    <definedName name="C_CONFIG_DEFINE">[3]ﾃﾞｰﾀﾍﾞｰｽ変更点!#REF!</definedName>
    <definedName name="C_CONFIG_FLAG" localSheetId="6">[5]テーブル設計!#REF!</definedName>
    <definedName name="C_CONFIG_FLAG" localSheetId="4">[5]テーブル設計!#REF!</definedName>
    <definedName name="C_CONFIG_FLAG">[5]テーブル設計!#REF!</definedName>
    <definedName name="C_CONFIG_INIT" localSheetId="6">[3]ﾃﾞｰﾀﾍﾞｰｽ変更点!#REF!</definedName>
    <definedName name="C_CONFIG_INIT" localSheetId="4">[3]ﾃﾞｰﾀﾍﾞｰｽ変更点!#REF!</definedName>
    <definedName name="C_CONFIG_INIT">[3]ﾃﾞｰﾀﾍﾞｰｽ変更点!#REF!</definedName>
    <definedName name="C_CONFIG_PATTERN" localSheetId="6">[3]ﾃﾞｰﾀﾍﾞｰｽ変更点!#REF!</definedName>
    <definedName name="C_CONFIG_PATTERN" localSheetId="4">[3]ﾃﾞｰﾀﾍﾞｰｽ変更点!#REF!</definedName>
    <definedName name="C_CONFIG_PATTERN">[3]ﾃﾞｰﾀﾍﾞｰｽ変更点!#REF!</definedName>
    <definedName name="C_CONFIG_PATTERN_DATA" localSheetId="6">[3]ﾃﾞｰﾀﾍﾞｰｽ変更点!#REF!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6">[5]テーブル設計!#REF!</definedName>
    <definedName name="C_CONFIG_USER_FLAG" localSheetId="4">[5]テーブル設計!#REF!</definedName>
    <definedName name="C_CONFIG_USER_FLAG">[5]テーブル設計!#REF!</definedName>
    <definedName name="C_CONTRACT" localSheetId="6">[5]テーブル設計!#REF!</definedName>
    <definedName name="C_CONTRACT" localSheetId="4">[5]テーブル設計!#REF!</definedName>
    <definedName name="C_CONTRACT">[5]テーブル設計!#REF!</definedName>
    <definedName name="C_CUSTOMER" localSheetId="6">[3]ﾃﾞｰﾀﾍﾞｰｽ変更点!#REF!</definedName>
    <definedName name="C_CUSTOMER" localSheetId="4">[3]ﾃﾞｰﾀﾍﾞｰｽ変更点!#REF!</definedName>
    <definedName name="C_CUSTOMER">[3]ﾃﾞｰﾀﾍﾞｰｽ変更点!#REF!</definedName>
    <definedName name="C_CUSTOMER_CAR" localSheetId="6">[3]ﾃﾞｰﾀﾍﾞｰｽ変更点!#REF!</definedName>
    <definedName name="C_CUSTOMER_CAR" localSheetId="4">[3]ﾃﾞｰﾀﾍﾞｰｽ変更点!#REF!</definedName>
    <definedName name="C_CUSTOMER_CAR">[3]ﾃﾞｰﾀﾍﾞｰｽ変更点!#REF!</definedName>
    <definedName name="C_CUSTOMER_MASTER" localSheetId="6">[4]TableDesign!#REF!</definedName>
    <definedName name="C_CUSTOMER_MASTER" localSheetId="4">[4]TableDesign!#REF!</definedName>
    <definedName name="C_CUSTOMER_MASTER">[4]TableDesign!#REF!</definedName>
    <definedName name="C_DIVISION_MASTER" localSheetId="6">[3]ﾃﾞｰﾀﾍﾞｰｽ変更点!#REF!</definedName>
    <definedName name="C_DIVISION_MASTER" localSheetId="4">[3]ﾃﾞｰﾀﾍﾞｰｽ変更点!#REF!</definedName>
    <definedName name="C_DIVISION_MASTER">[3]ﾃﾞｰﾀﾍﾞｰｽ変更点!#REF!</definedName>
    <definedName name="C_DOPA" localSheetId="6">[3]ﾃﾞｰﾀﾍﾞｰｽ変更点!#REF!</definedName>
    <definedName name="C_DOPA" localSheetId="4">[3]ﾃﾞｰﾀﾍﾞｰｽ変更点!#REF!</definedName>
    <definedName name="C_DOPA">[3]ﾃﾞｰﾀﾍﾞｰｽ変更点!#REF!</definedName>
    <definedName name="C_DOPA_OWNER_HISTORY" localSheetId="6">[3]ﾃﾞｰﾀﾍﾞｰｽ変更点!#REF!</definedName>
    <definedName name="C_DOPA_OWNER_HISTORY" localSheetId="4">[3]ﾃﾞｰﾀﾍﾞｰｽ変更点!#REF!</definedName>
    <definedName name="C_DOPA_OWNER_HISTORY">[3]ﾃﾞｰﾀﾍﾞｰｽ変更点!#REF!</definedName>
    <definedName name="C_DOPA_SERVER" localSheetId="6">[3]ﾃﾞｰﾀﾍﾞｰｽ変更点!#REF!</definedName>
    <definedName name="C_DOPA_SERVER" localSheetId="4">[3]ﾃﾞｰﾀﾍﾞｰｽ変更点!#REF!</definedName>
    <definedName name="C_DOPA_SERVER">[3]ﾃﾞｰﾀﾍﾞｰｽ変更点!#REF!</definedName>
    <definedName name="C_EQUIPMENT_HISTORY" localSheetId="6">[3]ﾃﾞｰﾀﾍﾞｰｽ変更点!#REF!</definedName>
    <definedName name="C_EQUIPMENT_HISTORY" localSheetId="4">[3]ﾃﾞｰﾀﾍﾞｰｽ変更点!#REF!</definedName>
    <definedName name="C_EQUIPMENT_HISTORY">[3]ﾃﾞｰﾀﾍﾞｰｽ変更点!#REF!</definedName>
    <definedName name="C_ERROR" localSheetId="6">[3]ﾃﾞｰﾀﾍﾞｰｽ変更点!#REF!</definedName>
    <definedName name="C_ERROR" localSheetId="4">[3]ﾃﾞｰﾀﾍﾞｰｽ変更点!#REF!</definedName>
    <definedName name="C_ERROR">[3]ﾃﾞｰﾀﾍﾞｰｽ変更点!#REF!</definedName>
    <definedName name="C_ERROR_ENABLED" localSheetId="6">[3]ﾃﾞｰﾀﾍﾞｰｽ変更点!#REF!</definedName>
    <definedName name="C_ERROR_ENABLED" localSheetId="4">[3]ﾃﾞｰﾀﾍﾞｰｽ変更点!#REF!</definedName>
    <definedName name="C_ERROR_ENABLED">[3]ﾃﾞｰﾀﾍﾞｰｽ変更点!#REF!</definedName>
    <definedName name="C_ERROR_MASTER" localSheetId="6">[3]ﾃﾞｰﾀﾍﾞｰｽ変更点!#REF!</definedName>
    <definedName name="C_ERROR_MASTER" localSheetId="4">[3]ﾃﾞｰﾀﾍﾞｰｽ変更点!#REF!</definedName>
    <definedName name="C_ERROR_MASTER">[3]ﾃﾞｰﾀﾍﾞｰｽ変更点!#REF!</definedName>
    <definedName name="C_EVENT_CATEGORY" localSheetId="6">[4]TableDesign!#REF!</definedName>
    <definedName name="C_EVENT_CATEGORY" localSheetId="4">[4]TableDesign!#REF!</definedName>
    <definedName name="C_EVENT_CATEGORY">[4]TableDesign!#REF!</definedName>
    <definedName name="C_EVENT_DIVISION" localSheetId="6">[3]ﾃﾞｰﾀﾍﾞｰｽ変更点!#REF!</definedName>
    <definedName name="C_EVENT_DIVISION" localSheetId="4">[3]ﾃﾞｰﾀﾍﾞｰｽ変更点!#REF!</definedName>
    <definedName name="C_EVENT_DIVISION">[3]ﾃﾞｰﾀﾍﾞｰｽ変更点!#REF!</definedName>
    <definedName name="C_EVENT_MASTER" localSheetId="6">[3]ﾃﾞｰﾀﾍﾞｰｽ変更点!#REF!</definedName>
    <definedName name="C_EVENT_MASTER" localSheetId="4">[3]ﾃﾞｰﾀﾍﾞｰｽ変更点!#REF!</definedName>
    <definedName name="C_EVENT_MASTER">[3]ﾃﾞｰﾀﾍﾞｰｽ変更点!#REF!</definedName>
    <definedName name="C_EVENT_NOTICE" localSheetId="6">[3]ﾃﾞｰﾀﾍﾞｰｽ変更点!#REF!</definedName>
    <definedName name="C_EVENT_NOTICE" localSheetId="4">[3]ﾃﾞｰﾀﾍﾞｰｽ変更点!#REF!</definedName>
    <definedName name="C_EVENT_NOTICE">[3]ﾃﾞｰﾀﾍﾞｰｽ変更点!#REF!</definedName>
    <definedName name="C_FUEL_GAUGE" localSheetId="6">[4]TableDesign!#REF!</definedName>
    <definedName name="C_FUEL_GAUGE" localSheetId="4">[4]TableDesign!#REF!</definedName>
    <definedName name="C_FUEL_GAUGE">[4]TableDesign!#REF!</definedName>
    <definedName name="C_GAUGE_FUEL_WTTEMP" localSheetId="6">[3]ﾃﾞｰﾀﾍﾞｰｽ変更点!#REF!</definedName>
    <definedName name="C_GAUGE_FUEL_WTTEMP" localSheetId="4">[3]ﾃﾞｰﾀﾍﾞｰｽ変更点!#REF!</definedName>
    <definedName name="C_GAUGE_FUEL_WTTEMP">[3]ﾃﾞｰﾀﾍﾞｰｽ変更点!#REF!</definedName>
    <definedName name="C_GIS_DEFINE" localSheetId="6">[4]TableDesign!#REF!</definedName>
    <definedName name="C_GIS_DEFINE" localSheetId="4">[4]TableDesign!#REF!</definedName>
    <definedName name="C_GIS_DEFINE">[4]TableDesign!#REF!</definedName>
    <definedName name="C_GPS" localSheetId="6">[3]ﾃﾞｰﾀﾍﾞｰｽ変更点!#REF!</definedName>
    <definedName name="C_GPS" localSheetId="4">[3]ﾃﾞｰﾀﾍﾞｰｽ変更点!#REF!</definedName>
    <definedName name="C_GPS">[3]ﾃﾞｰﾀﾍﾞｰｽ変更点!#REF!</definedName>
    <definedName name="C_GRANT_AUTHORITY" localSheetId="6">[3]ﾃﾞｰﾀﾍﾞｰｽ変更点!#REF!</definedName>
    <definedName name="C_GRANT_AUTHORITY" localSheetId="4">[3]ﾃﾞｰﾀﾍﾞｰｽ変更点!#REF!</definedName>
    <definedName name="C_GRANT_AUTHORITY">[3]ﾃﾞｰﾀﾍﾞｰｽ変更点!#REF!</definedName>
    <definedName name="C_GROUP_MASTER" localSheetId="6">[3]ﾃﾞｰﾀﾍﾞｰｽ変更点!#REF!</definedName>
    <definedName name="C_GROUP_MASTER" localSheetId="4">[3]ﾃﾞｰﾀﾍﾞｰｽ変更点!#REF!</definedName>
    <definedName name="C_GROUP_MASTER">[3]ﾃﾞｰﾀﾍﾞｰｽ変更点!#REF!</definedName>
    <definedName name="C_IGNORE_CAUTION" localSheetId="6">[5]テーブル設計!#REF!</definedName>
    <definedName name="C_IGNORE_CAUTION" localSheetId="4">[5]テーブル設計!#REF!</definedName>
    <definedName name="C_IGNORE_CAUTION">[5]テーブル設計!#REF!</definedName>
    <definedName name="C_IGNORE_ERROR" localSheetId="6">[5]テーブル設計!#REF!</definedName>
    <definedName name="C_IGNORE_ERROR" localSheetId="4">[5]テーブル設計!#REF!</definedName>
    <definedName name="C_IGNORE_ERROR">[5]テーブル設計!#REF!</definedName>
    <definedName name="C_INFORM_MASTER" localSheetId="6">[3]ﾃﾞｰﾀﾍﾞｰｽ変更点!#REF!</definedName>
    <definedName name="C_INFORM_MASTER" localSheetId="4">[3]ﾃﾞｰﾀﾍﾞｰｽ変更点!#REF!</definedName>
    <definedName name="C_INFORM_MASTER">[3]ﾃﾞｰﾀﾍﾞｰｽ変更点!#REF!</definedName>
    <definedName name="C_INFORMATION" localSheetId="6">[3]ﾃﾞｰﾀﾍﾞｰｽ変更点!#REF!</definedName>
    <definedName name="C_INFORMATION" localSheetId="4">[3]ﾃﾞｰﾀﾍﾞｰｽ変更点!#REF!</definedName>
    <definedName name="C_INFORMATION">[3]ﾃﾞｰﾀﾍﾞｰｽ変更点!#REF!</definedName>
    <definedName name="C_INFORMATION_READED" localSheetId="6">[3]ﾃﾞｰﾀﾍﾞｰｽ変更点!#REF!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6">[5]テーブル設計!#REF!</definedName>
    <definedName name="C_INVALID_PART_TERMINAL" localSheetId="4">[5]テーブル設計!#REF!</definedName>
    <definedName name="C_INVALID_PART_TERMINAL">[5]テーブル設計!#REF!</definedName>
    <definedName name="C_KIND_MASTER" localSheetId="6">[3]ﾃﾞｰﾀﾍﾞｰｽ変更点!#REF!</definedName>
    <definedName name="C_KIND_MASTER" localSheetId="4">[3]ﾃﾞｰﾀﾍﾞｰｽ変更点!#REF!</definedName>
    <definedName name="C_KIND_MASTER">[3]ﾃﾞｰﾀﾍﾞｰｽ変更点!#REF!</definedName>
    <definedName name="C_KRO_APPLICATION" localSheetId="6">[3]ﾃﾞｰﾀﾍﾞｰｽ変更点!#REF!</definedName>
    <definedName name="C_KRO_APPLICATION" localSheetId="4">[3]ﾃﾞｰﾀﾍﾞｰｽ変更点!#REF!</definedName>
    <definedName name="C_KRO_APPLICATION">[3]ﾃﾞｰﾀﾍﾞｰｽ変更点!#REF!</definedName>
    <definedName name="C_KRO_APPLICATION_DATA" localSheetId="6">[3]ﾃﾞｰﾀﾍﾞｰｽ変更点!#REF!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6">[3]ﾃﾞｰﾀﾍﾞｰｽ変更点!#REF!</definedName>
    <definedName name="C_KRO_COMPLETION" localSheetId="4">[3]ﾃﾞｰﾀﾍﾞｰｽ変更点!#REF!</definedName>
    <definedName name="C_KRO_COMPLETION">[3]ﾃﾞｰﾀﾍﾞｰｽ変更点!#REF!</definedName>
    <definedName name="C_KRO_COMPLETION_DATA" localSheetId="6">[3]ﾃﾞｰﾀﾍﾞｰｽ変更点!#REF!</definedName>
    <definedName name="C_KRO_COMPLETION_DATA" localSheetId="4">[3]ﾃﾞｰﾀﾍﾞｰｽ変更点!#REF!</definedName>
    <definedName name="C_KRO_COMPLETION_DATA">[3]ﾃﾞｰﾀﾍﾞｰｽ変更点!#REF!</definedName>
    <definedName name="C_KRO_EMERGENCY" localSheetId="6">[5]テーブル設計!#REF!</definedName>
    <definedName name="C_KRO_EMERGENCY" localSheetId="4">[5]テーブル設計!#REF!</definedName>
    <definedName name="C_KRO_EMERGENCY">[5]テーブル設計!#REF!</definedName>
    <definedName name="C_KRO_REPORT" localSheetId="6">[3]ﾃﾞｰﾀﾍﾞｰｽ変更点!#REF!</definedName>
    <definedName name="C_KRO_REPORT" localSheetId="4">[3]ﾃﾞｰﾀﾍﾞｰｽ変更点!#REF!</definedName>
    <definedName name="C_KRO_REPORT">[3]ﾃﾞｰﾀﾍﾞｰｽ変更点!#REF!</definedName>
    <definedName name="C_LANDMARK" localSheetId="6">[3]ﾃﾞｰﾀﾍﾞｰｽ変更点!#REF!</definedName>
    <definedName name="C_LANDMARK" localSheetId="4">[3]ﾃﾞｰﾀﾍﾞｰｽ変更点!#REF!</definedName>
    <definedName name="C_LANDMARK">[3]ﾃﾞｰﾀﾍﾞｰｽ変更点!#REF!</definedName>
    <definedName name="C_LANDMARK_CLASS" localSheetId="6">[3]ﾃﾞｰﾀﾍﾞｰｽ変更点!#REF!</definedName>
    <definedName name="C_LANDMARK_CLASS" localSheetId="4">[3]ﾃﾞｰﾀﾍﾞｰｽ変更点!#REF!</definedName>
    <definedName name="C_LANDMARK_CLASS">[3]ﾃﾞｰﾀﾍﾞｰｽ変更点!#REF!</definedName>
    <definedName name="C_LOGON_HISTORY" localSheetId="6">[3]ﾃﾞｰﾀﾍﾞｰｽ変更点!#REF!</definedName>
    <definedName name="C_LOGON_HISTORY" localSheetId="4">[3]ﾃﾞｰﾀﾍﾞｰｽ変更点!#REF!</definedName>
    <definedName name="C_LOGON_HISTORY">[3]ﾃﾞｰﾀﾍﾞｰｽ変更点!#REF!</definedName>
    <definedName name="C_MACHINE_ERROR" localSheetId="6">[4]TableDesign!#REF!</definedName>
    <definedName name="C_MACHINE_ERROR" localSheetId="4">[4]TableDesign!#REF!</definedName>
    <definedName name="C_MACHINE_ERROR">[4]TableDesign!#REF!</definedName>
    <definedName name="C_MACHINE_STATUS_MASTER" localSheetId="6">[3]ﾃﾞｰﾀﾍﾞｰｽ変更点!#REF!</definedName>
    <definedName name="C_MACHINE_STATUS_MASTER" localSheetId="4">[3]ﾃﾞｰﾀﾍﾞｰｽ変更点!#REF!</definedName>
    <definedName name="C_MACHINE_STATUS_MASTER">[3]ﾃﾞｰﾀﾍﾞｰｽ変更点!#REF!</definedName>
    <definedName name="C_MAINTENANCE_DATA" localSheetId="6">[3]ﾃﾞｰﾀﾍﾞｰｽ変更点!#REF!</definedName>
    <definedName name="C_MAINTENANCE_DATA" localSheetId="4">[3]ﾃﾞｰﾀﾍﾞｰｽ変更点!#REF!</definedName>
    <definedName name="C_MAINTENANCE_DATA">[3]ﾃﾞｰﾀﾍﾞｰｽ変更点!#REF!</definedName>
    <definedName name="C_MAINTENANCE_INFORM" localSheetId="6">[3]ﾃﾞｰﾀﾍﾞｰｽ変更点!#REF!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6">[3]ﾃﾞｰﾀﾍﾞｰｽ変更点!#REF!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6">[4]TableDesign!#REF!</definedName>
    <definedName name="C_MAINTENANCE_TIME" localSheetId="4">[4]TableDesign!#REF!</definedName>
    <definedName name="C_MAINTENANCE_TIME">[4]TableDesign!#REF!</definedName>
    <definedName name="C_MAKER_MASTER" localSheetId="6">[3]ﾃﾞｰﾀﾍﾞｰｽ変更点!#REF!</definedName>
    <definedName name="C_MAKER_MASTER" localSheetId="4">[3]ﾃﾞｰﾀﾍﾞｰｽ変更点!#REF!</definedName>
    <definedName name="C_MAKER_MASTER">[3]ﾃﾞｰﾀﾍﾞｰｽ変更点!#REF!</definedName>
    <definedName name="C_MARK_MACHINE" localSheetId="6">[4]TableDesign!#REF!</definedName>
    <definedName name="C_MARK_MACHINE" localSheetId="4">[4]TableDesign!#REF!</definedName>
    <definedName name="C_MARK_MACHINE">[4]TableDesign!#REF!</definedName>
    <definedName name="C_MARK_NOTIFICATION" localSheetId="6">[4]TableDesign!#REF!</definedName>
    <definedName name="C_MARK_NOTIFICATION" localSheetId="4">[4]TableDesign!#REF!</definedName>
    <definedName name="C_MARK_NOTIFICATION">[4]TableDesign!#REF!</definedName>
    <definedName name="C_MARK_NOTIFICATION_DETAIL" localSheetId="6">[4]TableDesign!#REF!</definedName>
    <definedName name="C_MARK_NOTIFICATION_DETAIL" localSheetId="4">[4]TableDesign!#REF!</definedName>
    <definedName name="C_MARK_NOTIFICATION_DETAIL">[4]TableDesign!#REF!</definedName>
    <definedName name="C_MEMO" localSheetId="6">[3]ﾃﾞｰﾀﾍﾞｰｽ変更点!#REF!</definedName>
    <definedName name="C_MEMO" localSheetId="4">[3]ﾃﾞｰﾀﾍﾞｰｽ変更点!#REF!</definedName>
    <definedName name="C_MEMO">[3]ﾃﾞｰﾀﾍﾞｰｽ変更点!#REF!</definedName>
    <definedName name="C_MEMORY_MODIFY" localSheetId="6">[3]ﾃﾞｰﾀﾍﾞｰｽ変更点!#REF!</definedName>
    <definedName name="C_MEMORY_MODIFY" localSheetId="4">[3]ﾃﾞｰﾀﾍﾞｰｽ変更点!#REF!</definedName>
    <definedName name="C_MEMORY_MODIFY">[3]ﾃﾞｰﾀﾍﾞｰｽ変更点!#REF!</definedName>
    <definedName name="C_MEMORY_MODIFY_DATA" localSheetId="6">[3]ﾃﾞｰﾀﾍﾞｰｽ変更点!#REF!</definedName>
    <definedName name="C_MEMORY_MODIFY_DATA" localSheetId="4">[3]ﾃﾞｰﾀﾍﾞｰｽ変更点!#REF!</definedName>
    <definedName name="C_MEMORY_MODIFY_DATA">[3]ﾃﾞｰﾀﾍﾞｰｽ変更点!#REF!</definedName>
    <definedName name="C_MESSAGE" localSheetId="6">[3]ﾃﾞｰﾀﾍﾞｰｽ変更点!#REF!</definedName>
    <definedName name="C_MESSAGE" localSheetId="4">[3]ﾃﾞｰﾀﾍﾞｰｽ変更点!#REF!</definedName>
    <definedName name="C_MESSAGE">[3]ﾃﾞｰﾀﾍﾞｰｽ変更点!#REF!</definedName>
    <definedName name="C_MESSAGE_MASTER" localSheetId="6">[3]ﾃﾞｰﾀﾍﾞｰｽ変更点!#REF!</definedName>
    <definedName name="C_MESSAGE_MASTER" localSheetId="4">[3]ﾃﾞｰﾀﾍﾞｰｽ変更点!#REF!</definedName>
    <definedName name="C_MESSAGE_MASTER">[3]ﾃﾞｰﾀﾍﾞｰｽ変更点!#REF!</definedName>
    <definedName name="C_MONTHLY_ATT_SMR" localSheetId="6">[4]TableDesign!#REF!</definedName>
    <definedName name="C_MONTHLY_ATT_SMR" localSheetId="4">[4]TableDesign!#REF!</definedName>
    <definedName name="C_MONTHLY_ATT_SMR">[4]TableDesign!#REF!</definedName>
    <definedName name="C_MONTHLY_ERROR" localSheetId="6">[4]TableDesign!#REF!</definedName>
    <definedName name="C_MONTHLY_ERROR" localSheetId="4">[4]TableDesign!#REF!</definedName>
    <definedName name="C_MONTHLY_ERROR">[4]TableDesign!#REF!</definedName>
    <definedName name="C_MONTHLY_LOAD" localSheetId="6">[4]TableDesign!#REF!</definedName>
    <definedName name="C_MONTHLY_LOAD" localSheetId="4">[4]TableDesign!#REF!</definedName>
    <definedName name="C_MONTHLY_LOAD">[4]TableDesign!#REF!</definedName>
    <definedName name="C_MONTHLY_MOVEMENT" localSheetId="6">[4]TableDesign!#REF!</definedName>
    <definedName name="C_MONTHLY_MOVEMENT" localSheetId="4">[4]TableDesign!#REF!</definedName>
    <definedName name="C_MONTHLY_MOVEMENT">[4]TableDesign!#REF!</definedName>
    <definedName name="C_MONTHLY_OPERATION" localSheetId="6">[4]TableDesign!#REF!</definedName>
    <definedName name="C_MONTHLY_OPERATION" localSheetId="4">[4]TableDesign!#REF!</definedName>
    <definedName name="C_MONTHLY_OPERATION">[4]TableDesign!#REF!</definedName>
    <definedName name="C_MONTHLY_SMR" localSheetId="6">[4]TableDesign!#REF!</definedName>
    <definedName name="C_MONTHLY_SMR" localSheetId="4">[4]TableDesign!#REF!</definedName>
    <definedName name="C_MONTHLY_SMR">[4]TableDesign!#REF!</definedName>
    <definedName name="C_MONTHLY_WORKING_SMR" localSheetId="6">[4]TableDesign!#REF!</definedName>
    <definedName name="C_MONTHLY_WORKING_SMR" localSheetId="4">[4]TableDesign!#REF!</definedName>
    <definedName name="C_MONTHLY_WORKING_SMR">[4]TableDesign!#REF!</definedName>
    <definedName name="C_MONTLY_LOAD" localSheetId="6">[4]TableDesign!#REF!</definedName>
    <definedName name="C_MONTLY_LOAD" localSheetId="4">[4]TableDesign!#REF!</definedName>
    <definedName name="C_MONTLY_LOAD">[4]TableDesign!#REF!</definedName>
    <definedName name="C_MULTI_OPE" localSheetId="6">[3]ﾃﾞｰﾀﾍﾞｰｽ変更点!#REF!</definedName>
    <definedName name="C_MULTI_OPE" localSheetId="4">[3]ﾃﾞｰﾀﾍﾞｰｽ変更点!#REF!</definedName>
    <definedName name="C_MULTI_OPE">[3]ﾃﾞｰﾀﾍﾞｰｽ変更点!#REF!</definedName>
    <definedName name="C_MULTI_OPE_DATA" localSheetId="6">[5]テーブル設計!#REF!</definedName>
    <definedName name="C_MULTI_OPE_DATA" localSheetId="4">[5]テーブル設計!#REF!</definedName>
    <definedName name="C_MULTI_OPE_DATA">[5]テーブル設計!#REF!</definedName>
    <definedName name="C_NLS_DB_RESOURCE" localSheetId="6">[4]TableDesign!#REF!</definedName>
    <definedName name="C_NLS_DB_RESOURCE" localSheetId="4">[4]TableDesign!#REF!</definedName>
    <definedName name="C_NLS_DB_RESOURCE">[4]TableDesign!#REF!</definedName>
    <definedName name="C_NLS_LANG" localSheetId="6">[4]TableDesign!#REF!</definedName>
    <definedName name="C_NLS_LANG" localSheetId="4">[4]TableDesign!#REF!</definedName>
    <definedName name="C_NLS_LANG">[4]TableDesign!#REF!</definedName>
    <definedName name="C_NLS_RESOURCE" localSheetId="6">[4]TableDesign!#REF!</definedName>
    <definedName name="C_NLS_RESOURCE" localSheetId="4">[4]TableDesign!#REF!</definedName>
    <definedName name="C_NLS_RESOURCE">[4]TableDesign!#REF!</definedName>
    <definedName name="C_NOT_ACTIVE" localSheetId="6">[3]ﾃﾞｰﾀﾍﾞｰｽ変更点!#REF!</definedName>
    <definedName name="C_NOT_ACTIVE" localSheetId="4">[3]ﾃﾞｰﾀﾍﾞｰｽ変更点!#REF!</definedName>
    <definedName name="C_NOT_ACTIVE">[3]ﾃﾞｰﾀﾍﾞｰｽ変更点!#REF!</definedName>
    <definedName name="C_OPERATION_CATEGORY" localSheetId="6">[4]TableDesign!#REF!</definedName>
    <definedName name="C_OPERATION_CATEGORY" localSheetId="4">[4]TableDesign!#REF!</definedName>
    <definedName name="C_OPERATION_CATEGORY">[4]TableDesign!#REF!</definedName>
    <definedName name="C_OPERATION_CLASS" localSheetId="6">[5]テーブル設計!#REF!</definedName>
    <definedName name="C_OPERATION_CLASS" localSheetId="4">[5]テーブル設計!#REF!</definedName>
    <definedName name="C_OPERATION_CLASS">[5]テーブル設計!#REF!</definedName>
    <definedName name="C_OPERATION_LOG" localSheetId="6">[3]ﾃﾞｰﾀﾍﾞｰｽ変更点!#REF!</definedName>
    <definedName name="C_OPERATION_LOG" localSheetId="4">[3]ﾃﾞｰﾀﾍﾞｰｽ変更点!#REF!</definedName>
    <definedName name="C_OPERATION_LOG">[3]ﾃﾞｰﾀﾍﾞｰｽ変更点!#REF!</definedName>
    <definedName name="C_OPERATION_LOG2" localSheetId="6">[5]テーブル設計!#REF!</definedName>
    <definedName name="C_OPERATION_LOG2" localSheetId="4">[5]テーブル設計!#REF!</definedName>
    <definedName name="C_OPERATION_LOG2">[5]テーブル設計!#REF!</definedName>
    <definedName name="C_OPERATION_MAP" localSheetId="6">[4]TableDesign!#REF!</definedName>
    <definedName name="C_OPERATION_MAP" localSheetId="4">[4]TableDesign!#REF!</definedName>
    <definedName name="C_OPERATION_MAP">[4]TableDesign!#REF!</definedName>
    <definedName name="C_OPERATION_MASTER" localSheetId="6">[5]テーブル設計!#REF!</definedName>
    <definedName name="C_OPERATION_MASTER" localSheetId="4">[5]テーブル設計!#REF!</definedName>
    <definedName name="C_OPERATION_MASTER">[5]テーブル設計!#REF!</definedName>
    <definedName name="C_ORBCOMM" localSheetId="6">[3]ﾃﾞｰﾀﾍﾞｰｽ変更点!#REF!</definedName>
    <definedName name="C_ORBCOMM" localSheetId="4">[3]ﾃﾞｰﾀﾍﾞｰｽ変更点!#REF!</definedName>
    <definedName name="C_ORBCOMM">[3]ﾃﾞｰﾀﾍﾞｰｽ変更点!#REF!</definedName>
    <definedName name="C_ORBCOMM_OWNER_HISTORY" localSheetId="6">[3]ﾃﾞｰﾀﾍﾞｰｽ変更点!#REF!</definedName>
    <definedName name="C_ORBCOMM_OWNER_HISTORY" localSheetId="4">[3]ﾃﾞｰﾀﾍﾞｰｽ変更点!#REF!</definedName>
    <definedName name="C_ORBCOMM_OWNER_HISTORY">[3]ﾃﾞｰﾀﾍﾞｰｽ変更点!#REF!</definedName>
    <definedName name="C_PLANT_CAR" localSheetId="6">[5]テーブル設計!#REF!</definedName>
    <definedName name="C_PLANT_CAR" localSheetId="4">[5]テーブル設計!#REF!</definedName>
    <definedName name="C_PLANT_CAR">[5]テーブル設計!#REF!</definedName>
    <definedName name="C_PLANT_ERROR" localSheetId="6">[5]テーブル設計!#REF!</definedName>
    <definedName name="C_PLANT_ERROR" localSheetId="4">[5]テーブル設計!#REF!</definedName>
    <definedName name="C_PLANT_ERROR">[5]テーブル設計!#REF!</definedName>
    <definedName name="C_PLANT_GPS" localSheetId="6">[5]テーブル設計!#REF!</definedName>
    <definedName name="C_PLANT_GPS" localSheetId="4">[5]テーブル設計!#REF!</definedName>
    <definedName name="C_PLANT_GPS">[5]テーブル設計!#REF!</definedName>
    <definedName name="C_PREVENT_THEFT_KEY" localSheetId="6">[3]ﾃﾞｰﾀﾍﾞｰｽ変更点!#REF!</definedName>
    <definedName name="C_PREVENT_THEFT_KEY" localSheetId="4">[3]ﾃﾞｰﾀﾍﾞｰｽ変更点!#REF!</definedName>
    <definedName name="C_PREVENT_THEFT_KEY">[3]ﾃﾞｰﾀﾍﾞｰｽ変更点!#REF!</definedName>
    <definedName name="C_PRIVATE_TARGET_CAR" localSheetId="6">[3]ﾃﾞｰﾀﾍﾞｰｽ変更点!#REF!</definedName>
    <definedName name="C_PRIVATE_TARGET_CAR" localSheetId="4">[3]ﾃﾞｰﾀﾍﾞｰｽ変更点!#REF!</definedName>
    <definedName name="C_PRIVATE_TARGET_CAR">[3]ﾃﾞｰﾀﾍﾞｰｽ変更点!#REF!</definedName>
    <definedName name="C_RECEIVE_LIST" localSheetId="6">[5]テーブル設計!#REF!</definedName>
    <definedName name="C_RECEIVE_LIST" localSheetId="4">[5]テーブル設計!#REF!</definedName>
    <definedName name="C_RECEIVE_LIST">[5]テーブル設計!#REF!</definedName>
    <definedName name="C_RECEIVE_LOG" localSheetId="6">[3]ﾃﾞｰﾀﾍﾞｰｽ変更点!#REF!</definedName>
    <definedName name="C_RECEIVE_LOG" localSheetId="4">[3]ﾃﾞｰﾀﾍﾞｰｽ変更点!#REF!</definedName>
    <definedName name="C_RECEIVE_LOG">[3]ﾃﾞｰﾀﾍﾞｰｽ変更点!#REF!</definedName>
    <definedName name="C_REGION_DATA" localSheetId="6">[4]TableDesign!#REF!</definedName>
    <definedName name="C_REGION_DATA" localSheetId="4">[4]TableDesign!#REF!</definedName>
    <definedName name="C_REGION_DATA">[4]TableDesign!#REF!</definedName>
    <definedName name="C_REGION_MASTER" localSheetId="6">[4]TableDesign!#REF!</definedName>
    <definedName name="C_REGION_MASTER" localSheetId="4">[4]TableDesign!#REF!</definedName>
    <definedName name="C_REGION_MASTER">[4]TableDesign!#REF!</definedName>
    <definedName name="C_RENTAL_TERMINAL" localSheetId="6">[5]テーブル設計!#REF!</definedName>
    <definedName name="C_RENTAL_TERMINAL" localSheetId="4">[5]テーブル設計!#REF!</definedName>
    <definedName name="C_RENTAL_TERMINAL">[5]テーブル設計!#REF!</definedName>
    <definedName name="C_REQUEST" localSheetId="6">[3]ﾃﾞｰﾀﾍﾞｰｽ変更点!#REF!</definedName>
    <definedName name="C_REQUEST" localSheetId="4">[3]ﾃﾞｰﾀﾍﾞｰｽ変更点!#REF!</definedName>
    <definedName name="C_REQUEST">[3]ﾃﾞｰﾀﾍﾞｰｽ変更点!#REF!</definedName>
    <definedName name="C_REQUEST_COUNT" localSheetId="6">[3]ﾃﾞｰﾀﾍﾞｰｽ変更点!#REF!</definedName>
    <definedName name="C_REQUEST_COUNT" localSheetId="4">[3]ﾃﾞｰﾀﾍﾞｰｽ変更点!#REF!</definedName>
    <definedName name="C_REQUEST_COUNT">[3]ﾃﾞｰﾀﾍﾞｰｽ変更点!#REF!</definedName>
    <definedName name="C_REQUEST_LOG" localSheetId="6">[3]ﾃﾞｰﾀﾍﾞｰｽ変更点!#REF!</definedName>
    <definedName name="C_REQUEST_LOG" localSheetId="4">[3]ﾃﾞｰﾀﾍﾞｰｽ変更点!#REF!</definedName>
    <definedName name="C_REQUEST_LOG">[3]ﾃﾞｰﾀﾍﾞｰｽ変更点!#REF!</definedName>
    <definedName name="C_RIVATE_TARGET_CAR" localSheetId="6">[4]TableDesign!#REF!</definedName>
    <definedName name="C_RIVATE_TARGET_CAR" localSheetId="4">[4]TableDesign!#REF!</definedName>
    <definedName name="C_RIVATE_TARGET_CAR">[4]TableDesign!#REF!</definedName>
    <definedName name="C_RUNNING_LOG" localSheetId="6">[3]ﾃﾞｰﾀﾍﾞｰｽ変更点!#REF!</definedName>
    <definedName name="C_RUNNING_LOG" localSheetId="4">[3]ﾃﾞｰﾀﾍﾞｰｽ変更点!#REF!</definedName>
    <definedName name="C_RUNNING_LOG">[3]ﾃﾞｰﾀﾍﾞｰｽ変更点!#REF!</definedName>
    <definedName name="C_SAVE_INFORMATION" localSheetId="6">[5]テーブル設計!#REF!</definedName>
    <definedName name="C_SAVE_INFORMATION" localSheetId="4">[5]テーブル設計!#REF!</definedName>
    <definedName name="C_SAVE_INFORMATION">[5]テーブル設計!#REF!</definedName>
    <definedName name="C_SELFCARINSPECTION" localSheetId="6">[3]ﾃﾞｰﾀﾍﾞｰｽ変更点!#REF!</definedName>
    <definedName name="C_SELFCARINSPECTION" localSheetId="4">[3]ﾃﾞｰﾀﾍﾞｰｽ変更点!#REF!</definedName>
    <definedName name="C_SELFCARINSPECTION">[3]ﾃﾞｰﾀﾍﾞｰｽ変更点!#REF!</definedName>
    <definedName name="C_SEND_LIST" localSheetId="6">[5]テーブル設計!#REF!</definedName>
    <definedName name="C_SEND_LIST" localSheetId="4">[5]テーブル設計!#REF!</definedName>
    <definedName name="C_SEND_LIST">[5]テーブル設計!#REF!</definedName>
    <definedName name="C_SEND_LOG" localSheetId="6">[5]テーブル設計!#REF!</definedName>
    <definedName name="C_SEND_LOG" localSheetId="4">[5]テーブル設計!#REF!</definedName>
    <definedName name="C_SEND_LOG">[5]テーブル設計!#REF!</definedName>
    <definedName name="C_SERVER_COMMUNICATION" localSheetId="6">[4]TableDesign!#REF!</definedName>
    <definedName name="C_SERVER_COMMUNICATION" localSheetId="4">[4]TableDesign!#REF!</definedName>
    <definedName name="C_SERVER_COMMUNICATION">[4]TableDesign!#REF!</definedName>
    <definedName name="C_SERVER_INFORMATION" localSheetId="6">[3]ﾃﾞｰﾀﾍﾞｰｽ変更点!#REF!</definedName>
    <definedName name="C_SERVER_INFORMATION" localSheetId="4">[3]ﾃﾞｰﾀﾍﾞｰｽ変更点!#REF!</definedName>
    <definedName name="C_SERVER_INFORMATION">[3]ﾃﾞｰﾀﾍﾞｰｽ変更点!#REF!</definedName>
    <definedName name="C_SERVICE_METER" localSheetId="6">[3]ﾃﾞｰﾀﾍﾞｰｽ変更点!#REF!</definedName>
    <definedName name="C_SERVICE_METER" localSheetId="4">[3]ﾃﾞｰﾀﾍﾞｰｽ変更点!#REF!</definedName>
    <definedName name="C_SERVICE_METER">[3]ﾃﾞｰﾀﾍﾞｰｽ変更点!#REF!</definedName>
    <definedName name="C_SERVICE_METER2" localSheetId="6">[5]テーブル設計!#REF!</definedName>
    <definedName name="C_SERVICE_METER2" localSheetId="4">[5]テーブル設計!#REF!</definedName>
    <definedName name="C_SERVICE_METER2">[5]テーブル設計!#REF!</definedName>
    <definedName name="C_SERVICEMAN" localSheetId="6">[5]テーブル設計!#REF!</definedName>
    <definedName name="C_SERVICEMAN" localSheetId="4">[5]テーブル設計!#REF!</definedName>
    <definedName name="C_SERVICEMAN">[5]テーブル設計!#REF!</definedName>
    <definedName name="C_SERVICEMAN_CHARGE" localSheetId="6">[5]テーブル設計!#REF!</definedName>
    <definedName name="C_SERVICEMAN_CHARGE" localSheetId="4">[5]テーブル設計!#REF!</definedName>
    <definedName name="C_SERVICEMAN_CHARGE">[5]テーブル設計!#REF!</definedName>
    <definedName name="C_SHIPMENT" localSheetId="6">[3]ﾃﾞｰﾀﾍﾞｰｽ変更点!#REF!</definedName>
    <definedName name="C_SHIPMENT" localSheetId="4">[3]ﾃﾞｰﾀﾍﾞｰｽ変更点!#REF!</definedName>
    <definedName name="C_SHIPMENT">[3]ﾃﾞｰﾀﾍﾞｰｽ変更点!#REF!</definedName>
    <definedName name="C_SHOW" localSheetId="6">[3]ﾃﾞｰﾀﾍﾞｰｽ変更点!#REF!</definedName>
    <definedName name="C_SHOW" localSheetId="4">[3]ﾃﾞｰﾀﾍﾞｰｽ変更点!#REF!</definedName>
    <definedName name="C_SHOW">[3]ﾃﾞｰﾀﾍﾞｰｽ変更点!#REF!</definedName>
    <definedName name="C_SHOW_GROUP" localSheetId="6">[3]ﾃﾞｰﾀﾍﾞｰｽ変更点!#REF!</definedName>
    <definedName name="C_SHOW_GROUP" localSheetId="4">[3]ﾃﾞｰﾀﾍﾞｰｽ変更点!#REF!</definedName>
    <definedName name="C_SHOW_GROUP">[3]ﾃﾞｰﾀﾍﾞｰｽ変更点!#REF!</definedName>
    <definedName name="C_SPECIAL_AREA" localSheetId="6">[3]ﾃﾞｰﾀﾍﾞｰｽ変更点!#REF!</definedName>
    <definedName name="C_SPECIAL_AREA" localSheetId="4">[3]ﾃﾞｰﾀﾍﾞｰｽ変更点!#REF!</definedName>
    <definedName name="C_SPECIAL_AREA">[3]ﾃﾞｰﾀﾍﾞｰｽ変更点!#REF!</definedName>
    <definedName name="C_SUB_GROUP" localSheetId="6">[4]TableDesign!#REF!</definedName>
    <definedName name="C_SUB_GROUP" localSheetId="4">[4]TableDesign!#REF!</definedName>
    <definedName name="C_SUB_GROUP">[4]TableDesign!#REF!</definedName>
    <definedName name="C_SUB_GROUP_CAR" localSheetId="6">[4]TableDesign!#REF!</definedName>
    <definedName name="C_SUB_GROUP_CAR" localSheetId="4">[4]TableDesign!#REF!</definedName>
    <definedName name="C_SUB_GROUP_CAR">[4]TableDesign!#REF!</definedName>
    <definedName name="C_SYSTEM_COMMTERM_INFO" localSheetId="6">[3]ﾃﾞｰﾀﾍﾞｰｽ変更点!#REF!</definedName>
    <definedName name="C_SYSTEM_COMMTERM_INFO" localSheetId="4">[3]ﾃﾞｰﾀﾍﾞｰｽ変更点!#REF!</definedName>
    <definedName name="C_SYSTEM_COMMTERM_INFO">[3]ﾃﾞｰﾀﾍﾞｰｽ変更点!#REF!</definedName>
    <definedName name="C_SYSTEM_LOG" localSheetId="6">[3]ﾃﾞｰﾀﾍﾞｰｽ変更点!#REF!</definedName>
    <definedName name="C_SYSTEM_LOG" localSheetId="4">[3]ﾃﾞｰﾀﾍﾞｰｽ変更点!#REF!</definedName>
    <definedName name="C_SYSTEM_LOG">[3]ﾃﾞｰﾀﾍﾞｰｽ変更点!#REF!</definedName>
    <definedName name="C_SYSTEM_NOTICE" localSheetId="6">[3]ﾃﾞｰﾀﾍﾞｰｽ変更点!#REF!</definedName>
    <definedName name="C_SYSTEM_NOTICE" localSheetId="4">[3]ﾃﾞｰﾀﾍﾞｰｽ変更点!#REF!</definedName>
    <definedName name="C_SYSTEM_NOTICE">[3]ﾃﾞｰﾀﾍﾞｰｽ変更点!#REF!</definedName>
    <definedName name="C_TARGET" localSheetId="6">[3]ﾃﾞｰﾀﾍﾞｰｽ変更点!#REF!</definedName>
    <definedName name="C_TARGET" localSheetId="4">[3]ﾃﾞｰﾀﾍﾞｰｽ変更点!#REF!</definedName>
    <definedName name="C_TARGET">[3]ﾃﾞｰﾀﾍﾞｰｽ変更点!#REF!</definedName>
    <definedName name="C_TARGET_CAR" localSheetId="6">[3]ﾃﾞｰﾀﾍﾞｰｽ変更点!#REF!</definedName>
    <definedName name="C_TARGET_CAR" localSheetId="4">[3]ﾃﾞｰﾀﾍﾞｰｽ変更点!#REF!</definedName>
    <definedName name="C_TARGET_CAR">[3]ﾃﾞｰﾀﾍﾞｰｽ変更点!#REF!</definedName>
    <definedName name="C_TERMINAL_AREA" localSheetId="6">[3]ﾃﾞｰﾀﾍﾞｰｽ変更点!#REF!</definedName>
    <definedName name="C_TERMINAL_AREA" localSheetId="4">[3]ﾃﾞｰﾀﾍﾞｰｽ変更点!#REF!</definedName>
    <definedName name="C_TERMINAL_AREA">[3]ﾃﾞｰﾀﾍﾞｰｽ変更点!#REF!</definedName>
    <definedName name="C_TERMINAL_CAUTION" localSheetId="6">[3]ﾃﾞｰﾀﾍﾞｰｽ変更点!#REF!</definedName>
    <definedName name="C_TERMINAL_CAUTION" localSheetId="4">[3]ﾃﾞｰﾀﾍﾞｰｽ変更点!#REF!</definedName>
    <definedName name="C_TERMINAL_CAUTION">[3]ﾃﾞｰﾀﾍﾞｰｽ変更点!#REF!</definedName>
    <definedName name="C_TERMINAL_ERROR" localSheetId="6">[3]ﾃﾞｰﾀﾍﾞｰｽ変更点!#REF!</definedName>
    <definedName name="C_TERMINAL_ERROR" localSheetId="4">[3]ﾃﾞｰﾀﾍﾞｰｽ変更点!#REF!</definedName>
    <definedName name="C_TERMINAL_ERROR">[3]ﾃﾞｰﾀﾍﾞｰｽ変更点!#REF!</definedName>
    <definedName name="C_TERMINAL_KIND" localSheetId="6">[3]ﾃﾞｰﾀﾍﾞｰｽ変更点!#REF!</definedName>
    <definedName name="C_TERMINAL_KIND" localSheetId="4">[3]ﾃﾞｰﾀﾍﾞｰｽ変更点!#REF!</definedName>
    <definedName name="C_TERMINAL_KIND">[3]ﾃﾞｰﾀﾍﾞｰｽ変更点!#REF!</definedName>
    <definedName name="C_TERMINAL_MASTER" localSheetId="6">[3]ﾃﾞｰﾀﾍﾞｰｽ変更点!#REF!</definedName>
    <definedName name="C_TERMINAL_MASTER" localSheetId="4">[3]ﾃﾞｰﾀﾍﾞｰｽ変更点!#REF!</definedName>
    <definedName name="C_TERMINAL_MASTER">[3]ﾃﾞｰﾀﾍﾞｰｽ変更点!#REF!</definedName>
    <definedName name="C_TERMINAL_PART_MASTER" localSheetId="6">[3]ﾃﾞｰﾀﾍﾞｰｽ変更点!#REF!</definedName>
    <definedName name="C_TERMINAL_PART_MASTER" localSheetId="4">[3]ﾃﾞｰﾀﾍﾞｰｽ変更点!#REF!</definedName>
    <definedName name="C_TERMINAL_PART_MASTER">[3]ﾃﾞｰﾀﾍﾞｰｽ変更点!#REF!</definedName>
    <definedName name="C_TYPE_MASTER" localSheetId="6">[3]ﾃﾞｰﾀﾍﾞｰｽ変更点!#REF!</definedName>
    <definedName name="C_TYPE_MASTER" localSheetId="4">[3]ﾃﾞｰﾀﾍﾞｰｽ変更点!#REF!</definedName>
    <definedName name="C_TYPE_MASTER">[3]ﾃﾞｰﾀﾍﾞｰｽ変更点!#REF!</definedName>
    <definedName name="C_UFO" localSheetId="6">[3]ﾃﾞｰﾀﾍﾞｰｽ変更点!#REF!</definedName>
    <definedName name="C_UFO" localSheetId="4">[3]ﾃﾞｰﾀﾍﾞｰｽ変更点!#REF!</definedName>
    <definedName name="C_UFO">[3]ﾃﾞｰﾀﾍﾞｰｽ変更点!#REF!</definedName>
    <definedName name="C_UNRELIABLE_RECEIVE" localSheetId="6">[3]ﾃﾞｰﾀﾍﾞｰｽ変更点!#REF!</definedName>
    <definedName name="C_UNRELIABLE_RECEIVE" localSheetId="4">[3]ﾃﾞｰﾀﾍﾞｰｽ変更点!#REF!</definedName>
    <definedName name="C_UNRELIABLE_RECEIVE">[3]ﾃﾞｰﾀﾍﾞｰｽ変更点!#REF!</definedName>
    <definedName name="C_USER_MASTER" localSheetId="6">[3]ﾃﾞｰﾀﾍﾞｰｽ変更点!#REF!</definedName>
    <definedName name="C_USER_MASTER" localSheetId="4">[3]ﾃﾞｰﾀﾍﾞｰｽ変更点!#REF!</definedName>
    <definedName name="C_USER_MASTER">[3]ﾃﾞｰﾀﾍﾞｰｽ変更点!#REF!</definedName>
    <definedName name="C_USER_TEMP" localSheetId="6">[3]ﾃﾞｰﾀﾍﾞｰｽ変更点!#REF!</definedName>
    <definedName name="C_USER_TEMP" localSheetId="4">[3]ﾃﾞｰﾀﾍﾞｰｽ変更点!#REF!</definedName>
    <definedName name="C_USER_TEMP">[3]ﾃﾞｰﾀﾍﾞｰｽ変更点!#REF!</definedName>
    <definedName name="C_WATER_TEMP_GAUGE" localSheetId="6">[4]TableDesign!#REF!</definedName>
    <definedName name="C_WATER_TEMP_GAUGE" localSheetId="4">[4]TableDesign!#REF!</definedName>
    <definedName name="C_WATER_TEMP_GAUGE">[4]TableDesign!#REF!</definedName>
    <definedName name="CAR" localSheetId="6">[3]ﾃﾞｰﾀﾍﾞｰｽ変更点!#REF!</definedName>
    <definedName name="CAR" localSheetId="4">[3]ﾃﾞｰﾀﾍﾞｰｽ変更点!#REF!</definedName>
    <definedName name="CAR">[3]ﾃﾞｰﾀﾍﾞｰｽ変更点!#REF!</definedName>
    <definedName name="CC" localSheetId="6">'[6]DATA-COMMUNICATION-FORMAT'!#REF!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6">[5]テーブル設計!#REF!</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6">[3]ﾃﾞｰﾀﾍﾞｰｽ変更点!#REF!</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6">[3]ﾃﾞｰﾀﾍﾞｰｽ変更点!#REF!</definedName>
    <definedName name="D_ACT_DATA" localSheetId="4">[3]ﾃﾞｰﾀﾍﾞｰｽ変更点!#REF!</definedName>
    <definedName name="D_ACT_DATA">[3]ﾃﾞｰﾀﾍﾞｰｽ変更点!#REF!</definedName>
    <definedName name="D_ACTUAL_OPERATION" localSheetId="6">[4]TableDesign!#REF!</definedName>
    <definedName name="D_ACTUAL_OPERATION" localSheetId="4">[4]TableDesign!#REF!</definedName>
    <definedName name="D_ACTUAL_OPERATION">[4]TableDesign!#REF!</definedName>
    <definedName name="D_AREA" localSheetId="6">[3]ﾃﾞｰﾀﾍﾞｰｽ変更点!#REF!</definedName>
    <definedName name="D_AREA" localSheetId="4">[3]ﾃﾞｰﾀﾍﾞｰｽ変更点!#REF!</definedName>
    <definedName name="D_AREA">[3]ﾃﾞｰﾀﾍﾞｰｽ変更点!#REF!</definedName>
    <definedName name="D_AREA_DEFINE" localSheetId="6">[3]ﾃﾞｰﾀﾍﾞｰｽ変更点!#REF!</definedName>
    <definedName name="D_AREA_DEFINE" localSheetId="4">[3]ﾃﾞｰﾀﾍﾞｰｽ変更点!#REF!</definedName>
    <definedName name="D_AREA_DEFINE">[3]ﾃﾞｰﾀﾍﾞｰｽ変更点!#REF!</definedName>
    <definedName name="D_AREA_INIT" localSheetId="6">[3]ﾃﾞｰﾀﾍﾞｰｽ変更点!#REF!</definedName>
    <definedName name="D_AREA_INIT" localSheetId="4">[3]ﾃﾞｰﾀﾍﾞｰｽ変更点!#REF!</definedName>
    <definedName name="D_AREA_INIT">[3]ﾃﾞｰﾀﾍﾞｰｽ変更点!#REF!</definedName>
    <definedName name="D_AREA_MASTER" localSheetId="6">[3]ﾃﾞｰﾀﾍﾞｰｽ変更点!#REF!</definedName>
    <definedName name="D_AREA_MASTER" localSheetId="4">[3]ﾃﾞｰﾀﾍﾞｰｽ変更点!#REF!</definedName>
    <definedName name="D_AREA_MASTER">[3]ﾃﾞｰﾀﾍﾞｰｽ変更点!#REF!</definedName>
    <definedName name="D_ASK" localSheetId="6">[3]ﾃﾞｰﾀﾍﾞｰｽ変更点!#REF!</definedName>
    <definedName name="D_ASK" localSheetId="4">[3]ﾃﾞｰﾀﾍﾞｰｽ変更点!#REF!</definedName>
    <definedName name="D_ASK">[3]ﾃﾞｰﾀﾍﾞｰｽ変更点!#REF!</definedName>
    <definedName name="D_ASK_LOG" localSheetId="6">[5]テーブル設計!#REF!</definedName>
    <definedName name="D_ASK_LOG" localSheetId="4">[5]テーブル設計!#REF!</definedName>
    <definedName name="D_ASK_LOG">[5]テーブル設計!#REF!</definedName>
    <definedName name="D_ASK_SYSTEM" localSheetId="6">[3]ﾃﾞｰﾀﾍﾞｰｽ変更点!#REF!</definedName>
    <definedName name="D_ASK_SYSTEM" localSheetId="4">[3]ﾃﾞｰﾀﾍﾞｰｽ変更点!#REF!</definedName>
    <definedName name="D_ASK_SYSTEM">[3]ﾃﾞｰﾀﾍﾞｰｽ変更点!#REF!</definedName>
    <definedName name="D_ATC_ERROR" localSheetId="6">[5]テーブル設計!#REF!</definedName>
    <definedName name="D_ATC_ERROR" localSheetId="4">[5]テーブル設計!#REF!</definedName>
    <definedName name="D_ATC_ERROR">[5]テーブル設計!#REF!</definedName>
    <definedName name="D_AUTHORITY_GROUP" localSheetId="6">[3]ﾃﾞｰﾀﾍﾞｰｽ変更点!#REF!</definedName>
    <definedName name="D_AUTHORITY_GROUP" localSheetId="4">[3]ﾃﾞｰﾀﾍﾞｰｽ変更点!#REF!</definedName>
    <definedName name="D_AUTHORITY_GROUP">[3]ﾃﾞｰﾀﾍﾞｰｽ変更点!#REF!</definedName>
    <definedName name="D_AUTHORITY_GROUP_DATA" localSheetId="6">[3]ﾃﾞｰﾀﾍﾞｰｽ変更点!#REF!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6">[5]テーブル設計!#REF!</definedName>
    <definedName name="D_AUTHORITY_MASTER" localSheetId="4">[5]テーブル設計!#REF!</definedName>
    <definedName name="D_AUTHORITY_MASTER">[5]テーブル設計!#REF!</definedName>
    <definedName name="D_BONDED_STORE" localSheetId="6">[5]テーブル設計!#REF!</definedName>
    <definedName name="D_BONDED_STORE" localSheetId="4">[5]テーブル設計!#REF!</definedName>
    <definedName name="D_BONDED_STORE">[5]テーブル設計!#REF!</definedName>
    <definedName name="D_CAR_DATA" localSheetId="6">[3]ﾃﾞｰﾀﾍﾞｰｽ変更点!#REF!</definedName>
    <definedName name="D_CAR_DATA" localSheetId="4">[3]ﾃﾞｰﾀﾍﾞｰｽ変更点!#REF!</definedName>
    <definedName name="D_CAR_DATA">[3]ﾃﾞｰﾀﾍﾞｰｽ変更点!#REF!</definedName>
    <definedName name="D_CAR_MASTER" localSheetId="6">[3]ﾃﾞｰﾀﾍﾞｰｽ変更点!#REF!</definedName>
    <definedName name="D_CAR_MASTER" localSheetId="4">[3]ﾃﾞｰﾀﾍﾞｰｽ変更点!#REF!</definedName>
    <definedName name="D_CAR_MASTER">[3]ﾃﾞｰﾀﾍﾞｰｽ変更点!#REF!</definedName>
    <definedName name="D_CAR_MONTHLY_DATA" localSheetId="6">[3]ﾃﾞｰﾀﾍﾞｰｽ変更点!#REF!</definedName>
    <definedName name="D_CAR_MONTHLY_DATA" localSheetId="4">[3]ﾃﾞｰﾀﾍﾞｰｽ変更点!#REF!</definedName>
    <definedName name="D_CAR_MONTHLY_DATA">[3]ﾃﾞｰﾀﾍﾞｰｽ変更点!#REF!</definedName>
    <definedName name="D_CAR_OWNER_HISTORY" localSheetId="6">[3]ﾃﾞｰﾀﾍﾞｰｽ変更点!#REF!</definedName>
    <definedName name="D_CAR_OWNER_HISTORY" localSheetId="4">[3]ﾃﾞｰﾀﾍﾞｰｽ変更点!#REF!</definedName>
    <definedName name="D_CAR_OWNER_HISTORY">[3]ﾃﾞｰﾀﾍﾞｰｽ変更点!#REF!</definedName>
    <definedName name="D_CAUTION" localSheetId="6">[4]TableDesign!#REF!</definedName>
    <definedName name="D_CAUTION" localSheetId="4">[4]TableDesign!#REF!</definedName>
    <definedName name="D_CAUTION">[4]TableDesign!#REF!</definedName>
    <definedName name="D_CAUTION_DATA" localSheetId="6">[3]ﾃﾞｰﾀﾍﾞｰｽ変更点!#REF!</definedName>
    <definedName name="D_CAUTION_DATA" localSheetId="4">[3]ﾃﾞｰﾀﾍﾞｰｽ変更点!#REF!</definedName>
    <definedName name="D_CAUTION_DATA">[3]ﾃﾞｰﾀﾍﾞｰｽ変更点!#REF!</definedName>
    <definedName name="D_CAUTION_ENABLED" localSheetId="6">[3]ﾃﾞｰﾀﾍﾞｰｽ変更点!#REF!</definedName>
    <definedName name="D_CAUTION_ENABLED" localSheetId="4">[3]ﾃﾞｰﾀﾍﾞｰｽ変更点!#REF!</definedName>
    <definedName name="D_CAUTION_ENABLED">[3]ﾃﾞｰﾀﾍﾞｰｽ変更点!#REF!</definedName>
    <definedName name="D_CAUTION_ICON" localSheetId="6">[3]ﾃﾞｰﾀﾍﾞｰｽ変更点!#REF!</definedName>
    <definedName name="D_CAUTION_ICON" localSheetId="4">[3]ﾃﾞｰﾀﾍﾞｰｽ変更点!#REF!</definedName>
    <definedName name="D_CAUTION_ICON">[3]ﾃﾞｰﾀﾍﾞｰｽ変更点!#REF!</definedName>
    <definedName name="D_CAUTION_INIT" localSheetId="6">[3]ﾃﾞｰﾀﾍﾞｰｽ変更点!#REF!</definedName>
    <definedName name="D_CAUTION_INIT" localSheetId="4">[3]ﾃﾞｰﾀﾍﾞｰｽ変更点!#REF!</definedName>
    <definedName name="D_CAUTION_INIT">[3]ﾃﾞｰﾀﾍﾞｰｽ変更点!#REF!</definedName>
    <definedName name="D_CAUTION_MASTER" localSheetId="6">[3]ﾃﾞｰﾀﾍﾞｰｽ変更点!#REF!</definedName>
    <definedName name="D_CAUTION_MASTER" localSheetId="4">[3]ﾃﾞｰﾀﾍﾞｰｽ変更点!#REF!</definedName>
    <definedName name="D_CAUTION_MASTER">[3]ﾃﾞｰﾀﾍﾞｰｽ変更点!#REF!</definedName>
    <definedName name="D_CLASS1_MASTER" localSheetId="6">[3]ﾃﾞｰﾀﾍﾞｰｽ変更点!#REF!</definedName>
    <definedName name="D_CLASS1_MASTER" localSheetId="4">[3]ﾃﾞｰﾀﾍﾞｰｽ変更点!#REF!</definedName>
    <definedName name="D_CLASS1_MASTER">[3]ﾃﾞｰﾀﾍﾞｰｽ変更点!#REF!</definedName>
    <definedName name="D_CLASS2_MASTER" localSheetId="6">[3]ﾃﾞｰﾀﾍﾞｰｽ変更点!#REF!</definedName>
    <definedName name="D_CLASS2_MASTER" localSheetId="4">[3]ﾃﾞｰﾀﾍﾞｰｽ変更点!#REF!</definedName>
    <definedName name="D_CLASS2_MASTER">[3]ﾃﾞｰﾀﾍﾞｰｽ変更点!#REF!</definedName>
    <definedName name="D_COMM_DATA" localSheetId="6">[3]ﾃﾞｰﾀﾍﾞｰｽ変更点!#REF!</definedName>
    <definedName name="D_COMM_DATA" localSheetId="4">[3]ﾃﾞｰﾀﾍﾞｰｽ変更点!#REF!</definedName>
    <definedName name="D_COMM_DATA">[3]ﾃﾞｰﾀﾍﾞｰｽ変更点!#REF!</definedName>
    <definedName name="D_COMM_STATUS_MASTER" localSheetId="6">[3]ﾃﾞｰﾀﾍﾞｰｽ変更点!#REF!</definedName>
    <definedName name="D_COMM_STATUS_MASTER" localSheetId="4">[3]ﾃﾞｰﾀﾍﾞｰｽ変更点!#REF!</definedName>
    <definedName name="D_COMM_STATUS_MASTER">[3]ﾃﾞｰﾀﾍﾞｰｽ変更点!#REF!</definedName>
    <definedName name="D_CONFIG_DEFINE" localSheetId="6">[3]ﾃﾞｰﾀﾍﾞｰｽ変更点!#REF!</definedName>
    <definedName name="D_CONFIG_DEFINE" localSheetId="4">[3]ﾃﾞｰﾀﾍﾞｰｽ変更点!#REF!</definedName>
    <definedName name="D_CONFIG_DEFINE">[3]ﾃﾞｰﾀﾍﾞｰｽ変更点!#REF!</definedName>
    <definedName name="D_CONFIG_FLAG" localSheetId="6">[5]テーブル設計!#REF!</definedName>
    <definedName name="D_CONFIG_FLAG" localSheetId="4">[5]テーブル設計!#REF!</definedName>
    <definedName name="D_CONFIG_FLAG">[5]テーブル設計!#REF!</definedName>
    <definedName name="D_CONFIG_INIT" localSheetId="6">[3]ﾃﾞｰﾀﾍﾞｰｽ変更点!#REF!</definedName>
    <definedName name="D_CONFIG_INIT" localSheetId="4">[3]ﾃﾞｰﾀﾍﾞｰｽ変更点!#REF!</definedName>
    <definedName name="D_CONFIG_INIT">[3]ﾃﾞｰﾀﾍﾞｰｽ変更点!#REF!</definedName>
    <definedName name="D_CONFIG_PATTERN" localSheetId="6">[3]ﾃﾞｰﾀﾍﾞｰｽ変更点!#REF!</definedName>
    <definedName name="D_CONFIG_PATTERN" localSheetId="4">[3]ﾃﾞｰﾀﾍﾞｰｽ変更点!#REF!</definedName>
    <definedName name="D_CONFIG_PATTERN">[3]ﾃﾞｰﾀﾍﾞｰｽ変更点!#REF!</definedName>
    <definedName name="D_CONFIG_PATTERN_DATA" localSheetId="6">[3]ﾃﾞｰﾀﾍﾞｰｽ変更点!#REF!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6">[5]テーブル設計!#REF!</definedName>
    <definedName name="D_CONFIG_USER_FLAG" localSheetId="4">[5]テーブル設計!#REF!</definedName>
    <definedName name="D_CONFIG_USER_FLAG">[5]テーブル設計!#REF!</definedName>
    <definedName name="D_CONTRACT" localSheetId="6">[5]テーブル設計!#REF!</definedName>
    <definedName name="D_CONTRACT" localSheetId="4">[5]テーブル設計!#REF!</definedName>
    <definedName name="D_CONTRACT">[5]テーブル設計!#REF!</definedName>
    <definedName name="D_CUSTOMER" localSheetId="6">[3]ﾃﾞｰﾀﾍﾞｰｽ変更点!#REF!</definedName>
    <definedName name="D_CUSTOMER" localSheetId="4">[3]ﾃﾞｰﾀﾍﾞｰｽ変更点!#REF!</definedName>
    <definedName name="D_CUSTOMER">[3]ﾃﾞｰﾀﾍﾞｰｽ変更点!#REF!</definedName>
    <definedName name="D_CUSTOMER_CAR" localSheetId="6">[3]ﾃﾞｰﾀﾍﾞｰｽ変更点!#REF!</definedName>
    <definedName name="D_CUSTOMER_CAR" localSheetId="4">[3]ﾃﾞｰﾀﾍﾞｰｽ変更点!#REF!</definedName>
    <definedName name="D_CUSTOMER_CAR">[3]ﾃﾞｰﾀﾍﾞｰｽ変更点!#REF!</definedName>
    <definedName name="D_CUSTOMER_MASTER" localSheetId="6">[4]TableDesign!#REF!</definedName>
    <definedName name="D_CUSTOMER_MASTER" localSheetId="4">[4]TableDesign!#REF!</definedName>
    <definedName name="D_CUSTOMER_MASTER">[4]TableDesign!#REF!</definedName>
    <definedName name="D_DIVISION_MASTER" localSheetId="6">[3]ﾃﾞｰﾀﾍﾞｰｽ変更点!#REF!</definedName>
    <definedName name="D_DIVISION_MASTER" localSheetId="4">[3]ﾃﾞｰﾀﾍﾞｰｽ変更点!#REF!</definedName>
    <definedName name="D_DIVISION_MASTER">[3]ﾃﾞｰﾀﾍﾞｰｽ変更点!#REF!</definedName>
    <definedName name="D_DOPA" localSheetId="6">[3]ﾃﾞｰﾀﾍﾞｰｽ変更点!#REF!</definedName>
    <definedName name="D_DOPA" localSheetId="4">[3]ﾃﾞｰﾀﾍﾞｰｽ変更点!#REF!</definedName>
    <definedName name="D_DOPA">[3]ﾃﾞｰﾀﾍﾞｰｽ変更点!#REF!</definedName>
    <definedName name="D_DOPA_OWNER_HISTORY" localSheetId="6">[3]ﾃﾞｰﾀﾍﾞｰｽ変更点!#REF!</definedName>
    <definedName name="D_DOPA_OWNER_HISTORY" localSheetId="4">[3]ﾃﾞｰﾀﾍﾞｰｽ変更点!#REF!</definedName>
    <definedName name="D_DOPA_OWNER_HISTORY">[3]ﾃﾞｰﾀﾍﾞｰｽ変更点!#REF!</definedName>
    <definedName name="D_DOPA_SERVER" localSheetId="6">[3]ﾃﾞｰﾀﾍﾞｰｽ変更点!#REF!</definedName>
    <definedName name="D_DOPA_SERVER" localSheetId="4">[3]ﾃﾞｰﾀﾍﾞｰｽ変更点!#REF!</definedName>
    <definedName name="D_DOPA_SERVER">[3]ﾃﾞｰﾀﾍﾞｰｽ変更点!#REF!</definedName>
    <definedName name="D_EQUIPMENT_HISTORY" localSheetId="6">[3]ﾃﾞｰﾀﾍﾞｰｽ変更点!#REF!</definedName>
    <definedName name="D_EQUIPMENT_HISTORY" localSheetId="4">[3]ﾃﾞｰﾀﾍﾞｰｽ変更点!#REF!</definedName>
    <definedName name="D_EQUIPMENT_HISTORY">[3]ﾃﾞｰﾀﾍﾞｰｽ変更点!#REF!</definedName>
    <definedName name="D_ERROR" localSheetId="6">[3]ﾃﾞｰﾀﾍﾞｰｽ変更点!#REF!</definedName>
    <definedName name="D_ERROR" localSheetId="4">[3]ﾃﾞｰﾀﾍﾞｰｽ変更点!#REF!</definedName>
    <definedName name="D_ERROR">[3]ﾃﾞｰﾀﾍﾞｰｽ変更点!#REF!</definedName>
    <definedName name="D_ERROR_ENABLED" localSheetId="6">[3]ﾃﾞｰﾀﾍﾞｰｽ変更点!#REF!</definedName>
    <definedName name="D_ERROR_ENABLED" localSheetId="4">[3]ﾃﾞｰﾀﾍﾞｰｽ変更点!#REF!</definedName>
    <definedName name="D_ERROR_ENABLED">[3]ﾃﾞｰﾀﾍﾞｰｽ変更点!#REF!</definedName>
    <definedName name="D_ERROR_MASTER" localSheetId="6">[3]ﾃﾞｰﾀﾍﾞｰｽ変更点!#REF!</definedName>
    <definedName name="D_ERROR_MASTER" localSheetId="4">[3]ﾃﾞｰﾀﾍﾞｰｽ変更点!#REF!</definedName>
    <definedName name="D_ERROR_MASTER">[3]ﾃﾞｰﾀﾍﾞｰｽ変更点!#REF!</definedName>
    <definedName name="D_EVENT_CATEGORY" localSheetId="6">[4]TableDesign!#REF!</definedName>
    <definedName name="D_EVENT_CATEGORY" localSheetId="4">[4]TableDesign!#REF!</definedName>
    <definedName name="D_EVENT_CATEGORY">[4]TableDesign!#REF!</definedName>
    <definedName name="D_EVENT_DIVISION" localSheetId="6">[3]ﾃﾞｰﾀﾍﾞｰｽ変更点!#REF!</definedName>
    <definedName name="D_EVENT_DIVISION" localSheetId="4">[3]ﾃﾞｰﾀﾍﾞｰｽ変更点!#REF!</definedName>
    <definedName name="D_EVENT_DIVISION">[3]ﾃﾞｰﾀﾍﾞｰｽ変更点!#REF!</definedName>
    <definedName name="D_EVENT_MASTER" localSheetId="6">[3]ﾃﾞｰﾀﾍﾞｰｽ変更点!#REF!</definedName>
    <definedName name="D_EVENT_MASTER" localSheetId="4">[3]ﾃﾞｰﾀﾍﾞｰｽ変更点!#REF!</definedName>
    <definedName name="D_EVENT_MASTER">[3]ﾃﾞｰﾀﾍﾞｰｽ変更点!#REF!</definedName>
    <definedName name="D_EVENT_NOTICE" localSheetId="6">[3]ﾃﾞｰﾀﾍﾞｰｽ変更点!#REF!</definedName>
    <definedName name="D_EVENT_NOTICE" localSheetId="4">[3]ﾃﾞｰﾀﾍﾞｰｽ変更点!#REF!</definedName>
    <definedName name="D_EVENT_NOTICE">[3]ﾃﾞｰﾀﾍﾞｰｽ変更点!#REF!</definedName>
    <definedName name="D_FUEL_GAUGE" localSheetId="6">[4]TableDesign!#REF!</definedName>
    <definedName name="D_FUEL_GAUGE" localSheetId="4">[4]TableDesign!#REF!</definedName>
    <definedName name="D_FUEL_GAUGE">[4]TableDesign!#REF!</definedName>
    <definedName name="D_GAUGE_FUEL_WTTEMP" localSheetId="6">[3]ﾃﾞｰﾀﾍﾞｰｽ変更点!#REF!</definedName>
    <definedName name="D_GAUGE_FUEL_WTTEMP" localSheetId="4">[3]ﾃﾞｰﾀﾍﾞｰｽ変更点!#REF!</definedName>
    <definedName name="D_GAUGE_FUEL_WTTEMP">[3]ﾃﾞｰﾀﾍﾞｰｽ変更点!#REF!</definedName>
    <definedName name="D_GIS_DEFINE" localSheetId="6">[4]TableDesign!#REF!</definedName>
    <definedName name="D_GIS_DEFINE" localSheetId="4">[4]TableDesign!#REF!</definedName>
    <definedName name="D_GIS_DEFINE">[4]TableDesign!#REF!</definedName>
    <definedName name="D_GPS" localSheetId="6">[3]ﾃﾞｰﾀﾍﾞｰｽ変更点!#REF!</definedName>
    <definedName name="D_GPS" localSheetId="4">[3]ﾃﾞｰﾀﾍﾞｰｽ変更点!#REF!</definedName>
    <definedName name="D_GPS">[3]ﾃﾞｰﾀﾍﾞｰｽ変更点!#REF!</definedName>
    <definedName name="D_GRANT_AUTHORITY" localSheetId="6">[3]ﾃﾞｰﾀﾍﾞｰｽ変更点!#REF!</definedName>
    <definedName name="D_GRANT_AUTHORITY" localSheetId="4">[3]ﾃﾞｰﾀﾍﾞｰｽ変更点!#REF!</definedName>
    <definedName name="D_GRANT_AUTHORITY">[3]ﾃﾞｰﾀﾍﾞｰｽ変更点!#REF!</definedName>
    <definedName name="D_GROUP_MASTER" localSheetId="6">[3]ﾃﾞｰﾀﾍﾞｰｽ変更点!#REF!</definedName>
    <definedName name="D_GROUP_MASTER" localSheetId="4">[3]ﾃﾞｰﾀﾍﾞｰｽ変更点!#REF!</definedName>
    <definedName name="D_GROUP_MASTER">[3]ﾃﾞｰﾀﾍﾞｰｽ変更点!#REF!</definedName>
    <definedName name="D_IGNORE_CAUTION" localSheetId="6">[5]テーブル設計!#REF!</definedName>
    <definedName name="D_IGNORE_CAUTION" localSheetId="4">[5]テーブル設計!#REF!</definedName>
    <definedName name="D_IGNORE_CAUTION">[5]テーブル設計!#REF!</definedName>
    <definedName name="D_IGNORE_ERROR" localSheetId="6">[5]テーブル設計!#REF!</definedName>
    <definedName name="D_IGNORE_ERROR" localSheetId="4">[5]テーブル設計!#REF!</definedName>
    <definedName name="D_IGNORE_ERROR">[5]テーブル設計!#REF!</definedName>
    <definedName name="D_INFORM_MASTER" localSheetId="6">[3]ﾃﾞｰﾀﾍﾞｰｽ変更点!#REF!</definedName>
    <definedName name="D_INFORM_MASTER" localSheetId="4">[3]ﾃﾞｰﾀﾍﾞｰｽ変更点!#REF!</definedName>
    <definedName name="D_INFORM_MASTER">[3]ﾃﾞｰﾀﾍﾞｰｽ変更点!#REF!</definedName>
    <definedName name="D_INFORMATION" localSheetId="6">[3]ﾃﾞｰﾀﾍﾞｰｽ変更点!#REF!</definedName>
    <definedName name="D_INFORMATION" localSheetId="4">[3]ﾃﾞｰﾀﾍﾞｰｽ変更点!#REF!</definedName>
    <definedName name="D_INFORMATION">[3]ﾃﾞｰﾀﾍﾞｰｽ変更点!#REF!</definedName>
    <definedName name="D_INFORMATION_READED" localSheetId="6">[3]ﾃﾞｰﾀﾍﾞｰｽ変更点!#REF!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6">[5]テーブル設計!#REF!</definedName>
    <definedName name="D_INVALID_PART_TERMINAL" localSheetId="4">[5]テーブル設計!#REF!</definedName>
    <definedName name="D_INVALID_PART_TERMINAL">[5]テーブル設計!#REF!</definedName>
    <definedName name="D_KIND_MASTER" localSheetId="6">[3]ﾃﾞｰﾀﾍﾞｰｽ変更点!#REF!</definedName>
    <definedName name="D_KIND_MASTER" localSheetId="4">[3]ﾃﾞｰﾀﾍﾞｰｽ変更点!#REF!</definedName>
    <definedName name="D_KIND_MASTER">[3]ﾃﾞｰﾀﾍﾞｰｽ変更点!#REF!</definedName>
    <definedName name="D_KRO_APPLICATION" localSheetId="6">[3]ﾃﾞｰﾀﾍﾞｰｽ変更点!#REF!</definedName>
    <definedName name="D_KRO_APPLICATION" localSheetId="4">[3]ﾃﾞｰﾀﾍﾞｰｽ変更点!#REF!</definedName>
    <definedName name="D_KRO_APPLICATION">[3]ﾃﾞｰﾀﾍﾞｰｽ変更点!#REF!</definedName>
    <definedName name="D_KRO_APPLICATION_DATA" localSheetId="6">[3]ﾃﾞｰﾀﾍﾞｰｽ変更点!#REF!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6">[3]ﾃﾞｰﾀﾍﾞｰｽ変更点!#REF!</definedName>
    <definedName name="D_KRO_COMPLETION" localSheetId="4">[3]ﾃﾞｰﾀﾍﾞｰｽ変更点!#REF!</definedName>
    <definedName name="D_KRO_COMPLETION">[3]ﾃﾞｰﾀﾍﾞｰｽ変更点!#REF!</definedName>
    <definedName name="D_KRO_COMPLETION_DATA" localSheetId="6">[3]ﾃﾞｰﾀﾍﾞｰｽ変更点!#REF!</definedName>
    <definedName name="D_KRO_COMPLETION_DATA" localSheetId="4">[3]ﾃﾞｰﾀﾍﾞｰｽ変更点!#REF!</definedName>
    <definedName name="D_KRO_COMPLETION_DATA">[3]ﾃﾞｰﾀﾍﾞｰｽ変更点!#REF!</definedName>
    <definedName name="D_KRO_EMERGENCY" localSheetId="6">[5]テーブル設計!#REF!</definedName>
    <definedName name="D_KRO_EMERGENCY" localSheetId="4">[5]テーブル設計!#REF!</definedName>
    <definedName name="D_KRO_EMERGENCY">[5]テーブル設計!#REF!</definedName>
    <definedName name="D_KRO_REPORT" localSheetId="6">[3]ﾃﾞｰﾀﾍﾞｰｽ変更点!#REF!</definedName>
    <definedName name="D_KRO_REPORT" localSheetId="4">[3]ﾃﾞｰﾀﾍﾞｰｽ変更点!#REF!</definedName>
    <definedName name="D_KRO_REPORT">[3]ﾃﾞｰﾀﾍﾞｰｽ変更点!#REF!</definedName>
    <definedName name="D_LANDMARK" localSheetId="6">[3]ﾃﾞｰﾀﾍﾞｰｽ変更点!#REF!</definedName>
    <definedName name="D_LANDMARK" localSheetId="4">[3]ﾃﾞｰﾀﾍﾞｰｽ変更点!#REF!</definedName>
    <definedName name="D_LANDMARK">[3]ﾃﾞｰﾀﾍﾞｰｽ変更点!#REF!</definedName>
    <definedName name="D_LANDMARK_CLASS" localSheetId="6">[3]ﾃﾞｰﾀﾍﾞｰｽ変更点!#REF!</definedName>
    <definedName name="D_LANDMARK_CLASS" localSheetId="4">[3]ﾃﾞｰﾀﾍﾞｰｽ変更点!#REF!</definedName>
    <definedName name="D_LANDMARK_CLASS">[3]ﾃﾞｰﾀﾍﾞｰｽ変更点!#REF!</definedName>
    <definedName name="D_LOGON_HISTORY" localSheetId="6">[3]ﾃﾞｰﾀﾍﾞｰｽ変更点!#REF!</definedName>
    <definedName name="D_LOGON_HISTORY" localSheetId="4">[3]ﾃﾞｰﾀﾍﾞｰｽ変更点!#REF!</definedName>
    <definedName name="D_LOGON_HISTORY">[3]ﾃﾞｰﾀﾍﾞｰｽ変更点!#REF!</definedName>
    <definedName name="D_MACHINE_ERROR" localSheetId="6">[4]TableDesign!#REF!</definedName>
    <definedName name="D_MACHINE_ERROR" localSheetId="4">[4]TableDesign!#REF!</definedName>
    <definedName name="D_MACHINE_ERROR">[4]TableDesign!#REF!</definedName>
    <definedName name="D_MACHINE_STATUS_MASTER" localSheetId="6">[3]ﾃﾞｰﾀﾍﾞｰｽ変更点!#REF!</definedName>
    <definedName name="D_MACHINE_STATUS_MASTER" localSheetId="4">[3]ﾃﾞｰﾀﾍﾞｰｽ変更点!#REF!</definedName>
    <definedName name="D_MACHINE_STATUS_MASTER">[3]ﾃﾞｰﾀﾍﾞｰｽ変更点!#REF!</definedName>
    <definedName name="D_MAINTENANCE_DATA" localSheetId="6">[3]ﾃﾞｰﾀﾍﾞｰｽ変更点!#REF!</definedName>
    <definedName name="D_MAINTENANCE_DATA" localSheetId="4">[3]ﾃﾞｰﾀﾍﾞｰｽ変更点!#REF!</definedName>
    <definedName name="D_MAINTENANCE_DATA">[3]ﾃﾞｰﾀﾍﾞｰｽ変更点!#REF!</definedName>
    <definedName name="D_MAINTENANCE_INFORM" localSheetId="6">[3]ﾃﾞｰﾀﾍﾞｰｽ変更点!#REF!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6">[3]ﾃﾞｰﾀﾍﾞｰｽ変更点!#REF!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6">[4]TableDesign!#REF!</definedName>
    <definedName name="D_MAINTENANCE_TIME" localSheetId="4">[4]TableDesign!#REF!</definedName>
    <definedName name="D_MAINTENANCE_TIME">[4]TableDesign!#REF!</definedName>
    <definedName name="D_MAKER_MASTER" localSheetId="6">[3]ﾃﾞｰﾀﾍﾞｰｽ変更点!#REF!</definedName>
    <definedName name="D_MAKER_MASTER" localSheetId="4">[3]ﾃﾞｰﾀﾍﾞｰｽ変更点!#REF!</definedName>
    <definedName name="D_MAKER_MASTER">[3]ﾃﾞｰﾀﾍﾞｰｽ変更点!#REF!</definedName>
    <definedName name="D_MARK_MACHINE" localSheetId="6">[4]TableDesign!#REF!</definedName>
    <definedName name="D_MARK_MACHINE" localSheetId="4">[4]TableDesign!#REF!</definedName>
    <definedName name="D_MARK_MACHINE">[4]TableDesign!#REF!</definedName>
    <definedName name="D_MARK_NOTIFICATION" localSheetId="6">[4]TableDesign!#REF!</definedName>
    <definedName name="D_MARK_NOTIFICATION" localSheetId="4">[4]TableDesign!#REF!</definedName>
    <definedName name="D_MARK_NOTIFICATION">[4]TableDesign!#REF!</definedName>
    <definedName name="D_MARK_NOTIFICATION_DETAIL" localSheetId="6">[4]TableDesign!#REF!</definedName>
    <definedName name="D_MARK_NOTIFICATION_DETAIL" localSheetId="4">[4]TableDesign!#REF!</definedName>
    <definedName name="D_MARK_NOTIFICATION_DETAIL">[4]TableDesign!#REF!</definedName>
    <definedName name="D_MEMO" localSheetId="6">[3]ﾃﾞｰﾀﾍﾞｰｽ変更点!#REF!</definedName>
    <definedName name="D_MEMO" localSheetId="4">[3]ﾃﾞｰﾀﾍﾞｰｽ変更点!#REF!</definedName>
    <definedName name="D_MEMO">[3]ﾃﾞｰﾀﾍﾞｰｽ変更点!#REF!</definedName>
    <definedName name="D_MEMORY_MODIFY" localSheetId="6">[3]ﾃﾞｰﾀﾍﾞｰｽ変更点!#REF!</definedName>
    <definedName name="D_MEMORY_MODIFY" localSheetId="4">[3]ﾃﾞｰﾀﾍﾞｰｽ変更点!#REF!</definedName>
    <definedName name="D_MEMORY_MODIFY">[3]ﾃﾞｰﾀﾍﾞｰｽ変更点!#REF!</definedName>
    <definedName name="D_MEMORY_MODIFY_DATA" localSheetId="6">[3]ﾃﾞｰﾀﾍﾞｰｽ変更点!#REF!</definedName>
    <definedName name="D_MEMORY_MODIFY_DATA" localSheetId="4">[3]ﾃﾞｰﾀﾍﾞｰｽ変更点!#REF!</definedName>
    <definedName name="D_MEMORY_MODIFY_DATA">[3]ﾃﾞｰﾀﾍﾞｰｽ変更点!#REF!</definedName>
    <definedName name="D_MESSAGE" localSheetId="6">[3]ﾃﾞｰﾀﾍﾞｰｽ変更点!#REF!</definedName>
    <definedName name="D_MESSAGE" localSheetId="4">[3]ﾃﾞｰﾀﾍﾞｰｽ変更点!#REF!</definedName>
    <definedName name="D_MESSAGE">[3]ﾃﾞｰﾀﾍﾞｰｽ変更点!#REF!</definedName>
    <definedName name="D_MESSAGE_MASTER" localSheetId="6">[3]ﾃﾞｰﾀﾍﾞｰｽ変更点!#REF!</definedName>
    <definedName name="D_MESSAGE_MASTER" localSheetId="4">[3]ﾃﾞｰﾀﾍﾞｰｽ変更点!#REF!</definedName>
    <definedName name="D_MESSAGE_MASTER">[3]ﾃﾞｰﾀﾍﾞｰｽ変更点!#REF!</definedName>
    <definedName name="D_MONTHLY_ATT_SMR" localSheetId="6">[4]TableDesign!#REF!</definedName>
    <definedName name="D_MONTHLY_ATT_SMR" localSheetId="4">[4]TableDesign!#REF!</definedName>
    <definedName name="D_MONTHLY_ATT_SMR">[4]TableDesign!#REF!</definedName>
    <definedName name="D_MONTHLY_ERROR" localSheetId="6">[4]TableDesign!#REF!</definedName>
    <definedName name="D_MONTHLY_ERROR" localSheetId="4">[4]TableDesign!#REF!</definedName>
    <definedName name="D_MONTHLY_ERROR">[4]TableDesign!#REF!</definedName>
    <definedName name="D_MONTHLY_LOAD" localSheetId="6">[4]TableDesign!#REF!</definedName>
    <definedName name="D_MONTHLY_LOAD" localSheetId="4">[4]TableDesign!#REF!</definedName>
    <definedName name="D_MONTHLY_LOAD">[4]TableDesign!#REF!</definedName>
    <definedName name="D_MONTHLY_MOVEMENT" localSheetId="6">[4]TableDesign!#REF!</definedName>
    <definedName name="D_MONTHLY_MOVEMENT" localSheetId="4">[4]TableDesign!#REF!</definedName>
    <definedName name="D_MONTHLY_MOVEMENT">[4]TableDesign!#REF!</definedName>
    <definedName name="D_MONTHLY_OPERATION" localSheetId="6">[4]TableDesign!#REF!</definedName>
    <definedName name="D_MONTHLY_OPERATION" localSheetId="4">[4]TableDesign!#REF!</definedName>
    <definedName name="D_MONTHLY_OPERATION">[4]TableDesign!#REF!</definedName>
    <definedName name="D_MONTHLY_SMR" localSheetId="6">[4]TableDesign!#REF!</definedName>
    <definedName name="D_MONTHLY_SMR" localSheetId="4">[4]TableDesign!#REF!</definedName>
    <definedName name="D_MONTHLY_SMR">[4]TableDesign!#REF!</definedName>
    <definedName name="D_MONTHLY_WORKING_SMR" localSheetId="6">[4]TableDesign!#REF!</definedName>
    <definedName name="D_MONTHLY_WORKING_SMR" localSheetId="4">[4]TableDesign!#REF!</definedName>
    <definedName name="D_MONTHLY_WORKING_SMR">[4]TableDesign!#REF!</definedName>
    <definedName name="D_MONTLY_LOAD" localSheetId="6">[4]TableDesign!#REF!</definedName>
    <definedName name="D_MONTLY_LOAD" localSheetId="4">[4]TableDesign!#REF!</definedName>
    <definedName name="D_MONTLY_LOAD">[4]TableDesign!#REF!</definedName>
    <definedName name="D_MULTI_OPE" localSheetId="6">[3]ﾃﾞｰﾀﾍﾞｰｽ変更点!#REF!</definedName>
    <definedName name="D_MULTI_OPE" localSheetId="4">[3]ﾃﾞｰﾀﾍﾞｰｽ変更点!#REF!</definedName>
    <definedName name="D_MULTI_OPE">[3]ﾃﾞｰﾀﾍﾞｰｽ変更点!#REF!</definedName>
    <definedName name="D_MULTI_OPE_DATA" localSheetId="6">[5]テーブル設計!#REF!</definedName>
    <definedName name="D_MULTI_OPE_DATA" localSheetId="4">[5]テーブル設計!#REF!</definedName>
    <definedName name="D_MULTI_OPE_DATA">[5]テーブル設計!#REF!</definedName>
    <definedName name="D_NLS_DB_RESOURCE" localSheetId="6">[4]TableDesign!#REF!</definedName>
    <definedName name="D_NLS_DB_RESOURCE" localSheetId="4">[4]TableDesign!#REF!</definedName>
    <definedName name="D_NLS_DB_RESOURCE">[4]TableDesign!#REF!</definedName>
    <definedName name="D_NLS_LANG" localSheetId="6">[4]TableDesign!#REF!</definedName>
    <definedName name="D_NLS_LANG" localSheetId="4">[4]TableDesign!#REF!</definedName>
    <definedName name="D_NLS_LANG">[4]TableDesign!#REF!</definedName>
    <definedName name="D_NLS_RESOURCE" localSheetId="6">[4]TableDesign!#REF!</definedName>
    <definedName name="D_NLS_RESOURCE" localSheetId="4">[4]TableDesign!#REF!</definedName>
    <definedName name="D_NLS_RESOURCE">[4]TableDesign!#REF!</definedName>
    <definedName name="D_NOT_ACTIVE" localSheetId="6">[3]ﾃﾞｰﾀﾍﾞｰｽ変更点!#REF!</definedName>
    <definedName name="D_NOT_ACTIVE" localSheetId="4">[3]ﾃﾞｰﾀﾍﾞｰｽ変更点!#REF!</definedName>
    <definedName name="D_NOT_ACTIVE">[3]ﾃﾞｰﾀﾍﾞｰｽ変更点!#REF!</definedName>
    <definedName name="D_OPERATION_CATEGORY" localSheetId="6">[4]TableDesign!#REF!</definedName>
    <definedName name="D_OPERATION_CATEGORY" localSheetId="4">[4]TableDesign!#REF!</definedName>
    <definedName name="D_OPERATION_CATEGORY">[4]TableDesign!#REF!</definedName>
    <definedName name="D_OPERATION_CLASS" localSheetId="6">[5]テーブル設計!#REF!</definedName>
    <definedName name="D_OPERATION_CLASS" localSheetId="4">[5]テーブル設計!#REF!</definedName>
    <definedName name="D_OPERATION_CLASS">[5]テーブル設計!#REF!</definedName>
    <definedName name="D_OPERATION_LOG" localSheetId="6">[3]ﾃﾞｰﾀﾍﾞｰｽ変更点!#REF!</definedName>
    <definedName name="D_OPERATION_LOG" localSheetId="4">[3]ﾃﾞｰﾀﾍﾞｰｽ変更点!#REF!</definedName>
    <definedName name="D_OPERATION_LOG">[3]ﾃﾞｰﾀﾍﾞｰｽ変更点!#REF!</definedName>
    <definedName name="D_OPERATION_LOG2" localSheetId="6">[5]テーブル設計!#REF!</definedName>
    <definedName name="D_OPERATION_LOG2" localSheetId="4">[5]テーブル設計!#REF!</definedName>
    <definedName name="D_OPERATION_LOG2">[5]テーブル設計!#REF!</definedName>
    <definedName name="D_OPERATION_MAP" localSheetId="6">[4]TableDesign!#REF!</definedName>
    <definedName name="D_OPERATION_MAP" localSheetId="4">[4]TableDesign!#REF!</definedName>
    <definedName name="D_OPERATION_MAP">[4]TableDesign!#REF!</definedName>
    <definedName name="D_OPERATION_MASTER" localSheetId="6">[5]テーブル設計!#REF!</definedName>
    <definedName name="D_OPERATION_MASTER" localSheetId="4">[5]テーブル設計!#REF!</definedName>
    <definedName name="D_OPERATION_MASTER">[5]テーブル設計!#REF!</definedName>
    <definedName name="D_ORBCOMM" localSheetId="6">[3]ﾃﾞｰﾀﾍﾞｰｽ変更点!#REF!</definedName>
    <definedName name="D_ORBCOMM" localSheetId="4">[3]ﾃﾞｰﾀﾍﾞｰｽ変更点!#REF!</definedName>
    <definedName name="D_ORBCOMM">[3]ﾃﾞｰﾀﾍﾞｰｽ変更点!#REF!</definedName>
    <definedName name="D_ORBCOMM_OWNER_HISTORY" localSheetId="6">[3]ﾃﾞｰﾀﾍﾞｰｽ変更点!#REF!</definedName>
    <definedName name="D_ORBCOMM_OWNER_HISTORY" localSheetId="4">[3]ﾃﾞｰﾀﾍﾞｰｽ変更点!#REF!</definedName>
    <definedName name="D_ORBCOMM_OWNER_HISTORY">[3]ﾃﾞｰﾀﾍﾞｰｽ変更点!#REF!</definedName>
    <definedName name="D_PLANT_CAR" localSheetId="6">[5]テーブル設計!#REF!</definedName>
    <definedName name="D_PLANT_CAR" localSheetId="4">[5]テーブル設計!#REF!</definedName>
    <definedName name="D_PLANT_CAR">[5]テーブル設計!#REF!</definedName>
    <definedName name="D_PLANT_ERROR" localSheetId="6">[5]テーブル設計!#REF!</definedName>
    <definedName name="D_PLANT_ERROR" localSheetId="4">[5]テーブル設計!#REF!</definedName>
    <definedName name="D_PLANT_ERROR">[5]テーブル設計!#REF!</definedName>
    <definedName name="D_PLANT_GPS" localSheetId="6">[5]テーブル設計!#REF!</definedName>
    <definedName name="D_PLANT_GPS" localSheetId="4">[5]テーブル設計!#REF!</definedName>
    <definedName name="D_PLANT_GPS">[5]テーブル設計!#REF!</definedName>
    <definedName name="D_PREVENT_THEFT_KEY" localSheetId="6">[3]ﾃﾞｰﾀﾍﾞｰｽ変更点!#REF!</definedName>
    <definedName name="D_PREVENT_THEFT_KEY" localSheetId="4">[3]ﾃﾞｰﾀﾍﾞｰｽ変更点!#REF!</definedName>
    <definedName name="D_PREVENT_THEFT_KEY">[3]ﾃﾞｰﾀﾍﾞｰｽ変更点!#REF!</definedName>
    <definedName name="D_PRIVATE_TARGET_CAR" localSheetId="6">[3]ﾃﾞｰﾀﾍﾞｰｽ変更点!#REF!</definedName>
    <definedName name="D_PRIVATE_TARGET_CAR" localSheetId="4">[3]ﾃﾞｰﾀﾍﾞｰｽ変更点!#REF!</definedName>
    <definedName name="D_PRIVATE_TARGET_CAR">[3]ﾃﾞｰﾀﾍﾞｰｽ変更点!#REF!</definedName>
    <definedName name="D_RECEIVE_LIST" localSheetId="6">[5]テーブル設計!#REF!</definedName>
    <definedName name="D_RECEIVE_LIST" localSheetId="4">[5]テーブル設計!#REF!</definedName>
    <definedName name="D_RECEIVE_LIST">[5]テーブル設計!#REF!</definedName>
    <definedName name="D_RECEIVE_LOG" localSheetId="6">[3]ﾃﾞｰﾀﾍﾞｰｽ変更点!#REF!</definedName>
    <definedName name="D_RECEIVE_LOG" localSheetId="4">[3]ﾃﾞｰﾀﾍﾞｰｽ変更点!#REF!</definedName>
    <definedName name="D_RECEIVE_LOG">[3]ﾃﾞｰﾀﾍﾞｰｽ変更点!#REF!</definedName>
    <definedName name="D_REGION_DATA" localSheetId="6">[4]TableDesign!#REF!</definedName>
    <definedName name="D_REGION_DATA" localSheetId="4">[4]TableDesign!#REF!</definedName>
    <definedName name="D_REGION_DATA">[4]TableDesign!#REF!</definedName>
    <definedName name="D_REGION_MASTER" localSheetId="6">[4]TableDesign!#REF!</definedName>
    <definedName name="D_REGION_MASTER" localSheetId="4">[4]TableDesign!#REF!</definedName>
    <definedName name="D_REGION_MASTER">[4]TableDesign!#REF!</definedName>
    <definedName name="D_RENTAL_TERMINAL" localSheetId="6">[5]テーブル設計!#REF!</definedName>
    <definedName name="D_RENTAL_TERMINAL" localSheetId="4">[5]テーブル設計!#REF!</definedName>
    <definedName name="D_RENTAL_TERMINAL">[5]テーブル設計!#REF!</definedName>
    <definedName name="D_REQUEST" localSheetId="6">[3]ﾃﾞｰﾀﾍﾞｰｽ変更点!#REF!</definedName>
    <definedName name="D_REQUEST" localSheetId="4">[3]ﾃﾞｰﾀﾍﾞｰｽ変更点!#REF!</definedName>
    <definedName name="D_REQUEST">[3]ﾃﾞｰﾀﾍﾞｰｽ変更点!#REF!</definedName>
    <definedName name="D_REQUEST_COUNT" localSheetId="6">[3]ﾃﾞｰﾀﾍﾞｰｽ変更点!#REF!</definedName>
    <definedName name="D_REQUEST_COUNT" localSheetId="4">[3]ﾃﾞｰﾀﾍﾞｰｽ変更点!#REF!</definedName>
    <definedName name="D_REQUEST_COUNT">[3]ﾃﾞｰﾀﾍﾞｰｽ変更点!#REF!</definedName>
    <definedName name="D_REQUEST_LOG" localSheetId="6">[3]ﾃﾞｰﾀﾍﾞｰｽ変更点!#REF!</definedName>
    <definedName name="D_REQUEST_LOG" localSheetId="4">[3]ﾃﾞｰﾀﾍﾞｰｽ変更点!#REF!</definedName>
    <definedName name="D_REQUEST_LOG">[3]ﾃﾞｰﾀﾍﾞｰｽ変更点!#REF!</definedName>
    <definedName name="D_RIVATE_TARGET_CAR" localSheetId="6">[4]TableDesign!#REF!</definedName>
    <definedName name="D_RIVATE_TARGET_CAR" localSheetId="4">[4]TableDesign!#REF!</definedName>
    <definedName name="D_RIVATE_TARGET_CAR">[4]TableDesign!#REF!</definedName>
    <definedName name="D_RUNNING_LOG" localSheetId="6">[3]ﾃﾞｰﾀﾍﾞｰｽ変更点!#REF!</definedName>
    <definedName name="D_RUNNING_LOG" localSheetId="4">[3]ﾃﾞｰﾀﾍﾞｰｽ変更点!#REF!</definedName>
    <definedName name="D_RUNNING_LOG">[3]ﾃﾞｰﾀﾍﾞｰｽ変更点!#REF!</definedName>
    <definedName name="D_SAVE_INFORMATION" localSheetId="6">[5]テーブル設計!#REF!</definedName>
    <definedName name="D_SAVE_INFORMATION" localSheetId="4">[5]テーブル設計!#REF!</definedName>
    <definedName name="D_SAVE_INFORMATION">[5]テーブル設計!#REF!</definedName>
    <definedName name="D_SELFCARINSPECTION" localSheetId="6">[3]ﾃﾞｰﾀﾍﾞｰｽ変更点!#REF!</definedName>
    <definedName name="D_SELFCARINSPECTION" localSheetId="4">[3]ﾃﾞｰﾀﾍﾞｰｽ変更点!#REF!</definedName>
    <definedName name="D_SELFCARINSPECTION">[3]ﾃﾞｰﾀﾍﾞｰｽ変更点!#REF!</definedName>
    <definedName name="D_SEND_LIST" localSheetId="6">[5]テーブル設計!#REF!</definedName>
    <definedName name="D_SEND_LIST" localSheetId="4">[5]テーブル設計!#REF!</definedName>
    <definedName name="D_SEND_LIST">[5]テーブル設計!#REF!</definedName>
    <definedName name="D_SEND_LOG" localSheetId="6">[5]テーブル設計!#REF!</definedName>
    <definedName name="D_SEND_LOG" localSheetId="4">[5]テーブル設計!#REF!</definedName>
    <definedName name="D_SEND_LOG">[5]テーブル設計!#REF!</definedName>
    <definedName name="D_SERVER_COMMUNICATION" localSheetId="6">[4]TableDesign!#REF!</definedName>
    <definedName name="D_SERVER_COMMUNICATION" localSheetId="4">[4]TableDesign!#REF!</definedName>
    <definedName name="D_SERVER_COMMUNICATION">[4]TableDesign!#REF!</definedName>
    <definedName name="D_SERVER_INFORMATION" localSheetId="6">[3]ﾃﾞｰﾀﾍﾞｰｽ変更点!#REF!</definedName>
    <definedName name="D_SERVER_INFORMATION" localSheetId="4">[3]ﾃﾞｰﾀﾍﾞｰｽ変更点!#REF!</definedName>
    <definedName name="D_SERVER_INFORMATION">[3]ﾃﾞｰﾀﾍﾞｰｽ変更点!#REF!</definedName>
    <definedName name="D_SERVICE_METER" localSheetId="6">[3]ﾃﾞｰﾀﾍﾞｰｽ変更点!#REF!</definedName>
    <definedName name="D_SERVICE_METER" localSheetId="4">[3]ﾃﾞｰﾀﾍﾞｰｽ変更点!#REF!</definedName>
    <definedName name="D_SERVICE_METER">[3]ﾃﾞｰﾀﾍﾞｰｽ変更点!#REF!</definedName>
    <definedName name="D_SERVICE_METER2" localSheetId="6">[5]テーブル設計!#REF!</definedName>
    <definedName name="D_SERVICE_METER2" localSheetId="4">[5]テーブル設計!#REF!</definedName>
    <definedName name="D_SERVICE_METER2">[5]テーブル設計!#REF!</definedName>
    <definedName name="D_SERVICEMAN" localSheetId="6">[5]テーブル設計!#REF!</definedName>
    <definedName name="D_SERVICEMAN" localSheetId="4">[5]テーブル設計!#REF!</definedName>
    <definedName name="D_SERVICEMAN">[5]テーブル設計!#REF!</definedName>
    <definedName name="D_SERVICEMAN_CHARGE" localSheetId="6">[5]テーブル設計!#REF!</definedName>
    <definedName name="D_SERVICEMAN_CHARGE" localSheetId="4">[5]テーブル設計!#REF!</definedName>
    <definedName name="D_SERVICEMAN_CHARGE">[5]テーブル設計!#REF!</definedName>
    <definedName name="D_SHIPMENT" localSheetId="6">[3]ﾃﾞｰﾀﾍﾞｰｽ変更点!#REF!</definedName>
    <definedName name="D_SHIPMENT" localSheetId="4">[3]ﾃﾞｰﾀﾍﾞｰｽ変更点!#REF!</definedName>
    <definedName name="D_SHIPMENT">[3]ﾃﾞｰﾀﾍﾞｰｽ変更点!#REF!</definedName>
    <definedName name="D_SHOW" localSheetId="6">[3]ﾃﾞｰﾀﾍﾞｰｽ変更点!#REF!</definedName>
    <definedName name="D_SHOW" localSheetId="4">[3]ﾃﾞｰﾀﾍﾞｰｽ変更点!#REF!</definedName>
    <definedName name="D_SHOW">[3]ﾃﾞｰﾀﾍﾞｰｽ変更点!#REF!</definedName>
    <definedName name="D_SHOW_GROUP" localSheetId="6">[3]ﾃﾞｰﾀﾍﾞｰｽ変更点!#REF!</definedName>
    <definedName name="D_SHOW_GROUP" localSheetId="4">[3]ﾃﾞｰﾀﾍﾞｰｽ変更点!#REF!</definedName>
    <definedName name="D_SHOW_GROUP">[3]ﾃﾞｰﾀﾍﾞｰｽ変更点!#REF!</definedName>
    <definedName name="D_SPECIAL_AREA" localSheetId="6">[3]ﾃﾞｰﾀﾍﾞｰｽ変更点!#REF!</definedName>
    <definedName name="D_SPECIAL_AREA" localSheetId="4">[3]ﾃﾞｰﾀﾍﾞｰｽ変更点!#REF!</definedName>
    <definedName name="D_SPECIAL_AREA">[3]ﾃﾞｰﾀﾍﾞｰｽ変更点!#REF!</definedName>
    <definedName name="D_SUB_GROUP" localSheetId="6">[4]TableDesign!#REF!</definedName>
    <definedName name="D_SUB_GROUP" localSheetId="4">[4]TableDesign!#REF!</definedName>
    <definedName name="D_SUB_GROUP">[4]TableDesign!#REF!</definedName>
    <definedName name="D_SUB_GROUP_CAR" localSheetId="6">[4]TableDesign!#REF!</definedName>
    <definedName name="D_SUB_GROUP_CAR" localSheetId="4">[4]TableDesign!#REF!</definedName>
    <definedName name="D_SUB_GROUP_CAR">[4]TableDesign!#REF!</definedName>
    <definedName name="D_SYSTEM_COMMTERM_INFO" localSheetId="6">[3]ﾃﾞｰﾀﾍﾞｰｽ変更点!#REF!</definedName>
    <definedName name="D_SYSTEM_COMMTERM_INFO" localSheetId="4">[3]ﾃﾞｰﾀﾍﾞｰｽ変更点!#REF!</definedName>
    <definedName name="D_SYSTEM_COMMTERM_INFO">[3]ﾃﾞｰﾀﾍﾞｰｽ変更点!#REF!</definedName>
    <definedName name="D_SYSTEM_LOG" localSheetId="6">[3]ﾃﾞｰﾀﾍﾞｰｽ変更点!#REF!</definedName>
    <definedName name="D_SYSTEM_LOG" localSheetId="4">[3]ﾃﾞｰﾀﾍﾞｰｽ変更点!#REF!</definedName>
    <definedName name="D_SYSTEM_LOG">[3]ﾃﾞｰﾀﾍﾞｰｽ変更点!#REF!</definedName>
    <definedName name="D_SYSTEM_NOTICE" localSheetId="6">[3]ﾃﾞｰﾀﾍﾞｰｽ変更点!#REF!</definedName>
    <definedName name="D_SYSTEM_NOTICE" localSheetId="4">[3]ﾃﾞｰﾀﾍﾞｰｽ変更点!#REF!</definedName>
    <definedName name="D_SYSTEM_NOTICE">[3]ﾃﾞｰﾀﾍﾞｰｽ変更点!#REF!</definedName>
    <definedName name="D_TARGET" localSheetId="6">[3]ﾃﾞｰﾀﾍﾞｰｽ変更点!#REF!</definedName>
    <definedName name="D_TARGET" localSheetId="4">[3]ﾃﾞｰﾀﾍﾞｰｽ変更点!#REF!</definedName>
    <definedName name="D_TARGET">[3]ﾃﾞｰﾀﾍﾞｰｽ変更点!#REF!</definedName>
    <definedName name="D_TARGET_CAR" localSheetId="6">[3]ﾃﾞｰﾀﾍﾞｰｽ変更点!#REF!</definedName>
    <definedName name="D_TARGET_CAR" localSheetId="4">[3]ﾃﾞｰﾀﾍﾞｰｽ変更点!#REF!</definedName>
    <definedName name="D_TARGET_CAR">[3]ﾃﾞｰﾀﾍﾞｰｽ変更点!#REF!</definedName>
    <definedName name="D_TERMINAL_AREA" localSheetId="6">[3]ﾃﾞｰﾀﾍﾞｰｽ変更点!#REF!</definedName>
    <definedName name="D_TERMINAL_AREA" localSheetId="4">[3]ﾃﾞｰﾀﾍﾞｰｽ変更点!#REF!</definedName>
    <definedName name="D_TERMINAL_AREA">[3]ﾃﾞｰﾀﾍﾞｰｽ変更点!#REF!</definedName>
    <definedName name="D_TERMINAL_CAUTION" localSheetId="6">[3]ﾃﾞｰﾀﾍﾞｰｽ変更点!#REF!</definedName>
    <definedName name="D_TERMINAL_CAUTION" localSheetId="4">[3]ﾃﾞｰﾀﾍﾞｰｽ変更点!#REF!</definedName>
    <definedName name="D_TERMINAL_CAUTION">[3]ﾃﾞｰﾀﾍﾞｰｽ変更点!#REF!</definedName>
    <definedName name="D_TERMINAL_ERROR" localSheetId="6">[3]ﾃﾞｰﾀﾍﾞｰｽ変更点!#REF!</definedName>
    <definedName name="D_TERMINAL_ERROR" localSheetId="4">[3]ﾃﾞｰﾀﾍﾞｰｽ変更点!#REF!</definedName>
    <definedName name="D_TERMINAL_ERROR">[3]ﾃﾞｰﾀﾍﾞｰｽ変更点!#REF!</definedName>
    <definedName name="D_TERMINAL_KIND" localSheetId="6">[3]ﾃﾞｰﾀﾍﾞｰｽ変更点!#REF!</definedName>
    <definedName name="D_TERMINAL_KIND" localSheetId="4">[3]ﾃﾞｰﾀﾍﾞｰｽ変更点!#REF!</definedName>
    <definedName name="D_TERMINAL_KIND">[3]ﾃﾞｰﾀﾍﾞｰｽ変更点!#REF!</definedName>
    <definedName name="D_TERMINAL_MASTER" localSheetId="6">[3]ﾃﾞｰﾀﾍﾞｰｽ変更点!#REF!</definedName>
    <definedName name="D_TERMINAL_MASTER" localSheetId="4">[3]ﾃﾞｰﾀﾍﾞｰｽ変更点!#REF!</definedName>
    <definedName name="D_TERMINAL_MASTER">[3]ﾃﾞｰﾀﾍﾞｰｽ変更点!#REF!</definedName>
    <definedName name="D_TERMINAL_PART_MASTER" localSheetId="6">[3]ﾃﾞｰﾀﾍﾞｰｽ変更点!#REF!</definedName>
    <definedName name="D_TERMINAL_PART_MASTER" localSheetId="4">[3]ﾃﾞｰﾀﾍﾞｰｽ変更点!#REF!</definedName>
    <definedName name="D_TERMINAL_PART_MASTER">[3]ﾃﾞｰﾀﾍﾞｰｽ変更点!#REF!</definedName>
    <definedName name="D_TYPE_MASTER" localSheetId="6">[3]ﾃﾞｰﾀﾍﾞｰｽ変更点!#REF!</definedName>
    <definedName name="D_TYPE_MASTER" localSheetId="4">[3]ﾃﾞｰﾀﾍﾞｰｽ変更点!#REF!</definedName>
    <definedName name="D_TYPE_MASTER">[3]ﾃﾞｰﾀﾍﾞｰｽ変更点!#REF!</definedName>
    <definedName name="D_UFO" localSheetId="6">[3]ﾃﾞｰﾀﾍﾞｰｽ変更点!#REF!</definedName>
    <definedName name="D_UFO" localSheetId="4">[3]ﾃﾞｰﾀﾍﾞｰｽ変更点!#REF!</definedName>
    <definedName name="D_UFO">[3]ﾃﾞｰﾀﾍﾞｰｽ変更点!#REF!</definedName>
    <definedName name="D_UNRELIABLE_RECEIVE" localSheetId="6">[3]ﾃﾞｰﾀﾍﾞｰｽ変更点!#REF!</definedName>
    <definedName name="D_UNRELIABLE_RECEIVE" localSheetId="4">[3]ﾃﾞｰﾀﾍﾞｰｽ変更点!#REF!</definedName>
    <definedName name="D_UNRELIABLE_RECEIVE">[3]ﾃﾞｰﾀﾍﾞｰｽ変更点!#REF!</definedName>
    <definedName name="D_USER_MASTER" localSheetId="6">[3]ﾃﾞｰﾀﾍﾞｰｽ変更点!#REF!</definedName>
    <definedName name="D_USER_MASTER" localSheetId="4">[3]ﾃﾞｰﾀﾍﾞｰｽ変更点!#REF!</definedName>
    <definedName name="D_USER_MASTER">[3]ﾃﾞｰﾀﾍﾞｰｽ変更点!#REF!</definedName>
    <definedName name="D_USER_TEMP" localSheetId="6">[3]ﾃﾞｰﾀﾍﾞｰｽ変更点!#REF!</definedName>
    <definedName name="D_USER_TEMP" localSheetId="4">[3]ﾃﾞｰﾀﾍﾞｰｽ変更点!#REF!</definedName>
    <definedName name="D_USER_TEMP">[3]ﾃﾞｰﾀﾍﾞｰｽ変更点!#REF!</definedName>
    <definedName name="D_WATER_TEMP_GAUGE" localSheetId="6">[4]TableDesign!#REF!</definedName>
    <definedName name="D_WATER_TEMP_GAUGE" localSheetId="4">[4]TableDesign!#REF!</definedName>
    <definedName name="D_WATER_TEMP_GAUGE">[4]TableDesign!#REF!</definedName>
    <definedName name="DBI" localSheetId="6">#REF!</definedName>
    <definedName name="DBI" localSheetId="4">#REF!</definedName>
    <definedName name="DBI">#REF!</definedName>
    <definedName name="DD" localSheetId="6">'[6]DATA-COMMUNICATION-FORMAT'!#REF!</definedName>
    <definedName name="DD" localSheetId="4">'[6]DATA-COMMUNICATION-FORMAT'!#REF!</definedName>
    <definedName name="DD">'[6]DATA-COMMUNICATION-FORMAT'!#REF!</definedName>
    <definedName name="ddd" localSheetId="6" hidden="1">[7]基本仕様１!#REF!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6">[3]ﾃﾞｰﾀﾍﾞｰｽ変更点!#REF!</definedName>
    <definedName name="E_ACT_DATA" localSheetId="4">[3]ﾃﾞｰﾀﾍﾞｰｽ変更点!#REF!</definedName>
    <definedName name="E_ACT_DATA">[3]ﾃﾞｰﾀﾍﾞｰｽ変更点!#REF!</definedName>
    <definedName name="E_ACTUAL_OPERATION" localSheetId="6">[4]TableDesign!#REF!</definedName>
    <definedName name="E_ACTUAL_OPERATION" localSheetId="4">[4]TableDesign!#REF!</definedName>
    <definedName name="E_ACTUAL_OPERATION">[4]TableDesign!#REF!</definedName>
    <definedName name="E_AREA" localSheetId="6">[3]ﾃﾞｰﾀﾍﾞｰｽ変更点!#REF!</definedName>
    <definedName name="E_AREA" localSheetId="4">[3]ﾃﾞｰﾀﾍﾞｰｽ変更点!#REF!</definedName>
    <definedName name="E_AREA">[3]ﾃﾞｰﾀﾍﾞｰｽ変更点!#REF!</definedName>
    <definedName name="E_AREA_DEFINE" localSheetId="6">[3]ﾃﾞｰﾀﾍﾞｰｽ変更点!#REF!</definedName>
    <definedName name="E_AREA_DEFINE" localSheetId="4">[3]ﾃﾞｰﾀﾍﾞｰｽ変更点!#REF!</definedName>
    <definedName name="E_AREA_DEFINE">[3]ﾃﾞｰﾀﾍﾞｰｽ変更点!#REF!</definedName>
    <definedName name="E_AREA_INIT" localSheetId="6">[3]ﾃﾞｰﾀﾍﾞｰｽ変更点!#REF!</definedName>
    <definedName name="E_AREA_INIT" localSheetId="4">[3]ﾃﾞｰﾀﾍﾞｰｽ変更点!#REF!</definedName>
    <definedName name="E_AREA_INIT">[3]ﾃﾞｰﾀﾍﾞｰｽ変更点!#REF!</definedName>
    <definedName name="E_AREA_MASTER" localSheetId="6">[3]ﾃﾞｰﾀﾍﾞｰｽ変更点!#REF!</definedName>
    <definedName name="E_AREA_MASTER" localSheetId="4">[3]ﾃﾞｰﾀﾍﾞｰｽ変更点!#REF!</definedName>
    <definedName name="E_AREA_MASTER">[3]ﾃﾞｰﾀﾍﾞｰｽ変更点!#REF!</definedName>
    <definedName name="E_ASK" localSheetId="6">[3]ﾃﾞｰﾀﾍﾞｰｽ変更点!#REF!</definedName>
    <definedName name="E_ASK" localSheetId="4">[3]ﾃﾞｰﾀﾍﾞｰｽ変更点!#REF!</definedName>
    <definedName name="E_ASK">[3]ﾃﾞｰﾀﾍﾞｰｽ変更点!#REF!</definedName>
    <definedName name="E_ASK_LOG" localSheetId="6">[5]テーブル設計!#REF!</definedName>
    <definedName name="E_ASK_LOG" localSheetId="4">[5]テーブル設計!#REF!</definedName>
    <definedName name="E_ASK_LOG">[5]テーブル設計!#REF!</definedName>
    <definedName name="E_ASK_SYSTEM" localSheetId="6">[3]ﾃﾞｰﾀﾍﾞｰｽ変更点!#REF!</definedName>
    <definedName name="E_ASK_SYSTEM" localSheetId="4">[3]ﾃﾞｰﾀﾍﾞｰｽ変更点!#REF!</definedName>
    <definedName name="E_ASK_SYSTEM">[3]ﾃﾞｰﾀﾍﾞｰｽ変更点!#REF!</definedName>
    <definedName name="E_ATC_ERROR" localSheetId="6">[5]テーブル設計!#REF!</definedName>
    <definedName name="E_ATC_ERROR" localSheetId="4">[5]テーブル設計!#REF!</definedName>
    <definedName name="E_ATC_ERROR">[5]テーブル設計!#REF!</definedName>
    <definedName name="E_AUTHORITY_GROUP" localSheetId="6">[3]ﾃﾞｰﾀﾍﾞｰｽ変更点!#REF!</definedName>
    <definedName name="E_AUTHORITY_GROUP" localSheetId="4">[3]ﾃﾞｰﾀﾍﾞｰｽ変更点!#REF!</definedName>
    <definedName name="E_AUTHORITY_GROUP">[3]ﾃﾞｰﾀﾍﾞｰｽ変更点!#REF!</definedName>
    <definedName name="E_AUTHORITY_GROUP_DATA" localSheetId="6">[3]ﾃﾞｰﾀﾍﾞｰｽ変更点!#REF!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6">[5]テーブル設計!#REF!</definedName>
    <definedName name="E_AUTHORITY_MASTER" localSheetId="4">[5]テーブル設計!#REF!</definedName>
    <definedName name="E_AUTHORITY_MASTER">[5]テーブル設計!#REF!</definedName>
    <definedName name="E_BONDED_STORE" localSheetId="6">[5]テーブル設計!#REF!</definedName>
    <definedName name="E_BONDED_STORE" localSheetId="4">[5]テーブル設計!#REF!</definedName>
    <definedName name="E_BONDED_STORE">[5]テーブル設計!#REF!</definedName>
    <definedName name="E_CAR_DATA" localSheetId="6">[3]ﾃﾞｰﾀﾍﾞｰｽ変更点!#REF!</definedName>
    <definedName name="E_CAR_DATA" localSheetId="4">[3]ﾃﾞｰﾀﾍﾞｰｽ変更点!#REF!</definedName>
    <definedName name="E_CAR_DATA">[3]ﾃﾞｰﾀﾍﾞｰｽ変更点!#REF!</definedName>
    <definedName name="E_CAR_MASTER" localSheetId="6">[3]ﾃﾞｰﾀﾍﾞｰｽ変更点!#REF!</definedName>
    <definedName name="E_CAR_MASTER" localSheetId="4">[3]ﾃﾞｰﾀﾍﾞｰｽ変更点!#REF!</definedName>
    <definedName name="E_CAR_MASTER">[3]ﾃﾞｰﾀﾍﾞｰｽ変更点!#REF!</definedName>
    <definedName name="E_CAR_MONTHLY_DATA" localSheetId="6">[3]ﾃﾞｰﾀﾍﾞｰｽ変更点!#REF!</definedName>
    <definedName name="E_CAR_MONTHLY_DATA" localSheetId="4">[3]ﾃﾞｰﾀﾍﾞｰｽ変更点!#REF!</definedName>
    <definedName name="E_CAR_MONTHLY_DATA">[3]ﾃﾞｰﾀﾍﾞｰｽ変更点!#REF!</definedName>
    <definedName name="E_CAR_OWNER_HISTORY" localSheetId="6">[3]ﾃﾞｰﾀﾍﾞｰｽ変更点!#REF!</definedName>
    <definedName name="E_CAR_OWNER_HISTORY" localSheetId="4">[3]ﾃﾞｰﾀﾍﾞｰｽ変更点!#REF!</definedName>
    <definedName name="E_CAR_OWNER_HISTORY">[3]ﾃﾞｰﾀﾍﾞｰｽ変更点!#REF!</definedName>
    <definedName name="E_CAUTION" localSheetId="6">[4]TableDesign!#REF!</definedName>
    <definedName name="E_CAUTION" localSheetId="4">[4]TableDesign!#REF!</definedName>
    <definedName name="E_CAUTION">[4]TableDesign!#REF!</definedName>
    <definedName name="E_CAUTION_DATA" localSheetId="6">[3]ﾃﾞｰﾀﾍﾞｰｽ変更点!#REF!</definedName>
    <definedName name="E_CAUTION_DATA" localSheetId="4">[3]ﾃﾞｰﾀﾍﾞｰｽ変更点!#REF!</definedName>
    <definedName name="E_CAUTION_DATA">[3]ﾃﾞｰﾀﾍﾞｰｽ変更点!#REF!</definedName>
    <definedName name="E_CAUTION_ENABLED" localSheetId="6">[3]ﾃﾞｰﾀﾍﾞｰｽ変更点!#REF!</definedName>
    <definedName name="E_CAUTION_ENABLED" localSheetId="4">[3]ﾃﾞｰﾀﾍﾞｰｽ変更点!#REF!</definedName>
    <definedName name="E_CAUTION_ENABLED">[3]ﾃﾞｰﾀﾍﾞｰｽ変更点!#REF!</definedName>
    <definedName name="E_CAUTION_ICON" localSheetId="6">[3]ﾃﾞｰﾀﾍﾞｰｽ変更点!#REF!</definedName>
    <definedName name="E_CAUTION_ICON" localSheetId="4">[3]ﾃﾞｰﾀﾍﾞｰｽ変更点!#REF!</definedName>
    <definedName name="E_CAUTION_ICON">[3]ﾃﾞｰﾀﾍﾞｰｽ変更点!#REF!</definedName>
    <definedName name="E_CAUTION_INIT" localSheetId="6">[3]ﾃﾞｰﾀﾍﾞｰｽ変更点!#REF!</definedName>
    <definedName name="E_CAUTION_INIT" localSheetId="4">[3]ﾃﾞｰﾀﾍﾞｰｽ変更点!#REF!</definedName>
    <definedName name="E_CAUTION_INIT">[3]ﾃﾞｰﾀﾍﾞｰｽ変更点!#REF!</definedName>
    <definedName name="E_CAUTION_MASTER" localSheetId="6">[3]ﾃﾞｰﾀﾍﾞｰｽ変更点!#REF!</definedName>
    <definedName name="E_CAUTION_MASTER" localSheetId="4">[3]ﾃﾞｰﾀﾍﾞｰｽ変更点!#REF!</definedName>
    <definedName name="E_CAUTION_MASTER">[3]ﾃﾞｰﾀﾍﾞｰｽ変更点!#REF!</definedName>
    <definedName name="E_CLASS1_MASTER" localSheetId="6">[3]ﾃﾞｰﾀﾍﾞｰｽ変更点!#REF!</definedName>
    <definedName name="E_CLASS1_MASTER" localSheetId="4">[3]ﾃﾞｰﾀﾍﾞｰｽ変更点!#REF!</definedName>
    <definedName name="E_CLASS1_MASTER">[3]ﾃﾞｰﾀﾍﾞｰｽ変更点!#REF!</definedName>
    <definedName name="E_CLASS2_MASTER" localSheetId="6">[3]ﾃﾞｰﾀﾍﾞｰｽ変更点!#REF!</definedName>
    <definedName name="E_CLASS2_MASTER" localSheetId="4">[3]ﾃﾞｰﾀﾍﾞｰｽ変更点!#REF!</definedName>
    <definedName name="E_CLASS2_MASTER">[3]ﾃﾞｰﾀﾍﾞｰｽ変更点!#REF!</definedName>
    <definedName name="E_COMM_DATA" localSheetId="6">[3]ﾃﾞｰﾀﾍﾞｰｽ変更点!#REF!</definedName>
    <definedName name="E_COMM_DATA" localSheetId="4">[3]ﾃﾞｰﾀﾍﾞｰｽ変更点!#REF!</definedName>
    <definedName name="E_COMM_DATA">[3]ﾃﾞｰﾀﾍﾞｰｽ変更点!#REF!</definedName>
    <definedName name="E_COMM_STATUS_MASTER" localSheetId="6">[3]ﾃﾞｰﾀﾍﾞｰｽ変更点!#REF!</definedName>
    <definedName name="E_COMM_STATUS_MASTER" localSheetId="4">[3]ﾃﾞｰﾀﾍﾞｰｽ変更点!#REF!</definedName>
    <definedName name="E_COMM_STATUS_MASTER">[3]ﾃﾞｰﾀﾍﾞｰｽ変更点!#REF!</definedName>
    <definedName name="E_CONFIG_DEFINE" localSheetId="6">[3]ﾃﾞｰﾀﾍﾞｰｽ変更点!#REF!</definedName>
    <definedName name="E_CONFIG_DEFINE" localSheetId="4">[3]ﾃﾞｰﾀﾍﾞｰｽ変更点!#REF!</definedName>
    <definedName name="E_CONFIG_DEFINE">[3]ﾃﾞｰﾀﾍﾞｰｽ変更点!#REF!</definedName>
    <definedName name="E_CONFIG_FLAG" localSheetId="6">[5]テーブル設計!#REF!</definedName>
    <definedName name="E_CONFIG_FLAG" localSheetId="4">[5]テーブル設計!#REF!</definedName>
    <definedName name="E_CONFIG_FLAG">[5]テーブル設計!#REF!</definedName>
    <definedName name="E_CONFIG_INIT" localSheetId="6">[3]ﾃﾞｰﾀﾍﾞｰｽ変更点!#REF!</definedName>
    <definedName name="E_CONFIG_INIT" localSheetId="4">[3]ﾃﾞｰﾀﾍﾞｰｽ変更点!#REF!</definedName>
    <definedName name="E_CONFIG_INIT">[3]ﾃﾞｰﾀﾍﾞｰｽ変更点!#REF!</definedName>
    <definedName name="E_CONFIG_PATTERN" localSheetId="6">[3]ﾃﾞｰﾀﾍﾞｰｽ変更点!#REF!</definedName>
    <definedName name="E_CONFIG_PATTERN" localSheetId="4">[3]ﾃﾞｰﾀﾍﾞｰｽ変更点!#REF!</definedName>
    <definedName name="E_CONFIG_PATTERN">[3]ﾃﾞｰﾀﾍﾞｰｽ変更点!#REF!</definedName>
    <definedName name="E_CONFIG_PATTERN_DATA" localSheetId="6">[3]ﾃﾞｰﾀﾍﾞｰｽ変更点!#REF!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6">[5]テーブル設計!#REF!</definedName>
    <definedName name="E_CONFIG_USER_FLAG" localSheetId="4">[5]テーブル設計!#REF!</definedName>
    <definedName name="E_CONFIG_USER_FLAG">[5]テーブル設計!#REF!</definedName>
    <definedName name="E_CONTRACT" localSheetId="6">[5]テーブル設計!#REF!</definedName>
    <definedName name="E_CONTRACT" localSheetId="4">[5]テーブル設計!#REF!</definedName>
    <definedName name="E_CONTRACT">[5]テーブル設計!#REF!</definedName>
    <definedName name="E_CUSTOMER" localSheetId="6">[3]ﾃﾞｰﾀﾍﾞｰｽ変更点!#REF!</definedName>
    <definedName name="E_CUSTOMER" localSheetId="4">[3]ﾃﾞｰﾀﾍﾞｰｽ変更点!#REF!</definedName>
    <definedName name="E_CUSTOMER">[3]ﾃﾞｰﾀﾍﾞｰｽ変更点!#REF!</definedName>
    <definedName name="E_CUSTOMER_CAR" localSheetId="6">[3]ﾃﾞｰﾀﾍﾞｰｽ変更点!#REF!</definedName>
    <definedName name="E_CUSTOMER_CAR" localSheetId="4">[3]ﾃﾞｰﾀﾍﾞｰｽ変更点!#REF!</definedName>
    <definedName name="E_CUSTOMER_CAR">[3]ﾃﾞｰﾀﾍﾞｰｽ変更点!#REF!</definedName>
    <definedName name="E_CUSTOMER_MASTER" localSheetId="6">[4]TableDesign!#REF!</definedName>
    <definedName name="E_CUSTOMER_MASTER" localSheetId="4">[4]TableDesign!#REF!</definedName>
    <definedName name="E_CUSTOMER_MASTER">[4]TableDesign!#REF!</definedName>
    <definedName name="E_DIVISION_MASTER" localSheetId="6">[3]ﾃﾞｰﾀﾍﾞｰｽ変更点!#REF!</definedName>
    <definedName name="E_DIVISION_MASTER" localSheetId="4">[3]ﾃﾞｰﾀﾍﾞｰｽ変更点!#REF!</definedName>
    <definedName name="E_DIVISION_MASTER">[3]ﾃﾞｰﾀﾍﾞｰｽ変更点!#REF!</definedName>
    <definedName name="E_DOPA" localSheetId="6">[3]ﾃﾞｰﾀﾍﾞｰｽ変更点!#REF!</definedName>
    <definedName name="E_DOPA" localSheetId="4">[3]ﾃﾞｰﾀﾍﾞｰｽ変更点!#REF!</definedName>
    <definedName name="E_DOPA">[3]ﾃﾞｰﾀﾍﾞｰｽ変更点!#REF!</definedName>
    <definedName name="E_DOPA_OWNER_HISTORY" localSheetId="6">[3]ﾃﾞｰﾀﾍﾞｰｽ変更点!#REF!</definedName>
    <definedName name="E_DOPA_OWNER_HISTORY" localSheetId="4">[3]ﾃﾞｰﾀﾍﾞｰｽ変更点!#REF!</definedName>
    <definedName name="E_DOPA_OWNER_HISTORY">[3]ﾃﾞｰﾀﾍﾞｰｽ変更点!#REF!</definedName>
    <definedName name="E_DOPA_SERVER" localSheetId="6">[3]ﾃﾞｰﾀﾍﾞｰｽ変更点!#REF!</definedName>
    <definedName name="E_DOPA_SERVER" localSheetId="4">[3]ﾃﾞｰﾀﾍﾞｰｽ変更点!#REF!</definedName>
    <definedName name="E_DOPA_SERVER">[3]ﾃﾞｰﾀﾍﾞｰｽ変更点!#REF!</definedName>
    <definedName name="E_EQUIPMENT_HISTORY" localSheetId="6">[3]ﾃﾞｰﾀﾍﾞｰｽ変更点!#REF!</definedName>
    <definedName name="E_EQUIPMENT_HISTORY" localSheetId="4">[3]ﾃﾞｰﾀﾍﾞｰｽ変更点!#REF!</definedName>
    <definedName name="E_EQUIPMENT_HISTORY">[3]ﾃﾞｰﾀﾍﾞｰｽ変更点!#REF!</definedName>
    <definedName name="E_ERROR" localSheetId="6">[3]ﾃﾞｰﾀﾍﾞｰｽ変更点!#REF!</definedName>
    <definedName name="E_ERROR" localSheetId="4">[3]ﾃﾞｰﾀﾍﾞｰｽ変更点!#REF!</definedName>
    <definedName name="E_ERROR">[3]ﾃﾞｰﾀﾍﾞｰｽ変更点!#REF!</definedName>
    <definedName name="E_ERROR_ENABLED" localSheetId="6">[3]ﾃﾞｰﾀﾍﾞｰｽ変更点!#REF!</definedName>
    <definedName name="E_ERROR_ENABLED" localSheetId="4">[3]ﾃﾞｰﾀﾍﾞｰｽ変更点!#REF!</definedName>
    <definedName name="E_ERROR_ENABLED">[3]ﾃﾞｰﾀﾍﾞｰｽ変更点!#REF!</definedName>
    <definedName name="E_ERROR_MASTER" localSheetId="6">[3]ﾃﾞｰﾀﾍﾞｰｽ変更点!#REF!</definedName>
    <definedName name="E_ERROR_MASTER" localSheetId="4">[3]ﾃﾞｰﾀﾍﾞｰｽ変更点!#REF!</definedName>
    <definedName name="E_ERROR_MASTER">[3]ﾃﾞｰﾀﾍﾞｰｽ変更点!#REF!</definedName>
    <definedName name="E_EVENT_CATEGORY" localSheetId="6">[4]TableDesign!#REF!</definedName>
    <definedName name="E_EVENT_CATEGORY" localSheetId="4">[4]TableDesign!#REF!</definedName>
    <definedName name="E_EVENT_CATEGORY">[4]TableDesign!#REF!</definedName>
    <definedName name="E_EVENT_DIVISION" localSheetId="6">[3]ﾃﾞｰﾀﾍﾞｰｽ変更点!#REF!</definedName>
    <definedName name="E_EVENT_DIVISION" localSheetId="4">[3]ﾃﾞｰﾀﾍﾞｰｽ変更点!#REF!</definedName>
    <definedName name="E_EVENT_DIVISION">[3]ﾃﾞｰﾀﾍﾞｰｽ変更点!#REF!</definedName>
    <definedName name="E_EVENT_MASTER" localSheetId="6">[3]ﾃﾞｰﾀﾍﾞｰｽ変更点!#REF!</definedName>
    <definedName name="E_EVENT_MASTER" localSheetId="4">[3]ﾃﾞｰﾀﾍﾞｰｽ変更点!#REF!</definedName>
    <definedName name="E_EVENT_MASTER">[3]ﾃﾞｰﾀﾍﾞｰｽ変更点!#REF!</definedName>
    <definedName name="E_EVENT_NOTICE" localSheetId="6">[3]ﾃﾞｰﾀﾍﾞｰｽ変更点!#REF!</definedName>
    <definedName name="E_EVENT_NOTICE" localSheetId="4">[3]ﾃﾞｰﾀﾍﾞｰｽ変更点!#REF!</definedName>
    <definedName name="E_EVENT_NOTICE">[3]ﾃﾞｰﾀﾍﾞｰｽ変更点!#REF!</definedName>
    <definedName name="E_FUEL_GAUGE" localSheetId="6">[4]TableDesign!#REF!</definedName>
    <definedName name="E_FUEL_GAUGE" localSheetId="4">[4]TableDesign!#REF!</definedName>
    <definedName name="E_FUEL_GAUGE">[4]TableDesign!#REF!</definedName>
    <definedName name="E_GAUGE_FUEL_WTTEMP" localSheetId="6">[3]ﾃﾞｰﾀﾍﾞｰｽ変更点!#REF!</definedName>
    <definedName name="E_GAUGE_FUEL_WTTEMP" localSheetId="4">[3]ﾃﾞｰﾀﾍﾞｰｽ変更点!#REF!</definedName>
    <definedName name="E_GAUGE_FUEL_WTTEMP">[3]ﾃﾞｰﾀﾍﾞｰｽ変更点!#REF!</definedName>
    <definedName name="E_GIS_DEFINE" localSheetId="6">[4]TableDesign!#REF!</definedName>
    <definedName name="E_GIS_DEFINE" localSheetId="4">[4]TableDesign!#REF!</definedName>
    <definedName name="E_GIS_DEFINE">[4]TableDesign!#REF!</definedName>
    <definedName name="E_GPS" localSheetId="6">[3]ﾃﾞｰﾀﾍﾞｰｽ変更点!#REF!</definedName>
    <definedName name="E_GPS" localSheetId="4">[3]ﾃﾞｰﾀﾍﾞｰｽ変更点!#REF!</definedName>
    <definedName name="E_GPS">[3]ﾃﾞｰﾀﾍﾞｰｽ変更点!#REF!</definedName>
    <definedName name="E_GRANT_AUTHORITY" localSheetId="6">[3]ﾃﾞｰﾀﾍﾞｰｽ変更点!#REF!</definedName>
    <definedName name="E_GRANT_AUTHORITY" localSheetId="4">[3]ﾃﾞｰﾀﾍﾞｰｽ変更点!#REF!</definedName>
    <definedName name="E_GRANT_AUTHORITY">[3]ﾃﾞｰﾀﾍﾞｰｽ変更点!#REF!</definedName>
    <definedName name="E_GROUP_MASTER" localSheetId="6">[3]ﾃﾞｰﾀﾍﾞｰｽ変更点!#REF!</definedName>
    <definedName name="E_GROUP_MASTER" localSheetId="4">[3]ﾃﾞｰﾀﾍﾞｰｽ変更点!#REF!</definedName>
    <definedName name="E_GROUP_MASTER">[3]ﾃﾞｰﾀﾍﾞｰｽ変更点!#REF!</definedName>
    <definedName name="E_IGNORE_CAUTION" localSheetId="6">[5]テーブル設計!#REF!</definedName>
    <definedName name="E_IGNORE_CAUTION" localSheetId="4">[5]テーブル設計!#REF!</definedName>
    <definedName name="E_IGNORE_CAUTION">[5]テーブル設計!#REF!</definedName>
    <definedName name="E_IGNORE_ERROR" localSheetId="6">[5]テーブル設計!#REF!</definedName>
    <definedName name="E_IGNORE_ERROR" localSheetId="4">[5]テーブル設計!#REF!</definedName>
    <definedName name="E_IGNORE_ERROR">[5]テーブル設計!#REF!</definedName>
    <definedName name="E_INFORM_MASTER" localSheetId="6">[3]ﾃﾞｰﾀﾍﾞｰｽ変更点!#REF!</definedName>
    <definedName name="E_INFORM_MASTER" localSheetId="4">[3]ﾃﾞｰﾀﾍﾞｰｽ変更点!#REF!</definedName>
    <definedName name="E_INFORM_MASTER">[3]ﾃﾞｰﾀﾍﾞｰｽ変更点!#REF!</definedName>
    <definedName name="E_INFORMATION" localSheetId="6">[3]ﾃﾞｰﾀﾍﾞｰｽ変更点!#REF!</definedName>
    <definedName name="E_INFORMATION" localSheetId="4">[3]ﾃﾞｰﾀﾍﾞｰｽ変更点!#REF!</definedName>
    <definedName name="E_INFORMATION">[3]ﾃﾞｰﾀﾍﾞｰｽ変更点!#REF!</definedName>
    <definedName name="E_INFORMATION_READED" localSheetId="6">[3]ﾃﾞｰﾀﾍﾞｰｽ変更点!#REF!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6">[5]テーブル設計!#REF!</definedName>
    <definedName name="E_INVALID_PART_TERMINAL" localSheetId="4">[5]テーブル設計!#REF!</definedName>
    <definedName name="E_INVALID_PART_TERMINAL">[5]テーブル設計!#REF!</definedName>
    <definedName name="E_KIND_MASTER" localSheetId="6">[3]ﾃﾞｰﾀﾍﾞｰｽ変更点!#REF!</definedName>
    <definedName name="E_KIND_MASTER" localSheetId="4">[3]ﾃﾞｰﾀﾍﾞｰｽ変更点!#REF!</definedName>
    <definedName name="E_KIND_MASTER">[3]ﾃﾞｰﾀﾍﾞｰｽ変更点!#REF!</definedName>
    <definedName name="E_KRO_APPLICATION" localSheetId="6">[3]ﾃﾞｰﾀﾍﾞｰｽ変更点!#REF!</definedName>
    <definedName name="E_KRO_APPLICATION" localSheetId="4">[3]ﾃﾞｰﾀﾍﾞｰｽ変更点!#REF!</definedName>
    <definedName name="E_KRO_APPLICATION">[3]ﾃﾞｰﾀﾍﾞｰｽ変更点!#REF!</definedName>
    <definedName name="E_KRO_APPLICATION_DATA" localSheetId="6">[3]ﾃﾞｰﾀﾍﾞｰｽ変更点!#REF!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6">[3]ﾃﾞｰﾀﾍﾞｰｽ変更点!#REF!</definedName>
    <definedName name="E_KRO_COMPLETION" localSheetId="4">[3]ﾃﾞｰﾀﾍﾞｰｽ変更点!#REF!</definedName>
    <definedName name="E_KRO_COMPLETION">[3]ﾃﾞｰﾀﾍﾞｰｽ変更点!#REF!</definedName>
    <definedName name="E_KRO_COMPLETION_DATA" localSheetId="6">[3]ﾃﾞｰﾀﾍﾞｰｽ変更点!#REF!</definedName>
    <definedName name="E_KRO_COMPLETION_DATA" localSheetId="4">[3]ﾃﾞｰﾀﾍﾞｰｽ変更点!#REF!</definedName>
    <definedName name="E_KRO_COMPLETION_DATA">[3]ﾃﾞｰﾀﾍﾞｰｽ変更点!#REF!</definedName>
    <definedName name="E_KRO_EMERGENCY" localSheetId="6">[5]テーブル設計!#REF!</definedName>
    <definedName name="E_KRO_EMERGENCY" localSheetId="4">[5]テーブル設計!#REF!</definedName>
    <definedName name="E_KRO_EMERGENCY">[5]テーブル設計!#REF!</definedName>
    <definedName name="E_KRO_REPORT" localSheetId="6">[3]ﾃﾞｰﾀﾍﾞｰｽ変更点!#REF!</definedName>
    <definedName name="E_KRO_REPORT" localSheetId="4">[3]ﾃﾞｰﾀﾍﾞｰｽ変更点!#REF!</definedName>
    <definedName name="E_KRO_REPORT">[3]ﾃﾞｰﾀﾍﾞｰｽ変更点!#REF!</definedName>
    <definedName name="E_LANDMARK" localSheetId="6">[3]ﾃﾞｰﾀﾍﾞｰｽ変更点!#REF!</definedName>
    <definedName name="E_LANDMARK" localSheetId="4">[3]ﾃﾞｰﾀﾍﾞｰｽ変更点!#REF!</definedName>
    <definedName name="E_LANDMARK">[3]ﾃﾞｰﾀﾍﾞｰｽ変更点!#REF!</definedName>
    <definedName name="E_LANDMARK_CLASS" localSheetId="6">[3]ﾃﾞｰﾀﾍﾞｰｽ変更点!#REF!</definedName>
    <definedName name="E_LANDMARK_CLASS" localSheetId="4">[3]ﾃﾞｰﾀﾍﾞｰｽ変更点!#REF!</definedName>
    <definedName name="E_LANDMARK_CLASS">[3]ﾃﾞｰﾀﾍﾞｰｽ変更点!#REF!</definedName>
    <definedName name="E_LOGON_HISTORY" localSheetId="6">[3]ﾃﾞｰﾀﾍﾞｰｽ変更点!#REF!</definedName>
    <definedName name="E_LOGON_HISTORY" localSheetId="4">[3]ﾃﾞｰﾀﾍﾞｰｽ変更点!#REF!</definedName>
    <definedName name="E_LOGON_HISTORY">[3]ﾃﾞｰﾀﾍﾞｰｽ変更点!#REF!</definedName>
    <definedName name="E_MACHINE_ERROR" localSheetId="6">[4]TableDesign!#REF!</definedName>
    <definedName name="E_MACHINE_ERROR" localSheetId="4">[4]TableDesign!#REF!</definedName>
    <definedName name="E_MACHINE_ERROR">[4]TableDesign!#REF!</definedName>
    <definedName name="E_MACHINE_STATUS_MASTER" localSheetId="6">[3]ﾃﾞｰﾀﾍﾞｰｽ変更点!#REF!</definedName>
    <definedName name="E_MACHINE_STATUS_MASTER" localSheetId="4">[3]ﾃﾞｰﾀﾍﾞｰｽ変更点!#REF!</definedName>
    <definedName name="E_MACHINE_STATUS_MASTER">[3]ﾃﾞｰﾀﾍﾞｰｽ変更点!#REF!</definedName>
    <definedName name="E_MAINTENANCE_DATA" localSheetId="6">[3]ﾃﾞｰﾀﾍﾞｰｽ変更点!#REF!</definedName>
    <definedName name="E_MAINTENANCE_DATA" localSheetId="4">[3]ﾃﾞｰﾀﾍﾞｰｽ変更点!#REF!</definedName>
    <definedName name="E_MAINTENANCE_DATA">[3]ﾃﾞｰﾀﾍﾞｰｽ変更点!#REF!</definedName>
    <definedName name="E_MAINTENANCE_INFORM" localSheetId="6">[3]ﾃﾞｰﾀﾍﾞｰｽ変更点!#REF!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6">[3]ﾃﾞｰﾀﾍﾞｰｽ変更点!#REF!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6">[4]TableDesign!#REF!</definedName>
    <definedName name="E_MAINTENANCE_TIME" localSheetId="4">[4]TableDesign!#REF!</definedName>
    <definedName name="E_MAINTENANCE_TIME">[4]TableDesign!#REF!</definedName>
    <definedName name="E_MAKER_MASTER" localSheetId="6">[3]ﾃﾞｰﾀﾍﾞｰｽ変更点!#REF!</definedName>
    <definedName name="E_MAKER_MASTER" localSheetId="4">[3]ﾃﾞｰﾀﾍﾞｰｽ変更点!#REF!</definedName>
    <definedName name="E_MAKER_MASTER">[3]ﾃﾞｰﾀﾍﾞｰｽ変更点!#REF!</definedName>
    <definedName name="E_MARK_MACHINE" localSheetId="6">[4]TableDesign!#REF!</definedName>
    <definedName name="E_MARK_MACHINE" localSheetId="4">[4]TableDesign!#REF!</definedName>
    <definedName name="E_MARK_MACHINE">[4]TableDesign!#REF!</definedName>
    <definedName name="E_MARK_NOTIFICATION" localSheetId="6">[4]TableDesign!#REF!</definedName>
    <definedName name="E_MARK_NOTIFICATION" localSheetId="4">[4]TableDesign!#REF!</definedName>
    <definedName name="E_MARK_NOTIFICATION">[4]TableDesign!#REF!</definedName>
    <definedName name="E_MARK_NOTIFICATION_DETAIL" localSheetId="6">[4]TableDesign!#REF!</definedName>
    <definedName name="E_MARK_NOTIFICATION_DETAIL" localSheetId="4">[4]TableDesign!#REF!</definedName>
    <definedName name="E_MARK_NOTIFICATION_DETAIL">[4]TableDesign!#REF!</definedName>
    <definedName name="E_MEMO" localSheetId="6">[3]ﾃﾞｰﾀﾍﾞｰｽ変更点!#REF!</definedName>
    <definedName name="E_MEMO" localSheetId="4">[3]ﾃﾞｰﾀﾍﾞｰｽ変更点!#REF!</definedName>
    <definedName name="E_MEMO">[3]ﾃﾞｰﾀﾍﾞｰｽ変更点!#REF!</definedName>
    <definedName name="E_MEMORY_MODIFY" localSheetId="6">[3]ﾃﾞｰﾀﾍﾞｰｽ変更点!#REF!</definedName>
    <definedName name="E_MEMORY_MODIFY" localSheetId="4">[3]ﾃﾞｰﾀﾍﾞｰｽ変更点!#REF!</definedName>
    <definedName name="E_MEMORY_MODIFY">[3]ﾃﾞｰﾀﾍﾞｰｽ変更点!#REF!</definedName>
    <definedName name="E_MEMORY_MODIFY_DATA" localSheetId="6">[3]ﾃﾞｰﾀﾍﾞｰｽ変更点!#REF!</definedName>
    <definedName name="E_MEMORY_MODIFY_DATA" localSheetId="4">[3]ﾃﾞｰﾀﾍﾞｰｽ変更点!#REF!</definedName>
    <definedName name="E_MEMORY_MODIFY_DATA">[3]ﾃﾞｰﾀﾍﾞｰｽ変更点!#REF!</definedName>
    <definedName name="E_MESSAGE" localSheetId="6">[3]ﾃﾞｰﾀﾍﾞｰｽ変更点!#REF!</definedName>
    <definedName name="E_MESSAGE" localSheetId="4">[3]ﾃﾞｰﾀﾍﾞｰｽ変更点!#REF!</definedName>
    <definedName name="E_MESSAGE">[3]ﾃﾞｰﾀﾍﾞｰｽ変更点!#REF!</definedName>
    <definedName name="E_MESSAGE_MASTER" localSheetId="6">[3]ﾃﾞｰﾀﾍﾞｰｽ変更点!#REF!</definedName>
    <definedName name="E_MESSAGE_MASTER" localSheetId="4">[3]ﾃﾞｰﾀﾍﾞｰｽ変更点!#REF!</definedName>
    <definedName name="E_MESSAGE_MASTER">[3]ﾃﾞｰﾀﾍﾞｰｽ変更点!#REF!</definedName>
    <definedName name="E_MONTHLY_ATT_SMR" localSheetId="6">[4]TableDesign!#REF!</definedName>
    <definedName name="E_MONTHLY_ATT_SMR" localSheetId="4">[4]TableDesign!#REF!</definedName>
    <definedName name="E_MONTHLY_ATT_SMR">[4]TableDesign!#REF!</definedName>
    <definedName name="E_MONTHLY_ERROR" localSheetId="6">[4]TableDesign!#REF!</definedName>
    <definedName name="E_MONTHLY_ERROR" localSheetId="4">[4]TableDesign!#REF!</definedName>
    <definedName name="E_MONTHLY_ERROR">[4]TableDesign!#REF!</definedName>
    <definedName name="E_MONTHLY_LOAD" localSheetId="6">[4]TableDesign!#REF!</definedName>
    <definedName name="E_MONTHLY_LOAD" localSheetId="4">[4]TableDesign!#REF!</definedName>
    <definedName name="E_MONTHLY_LOAD">[4]TableDesign!#REF!</definedName>
    <definedName name="E_MONTHLY_MOVEMENT" localSheetId="6">[4]TableDesign!#REF!</definedName>
    <definedName name="E_MONTHLY_MOVEMENT" localSheetId="4">[4]TableDesign!#REF!</definedName>
    <definedName name="E_MONTHLY_MOVEMENT">[4]TableDesign!#REF!</definedName>
    <definedName name="E_MONTHLY_OPERATION" localSheetId="6">[4]TableDesign!#REF!</definedName>
    <definedName name="E_MONTHLY_OPERATION" localSheetId="4">[4]TableDesign!#REF!</definedName>
    <definedName name="E_MONTHLY_OPERATION">[4]TableDesign!#REF!</definedName>
    <definedName name="E_MONTHLY_SMR" localSheetId="6">[4]TableDesign!#REF!</definedName>
    <definedName name="E_MONTHLY_SMR" localSheetId="4">[4]TableDesign!#REF!</definedName>
    <definedName name="E_MONTHLY_SMR">[4]TableDesign!#REF!</definedName>
    <definedName name="E_MONTHLY_WORKING_SMR" localSheetId="6">[4]TableDesign!#REF!</definedName>
    <definedName name="E_MONTHLY_WORKING_SMR" localSheetId="4">[4]TableDesign!#REF!</definedName>
    <definedName name="E_MONTHLY_WORKING_SMR">[4]TableDesign!#REF!</definedName>
    <definedName name="E_MONTLY_LOAD" localSheetId="6">[4]TableDesign!#REF!</definedName>
    <definedName name="E_MONTLY_LOAD" localSheetId="4">[4]TableDesign!#REF!</definedName>
    <definedName name="E_MONTLY_LOAD">[4]TableDesign!#REF!</definedName>
    <definedName name="E_MULTI_OPE" localSheetId="6">[3]ﾃﾞｰﾀﾍﾞｰｽ変更点!#REF!</definedName>
    <definedName name="E_MULTI_OPE" localSheetId="4">[3]ﾃﾞｰﾀﾍﾞｰｽ変更点!#REF!</definedName>
    <definedName name="E_MULTI_OPE">[3]ﾃﾞｰﾀﾍﾞｰｽ変更点!#REF!</definedName>
    <definedName name="E_MULTI_OPE_DATA" localSheetId="6">[5]テーブル設計!#REF!</definedName>
    <definedName name="E_MULTI_OPE_DATA" localSheetId="4">[5]テーブル設計!#REF!</definedName>
    <definedName name="E_MULTI_OPE_DATA">[5]テーブル設計!#REF!</definedName>
    <definedName name="E_NLS_DB_RESOURCE" localSheetId="6">[4]TableDesign!#REF!</definedName>
    <definedName name="E_NLS_DB_RESOURCE" localSheetId="4">[4]TableDesign!#REF!</definedName>
    <definedName name="E_NLS_DB_RESOURCE">[4]TableDesign!#REF!</definedName>
    <definedName name="E_NLS_LANG" localSheetId="6">[4]TableDesign!#REF!</definedName>
    <definedName name="E_NLS_LANG" localSheetId="4">[4]TableDesign!#REF!</definedName>
    <definedName name="E_NLS_LANG">[4]TableDesign!#REF!</definedName>
    <definedName name="E_NLS_RESOURCE" localSheetId="6">[4]TableDesign!#REF!</definedName>
    <definedName name="E_NLS_RESOURCE" localSheetId="4">[4]TableDesign!#REF!</definedName>
    <definedName name="E_NLS_RESOURCE">[4]TableDesign!#REF!</definedName>
    <definedName name="E_NOT_ACTIVE" localSheetId="6">[3]ﾃﾞｰﾀﾍﾞｰｽ変更点!#REF!</definedName>
    <definedName name="E_NOT_ACTIVE" localSheetId="4">[3]ﾃﾞｰﾀﾍﾞｰｽ変更点!#REF!</definedName>
    <definedName name="E_NOT_ACTIVE">[3]ﾃﾞｰﾀﾍﾞｰｽ変更点!#REF!</definedName>
    <definedName name="E_OPERATION_CATEGORY" localSheetId="6">[4]TableDesign!#REF!</definedName>
    <definedName name="E_OPERATION_CATEGORY" localSheetId="4">[4]TableDesign!#REF!</definedName>
    <definedName name="E_OPERATION_CATEGORY">[4]TableDesign!#REF!</definedName>
    <definedName name="E_OPERATION_CLASS" localSheetId="6">[5]テーブル設計!#REF!</definedName>
    <definedName name="E_OPERATION_CLASS" localSheetId="4">[5]テーブル設計!#REF!</definedName>
    <definedName name="E_OPERATION_CLASS">[5]テーブル設計!#REF!</definedName>
    <definedName name="E_OPERATION_LOG" localSheetId="6">[3]ﾃﾞｰﾀﾍﾞｰｽ変更点!#REF!</definedName>
    <definedName name="E_OPERATION_LOG" localSheetId="4">[3]ﾃﾞｰﾀﾍﾞｰｽ変更点!#REF!</definedName>
    <definedName name="E_OPERATION_LOG">[3]ﾃﾞｰﾀﾍﾞｰｽ変更点!#REF!</definedName>
    <definedName name="E_OPERATION_LOG2" localSheetId="6">[5]テーブル設計!#REF!</definedName>
    <definedName name="E_OPERATION_LOG2" localSheetId="4">[5]テーブル設計!#REF!</definedName>
    <definedName name="E_OPERATION_LOG2">[5]テーブル設計!#REF!</definedName>
    <definedName name="E_OPERATION_MAP" localSheetId="6">[4]TableDesign!#REF!</definedName>
    <definedName name="E_OPERATION_MAP" localSheetId="4">[4]TableDesign!#REF!</definedName>
    <definedName name="E_OPERATION_MAP">[4]TableDesign!#REF!</definedName>
    <definedName name="E_OPERATION_MASTER" localSheetId="6">[5]テーブル設計!#REF!</definedName>
    <definedName name="E_OPERATION_MASTER" localSheetId="4">[5]テーブル設計!#REF!</definedName>
    <definedName name="E_OPERATION_MASTER">[5]テーブル設計!#REF!</definedName>
    <definedName name="E_ORBCOMM" localSheetId="6">[3]ﾃﾞｰﾀﾍﾞｰｽ変更点!#REF!</definedName>
    <definedName name="E_ORBCOMM" localSheetId="4">[3]ﾃﾞｰﾀﾍﾞｰｽ変更点!#REF!</definedName>
    <definedName name="E_ORBCOMM">[3]ﾃﾞｰﾀﾍﾞｰｽ変更点!#REF!</definedName>
    <definedName name="E_ORBCOMM_OWNER_HISTORY" localSheetId="6">[3]ﾃﾞｰﾀﾍﾞｰｽ変更点!#REF!</definedName>
    <definedName name="E_ORBCOMM_OWNER_HISTORY" localSheetId="4">[3]ﾃﾞｰﾀﾍﾞｰｽ変更点!#REF!</definedName>
    <definedName name="E_ORBCOMM_OWNER_HISTORY">[3]ﾃﾞｰﾀﾍﾞｰｽ変更点!#REF!</definedName>
    <definedName name="E_PLANT_CAR" localSheetId="6">[5]テーブル設計!#REF!</definedName>
    <definedName name="E_PLANT_CAR" localSheetId="4">[5]テーブル設計!#REF!</definedName>
    <definedName name="E_PLANT_CAR">[5]テーブル設計!#REF!</definedName>
    <definedName name="E_PLANT_ERROR" localSheetId="6">[5]テーブル設計!#REF!</definedName>
    <definedName name="E_PLANT_ERROR" localSheetId="4">[5]テーブル設計!#REF!</definedName>
    <definedName name="E_PLANT_ERROR">[5]テーブル設計!#REF!</definedName>
    <definedName name="E_PLANT_GPS" localSheetId="6">[5]テーブル設計!#REF!</definedName>
    <definedName name="E_PLANT_GPS" localSheetId="4">[5]テーブル設計!#REF!</definedName>
    <definedName name="E_PLANT_GPS">[5]テーブル設計!#REF!</definedName>
    <definedName name="E_PREVENT_THEFT_KEY" localSheetId="6">[3]ﾃﾞｰﾀﾍﾞｰｽ変更点!#REF!</definedName>
    <definedName name="E_PREVENT_THEFT_KEY" localSheetId="4">[3]ﾃﾞｰﾀﾍﾞｰｽ変更点!#REF!</definedName>
    <definedName name="E_PREVENT_THEFT_KEY">[3]ﾃﾞｰﾀﾍﾞｰｽ変更点!#REF!</definedName>
    <definedName name="E_PRIVATE_TARGET_CAR" localSheetId="6">[3]ﾃﾞｰﾀﾍﾞｰｽ変更点!#REF!</definedName>
    <definedName name="E_PRIVATE_TARGET_CAR" localSheetId="4">[3]ﾃﾞｰﾀﾍﾞｰｽ変更点!#REF!</definedName>
    <definedName name="E_PRIVATE_TARGET_CAR">[3]ﾃﾞｰﾀﾍﾞｰｽ変更点!#REF!</definedName>
    <definedName name="E_RECEIVE_LIST" localSheetId="6">[5]テーブル設計!#REF!</definedName>
    <definedName name="E_RECEIVE_LIST" localSheetId="4">[5]テーブル設計!#REF!</definedName>
    <definedName name="E_RECEIVE_LIST">[5]テーブル設計!#REF!</definedName>
    <definedName name="E_RECEIVE_LOG" localSheetId="6">[3]ﾃﾞｰﾀﾍﾞｰｽ変更点!#REF!</definedName>
    <definedName name="E_RECEIVE_LOG" localSheetId="4">[3]ﾃﾞｰﾀﾍﾞｰｽ変更点!#REF!</definedName>
    <definedName name="E_RECEIVE_LOG">[3]ﾃﾞｰﾀﾍﾞｰｽ変更点!#REF!</definedName>
    <definedName name="E_REGION_DATA" localSheetId="6">[4]TableDesign!#REF!</definedName>
    <definedName name="E_REGION_DATA" localSheetId="4">[4]TableDesign!#REF!</definedName>
    <definedName name="E_REGION_DATA">[4]TableDesign!#REF!</definedName>
    <definedName name="E_REGION_MASTER" localSheetId="6">[4]TableDesign!#REF!</definedName>
    <definedName name="E_REGION_MASTER" localSheetId="4">[4]TableDesign!#REF!</definedName>
    <definedName name="E_REGION_MASTER">[4]TableDesign!#REF!</definedName>
    <definedName name="E_RENTAL_TERMINAL" localSheetId="6">[5]テーブル設計!#REF!</definedName>
    <definedName name="E_RENTAL_TERMINAL" localSheetId="4">[5]テーブル設計!#REF!</definedName>
    <definedName name="E_RENTAL_TERMINAL">[5]テーブル設計!#REF!</definedName>
    <definedName name="E_REQUEST" localSheetId="6">[3]ﾃﾞｰﾀﾍﾞｰｽ変更点!#REF!</definedName>
    <definedName name="E_REQUEST" localSheetId="4">[3]ﾃﾞｰﾀﾍﾞｰｽ変更点!#REF!</definedName>
    <definedName name="E_REQUEST">[3]ﾃﾞｰﾀﾍﾞｰｽ変更点!#REF!</definedName>
    <definedName name="E_REQUEST_COUNT" localSheetId="6">[3]ﾃﾞｰﾀﾍﾞｰｽ変更点!#REF!</definedName>
    <definedName name="E_REQUEST_COUNT" localSheetId="4">[3]ﾃﾞｰﾀﾍﾞｰｽ変更点!#REF!</definedName>
    <definedName name="E_REQUEST_COUNT">[3]ﾃﾞｰﾀﾍﾞｰｽ変更点!#REF!</definedName>
    <definedName name="E_REQUEST_LOG" localSheetId="6">[3]ﾃﾞｰﾀﾍﾞｰｽ変更点!#REF!</definedName>
    <definedName name="E_REQUEST_LOG" localSheetId="4">[3]ﾃﾞｰﾀﾍﾞｰｽ変更点!#REF!</definedName>
    <definedName name="E_REQUEST_LOG">[3]ﾃﾞｰﾀﾍﾞｰｽ変更点!#REF!</definedName>
    <definedName name="E_RIVATE_TARGET_CAR" localSheetId="6">[4]TableDesign!#REF!</definedName>
    <definedName name="E_RIVATE_TARGET_CAR" localSheetId="4">[4]TableDesign!#REF!</definedName>
    <definedName name="E_RIVATE_TARGET_CAR">[4]TableDesign!#REF!</definedName>
    <definedName name="E_RUNNING_LOG" localSheetId="6">[3]ﾃﾞｰﾀﾍﾞｰｽ変更点!#REF!</definedName>
    <definedName name="E_RUNNING_LOG" localSheetId="4">[3]ﾃﾞｰﾀﾍﾞｰｽ変更点!#REF!</definedName>
    <definedName name="E_RUNNING_LOG">[3]ﾃﾞｰﾀﾍﾞｰｽ変更点!#REF!</definedName>
    <definedName name="E_SAVE_INFORMATION" localSheetId="6">[5]テーブル設計!#REF!</definedName>
    <definedName name="E_SAVE_INFORMATION" localSheetId="4">[5]テーブル設計!#REF!</definedName>
    <definedName name="E_SAVE_INFORMATION">[5]テーブル設計!#REF!</definedName>
    <definedName name="E_SELFCARINSPECTION" localSheetId="6">[3]ﾃﾞｰﾀﾍﾞｰｽ変更点!#REF!</definedName>
    <definedName name="E_SELFCARINSPECTION" localSheetId="4">[3]ﾃﾞｰﾀﾍﾞｰｽ変更点!#REF!</definedName>
    <definedName name="E_SELFCARINSPECTION">[3]ﾃﾞｰﾀﾍﾞｰｽ変更点!#REF!</definedName>
    <definedName name="E_SEND_LIST" localSheetId="6">[5]テーブル設計!#REF!</definedName>
    <definedName name="E_SEND_LIST" localSheetId="4">[5]テーブル設計!#REF!</definedName>
    <definedName name="E_SEND_LIST">[5]テーブル設計!#REF!</definedName>
    <definedName name="E_SEND_LOG" localSheetId="6">[5]テーブル設計!#REF!</definedName>
    <definedName name="E_SEND_LOG" localSheetId="4">[5]テーブル設計!#REF!</definedName>
    <definedName name="E_SEND_LOG">[5]テーブル設計!#REF!</definedName>
    <definedName name="E_SERVER_COMMUNICATION" localSheetId="6">[4]TableDesign!#REF!</definedName>
    <definedName name="E_SERVER_COMMUNICATION" localSheetId="4">[4]TableDesign!#REF!</definedName>
    <definedName name="E_SERVER_COMMUNICATION">[4]TableDesign!#REF!</definedName>
    <definedName name="E_SERVER_INFORMATION" localSheetId="6">[3]ﾃﾞｰﾀﾍﾞｰｽ変更点!#REF!</definedName>
    <definedName name="E_SERVER_INFORMATION" localSheetId="4">[3]ﾃﾞｰﾀﾍﾞｰｽ変更点!#REF!</definedName>
    <definedName name="E_SERVER_INFORMATION">[3]ﾃﾞｰﾀﾍﾞｰｽ変更点!#REF!</definedName>
    <definedName name="E_SERVICE_METER" localSheetId="6">[3]ﾃﾞｰﾀﾍﾞｰｽ変更点!#REF!</definedName>
    <definedName name="E_SERVICE_METER" localSheetId="4">[3]ﾃﾞｰﾀﾍﾞｰｽ変更点!#REF!</definedName>
    <definedName name="E_SERVICE_METER">[3]ﾃﾞｰﾀﾍﾞｰｽ変更点!#REF!</definedName>
    <definedName name="E_SERVICE_METER2" localSheetId="6">[5]テーブル設計!#REF!</definedName>
    <definedName name="E_SERVICE_METER2" localSheetId="4">[5]テーブル設計!#REF!</definedName>
    <definedName name="E_SERVICE_METER2">[5]テーブル設計!#REF!</definedName>
    <definedName name="E_SERVICEMAN" localSheetId="6">[5]テーブル設計!#REF!</definedName>
    <definedName name="E_SERVICEMAN" localSheetId="4">[5]テーブル設計!#REF!</definedName>
    <definedName name="E_SERVICEMAN">[5]テーブル設計!#REF!</definedName>
    <definedName name="E_SERVICEMAN_CHARGE" localSheetId="6">[5]テーブル設計!#REF!</definedName>
    <definedName name="E_SERVICEMAN_CHARGE" localSheetId="4">[5]テーブル設計!#REF!</definedName>
    <definedName name="E_SERVICEMAN_CHARGE">[5]テーブル設計!#REF!</definedName>
    <definedName name="E_SHIPMENT" localSheetId="6">[3]ﾃﾞｰﾀﾍﾞｰｽ変更点!#REF!</definedName>
    <definedName name="E_SHIPMENT" localSheetId="4">[3]ﾃﾞｰﾀﾍﾞｰｽ変更点!#REF!</definedName>
    <definedName name="E_SHIPMENT">[3]ﾃﾞｰﾀﾍﾞｰｽ変更点!#REF!</definedName>
    <definedName name="E_SHOW" localSheetId="6">[3]ﾃﾞｰﾀﾍﾞｰｽ変更点!#REF!</definedName>
    <definedName name="E_SHOW" localSheetId="4">[3]ﾃﾞｰﾀﾍﾞｰｽ変更点!#REF!</definedName>
    <definedName name="E_SHOW">[3]ﾃﾞｰﾀﾍﾞｰｽ変更点!#REF!</definedName>
    <definedName name="E_SHOW_GROUP" localSheetId="6">[3]ﾃﾞｰﾀﾍﾞｰｽ変更点!#REF!</definedName>
    <definedName name="E_SHOW_GROUP" localSheetId="4">[3]ﾃﾞｰﾀﾍﾞｰｽ変更点!#REF!</definedName>
    <definedName name="E_SHOW_GROUP">[3]ﾃﾞｰﾀﾍﾞｰｽ変更点!#REF!</definedName>
    <definedName name="E_SPECIAL_AREA" localSheetId="6">[3]ﾃﾞｰﾀﾍﾞｰｽ変更点!#REF!</definedName>
    <definedName name="E_SPECIAL_AREA" localSheetId="4">[3]ﾃﾞｰﾀﾍﾞｰｽ変更点!#REF!</definedName>
    <definedName name="E_SPECIAL_AREA">[3]ﾃﾞｰﾀﾍﾞｰｽ変更点!#REF!</definedName>
    <definedName name="E_SUB_GROUP" localSheetId="6">[4]TableDesign!#REF!</definedName>
    <definedName name="E_SUB_GROUP" localSheetId="4">[4]TableDesign!#REF!</definedName>
    <definedName name="E_SUB_GROUP">[4]TableDesign!#REF!</definedName>
    <definedName name="E_SUB_GROUP_CAR" localSheetId="6">[4]TableDesign!#REF!</definedName>
    <definedName name="E_SUB_GROUP_CAR" localSheetId="4">[4]TableDesign!#REF!</definedName>
    <definedName name="E_SUB_GROUP_CAR">[4]TableDesign!#REF!</definedName>
    <definedName name="E_SYSTEM_COMMTERM_INFO" localSheetId="6">[3]ﾃﾞｰﾀﾍﾞｰｽ変更点!#REF!</definedName>
    <definedName name="E_SYSTEM_COMMTERM_INFO" localSheetId="4">[3]ﾃﾞｰﾀﾍﾞｰｽ変更点!#REF!</definedName>
    <definedName name="E_SYSTEM_COMMTERM_INFO">[3]ﾃﾞｰﾀﾍﾞｰｽ変更点!#REF!</definedName>
    <definedName name="E_SYSTEM_LOG" localSheetId="6">[3]ﾃﾞｰﾀﾍﾞｰｽ変更点!#REF!</definedName>
    <definedName name="E_SYSTEM_LOG" localSheetId="4">[3]ﾃﾞｰﾀﾍﾞｰｽ変更点!#REF!</definedName>
    <definedName name="E_SYSTEM_LOG">[3]ﾃﾞｰﾀﾍﾞｰｽ変更点!#REF!</definedName>
    <definedName name="E_SYSTEM_NOTICE" localSheetId="6">[3]ﾃﾞｰﾀﾍﾞｰｽ変更点!#REF!</definedName>
    <definedName name="E_SYSTEM_NOTICE" localSheetId="4">[3]ﾃﾞｰﾀﾍﾞｰｽ変更点!#REF!</definedName>
    <definedName name="E_SYSTEM_NOTICE">[3]ﾃﾞｰﾀﾍﾞｰｽ変更点!#REF!</definedName>
    <definedName name="E_TARGET" localSheetId="6">[3]ﾃﾞｰﾀﾍﾞｰｽ変更点!#REF!</definedName>
    <definedName name="E_TARGET" localSheetId="4">[3]ﾃﾞｰﾀﾍﾞｰｽ変更点!#REF!</definedName>
    <definedName name="E_TARGET">[3]ﾃﾞｰﾀﾍﾞｰｽ変更点!#REF!</definedName>
    <definedName name="E_TARGET_CAR" localSheetId="6">[3]ﾃﾞｰﾀﾍﾞｰｽ変更点!#REF!</definedName>
    <definedName name="E_TARGET_CAR" localSheetId="4">[3]ﾃﾞｰﾀﾍﾞｰｽ変更点!#REF!</definedName>
    <definedName name="E_TARGET_CAR">[3]ﾃﾞｰﾀﾍﾞｰｽ変更点!#REF!</definedName>
    <definedName name="E_TERMINAL_AREA" localSheetId="6">[3]ﾃﾞｰﾀﾍﾞｰｽ変更点!#REF!</definedName>
    <definedName name="E_TERMINAL_AREA" localSheetId="4">[3]ﾃﾞｰﾀﾍﾞｰｽ変更点!#REF!</definedName>
    <definedName name="E_TERMINAL_AREA">[3]ﾃﾞｰﾀﾍﾞｰｽ変更点!#REF!</definedName>
    <definedName name="E_TERMINAL_CAUTION" localSheetId="6">[3]ﾃﾞｰﾀﾍﾞｰｽ変更点!#REF!</definedName>
    <definedName name="E_TERMINAL_CAUTION" localSheetId="4">[3]ﾃﾞｰﾀﾍﾞｰｽ変更点!#REF!</definedName>
    <definedName name="E_TERMINAL_CAUTION">[3]ﾃﾞｰﾀﾍﾞｰｽ変更点!#REF!</definedName>
    <definedName name="E_TERMINAL_ERROR" localSheetId="6">[3]ﾃﾞｰﾀﾍﾞｰｽ変更点!#REF!</definedName>
    <definedName name="E_TERMINAL_ERROR" localSheetId="4">[3]ﾃﾞｰﾀﾍﾞｰｽ変更点!#REF!</definedName>
    <definedName name="E_TERMINAL_ERROR">[3]ﾃﾞｰﾀﾍﾞｰｽ変更点!#REF!</definedName>
    <definedName name="E_TERMINAL_KIND" localSheetId="6">[3]ﾃﾞｰﾀﾍﾞｰｽ変更点!#REF!</definedName>
    <definedName name="E_TERMINAL_KIND" localSheetId="4">[3]ﾃﾞｰﾀﾍﾞｰｽ変更点!#REF!</definedName>
    <definedName name="E_TERMINAL_KIND">[3]ﾃﾞｰﾀﾍﾞｰｽ変更点!#REF!</definedName>
    <definedName name="E_TERMINAL_MASTER" localSheetId="6">[3]ﾃﾞｰﾀﾍﾞｰｽ変更点!#REF!</definedName>
    <definedName name="E_TERMINAL_MASTER" localSheetId="4">[3]ﾃﾞｰﾀﾍﾞｰｽ変更点!#REF!</definedName>
    <definedName name="E_TERMINAL_MASTER">[3]ﾃﾞｰﾀﾍﾞｰｽ変更点!#REF!</definedName>
    <definedName name="E_TERMINAL_PART_MASTER" localSheetId="6">[3]ﾃﾞｰﾀﾍﾞｰｽ変更点!#REF!</definedName>
    <definedName name="E_TERMINAL_PART_MASTER" localSheetId="4">[3]ﾃﾞｰﾀﾍﾞｰｽ変更点!#REF!</definedName>
    <definedName name="E_TERMINAL_PART_MASTER">[3]ﾃﾞｰﾀﾍﾞｰｽ変更点!#REF!</definedName>
    <definedName name="E_TYPE_MASTER" localSheetId="6">[3]ﾃﾞｰﾀﾍﾞｰｽ変更点!#REF!</definedName>
    <definedName name="E_TYPE_MASTER" localSheetId="4">[3]ﾃﾞｰﾀﾍﾞｰｽ変更点!#REF!</definedName>
    <definedName name="E_TYPE_MASTER">[3]ﾃﾞｰﾀﾍﾞｰｽ変更点!#REF!</definedName>
    <definedName name="E_UFO" localSheetId="6">[3]ﾃﾞｰﾀﾍﾞｰｽ変更点!#REF!</definedName>
    <definedName name="E_UFO" localSheetId="4">[3]ﾃﾞｰﾀﾍﾞｰｽ変更点!#REF!</definedName>
    <definedName name="E_UFO">[3]ﾃﾞｰﾀﾍﾞｰｽ変更点!#REF!</definedName>
    <definedName name="E_UNRELIABLE_RECEIVE" localSheetId="6">[3]ﾃﾞｰﾀﾍﾞｰｽ変更点!#REF!</definedName>
    <definedName name="E_UNRELIABLE_RECEIVE" localSheetId="4">[3]ﾃﾞｰﾀﾍﾞｰｽ変更点!#REF!</definedName>
    <definedName name="E_UNRELIABLE_RECEIVE">[3]ﾃﾞｰﾀﾍﾞｰｽ変更点!#REF!</definedName>
    <definedName name="E_USER_MASTER" localSheetId="6">[3]ﾃﾞｰﾀﾍﾞｰｽ変更点!#REF!</definedName>
    <definedName name="E_USER_MASTER" localSheetId="4">[3]ﾃﾞｰﾀﾍﾞｰｽ変更点!#REF!</definedName>
    <definedName name="E_USER_MASTER">[3]ﾃﾞｰﾀﾍﾞｰｽ変更点!#REF!</definedName>
    <definedName name="E_USER_TEMP" localSheetId="6">[3]ﾃﾞｰﾀﾍﾞｰｽ変更点!#REF!</definedName>
    <definedName name="E_USER_TEMP" localSheetId="4">[3]ﾃﾞｰﾀﾍﾞｰｽ変更点!#REF!</definedName>
    <definedName name="E_USER_TEMP">[3]ﾃﾞｰﾀﾍﾞｰｽ変更点!#REF!</definedName>
    <definedName name="E_WATER_TEMP_GAUGE" localSheetId="6">[4]TableDesign!#REF!</definedName>
    <definedName name="E_WATER_TEMP_GAUGE" localSheetId="4">[4]TableDesign!#REF!</definedName>
    <definedName name="E_WATER_TEMP_GAUGE">[4]TableDesign!#REF!</definedName>
    <definedName name="EE" localSheetId="6">'[6]DATA-COMMUNICATION-FORMAT'!#REF!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6">[3]ﾃﾞｰﾀﾍﾞｰｽ変更点!#REF!</definedName>
    <definedName name="F_ACT_DATA" localSheetId="4">[3]ﾃﾞｰﾀﾍﾞｰｽ変更点!#REF!</definedName>
    <definedName name="F_ACT_DATA">[3]ﾃﾞｰﾀﾍﾞｰｽ変更点!#REF!</definedName>
    <definedName name="F_ACTUAL_OPERATION" localSheetId="6">[4]TableDesign!#REF!</definedName>
    <definedName name="F_ACTUAL_OPERATION" localSheetId="4">[4]TableDesign!#REF!</definedName>
    <definedName name="F_ACTUAL_OPERATION">[4]TableDesign!#REF!</definedName>
    <definedName name="F_AREA" localSheetId="6">[3]ﾃﾞｰﾀﾍﾞｰｽ変更点!#REF!</definedName>
    <definedName name="F_AREA" localSheetId="4">[3]ﾃﾞｰﾀﾍﾞｰｽ変更点!#REF!</definedName>
    <definedName name="F_AREA">[3]ﾃﾞｰﾀﾍﾞｰｽ変更点!#REF!</definedName>
    <definedName name="F_AREA_DEFINE" localSheetId="6">[3]ﾃﾞｰﾀﾍﾞｰｽ変更点!#REF!</definedName>
    <definedName name="F_AREA_DEFINE" localSheetId="4">[3]ﾃﾞｰﾀﾍﾞｰｽ変更点!#REF!</definedName>
    <definedName name="F_AREA_DEFINE">[3]ﾃﾞｰﾀﾍﾞｰｽ変更点!#REF!</definedName>
    <definedName name="F_AREA_INIT" localSheetId="6">[3]ﾃﾞｰﾀﾍﾞｰｽ変更点!#REF!</definedName>
    <definedName name="F_AREA_INIT" localSheetId="4">[3]ﾃﾞｰﾀﾍﾞｰｽ変更点!#REF!</definedName>
    <definedName name="F_AREA_INIT">[3]ﾃﾞｰﾀﾍﾞｰｽ変更点!#REF!</definedName>
    <definedName name="F_AREA_MASTER" localSheetId="6">[3]ﾃﾞｰﾀﾍﾞｰｽ変更点!#REF!</definedName>
    <definedName name="F_AREA_MASTER" localSheetId="4">[3]ﾃﾞｰﾀﾍﾞｰｽ変更点!#REF!</definedName>
    <definedName name="F_AREA_MASTER">[3]ﾃﾞｰﾀﾍﾞｰｽ変更点!#REF!</definedName>
    <definedName name="F_ASK" localSheetId="6">[3]ﾃﾞｰﾀﾍﾞｰｽ変更点!#REF!</definedName>
    <definedName name="F_ASK" localSheetId="4">[3]ﾃﾞｰﾀﾍﾞｰｽ変更点!#REF!</definedName>
    <definedName name="F_ASK">[3]ﾃﾞｰﾀﾍﾞｰｽ変更点!#REF!</definedName>
    <definedName name="F_ASK_LOG" localSheetId="6">[5]テーブル設計!#REF!</definedName>
    <definedName name="F_ASK_LOG" localSheetId="4">[5]テーブル設計!#REF!</definedName>
    <definedName name="F_ASK_LOG">[5]テーブル設計!#REF!</definedName>
    <definedName name="F_ASK_SYSTEM" localSheetId="6">[3]ﾃﾞｰﾀﾍﾞｰｽ変更点!#REF!</definedName>
    <definedName name="F_ASK_SYSTEM" localSheetId="4">[3]ﾃﾞｰﾀﾍﾞｰｽ変更点!#REF!</definedName>
    <definedName name="F_ASK_SYSTEM">[3]ﾃﾞｰﾀﾍﾞｰｽ変更点!#REF!</definedName>
    <definedName name="F_ATC_ERROR" localSheetId="6">[5]テーブル設計!#REF!</definedName>
    <definedName name="F_ATC_ERROR" localSheetId="4">[5]テーブル設計!#REF!</definedName>
    <definedName name="F_ATC_ERROR">[5]テーブル設計!#REF!</definedName>
    <definedName name="F_AUTHORITY_GROUP" localSheetId="6">[3]ﾃﾞｰﾀﾍﾞｰｽ変更点!#REF!</definedName>
    <definedName name="F_AUTHORITY_GROUP" localSheetId="4">[3]ﾃﾞｰﾀﾍﾞｰｽ変更点!#REF!</definedName>
    <definedName name="F_AUTHORITY_GROUP">[3]ﾃﾞｰﾀﾍﾞｰｽ変更点!#REF!</definedName>
    <definedName name="F_AUTHORITY_GROUP_DATA" localSheetId="6">[3]ﾃﾞｰﾀﾍﾞｰｽ変更点!#REF!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6">[5]テーブル設計!#REF!</definedName>
    <definedName name="F_AUTHORITY_MASTER" localSheetId="4">[5]テーブル設計!#REF!</definedName>
    <definedName name="F_AUTHORITY_MASTER">[5]テーブル設計!#REF!</definedName>
    <definedName name="F_BELNR">[9]Dictionary!$D$22</definedName>
    <definedName name="F_BONDED_STORE" localSheetId="6">[5]テーブル設計!#REF!</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6">[3]ﾃﾞｰﾀﾍﾞｰｽ変更点!#REF!</definedName>
    <definedName name="F_CAR_DATA" localSheetId="4">[3]ﾃﾞｰﾀﾍﾞｰｽ変更点!#REF!</definedName>
    <definedName name="F_CAR_DATA">[3]ﾃﾞｰﾀﾍﾞｰｽ変更点!#REF!</definedName>
    <definedName name="F_CAR_MASTER" localSheetId="6">[3]ﾃﾞｰﾀﾍﾞｰｽ変更点!#REF!</definedName>
    <definedName name="F_CAR_MASTER" localSheetId="4">[3]ﾃﾞｰﾀﾍﾞｰｽ変更点!#REF!</definedName>
    <definedName name="F_CAR_MASTER">[3]ﾃﾞｰﾀﾍﾞｰｽ変更点!#REF!</definedName>
    <definedName name="F_CAR_MONTHLY_DATA" localSheetId="6">[3]ﾃﾞｰﾀﾍﾞｰｽ変更点!#REF!</definedName>
    <definedName name="F_CAR_MONTHLY_DATA" localSheetId="4">[3]ﾃﾞｰﾀﾍﾞｰｽ変更点!#REF!</definedName>
    <definedName name="F_CAR_MONTHLY_DATA">[3]ﾃﾞｰﾀﾍﾞｰｽ変更点!#REF!</definedName>
    <definedName name="F_CAR_OWNER_HISTORY" localSheetId="6">[3]ﾃﾞｰﾀﾍﾞｰｽ変更点!#REF!</definedName>
    <definedName name="F_CAR_OWNER_HISTORY" localSheetId="4">[3]ﾃﾞｰﾀﾍﾞｰｽ変更点!#REF!</definedName>
    <definedName name="F_CAR_OWNER_HISTORY">[3]ﾃﾞｰﾀﾍﾞｰｽ変更点!#REF!</definedName>
    <definedName name="F_CAUTION" localSheetId="6">[4]TableDesign!#REF!</definedName>
    <definedName name="F_CAUTION" localSheetId="4">[4]TableDesign!#REF!</definedName>
    <definedName name="F_CAUTION">[4]TableDesign!#REF!</definedName>
    <definedName name="F_CAUTION_DATA" localSheetId="6">[3]ﾃﾞｰﾀﾍﾞｰｽ変更点!#REF!</definedName>
    <definedName name="F_CAUTION_DATA" localSheetId="4">[3]ﾃﾞｰﾀﾍﾞｰｽ変更点!#REF!</definedName>
    <definedName name="F_CAUTION_DATA">[3]ﾃﾞｰﾀﾍﾞｰｽ変更点!#REF!</definedName>
    <definedName name="F_CAUTION_ENABLED" localSheetId="6">[3]ﾃﾞｰﾀﾍﾞｰｽ変更点!#REF!</definedName>
    <definedName name="F_CAUTION_ENABLED" localSheetId="4">[3]ﾃﾞｰﾀﾍﾞｰｽ変更点!#REF!</definedName>
    <definedName name="F_CAUTION_ENABLED">[3]ﾃﾞｰﾀﾍﾞｰｽ変更点!#REF!</definedName>
    <definedName name="F_CAUTION_ICON" localSheetId="6">[3]ﾃﾞｰﾀﾍﾞｰｽ変更点!#REF!</definedName>
    <definedName name="F_CAUTION_ICON" localSheetId="4">[3]ﾃﾞｰﾀﾍﾞｰｽ変更点!#REF!</definedName>
    <definedName name="F_CAUTION_ICON">[3]ﾃﾞｰﾀﾍﾞｰｽ変更点!#REF!</definedName>
    <definedName name="F_CAUTION_INIT" localSheetId="6">[3]ﾃﾞｰﾀﾍﾞｰｽ変更点!#REF!</definedName>
    <definedName name="F_CAUTION_INIT" localSheetId="4">[3]ﾃﾞｰﾀﾍﾞｰｽ変更点!#REF!</definedName>
    <definedName name="F_CAUTION_INIT">[3]ﾃﾞｰﾀﾍﾞｰｽ変更点!#REF!</definedName>
    <definedName name="F_CAUTION_MASTER" localSheetId="6">[3]ﾃﾞｰﾀﾍﾞｰｽ変更点!#REF!</definedName>
    <definedName name="F_CAUTION_MASTER" localSheetId="4">[3]ﾃﾞｰﾀﾍﾞｰｽ変更点!#REF!</definedName>
    <definedName name="F_CAUTION_MASTER">[3]ﾃﾞｰﾀﾍﾞｰｽ変更点!#REF!</definedName>
    <definedName name="F_CLASS1_MASTER" localSheetId="6">[3]ﾃﾞｰﾀﾍﾞｰｽ変更点!#REF!</definedName>
    <definedName name="F_CLASS1_MASTER" localSheetId="4">[3]ﾃﾞｰﾀﾍﾞｰｽ変更点!#REF!</definedName>
    <definedName name="F_CLASS1_MASTER">[3]ﾃﾞｰﾀﾍﾞｰｽ変更点!#REF!</definedName>
    <definedName name="F_CLASS2_MASTER" localSheetId="6">[3]ﾃﾞｰﾀﾍﾞｰｽ変更点!#REF!</definedName>
    <definedName name="F_CLASS2_MASTER" localSheetId="4">[3]ﾃﾞｰﾀﾍﾞｰｽ変更点!#REF!</definedName>
    <definedName name="F_CLASS2_MASTER">[3]ﾃﾞｰﾀﾍﾞｰｽ変更点!#REF!</definedName>
    <definedName name="F_COMM_DATA" localSheetId="6">[3]ﾃﾞｰﾀﾍﾞｰｽ変更点!#REF!</definedName>
    <definedName name="F_COMM_DATA" localSheetId="4">[3]ﾃﾞｰﾀﾍﾞｰｽ変更点!#REF!</definedName>
    <definedName name="F_COMM_DATA">[3]ﾃﾞｰﾀﾍﾞｰｽ変更点!#REF!</definedName>
    <definedName name="F_COMM_STATUS_MASTER" localSheetId="6">[3]ﾃﾞｰﾀﾍﾞｰｽ変更点!#REF!</definedName>
    <definedName name="F_COMM_STATUS_MASTER" localSheetId="4">[3]ﾃﾞｰﾀﾍﾞｰｽ変更点!#REF!</definedName>
    <definedName name="F_COMM_STATUS_MASTER">[3]ﾃﾞｰﾀﾍﾞｰｽ変更点!#REF!</definedName>
    <definedName name="F_CONFIG_DEFINE" localSheetId="6">[3]ﾃﾞｰﾀﾍﾞｰｽ変更点!#REF!</definedName>
    <definedName name="F_CONFIG_DEFINE" localSheetId="4">[3]ﾃﾞｰﾀﾍﾞｰｽ変更点!#REF!</definedName>
    <definedName name="F_CONFIG_DEFINE">[3]ﾃﾞｰﾀﾍﾞｰｽ変更点!#REF!</definedName>
    <definedName name="F_CONFIG_FLAG" localSheetId="6">[5]テーブル設計!#REF!</definedName>
    <definedName name="F_CONFIG_FLAG" localSheetId="4">[5]テーブル設計!#REF!</definedName>
    <definedName name="F_CONFIG_FLAG">[5]テーブル設計!#REF!</definedName>
    <definedName name="F_CONFIG_INIT" localSheetId="6">[3]ﾃﾞｰﾀﾍﾞｰｽ変更点!#REF!</definedName>
    <definedName name="F_CONFIG_INIT" localSheetId="4">[3]ﾃﾞｰﾀﾍﾞｰｽ変更点!#REF!</definedName>
    <definedName name="F_CONFIG_INIT">[3]ﾃﾞｰﾀﾍﾞｰｽ変更点!#REF!</definedName>
    <definedName name="F_CONFIG_PATTERN" localSheetId="6">[3]ﾃﾞｰﾀﾍﾞｰｽ変更点!#REF!</definedName>
    <definedName name="F_CONFIG_PATTERN" localSheetId="4">[3]ﾃﾞｰﾀﾍﾞｰｽ変更点!#REF!</definedName>
    <definedName name="F_CONFIG_PATTERN">[3]ﾃﾞｰﾀﾍﾞｰｽ変更点!#REF!</definedName>
    <definedName name="F_CONFIG_PATTERN_DATA" localSheetId="6">[3]ﾃﾞｰﾀﾍﾞｰｽ変更点!#REF!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6">[5]テーブル設計!#REF!</definedName>
    <definedName name="F_CONFIG_USER_FLAG" localSheetId="4">[5]テーブル設計!#REF!</definedName>
    <definedName name="F_CONFIG_USER_FLAG">[5]テーブル設計!#REF!</definedName>
    <definedName name="F_CONTRACT" localSheetId="6">[5]テーブル設計!#REF!</definedName>
    <definedName name="F_CONTRACT" localSheetId="4">[5]テーブル設計!#REF!</definedName>
    <definedName name="F_CONTRACT">[5]テーブル設計!#REF!</definedName>
    <definedName name="F_CUSTOMER" localSheetId="6">[3]ﾃﾞｰﾀﾍﾞｰｽ変更点!#REF!</definedName>
    <definedName name="F_CUSTOMER" localSheetId="4">[3]ﾃﾞｰﾀﾍﾞｰｽ変更点!#REF!</definedName>
    <definedName name="F_CUSTOMER">[3]ﾃﾞｰﾀﾍﾞｰｽ変更点!#REF!</definedName>
    <definedName name="F_CUSTOMER_CAR" localSheetId="6">[3]ﾃﾞｰﾀﾍﾞｰｽ変更点!#REF!</definedName>
    <definedName name="F_CUSTOMER_CAR" localSheetId="4">[3]ﾃﾞｰﾀﾍﾞｰｽ変更点!#REF!</definedName>
    <definedName name="F_CUSTOMER_CAR">[3]ﾃﾞｰﾀﾍﾞｰｽ変更点!#REF!</definedName>
    <definedName name="F_CUSTOMER_MASTER" localSheetId="6">[4]TableDesign!#REF!</definedName>
    <definedName name="F_CUSTOMER_MASTER" localSheetId="4">[4]TableDesign!#REF!</definedName>
    <definedName name="F_CUSTOMER_MASTER">[4]TableDesign!#REF!</definedName>
    <definedName name="F_DIVISION_MASTER" localSheetId="6">[3]ﾃﾞｰﾀﾍﾞｰｽ変更点!#REF!</definedName>
    <definedName name="F_DIVISION_MASTER" localSheetId="4">[3]ﾃﾞｰﾀﾍﾞｰｽ変更点!#REF!</definedName>
    <definedName name="F_DIVISION_MASTER">[3]ﾃﾞｰﾀﾍﾞｰｽ変更点!#REF!</definedName>
    <definedName name="F_DOPA" localSheetId="6">[3]ﾃﾞｰﾀﾍﾞｰｽ変更点!#REF!</definedName>
    <definedName name="F_DOPA" localSheetId="4">[3]ﾃﾞｰﾀﾍﾞｰｽ変更点!#REF!</definedName>
    <definedName name="F_DOPA">[3]ﾃﾞｰﾀﾍﾞｰｽ変更点!#REF!</definedName>
    <definedName name="F_DOPA_OWNER_HISTORY" localSheetId="6">[3]ﾃﾞｰﾀﾍﾞｰｽ変更点!#REF!</definedName>
    <definedName name="F_DOPA_OWNER_HISTORY" localSheetId="4">[3]ﾃﾞｰﾀﾍﾞｰｽ変更点!#REF!</definedName>
    <definedName name="F_DOPA_OWNER_HISTORY">[3]ﾃﾞｰﾀﾍﾞｰｽ変更点!#REF!</definedName>
    <definedName name="F_DOPA_SERVER" localSheetId="6">[3]ﾃﾞｰﾀﾍﾞｰｽ変更点!#REF!</definedName>
    <definedName name="F_DOPA_SERVER" localSheetId="4">[3]ﾃﾞｰﾀﾍﾞｰｽ変更点!#REF!</definedName>
    <definedName name="F_DOPA_SERVER">[3]ﾃﾞｰﾀﾍﾞｰｽ変更点!#REF!</definedName>
    <definedName name="F_EQUIPMENT_HISTORY" localSheetId="6">[3]ﾃﾞｰﾀﾍﾞｰｽ変更点!#REF!</definedName>
    <definedName name="F_EQUIPMENT_HISTORY" localSheetId="4">[3]ﾃﾞｰﾀﾍﾞｰｽ変更点!#REF!</definedName>
    <definedName name="F_EQUIPMENT_HISTORY">[3]ﾃﾞｰﾀﾍﾞｰｽ変更点!#REF!</definedName>
    <definedName name="F_ERROR" localSheetId="6">[3]ﾃﾞｰﾀﾍﾞｰｽ変更点!#REF!</definedName>
    <definedName name="F_ERROR" localSheetId="4">[3]ﾃﾞｰﾀﾍﾞｰｽ変更点!#REF!</definedName>
    <definedName name="F_ERROR">[3]ﾃﾞｰﾀﾍﾞｰｽ変更点!#REF!</definedName>
    <definedName name="F_ERROR_ENABLED" localSheetId="6">[3]ﾃﾞｰﾀﾍﾞｰｽ変更点!#REF!</definedName>
    <definedName name="F_ERROR_ENABLED" localSheetId="4">[3]ﾃﾞｰﾀﾍﾞｰｽ変更点!#REF!</definedName>
    <definedName name="F_ERROR_ENABLED">[3]ﾃﾞｰﾀﾍﾞｰｽ変更点!#REF!</definedName>
    <definedName name="F_ERROR_MASTER" localSheetId="6">[3]ﾃﾞｰﾀﾍﾞｰｽ変更点!#REF!</definedName>
    <definedName name="F_ERROR_MASTER" localSheetId="4">[3]ﾃﾞｰﾀﾍﾞｰｽ変更点!#REF!</definedName>
    <definedName name="F_ERROR_MASTER">[3]ﾃﾞｰﾀﾍﾞｰｽ変更点!#REF!</definedName>
    <definedName name="F_EVENT_CATEGORY" localSheetId="6">[4]TableDesign!#REF!</definedName>
    <definedName name="F_EVENT_CATEGORY" localSheetId="4">[4]TableDesign!#REF!</definedName>
    <definedName name="F_EVENT_CATEGORY">[4]TableDesign!#REF!</definedName>
    <definedName name="F_EVENT_DIVISION" localSheetId="6">[3]ﾃﾞｰﾀﾍﾞｰｽ変更点!#REF!</definedName>
    <definedName name="F_EVENT_DIVISION" localSheetId="4">[3]ﾃﾞｰﾀﾍﾞｰｽ変更点!#REF!</definedName>
    <definedName name="F_EVENT_DIVISION">[3]ﾃﾞｰﾀﾍﾞｰｽ変更点!#REF!</definedName>
    <definedName name="F_EVENT_MASTER" localSheetId="6">[3]ﾃﾞｰﾀﾍﾞｰｽ変更点!#REF!</definedName>
    <definedName name="F_EVENT_MASTER" localSheetId="4">[3]ﾃﾞｰﾀﾍﾞｰｽ変更点!#REF!</definedName>
    <definedName name="F_EVENT_MASTER">[3]ﾃﾞｰﾀﾍﾞｰｽ変更点!#REF!</definedName>
    <definedName name="F_EVENT_NOTICE" localSheetId="6">[3]ﾃﾞｰﾀﾍﾞｰｽ変更点!#REF!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6">[4]TableDesign!#REF!</definedName>
    <definedName name="F_FUEL_GAUGE" localSheetId="4">[4]TableDesign!#REF!</definedName>
    <definedName name="F_FUEL_GAUGE">[4]TableDesign!#REF!</definedName>
    <definedName name="F_GAUGE_FUEL_WTTEMP" localSheetId="6">[3]ﾃﾞｰﾀﾍﾞｰｽ変更点!#REF!</definedName>
    <definedName name="F_GAUGE_FUEL_WTTEMP" localSheetId="4">[3]ﾃﾞｰﾀﾍﾞｰｽ変更点!#REF!</definedName>
    <definedName name="F_GAUGE_FUEL_WTTEMP">[3]ﾃﾞｰﾀﾍﾞｰｽ変更点!#REF!</definedName>
    <definedName name="F_GIS_DEFINE" localSheetId="6">[4]TableDesign!#REF!</definedName>
    <definedName name="F_GIS_DEFINE" localSheetId="4">[4]TableDesign!#REF!</definedName>
    <definedName name="F_GIS_DEFINE">[4]TableDesign!#REF!</definedName>
    <definedName name="F_GJAHR">[9]Dictionary!$D$21</definedName>
    <definedName name="F_GPS" localSheetId="6">[3]ﾃﾞｰﾀﾍﾞｰｽ変更点!#REF!</definedName>
    <definedName name="F_GPS" localSheetId="4">[3]ﾃﾞｰﾀﾍﾞｰｽ変更点!#REF!</definedName>
    <definedName name="F_GPS">[3]ﾃﾞｰﾀﾍﾞｰｽ変更点!#REF!</definedName>
    <definedName name="F_GRANT_AUTHORITY" localSheetId="6">[3]ﾃﾞｰﾀﾍﾞｰｽ変更点!#REF!</definedName>
    <definedName name="F_GRANT_AUTHORITY" localSheetId="4">[3]ﾃﾞｰﾀﾍﾞｰｽ変更点!#REF!</definedName>
    <definedName name="F_GRANT_AUTHORITY">[3]ﾃﾞｰﾀﾍﾞｰｽ変更点!#REF!</definedName>
    <definedName name="F_GROUP_MASTER" localSheetId="6">[3]ﾃﾞｰﾀﾍﾞｰｽ変更点!#REF!</definedName>
    <definedName name="F_GROUP_MASTER" localSheetId="4">[3]ﾃﾞｰﾀﾍﾞｰｽ変更点!#REF!</definedName>
    <definedName name="F_GROUP_MASTER">[3]ﾃﾞｰﾀﾍﾞｰｽ変更点!#REF!</definedName>
    <definedName name="F_IGNORE_CAUTION" localSheetId="6">[5]テーブル設計!#REF!</definedName>
    <definedName name="F_IGNORE_CAUTION" localSheetId="4">[5]テーブル設計!#REF!</definedName>
    <definedName name="F_IGNORE_CAUTION">[5]テーブル設計!#REF!</definedName>
    <definedName name="F_IGNORE_ERROR" localSheetId="6">[5]テーブル設計!#REF!</definedName>
    <definedName name="F_IGNORE_ERROR" localSheetId="4">[5]テーブル設計!#REF!</definedName>
    <definedName name="F_IGNORE_ERROR">[5]テーブル設計!#REF!</definedName>
    <definedName name="F_INFORM_MASTER" localSheetId="6">[3]ﾃﾞｰﾀﾍﾞｰｽ変更点!#REF!</definedName>
    <definedName name="F_INFORM_MASTER" localSheetId="4">[3]ﾃﾞｰﾀﾍﾞｰｽ変更点!#REF!</definedName>
    <definedName name="F_INFORM_MASTER">[3]ﾃﾞｰﾀﾍﾞｰｽ変更点!#REF!</definedName>
    <definedName name="F_INFORMATION" localSheetId="6">[3]ﾃﾞｰﾀﾍﾞｰｽ変更点!#REF!</definedName>
    <definedName name="F_INFORMATION" localSheetId="4">[3]ﾃﾞｰﾀﾍﾞｰｽ変更点!#REF!</definedName>
    <definedName name="F_INFORMATION">[3]ﾃﾞｰﾀﾍﾞｰｽ変更点!#REF!</definedName>
    <definedName name="F_INFORMATION_READED" localSheetId="6">[3]ﾃﾞｰﾀﾍﾞｰｽ変更点!#REF!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6">[5]テーブル設計!#REF!</definedName>
    <definedName name="F_INVALID_PART_TERMINAL" localSheetId="4">[5]テーブル設計!#REF!</definedName>
    <definedName name="F_INVALID_PART_TERMINAL">[5]テーブル設計!#REF!</definedName>
    <definedName name="F_KIND_MASTER" localSheetId="6">[3]ﾃﾞｰﾀﾍﾞｰｽ変更点!#REF!</definedName>
    <definedName name="F_KIND_MASTER" localSheetId="4">[3]ﾃﾞｰﾀﾍﾞｰｽ変更点!#REF!</definedName>
    <definedName name="F_KIND_MASTER">[3]ﾃﾞｰﾀﾍﾞｰｽ変更点!#REF!</definedName>
    <definedName name="F_KRO_APPLICATION" localSheetId="6">[3]ﾃﾞｰﾀﾍﾞｰｽ変更点!#REF!</definedName>
    <definedName name="F_KRO_APPLICATION" localSheetId="4">[3]ﾃﾞｰﾀﾍﾞｰｽ変更点!#REF!</definedName>
    <definedName name="F_KRO_APPLICATION">[3]ﾃﾞｰﾀﾍﾞｰｽ変更点!#REF!</definedName>
    <definedName name="F_KRO_APPLICATION_DATA" localSheetId="6">[3]ﾃﾞｰﾀﾍﾞｰｽ変更点!#REF!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6">[3]ﾃﾞｰﾀﾍﾞｰｽ変更点!#REF!</definedName>
    <definedName name="F_KRO_COMPLETION" localSheetId="4">[3]ﾃﾞｰﾀﾍﾞｰｽ変更点!#REF!</definedName>
    <definedName name="F_KRO_COMPLETION">[3]ﾃﾞｰﾀﾍﾞｰｽ変更点!#REF!</definedName>
    <definedName name="F_KRO_COMPLETION_DATA" localSheetId="6">[3]ﾃﾞｰﾀﾍﾞｰｽ変更点!#REF!</definedName>
    <definedName name="F_KRO_COMPLETION_DATA" localSheetId="4">[3]ﾃﾞｰﾀﾍﾞｰｽ変更点!#REF!</definedName>
    <definedName name="F_KRO_COMPLETION_DATA">[3]ﾃﾞｰﾀﾍﾞｰｽ変更点!#REF!</definedName>
    <definedName name="F_KRO_EMERGENCY" localSheetId="6">[5]テーブル設計!#REF!</definedName>
    <definedName name="F_KRO_EMERGENCY" localSheetId="4">[5]テーブル設計!#REF!</definedName>
    <definedName name="F_KRO_EMERGENCY">[5]テーブル設計!#REF!</definedName>
    <definedName name="F_KRO_REPORT" localSheetId="6">[3]ﾃﾞｰﾀﾍﾞｰｽ変更点!#REF!</definedName>
    <definedName name="F_KRO_REPORT" localSheetId="4">[3]ﾃﾞｰﾀﾍﾞｰｽ変更点!#REF!</definedName>
    <definedName name="F_KRO_REPORT">[3]ﾃﾞｰﾀﾍﾞｰｽ変更点!#REF!</definedName>
    <definedName name="F_KUNNR">[9]Dictionary!$D$24</definedName>
    <definedName name="F_LANDMARK" localSheetId="6">[3]ﾃﾞｰﾀﾍﾞｰｽ変更点!#REF!</definedName>
    <definedName name="F_LANDMARK" localSheetId="4">[3]ﾃﾞｰﾀﾍﾞｰｽ変更点!#REF!</definedName>
    <definedName name="F_LANDMARK">[3]ﾃﾞｰﾀﾍﾞｰｽ変更点!#REF!</definedName>
    <definedName name="F_LANDMARK_CLASS" localSheetId="6">[3]ﾃﾞｰﾀﾍﾞｰｽ変更点!#REF!</definedName>
    <definedName name="F_LANDMARK_CLASS" localSheetId="4">[3]ﾃﾞｰﾀﾍﾞｰｽ変更点!#REF!</definedName>
    <definedName name="F_LANDMARK_CLASS">[3]ﾃﾞｰﾀﾍﾞｰｽ変更点!#REF!</definedName>
    <definedName name="F_LOGON_HISTORY" localSheetId="6">[3]ﾃﾞｰﾀﾍﾞｰｽ変更点!#REF!</definedName>
    <definedName name="F_LOGON_HISTORY" localSheetId="4">[3]ﾃﾞｰﾀﾍﾞｰｽ変更点!#REF!</definedName>
    <definedName name="F_LOGON_HISTORY">[3]ﾃﾞｰﾀﾍﾞｰｽ変更点!#REF!</definedName>
    <definedName name="F_MACHINE_ERROR" localSheetId="6">[4]TableDesign!#REF!</definedName>
    <definedName name="F_MACHINE_ERROR" localSheetId="4">[4]TableDesign!#REF!</definedName>
    <definedName name="F_MACHINE_ERROR">[4]TableDesign!#REF!</definedName>
    <definedName name="F_MACHINE_STATUS_MASTER" localSheetId="6">[3]ﾃﾞｰﾀﾍﾞｰｽ変更点!#REF!</definedName>
    <definedName name="F_MACHINE_STATUS_MASTER" localSheetId="4">[3]ﾃﾞｰﾀﾍﾞｰｽ変更点!#REF!</definedName>
    <definedName name="F_MACHINE_STATUS_MASTER">[3]ﾃﾞｰﾀﾍﾞｰｽ変更点!#REF!</definedName>
    <definedName name="F_MAINTENANCE_DATA" localSheetId="6">[3]ﾃﾞｰﾀﾍﾞｰｽ変更点!#REF!</definedName>
    <definedName name="F_MAINTENANCE_DATA" localSheetId="4">[3]ﾃﾞｰﾀﾍﾞｰｽ変更点!#REF!</definedName>
    <definedName name="F_MAINTENANCE_DATA">[3]ﾃﾞｰﾀﾍﾞｰｽ変更点!#REF!</definedName>
    <definedName name="F_MAINTENANCE_INFORM" localSheetId="6">[3]ﾃﾞｰﾀﾍﾞｰｽ変更点!#REF!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6">[3]ﾃﾞｰﾀﾍﾞｰｽ変更点!#REF!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6">[4]TableDesign!#REF!</definedName>
    <definedName name="F_MAINTENANCE_TIME" localSheetId="4">[4]TableDesign!#REF!</definedName>
    <definedName name="F_MAINTENANCE_TIME">[4]TableDesign!#REF!</definedName>
    <definedName name="F_MAKER_MASTER" localSheetId="6">[3]ﾃﾞｰﾀﾍﾞｰｽ変更点!#REF!</definedName>
    <definedName name="F_MAKER_MASTER" localSheetId="4">[3]ﾃﾞｰﾀﾍﾞｰｽ変更点!#REF!</definedName>
    <definedName name="F_MAKER_MASTER">[3]ﾃﾞｰﾀﾍﾞｰｽ変更点!#REF!</definedName>
    <definedName name="F_MARK_MACHINE" localSheetId="6">[4]TableDesign!#REF!</definedName>
    <definedName name="F_MARK_MACHINE" localSheetId="4">[4]TableDesign!#REF!</definedName>
    <definedName name="F_MARK_MACHINE">[4]TableDesign!#REF!</definedName>
    <definedName name="F_MARK_NOTIFICATION" localSheetId="6">[4]TableDesign!#REF!</definedName>
    <definedName name="F_MARK_NOTIFICATION" localSheetId="4">[4]TableDesign!#REF!</definedName>
    <definedName name="F_MARK_NOTIFICATION">[4]TableDesign!#REF!</definedName>
    <definedName name="F_MARK_NOTIFICATION_DETAIL" localSheetId="6">[4]TableDesign!#REF!</definedName>
    <definedName name="F_MARK_NOTIFICATION_DETAIL" localSheetId="4">[4]TableDesign!#REF!</definedName>
    <definedName name="F_MARK_NOTIFICATION_DETAIL">[4]TableDesign!#REF!</definedName>
    <definedName name="F_MEMO" localSheetId="6">[3]ﾃﾞｰﾀﾍﾞｰｽ変更点!#REF!</definedName>
    <definedName name="F_MEMO" localSheetId="4">[3]ﾃﾞｰﾀﾍﾞｰｽ変更点!#REF!</definedName>
    <definedName name="F_MEMO">[3]ﾃﾞｰﾀﾍﾞｰｽ変更点!#REF!</definedName>
    <definedName name="F_MEMORY_MODIFY" localSheetId="6">[3]ﾃﾞｰﾀﾍﾞｰｽ変更点!#REF!</definedName>
    <definedName name="F_MEMORY_MODIFY" localSheetId="4">[3]ﾃﾞｰﾀﾍﾞｰｽ変更点!#REF!</definedName>
    <definedName name="F_MEMORY_MODIFY">[3]ﾃﾞｰﾀﾍﾞｰｽ変更点!#REF!</definedName>
    <definedName name="F_MEMORY_MODIFY_DATA" localSheetId="6">[3]ﾃﾞｰﾀﾍﾞｰｽ変更点!#REF!</definedName>
    <definedName name="F_MEMORY_MODIFY_DATA" localSheetId="4">[3]ﾃﾞｰﾀﾍﾞｰｽ変更点!#REF!</definedName>
    <definedName name="F_MEMORY_MODIFY_DATA">[3]ﾃﾞｰﾀﾍﾞｰｽ変更点!#REF!</definedName>
    <definedName name="F_MESSAGE" localSheetId="6">[3]ﾃﾞｰﾀﾍﾞｰｽ変更点!#REF!</definedName>
    <definedName name="F_MESSAGE" localSheetId="4">[3]ﾃﾞｰﾀﾍﾞｰｽ変更点!#REF!</definedName>
    <definedName name="F_MESSAGE">[3]ﾃﾞｰﾀﾍﾞｰｽ変更点!#REF!</definedName>
    <definedName name="F_MESSAGE_MASTER" localSheetId="6">[3]ﾃﾞｰﾀﾍﾞｰｽ変更点!#REF!</definedName>
    <definedName name="F_MESSAGE_MASTER" localSheetId="4">[3]ﾃﾞｰﾀﾍﾞｰｽ変更点!#REF!</definedName>
    <definedName name="F_MESSAGE_MASTER">[3]ﾃﾞｰﾀﾍﾞｰｽ変更点!#REF!</definedName>
    <definedName name="F_MONTHLY_ATT_SMR" localSheetId="6">[4]TableDesign!#REF!</definedName>
    <definedName name="F_MONTHLY_ATT_SMR" localSheetId="4">[4]TableDesign!#REF!</definedName>
    <definedName name="F_MONTHLY_ATT_SMR">[4]TableDesign!#REF!</definedName>
    <definedName name="F_MONTHLY_ERROR" localSheetId="6">[4]TableDesign!#REF!</definedName>
    <definedName name="F_MONTHLY_ERROR" localSheetId="4">[4]TableDesign!#REF!</definedName>
    <definedName name="F_MONTHLY_ERROR">[4]TableDesign!#REF!</definedName>
    <definedName name="F_MONTHLY_LOAD" localSheetId="6">[4]TableDesign!#REF!</definedName>
    <definedName name="F_MONTHLY_LOAD" localSheetId="4">[4]TableDesign!#REF!</definedName>
    <definedName name="F_MONTHLY_LOAD">[4]TableDesign!#REF!</definedName>
    <definedName name="F_MONTHLY_MOVEMENT" localSheetId="6">[4]TableDesign!#REF!</definedName>
    <definedName name="F_MONTHLY_MOVEMENT" localSheetId="4">[4]TableDesign!#REF!</definedName>
    <definedName name="F_MONTHLY_MOVEMENT">[4]TableDesign!#REF!</definedName>
    <definedName name="F_MONTHLY_OPERATION" localSheetId="6">[4]TableDesign!#REF!</definedName>
    <definedName name="F_MONTHLY_OPERATION" localSheetId="4">[4]TableDesign!#REF!</definedName>
    <definedName name="F_MONTHLY_OPERATION">[4]TableDesign!#REF!</definedName>
    <definedName name="F_MONTHLY_SMR" localSheetId="6">[4]TableDesign!#REF!</definedName>
    <definedName name="F_MONTHLY_SMR" localSheetId="4">[4]TableDesign!#REF!</definedName>
    <definedName name="F_MONTHLY_SMR">[4]TableDesign!#REF!</definedName>
    <definedName name="F_MONTHLY_WORKING_SMR" localSheetId="6">[4]TableDesign!#REF!</definedName>
    <definedName name="F_MONTHLY_WORKING_SMR" localSheetId="4">[4]TableDesign!#REF!</definedName>
    <definedName name="F_MONTHLY_WORKING_SMR">[4]TableDesign!#REF!</definedName>
    <definedName name="F_MONTLY_LOAD" localSheetId="6">[4]TableDesign!#REF!</definedName>
    <definedName name="F_MONTLY_LOAD" localSheetId="4">[4]TableDesign!#REF!</definedName>
    <definedName name="F_MONTLY_LOAD">[4]TableDesign!#REF!</definedName>
    <definedName name="F_MULTI_OPE" localSheetId="6">[3]ﾃﾞｰﾀﾍﾞｰｽ変更点!#REF!</definedName>
    <definedName name="F_MULTI_OPE" localSheetId="4">[3]ﾃﾞｰﾀﾍﾞｰｽ変更点!#REF!</definedName>
    <definedName name="F_MULTI_OPE">[3]ﾃﾞｰﾀﾍﾞｰｽ変更点!#REF!</definedName>
    <definedName name="F_MULTI_OPE_DATA" localSheetId="6">[5]テーブル設計!#REF!</definedName>
    <definedName name="F_MULTI_OPE_DATA" localSheetId="4">[5]テーブル設計!#REF!</definedName>
    <definedName name="F_MULTI_OPE_DATA">[5]テーブル設計!#REF!</definedName>
    <definedName name="F_NLS_DB_RESOURCE" localSheetId="6">[4]TableDesign!#REF!</definedName>
    <definedName name="F_NLS_DB_RESOURCE" localSheetId="4">[4]TableDesign!#REF!</definedName>
    <definedName name="F_NLS_DB_RESOURCE">[4]TableDesign!#REF!</definedName>
    <definedName name="F_NLS_LANG" localSheetId="6">[4]TableDesign!#REF!</definedName>
    <definedName name="F_NLS_LANG" localSheetId="4">[4]TableDesign!#REF!</definedName>
    <definedName name="F_NLS_LANG">[4]TableDesign!#REF!</definedName>
    <definedName name="F_NLS_RESOURCE" localSheetId="6">[4]TableDesign!#REF!</definedName>
    <definedName name="F_NLS_RESOURCE" localSheetId="4">[4]TableDesign!#REF!</definedName>
    <definedName name="F_NLS_RESOURCE">[4]TableDesign!#REF!</definedName>
    <definedName name="F_NOT_ACTIVE" localSheetId="6">[3]ﾃﾞｰﾀﾍﾞｰｽ変更点!#REF!</definedName>
    <definedName name="F_NOT_ACTIVE" localSheetId="4">[3]ﾃﾞｰﾀﾍﾞｰｽ変更点!#REF!</definedName>
    <definedName name="F_NOT_ACTIVE">[3]ﾃﾞｰﾀﾍﾞｰｽ変更点!#REF!</definedName>
    <definedName name="F_OPERATION_CATEGORY" localSheetId="6">[4]TableDesign!#REF!</definedName>
    <definedName name="F_OPERATION_CATEGORY" localSheetId="4">[4]TableDesign!#REF!</definedName>
    <definedName name="F_OPERATION_CATEGORY">[4]TableDesign!#REF!</definedName>
    <definedName name="F_OPERATION_CLASS" localSheetId="6">[5]テーブル設計!#REF!</definedName>
    <definedName name="F_OPERATION_CLASS" localSheetId="4">[5]テーブル設計!#REF!</definedName>
    <definedName name="F_OPERATION_CLASS">[5]テーブル設計!#REF!</definedName>
    <definedName name="F_OPERATION_LOG" localSheetId="6">[3]ﾃﾞｰﾀﾍﾞｰｽ変更点!#REF!</definedName>
    <definedName name="F_OPERATION_LOG" localSheetId="4">[3]ﾃﾞｰﾀﾍﾞｰｽ変更点!#REF!</definedName>
    <definedName name="F_OPERATION_LOG">[3]ﾃﾞｰﾀﾍﾞｰｽ変更点!#REF!</definedName>
    <definedName name="F_OPERATION_LOG2" localSheetId="6">[5]テーブル設計!#REF!</definedName>
    <definedName name="F_OPERATION_LOG2" localSheetId="4">[5]テーブル設計!#REF!</definedName>
    <definedName name="F_OPERATION_LOG2">[5]テーブル設計!#REF!</definedName>
    <definedName name="F_OPERATION_MAP" localSheetId="6">[4]TableDesign!#REF!</definedName>
    <definedName name="F_OPERATION_MAP" localSheetId="4">[4]TableDesign!#REF!</definedName>
    <definedName name="F_OPERATION_MAP">[4]TableDesign!#REF!</definedName>
    <definedName name="F_OPERATION_MASTER" localSheetId="6">[5]テーブル設計!#REF!</definedName>
    <definedName name="F_OPERATION_MASTER" localSheetId="4">[5]テーブル設計!#REF!</definedName>
    <definedName name="F_OPERATION_MASTER">[5]テーブル設計!#REF!</definedName>
    <definedName name="F_ORBCOMM" localSheetId="6">[3]ﾃﾞｰﾀﾍﾞｰｽ変更点!#REF!</definedName>
    <definedName name="F_ORBCOMM" localSheetId="4">[3]ﾃﾞｰﾀﾍﾞｰｽ変更点!#REF!</definedName>
    <definedName name="F_ORBCOMM">[3]ﾃﾞｰﾀﾍﾞｰｽ変更点!#REF!</definedName>
    <definedName name="F_ORBCOMM_OWNER_HISTORY" localSheetId="6">[3]ﾃﾞｰﾀﾍﾞｰｽ変更点!#REF!</definedName>
    <definedName name="F_ORBCOMM_OWNER_HISTORY" localSheetId="4">[3]ﾃﾞｰﾀﾍﾞｰｽ変更点!#REF!</definedName>
    <definedName name="F_ORBCOMM_OWNER_HISTORY">[3]ﾃﾞｰﾀﾍﾞｰｽ変更点!#REF!</definedName>
    <definedName name="F_PLANT_CAR" localSheetId="6">[5]テーブル設計!#REF!</definedName>
    <definedName name="F_PLANT_CAR" localSheetId="4">[5]テーブル設計!#REF!</definedName>
    <definedName name="F_PLANT_CAR">[5]テーブル設計!#REF!</definedName>
    <definedName name="F_PLANT_ERROR" localSheetId="6">[5]テーブル設計!#REF!</definedName>
    <definedName name="F_PLANT_ERROR" localSheetId="4">[5]テーブル設計!#REF!</definedName>
    <definedName name="F_PLANT_ERROR">[5]テーブル設計!#REF!</definedName>
    <definedName name="F_PLANT_GPS" localSheetId="6">[5]テーブル設計!#REF!</definedName>
    <definedName name="F_PLANT_GPS" localSheetId="4">[5]テーブル設計!#REF!</definedName>
    <definedName name="F_PLANT_GPS">[5]テーブル設計!#REF!</definedName>
    <definedName name="F_PREVENT_THEFT_KEY" localSheetId="6">[3]ﾃﾞｰﾀﾍﾞｰｽ変更点!#REF!</definedName>
    <definedName name="F_PREVENT_THEFT_KEY" localSheetId="4">[3]ﾃﾞｰﾀﾍﾞｰｽ変更点!#REF!</definedName>
    <definedName name="F_PREVENT_THEFT_KEY">[3]ﾃﾞｰﾀﾍﾞｰｽ変更点!#REF!</definedName>
    <definedName name="F_PRIVATE_TARGET_CAR" localSheetId="6">[3]ﾃﾞｰﾀﾍﾞｰｽ変更点!#REF!</definedName>
    <definedName name="F_PRIVATE_TARGET_CAR" localSheetId="4">[3]ﾃﾞｰﾀﾍﾞｰｽ変更点!#REF!</definedName>
    <definedName name="F_PRIVATE_TARGET_CAR">[3]ﾃﾞｰﾀﾍﾞｰｽ変更点!#REF!</definedName>
    <definedName name="F_RECEIVE_LIST" localSheetId="6">[5]テーブル設計!#REF!</definedName>
    <definedName name="F_RECEIVE_LIST" localSheetId="4">[5]テーブル設計!#REF!</definedName>
    <definedName name="F_RECEIVE_LIST">[5]テーブル設計!#REF!</definedName>
    <definedName name="F_RECEIVE_LOG" localSheetId="6">[3]ﾃﾞｰﾀﾍﾞｰｽ変更点!#REF!</definedName>
    <definedName name="F_RECEIVE_LOG" localSheetId="4">[3]ﾃﾞｰﾀﾍﾞｰｽ変更点!#REF!</definedName>
    <definedName name="F_RECEIVE_LOG">[3]ﾃﾞｰﾀﾍﾞｰｽ変更点!#REF!</definedName>
    <definedName name="F_REGION_DATA" localSheetId="6">[4]TableDesign!#REF!</definedName>
    <definedName name="F_REGION_DATA" localSheetId="4">[4]TableDesign!#REF!</definedName>
    <definedName name="F_REGION_DATA">[4]TableDesign!#REF!</definedName>
    <definedName name="F_REGION_MASTER" localSheetId="6">[4]TableDesign!#REF!</definedName>
    <definedName name="F_REGION_MASTER" localSheetId="4">[4]TableDesign!#REF!</definedName>
    <definedName name="F_REGION_MASTER">[4]TableDesign!#REF!</definedName>
    <definedName name="F_RENTAL_TERMINAL" localSheetId="6">[5]テーブル設計!#REF!</definedName>
    <definedName name="F_RENTAL_TERMINAL" localSheetId="4">[5]テーブル設計!#REF!</definedName>
    <definedName name="F_RENTAL_TERMINAL">[5]テーブル設計!#REF!</definedName>
    <definedName name="F_REQUEST" localSheetId="6">[3]ﾃﾞｰﾀﾍﾞｰｽ変更点!#REF!</definedName>
    <definedName name="F_REQUEST" localSheetId="4">[3]ﾃﾞｰﾀﾍﾞｰｽ変更点!#REF!</definedName>
    <definedName name="F_REQUEST">[3]ﾃﾞｰﾀﾍﾞｰｽ変更点!#REF!</definedName>
    <definedName name="F_REQUEST_COUNT" localSheetId="6">[3]ﾃﾞｰﾀﾍﾞｰｽ変更点!#REF!</definedName>
    <definedName name="F_REQUEST_COUNT" localSheetId="4">[3]ﾃﾞｰﾀﾍﾞｰｽ変更点!#REF!</definedName>
    <definedName name="F_REQUEST_COUNT">[3]ﾃﾞｰﾀﾍﾞｰｽ変更点!#REF!</definedName>
    <definedName name="F_REQUEST_LOG" localSheetId="6">[3]ﾃﾞｰﾀﾍﾞｰｽ変更点!#REF!</definedName>
    <definedName name="F_REQUEST_LOG" localSheetId="4">[3]ﾃﾞｰﾀﾍﾞｰｽ変更点!#REF!</definedName>
    <definedName name="F_REQUEST_LOG">[3]ﾃﾞｰﾀﾍﾞｰｽ変更点!#REF!</definedName>
    <definedName name="F_RIVATE_TARGET_CAR" localSheetId="6">[4]TableDesign!#REF!</definedName>
    <definedName name="F_RIVATE_TARGET_CAR" localSheetId="4">[4]TableDesign!#REF!</definedName>
    <definedName name="F_RIVATE_TARGET_CAR">[4]TableDesign!#REF!</definedName>
    <definedName name="F_RUNNING_LOG" localSheetId="6">[3]ﾃﾞｰﾀﾍﾞｰｽ変更点!#REF!</definedName>
    <definedName name="F_RUNNING_LOG" localSheetId="4">[3]ﾃﾞｰﾀﾍﾞｰｽ変更点!#REF!</definedName>
    <definedName name="F_RUNNING_LOG">[3]ﾃﾞｰﾀﾍﾞｰｽ変更点!#REF!</definedName>
    <definedName name="F_SAVE_INFORMATION" localSheetId="6">[5]テーブル設計!#REF!</definedName>
    <definedName name="F_SAVE_INFORMATION" localSheetId="4">[5]テーブル設計!#REF!</definedName>
    <definedName name="F_SAVE_INFORMATION">[5]テーブル設計!#REF!</definedName>
    <definedName name="F_SELFCARINSPECTION" localSheetId="6">[3]ﾃﾞｰﾀﾍﾞｰｽ変更点!#REF!</definedName>
    <definedName name="F_SELFCARINSPECTION" localSheetId="4">[3]ﾃﾞｰﾀﾍﾞｰｽ変更点!#REF!</definedName>
    <definedName name="F_SELFCARINSPECTION">[3]ﾃﾞｰﾀﾍﾞｰｽ変更点!#REF!</definedName>
    <definedName name="F_SEND_LIST" localSheetId="6">[5]テーブル設計!#REF!</definedName>
    <definedName name="F_SEND_LIST" localSheetId="4">[5]テーブル設計!#REF!</definedName>
    <definedName name="F_SEND_LIST">[5]テーブル設計!#REF!</definedName>
    <definedName name="F_SEND_LOG" localSheetId="6">[5]テーブル設計!#REF!</definedName>
    <definedName name="F_SEND_LOG" localSheetId="4">[5]テーブル設計!#REF!</definedName>
    <definedName name="F_SEND_LOG">[5]テーブル設計!#REF!</definedName>
    <definedName name="F_SERVER_COMMUNICATION" localSheetId="6">[4]TableDesign!#REF!</definedName>
    <definedName name="F_SERVER_COMMUNICATION" localSheetId="4">[4]TableDesign!#REF!</definedName>
    <definedName name="F_SERVER_COMMUNICATION">[4]TableDesign!#REF!</definedName>
    <definedName name="F_SERVER_INFORMATION" localSheetId="6">[3]ﾃﾞｰﾀﾍﾞｰｽ変更点!#REF!</definedName>
    <definedName name="F_SERVER_INFORMATION" localSheetId="4">[3]ﾃﾞｰﾀﾍﾞｰｽ変更点!#REF!</definedName>
    <definedName name="F_SERVER_INFORMATION">[3]ﾃﾞｰﾀﾍﾞｰｽ変更点!#REF!</definedName>
    <definedName name="F_SERVICE_METER" localSheetId="6">[3]ﾃﾞｰﾀﾍﾞｰｽ変更点!#REF!</definedName>
    <definedName name="F_SERVICE_METER" localSheetId="4">[3]ﾃﾞｰﾀﾍﾞｰｽ変更点!#REF!</definedName>
    <definedName name="F_SERVICE_METER">[3]ﾃﾞｰﾀﾍﾞｰｽ変更点!#REF!</definedName>
    <definedName name="F_SERVICE_METER2" localSheetId="6">[5]テーブル設計!#REF!</definedName>
    <definedName name="F_SERVICE_METER2" localSheetId="4">[5]テーブル設計!#REF!</definedName>
    <definedName name="F_SERVICE_METER2">[5]テーブル設計!#REF!</definedName>
    <definedName name="F_SERVICEMAN" localSheetId="6">[5]テーブル設計!#REF!</definedName>
    <definedName name="F_SERVICEMAN" localSheetId="4">[5]テーブル設計!#REF!</definedName>
    <definedName name="F_SERVICEMAN">[5]テーブル設計!#REF!</definedName>
    <definedName name="F_SERVICEMAN_CHARGE" localSheetId="6">[5]テーブル設計!#REF!</definedName>
    <definedName name="F_SERVICEMAN_CHARGE" localSheetId="4">[5]テーブル設計!#REF!</definedName>
    <definedName name="F_SERVICEMAN_CHARGE">[5]テーブル設計!#REF!</definedName>
    <definedName name="F_SGTXT">[9]Dictionary!$D$31</definedName>
    <definedName name="F_SHIPMENT" localSheetId="6">[3]ﾃﾞｰﾀﾍﾞｰｽ変更点!#REF!</definedName>
    <definedName name="F_SHIPMENT" localSheetId="4">[3]ﾃﾞｰﾀﾍﾞｰｽ変更点!#REF!</definedName>
    <definedName name="F_SHIPMENT">[3]ﾃﾞｰﾀﾍﾞｰｽ変更点!#REF!</definedName>
    <definedName name="F_SHOW" localSheetId="6">[3]ﾃﾞｰﾀﾍﾞｰｽ変更点!#REF!</definedName>
    <definedName name="F_SHOW" localSheetId="4">[3]ﾃﾞｰﾀﾍﾞｰｽ変更点!#REF!</definedName>
    <definedName name="F_SHOW">[3]ﾃﾞｰﾀﾍﾞｰｽ変更点!#REF!</definedName>
    <definedName name="F_SHOW_GROUP" localSheetId="6">[3]ﾃﾞｰﾀﾍﾞｰｽ変更点!#REF!</definedName>
    <definedName name="F_SHOW_GROUP" localSheetId="4">[3]ﾃﾞｰﾀﾍﾞｰｽ変更点!#REF!</definedName>
    <definedName name="F_SHOW_GROUP">[3]ﾃﾞｰﾀﾍﾞｰｽ変更点!#REF!</definedName>
    <definedName name="F_SPECIAL_AREA" localSheetId="6">[3]ﾃﾞｰﾀﾍﾞｰｽ変更点!#REF!</definedName>
    <definedName name="F_SPECIAL_AREA" localSheetId="4">[3]ﾃﾞｰﾀﾍﾞｰｽ変更点!#REF!</definedName>
    <definedName name="F_SPECIAL_AREA">[3]ﾃﾞｰﾀﾍﾞｰｽ変更点!#REF!</definedName>
    <definedName name="F_SUB_GROUP" localSheetId="6">[4]TableDesign!#REF!</definedName>
    <definedName name="F_SUB_GROUP" localSheetId="4">[4]TableDesign!#REF!</definedName>
    <definedName name="F_SUB_GROUP">[4]TableDesign!#REF!</definedName>
    <definedName name="F_SUB_GROUP_CAR" localSheetId="6">[4]TableDesign!#REF!</definedName>
    <definedName name="F_SUB_GROUP_CAR" localSheetId="4">[4]TableDesign!#REF!</definedName>
    <definedName name="F_SUB_GROUP_CAR">[4]TableDesign!#REF!</definedName>
    <definedName name="F_SYSTEM_COMMTERM_INFO" localSheetId="6">[3]ﾃﾞｰﾀﾍﾞｰｽ変更点!#REF!</definedName>
    <definedName name="F_SYSTEM_COMMTERM_INFO" localSheetId="4">[3]ﾃﾞｰﾀﾍﾞｰｽ変更点!#REF!</definedName>
    <definedName name="F_SYSTEM_COMMTERM_INFO">[3]ﾃﾞｰﾀﾍﾞｰｽ変更点!#REF!</definedName>
    <definedName name="F_SYSTEM_LOG" localSheetId="6">[3]ﾃﾞｰﾀﾍﾞｰｽ変更点!#REF!</definedName>
    <definedName name="F_SYSTEM_LOG" localSheetId="4">[3]ﾃﾞｰﾀﾍﾞｰｽ変更点!#REF!</definedName>
    <definedName name="F_SYSTEM_LOG">[3]ﾃﾞｰﾀﾍﾞｰｽ変更点!#REF!</definedName>
    <definedName name="F_SYSTEM_NOTICE" localSheetId="6">[3]ﾃﾞｰﾀﾍﾞｰｽ変更点!#REF!</definedName>
    <definedName name="F_SYSTEM_NOTICE" localSheetId="4">[3]ﾃﾞｰﾀﾍﾞｰｽ変更点!#REF!</definedName>
    <definedName name="F_SYSTEM_NOTICE">[3]ﾃﾞｰﾀﾍﾞｰｽ変更点!#REF!</definedName>
    <definedName name="F_TARGET" localSheetId="6">[3]ﾃﾞｰﾀﾍﾞｰｽ変更点!#REF!</definedName>
    <definedName name="F_TARGET" localSheetId="4">[3]ﾃﾞｰﾀﾍﾞｰｽ変更点!#REF!</definedName>
    <definedName name="F_TARGET">[3]ﾃﾞｰﾀﾍﾞｰｽ変更点!#REF!</definedName>
    <definedName name="F_TARGET_CAR" localSheetId="6">[3]ﾃﾞｰﾀﾍﾞｰｽ変更点!#REF!</definedName>
    <definedName name="F_TARGET_CAR" localSheetId="4">[3]ﾃﾞｰﾀﾍﾞｰｽ変更点!#REF!</definedName>
    <definedName name="F_TARGET_CAR">[3]ﾃﾞｰﾀﾍﾞｰｽ変更点!#REF!</definedName>
    <definedName name="F_TERMINAL_AREA" localSheetId="6">[3]ﾃﾞｰﾀﾍﾞｰｽ変更点!#REF!</definedName>
    <definedName name="F_TERMINAL_AREA" localSheetId="4">[3]ﾃﾞｰﾀﾍﾞｰｽ変更点!#REF!</definedName>
    <definedName name="F_TERMINAL_AREA">[3]ﾃﾞｰﾀﾍﾞｰｽ変更点!#REF!</definedName>
    <definedName name="F_TERMINAL_CAUTION" localSheetId="6">[3]ﾃﾞｰﾀﾍﾞｰｽ変更点!#REF!</definedName>
    <definedName name="F_TERMINAL_CAUTION" localSheetId="4">[3]ﾃﾞｰﾀﾍﾞｰｽ変更点!#REF!</definedName>
    <definedName name="F_TERMINAL_CAUTION">[3]ﾃﾞｰﾀﾍﾞｰｽ変更点!#REF!</definedName>
    <definedName name="F_TERMINAL_ERROR" localSheetId="6">[3]ﾃﾞｰﾀﾍﾞｰｽ変更点!#REF!</definedName>
    <definedName name="F_TERMINAL_ERROR" localSheetId="4">[3]ﾃﾞｰﾀﾍﾞｰｽ変更点!#REF!</definedName>
    <definedName name="F_TERMINAL_ERROR">[3]ﾃﾞｰﾀﾍﾞｰｽ変更点!#REF!</definedName>
    <definedName name="F_TERMINAL_KIND" localSheetId="6">[3]ﾃﾞｰﾀﾍﾞｰｽ変更点!#REF!</definedName>
    <definedName name="F_TERMINAL_KIND" localSheetId="4">[3]ﾃﾞｰﾀﾍﾞｰｽ変更点!#REF!</definedName>
    <definedName name="F_TERMINAL_KIND">[3]ﾃﾞｰﾀﾍﾞｰｽ変更点!#REF!</definedName>
    <definedName name="F_TERMINAL_MASTER" localSheetId="6">[3]ﾃﾞｰﾀﾍﾞｰｽ変更点!#REF!</definedName>
    <definedName name="F_TERMINAL_MASTER" localSheetId="4">[3]ﾃﾞｰﾀﾍﾞｰｽ変更点!#REF!</definedName>
    <definedName name="F_TERMINAL_MASTER">[3]ﾃﾞｰﾀﾍﾞｰｽ変更点!#REF!</definedName>
    <definedName name="F_TERMINAL_PART_MASTER" localSheetId="6">[3]ﾃﾞｰﾀﾍﾞｰｽ変更点!#REF!</definedName>
    <definedName name="F_TERMINAL_PART_MASTER" localSheetId="4">[3]ﾃﾞｰﾀﾍﾞｰｽ変更点!#REF!</definedName>
    <definedName name="F_TERMINAL_PART_MASTER">[3]ﾃﾞｰﾀﾍﾞｰｽ変更点!#REF!</definedName>
    <definedName name="F_TYPE_MASTER" localSheetId="6">[3]ﾃﾞｰﾀﾍﾞｰｽ変更点!#REF!</definedName>
    <definedName name="F_TYPE_MASTER" localSheetId="4">[3]ﾃﾞｰﾀﾍﾞｰｽ変更点!#REF!</definedName>
    <definedName name="F_TYPE_MASTER">[3]ﾃﾞｰﾀﾍﾞｰｽ変更点!#REF!</definedName>
    <definedName name="F_UFO" localSheetId="6">[3]ﾃﾞｰﾀﾍﾞｰｽ変更点!#REF!</definedName>
    <definedName name="F_UFO" localSheetId="4">[3]ﾃﾞｰﾀﾍﾞｰｽ変更点!#REF!</definedName>
    <definedName name="F_UFO">[3]ﾃﾞｰﾀﾍﾞｰｽ変更点!#REF!</definedName>
    <definedName name="F_UNRELIABLE_RECEIVE" localSheetId="6">[3]ﾃﾞｰﾀﾍﾞｰｽ変更点!#REF!</definedName>
    <definedName name="F_UNRELIABLE_RECEIVE" localSheetId="4">[3]ﾃﾞｰﾀﾍﾞｰｽ変更点!#REF!</definedName>
    <definedName name="F_UNRELIABLE_RECEIVE">[3]ﾃﾞｰﾀﾍﾞｰｽ変更点!#REF!</definedName>
    <definedName name="F_USER_MASTER" localSheetId="6">[3]ﾃﾞｰﾀﾍﾞｰｽ変更点!#REF!</definedName>
    <definedName name="F_USER_MASTER" localSheetId="4">[3]ﾃﾞｰﾀﾍﾞｰｽ変更点!#REF!</definedName>
    <definedName name="F_USER_MASTER">[3]ﾃﾞｰﾀﾍﾞｰｽ変更点!#REF!</definedName>
    <definedName name="F_USER_TEMP" localSheetId="6">[3]ﾃﾞｰﾀﾍﾞｰｽ変更点!#REF!</definedName>
    <definedName name="F_USER_TEMP" localSheetId="4">[3]ﾃﾞｰﾀﾍﾞｰｽ変更点!#REF!</definedName>
    <definedName name="F_USER_TEMP">[3]ﾃﾞｰﾀﾍﾞｰｽ変更点!#REF!</definedName>
    <definedName name="F_WATER_TEMP_GAUGE" localSheetId="6">[4]TableDesign!#REF!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6">'[6]DATA-COMMUNICATION-FORMAT'!#REF!</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6">#REF!</definedName>
    <definedName name="Freepage" localSheetId="4">#REF!</definedName>
    <definedName name="Freepage">#REF!</definedName>
    <definedName name="Freepage2" localSheetId="6">#REF!</definedName>
    <definedName name="Freepage2" localSheetId="4">#REF!</definedName>
    <definedName name="Freepage2">#REF!</definedName>
    <definedName name="Freepage3" localSheetId="6">#REF!</definedName>
    <definedName name="Freepage3" localSheetId="4">#REF!</definedName>
    <definedName name="Freepage3">#REF!</definedName>
    <definedName name="Freespace" localSheetId="6">#REF!</definedName>
    <definedName name="Freespace" localSheetId="4">#REF!</definedName>
    <definedName name="Freespace">#REF!</definedName>
    <definedName name="Freespace2" localSheetId="6">#REF!</definedName>
    <definedName name="Freespace2" localSheetId="4">#REF!</definedName>
    <definedName name="Freespace2">#REF!</definedName>
    <definedName name="Freespace3" localSheetId="6">#REF!</definedName>
    <definedName name="Freespace3" localSheetId="4">#REF!</definedName>
    <definedName name="Freespace3">#REF!</definedName>
    <definedName name="G_ACT_DATA" localSheetId="6">[3]ﾃﾞｰﾀﾍﾞｰｽ変更点!#REF!</definedName>
    <definedName name="G_ACT_DATA" localSheetId="4">[3]ﾃﾞｰﾀﾍﾞｰｽ変更点!#REF!</definedName>
    <definedName name="G_ACT_DATA">[3]ﾃﾞｰﾀﾍﾞｰｽ変更点!#REF!</definedName>
    <definedName name="G_ACTUAL_OPERATION" localSheetId="6">[4]TableDesign!#REF!</definedName>
    <definedName name="G_ACTUAL_OPERATION" localSheetId="4">[4]TableDesign!#REF!</definedName>
    <definedName name="G_ACTUAL_OPERATION">[4]TableDesign!#REF!</definedName>
    <definedName name="G_AREA" localSheetId="6">[3]ﾃﾞｰﾀﾍﾞｰｽ変更点!#REF!</definedName>
    <definedName name="G_AREA" localSheetId="4">[3]ﾃﾞｰﾀﾍﾞｰｽ変更点!#REF!</definedName>
    <definedName name="G_AREA">[3]ﾃﾞｰﾀﾍﾞｰｽ変更点!#REF!</definedName>
    <definedName name="G_AREA_DEFINE" localSheetId="6">[3]ﾃﾞｰﾀﾍﾞｰｽ変更点!#REF!</definedName>
    <definedName name="G_AREA_DEFINE" localSheetId="4">[3]ﾃﾞｰﾀﾍﾞｰｽ変更点!#REF!</definedName>
    <definedName name="G_AREA_DEFINE">[3]ﾃﾞｰﾀﾍﾞｰｽ変更点!#REF!</definedName>
    <definedName name="G_AREA_INIT" localSheetId="6">[3]ﾃﾞｰﾀﾍﾞｰｽ変更点!#REF!</definedName>
    <definedName name="G_AREA_INIT" localSheetId="4">[3]ﾃﾞｰﾀﾍﾞｰｽ変更点!#REF!</definedName>
    <definedName name="G_AREA_INIT">[3]ﾃﾞｰﾀﾍﾞｰｽ変更点!#REF!</definedName>
    <definedName name="G_AREA_MASTER" localSheetId="6">[3]ﾃﾞｰﾀﾍﾞｰｽ変更点!#REF!</definedName>
    <definedName name="G_AREA_MASTER" localSheetId="4">[3]ﾃﾞｰﾀﾍﾞｰｽ変更点!#REF!</definedName>
    <definedName name="G_AREA_MASTER">[3]ﾃﾞｰﾀﾍﾞｰｽ変更点!#REF!</definedName>
    <definedName name="G_ASK" localSheetId="6">[3]ﾃﾞｰﾀﾍﾞｰｽ変更点!#REF!</definedName>
    <definedName name="G_ASK" localSheetId="4">[3]ﾃﾞｰﾀﾍﾞｰｽ変更点!#REF!</definedName>
    <definedName name="G_ASK">[3]ﾃﾞｰﾀﾍﾞｰｽ変更点!#REF!</definedName>
    <definedName name="G_ASK_LOG" localSheetId="6">[5]テーブル設計!#REF!</definedName>
    <definedName name="G_ASK_LOG" localSheetId="4">[5]テーブル設計!#REF!</definedName>
    <definedName name="G_ASK_LOG">[5]テーブル設計!#REF!</definedName>
    <definedName name="G_ASK_SYSTEM" localSheetId="6">[3]ﾃﾞｰﾀﾍﾞｰｽ変更点!#REF!</definedName>
    <definedName name="G_ASK_SYSTEM" localSheetId="4">[3]ﾃﾞｰﾀﾍﾞｰｽ変更点!#REF!</definedName>
    <definedName name="G_ASK_SYSTEM">[3]ﾃﾞｰﾀﾍﾞｰｽ変更点!#REF!</definedName>
    <definedName name="G_ATC_ERROR" localSheetId="6">[5]テーブル設計!#REF!</definedName>
    <definedName name="G_ATC_ERROR" localSheetId="4">[5]テーブル設計!#REF!</definedName>
    <definedName name="G_ATC_ERROR">[5]テーブル設計!#REF!</definedName>
    <definedName name="G_AUTHORITY_GROUP" localSheetId="6">[3]ﾃﾞｰﾀﾍﾞｰｽ変更点!#REF!</definedName>
    <definedName name="G_AUTHORITY_GROUP" localSheetId="4">[3]ﾃﾞｰﾀﾍﾞｰｽ変更点!#REF!</definedName>
    <definedName name="G_AUTHORITY_GROUP">[3]ﾃﾞｰﾀﾍﾞｰｽ変更点!#REF!</definedName>
    <definedName name="G_AUTHORITY_GROUP_DATA" localSheetId="6">[3]ﾃﾞｰﾀﾍﾞｰｽ変更点!#REF!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6">[5]テーブル設計!#REF!</definedName>
    <definedName name="G_AUTHORITY_MASTER" localSheetId="4">[5]テーブル設計!#REF!</definedName>
    <definedName name="G_AUTHORITY_MASTER">[5]テーブル設計!#REF!</definedName>
    <definedName name="G_BONDED_STORE" localSheetId="6">[5]テーブル設計!#REF!</definedName>
    <definedName name="G_BONDED_STORE" localSheetId="4">[5]テーブル設計!#REF!</definedName>
    <definedName name="G_BONDED_STORE">[5]テーブル設計!#REF!</definedName>
    <definedName name="G_CAR_DATA" localSheetId="6">[3]ﾃﾞｰﾀﾍﾞｰｽ変更点!#REF!</definedName>
    <definedName name="G_CAR_DATA" localSheetId="4">[3]ﾃﾞｰﾀﾍﾞｰｽ変更点!#REF!</definedName>
    <definedName name="G_CAR_DATA">[3]ﾃﾞｰﾀﾍﾞｰｽ変更点!#REF!</definedName>
    <definedName name="G_CAR_MASTER" localSheetId="6">[3]ﾃﾞｰﾀﾍﾞｰｽ変更点!#REF!</definedName>
    <definedName name="G_CAR_MASTER" localSheetId="4">[3]ﾃﾞｰﾀﾍﾞｰｽ変更点!#REF!</definedName>
    <definedName name="G_CAR_MASTER">[3]ﾃﾞｰﾀﾍﾞｰｽ変更点!#REF!</definedName>
    <definedName name="G_CAR_MONTHLY_DATA" localSheetId="6">[3]ﾃﾞｰﾀﾍﾞｰｽ変更点!#REF!</definedName>
    <definedName name="G_CAR_MONTHLY_DATA" localSheetId="4">[3]ﾃﾞｰﾀﾍﾞｰｽ変更点!#REF!</definedName>
    <definedName name="G_CAR_MONTHLY_DATA">[3]ﾃﾞｰﾀﾍﾞｰｽ変更点!#REF!</definedName>
    <definedName name="G_CAR_OWNER_HISTORY" localSheetId="6">[3]ﾃﾞｰﾀﾍﾞｰｽ変更点!#REF!</definedName>
    <definedName name="G_CAR_OWNER_HISTORY" localSheetId="4">[3]ﾃﾞｰﾀﾍﾞｰｽ変更点!#REF!</definedName>
    <definedName name="G_CAR_OWNER_HISTORY">[3]ﾃﾞｰﾀﾍﾞｰｽ変更点!#REF!</definedName>
    <definedName name="G_CAUTION" localSheetId="6">[4]TableDesign!#REF!</definedName>
    <definedName name="G_CAUTION" localSheetId="4">[4]TableDesign!#REF!</definedName>
    <definedName name="G_CAUTION">[4]TableDesign!#REF!</definedName>
    <definedName name="G_CAUTION_DATA" localSheetId="6">[3]ﾃﾞｰﾀﾍﾞｰｽ変更点!#REF!</definedName>
    <definedName name="G_CAUTION_DATA" localSheetId="4">[3]ﾃﾞｰﾀﾍﾞｰｽ変更点!#REF!</definedName>
    <definedName name="G_CAUTION_DATA">[3]ﾃﾞｰﾀﾍﾞｰｽ変更点!#REF!</definedName>
    <definedName name="G_CAUTION_ENABLED" localSheetId="6">[3]ﾃﾞｰﾀﾍﾞｰｽ変更点!#REF!</definedName>
    <definedName name="G_CAUTION_ENABLED" localSheetId="4">[3]ﾃﾞｰﾀﾍﾞｰｽ変更点!#REF!</definedName>
    <definedName name="G_CAUTION_ENABLED">[3]ﾃﾞｰﾀﾍﾞｰｽ変更点!#REF!</definedName>
    <definedName name="G_CAUTION_ICON" localSheetId="6">[3]ﾃﾞｰﾀﾍﾞｰｽ変更点!#REF!</definedName>
    <definedName name="G_CAUTION_ICON" localSheetId="4">[3]ﾃﾞｰﾀﾍﾞｰｽ変更点!#REF!</definedName>
    <definedName name="G_CAUTION_ICON">[3]ﾃﾞｰﾀﾍﾞｰｽ変更点!#REF!</definedName>
    <definedName name="G_CAUTION_INIT" localSheetId="6">[3]ﾃﾞｰﾀﾍﾞｰｽ変更点!#REF!</definedName>
    <definedName name="G_CAUTION_INIT" localSheetId="4">[3]ﾃﾞｰﾀﾍﾞｰｽ変更点!#REF!</definedName>
    <definedName name="G_CAUTION_INIT">[3]ﾃﾞｰﾀﾍﾞｰｽ変更点!#REF!</definedName>
    <definedName name="G_CAUTION_MASTER" localSheetId="6">[3]ﾃﾞｰﾀﾍﾞｰｽ変更点!#REF!</definedName>
    <definedName name="G_CAUTION_MASTER" localSheetId="4">[3]ﾃﾞｰﾀﾍﾞｰｽ変更点!#REF!</definedName>
    <definedName name="G_CAUTION_MASTER">[3]ﾃﾞｰﾀﾍﾞｰｽ変更点!#REF!</definedName>
    <definedName name="G_CLASS1_MASTER" localSheetId="6">[3]ﾃﾞｰﾀﾍﾞｰｽ変更点!#REF!</definedName>
    <definedName name="G_CLASS1_MASTER" localSheetId="4">[3]ﾃﾞｰﾀﾍﾞｰｽ変更点!#REF!</definedName>
    <definedName name="G_CLASS1_MASTER">[3]ﾃﾞｰﾀﾍﾞｰｽ変更点!#REF!</definedName>
    <definedName name="G_CLASS2_MASTER" localSheetId="6">[3]ﾃﾞｰﾀﾍﾞｰｽ変更点!#REF!</definedName>
    <definedName name="G_CLASS2_MASTER" localSheetId="4">[3]ﾃﾞｰﾀﾍﾞｰｽ変更点!#REF!</definedName>
    <definedName name="G_CLASS2_MASTER">[3]ﾃﾞｰﾀﾍﾞｰｽ変更点!#REF!</definedName>
    <definedName name="G_COMM_DATA" localSheetId="6">[3]ﾃﾞｰﾀﾍﾞｰｽ変更点!#REF!</definedName>
    <definedName name="G_COMM_DATA" localSheetId="4">[3]ﾃﾞｰﾀﾍﾞｰｽ変更点!#REF!</definedName>
    <definedName name="G_COMM_DATA">[3]ﾃﾞｰﾀﾍﾞｰｽ変更点!#REF!</definedName>
    <definedName name="G_COMM_STATUS_MASTER" localSheetId="6">[3]ﾃﾞｰﾀﾍﾞｰｽ変更点!#REF!</definedName>
    <definedName name="G_COMM_STATUS_MASTER" localSheetId="4">[3]ﾃﾞｰﾀﾍﾞｰｽ変更点!#REF!</definedName>
    <definedName name="G_COMM_STATUS_MASTER">[3]ﾃﾞｰﾀﾍﾞｰｽ変更点!#REF!</definedName>
    <definedName name="G_CONFIG_DEFINE" localSheetId="6">[3]ﾃﾞｰﾀﾍﾞｰｽ変更点!#REF!</definedName>
    <definedName name="G_CONFIG_DEFINE" localSheetId="4">[3]ﾃﾞｰﾀﾍﾞｰｽ変更点!#REF!</definedName>
    <definedName name="G_CONFIG_DEFINE">[3]ﾃﾞｰﾀﾍﾞｰｽ変更点!#REF!</definedName>
    <definedName name="G_CONFIG_FLAG" localSheetId="6">[5]テーブル設計!#REF!</definedName>
    <definedName name="G_CONFIG_FLAG" localSheetId="4">[5]テーブル設計!#REF!</definedName>
    <definedName name="G_CONFIG_FLAG">[5]テーブル設計!#REF!</definedName>
    <definedName name="G_CONFIG_INIT" localSheetId="6">[3]ﾃﾞｰﾀﾍﾞｰｽ変更点!#REF!</definedName>
    <definedName name="G_CONFIG_INIT" localSheetId="4">[3]ﾃﾞｰﾀﾍﾞｰｽ変更点!#REF!</definedName>
    <definedName name="G_CONFIG_INIT">[3]ﾃﾞｰﾀﾍﾞｰｽ変更点!#REF!</definedName>
    <definedName name="G_CONFIG_PATTERN" localSheetId="6">[3]ﾃﾞｰﾀﾍﾞｰｽ変更点!#REF!</definedName>
    <definedName name="G_CONFIG_PATTERN" localSheetId="4">[3]ﾃﾞｰﾀﾍﾞｰｽ変更点!#REF!</definedName>
    <definedName name="G_CONFIG_PATTERN">[3]ﾃﾞｰﾀﾍﾞｰｽ変更点!#REF!</definedName>
    <definedName name="G_CONFIG_PATTERN_DATA" localSheetId="6">[3]ﾃﾞｰﾀﾍﾞｰｽ変更点!#REF!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6">[5]テーブル設計!#REF!</definedName>
    <definedName name="G_CONFIG_USER_FLAG" localSheetId="4">[5]テーブル設計!#REF!</definedName>
    <definedName name="G_CONFIG_USER_FLAG">[5]テーブル設計!#REF!</definedName>
    <definedName name="G_CONTRACT" localSheetId="6">[5]テーブル設計!#REF!</definedName>
    <definedName name="G_CONTRACT" localSheetId="4">[5]テーブル設計!#REF!</definedName>
    <definedName name="G_CONTRACT">[5]テーブル設計!#REF!</definedName>
    <definedName name="G_CUSTOMER" localSheetId="6">[3]ﾃﾞｰﾀﾍﾞｰｽ変更点!#REF!</definedName>
    <definedName name="G_CUSTOMER" localSheetId="4">[3]ﾃﾞｰﾀﾍﾞｰｽ変更点!#REF!</definedName>
    <definedName name="G_CUSTOMER">[3]ﾃﾞｰﾀﾍﾞｰｽ変更点!#REF!</definedName>
    <definedName name="G_CUSTOMER_CAR" localSheetId="6">[3]ﾃﾞｰﾀﾍﾞｰｽ変更点!#REF!</definedName>
    <definedName name="G_CUSTOMER_CAR" localSheetId="4">[3]ﾃﾞｰﾀﾍﾞｰｽ変更点!#REF!</definedName>
    <definedName name="G_CUSTOMER_CAR">[3]ﾃﾞｰﾀﾍﾞｰｽ変更点!#REF!</definedName>
    <definedName name="G_CUSTOMER_MASTER" localSheetId="6">[4]TableDesign!#REF!</definedName>
    <definedName name="G_CUSTOMER_MASTER" localSheetId="4">[4]TableDesign!#REF!</definedName>
    <definedName name="G_CUSTOMER_MASTER">[4]TableDesign!#REF!</definedName>
    <definedName name="G_DIVISION_MASTER" localSheetId="6">[3]ﾃﾞｰﾀﾍﾞｰｽ変更点!#REF!</definedName>
    <definedName name="G_DIVISION_MASTER" localSheetId="4">[3]ﾃﾞｰﾀﾍﾞｰｽ変更点!#REF!</definedName>
    <definedName name="G_DIVISION_MASTER">[3]ﾃﾞｰﾀﾍﾞｰｽ変更点!#REF!</definedName>
    <definedName name="G_DOPA" localSheetId="6">[3]ﾃﾞｰﾀﾍﾞｰｽ変更点!#REF!</definedName>
    <definedName name="G_DOPA" localSheetId="4">[3]ﾃﾞｰﾀﾍﾞｰｽ変更点!#REF!</definedName>
    <definedName name="G_DOPA">[3]ﾃﾞｰﾀﾍﾞｰｽ変更点!#REF!</definedName>
    <definedName name="G_DOPA_OWNER_HISTORY" localSheetId="6">[3]ﾃﾞｰﾀﾍﾞｰｽ変更点!#REF!</definedName>
    <definedName name="G_DOPA_OWNER_HISTORY" localSheetId="4">[3]ﾃﾞｰﾀﾍﾞｰｽ変更点!#REF!</definedName>
    <definedName name="G_DOPA_OWNER_HISTORY">[3]ﾃﾞｰﾀﾍﾞｰｽ変更点!#REF!</definedName>
    <definedName name="G_DOPA_SERVER" localSheetId="6">[3]ﾃﾞｰﾀﾍﾞｰｽ変更点!#REF!</definedName>
    <definedName name="G_DOPA_SERVER" localSheetId="4">[3]ﾃﾞｰﾀﾍﾞｰｽ変更点!#REF!</definedName>
    <definedName name="G_DOPA_SERVER">[3]ﾃﾞｰﾀﾍﾞｰｽ変更点!#REF!</definedName>
    <definedName name="G_EQUIPMENT_HISTORY" localSheetId="6">[3]ﾃﾞｰﾀﾍﾞｰｽ変更点!#REF!</definedName>
    <definedName name="G_EQUIPMENT_HISTORY" localSheetId="4">[3]ﾃﾞｰﾀﾍﾞｰｽ変更点!#REF!</definedName>
    <definedName name="G_EQUIPMENT_HISTORY">[3]ﾃﾞｰﾀﾍﾞｰｽ変更点!#REF!</definedName>
    <definedName name="G_ERROR" localSheetId="6">[3]ﾃﾞｰﾀﾍﾞｰｽ変更点!#REF!</definedName>
    <definedName name="G_ERROR" localSheetId="4">[3]ﾃﾞｰﾀﾍﾞｰｽ変更点!#REF!</definedName>
    <definedName name="G_ERROR">[3]ﾃﾞｰﾀﾍﾞｰｽ変更点!#REF!</definedName>
    <definedName name="G_ERROR_ENABLED" localSheetId="6">[3]ﾃﾞｰﾀﾍﾞｰｽ変更点!#REF!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6">[3]ﾃﾞｰﾀﾍﾞｰｽ変更点!#REF!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6">[3]ﾃﾞｰﾀﾍﾞｰｽ変更点!#REF!</definedName>
    <definedName name="G_ERROR_MASTER" localSheetId="4">[3]ﾃﾞｰﾀﾍﾞｰｽ変更点!#REF!</definedName>
    <definedName name="G_ERROR_MASTER">[3]ﾃﾞｰﾀﾍﾞｰｽ変更点!#REF!</definedName>
    <definedName name="G_EVENT_CATEGORY" localSheetId="6">[4]TableDesign!#REF!</definedName>
    <definedName name="G_EVENT_CATEGORY" localSheetId="4">[4]TableDesign!#REF!</definedName>
    <definedName name="G_EVENT_CATEGORY">[4]TableDesign!#REF!</definedName>
    <definedName name="G_EVENT_DIVISION" localSheetId="6">[3]ﾃﾞｰﾀﾍﾞｰｽ変更点!#REF!</definedName>
    <definedName name="G_EVENT_DIVISION" localSheetId="4">[3]ﾃﾞｰﾀﾍﾞｰｽ変更点!#REF!</definedName>
    <definedName name="G_EVENT_DIVISION">[3]ﾃﾞｰﾀﾍﾞｰｽ変更点!#REF!</definedName>
    <definedName name="G_EVENT_MASTER" localSheetId="6">[3]ﾃﾞｰﾀﾍﾞｰｽ変更点!#REF!</definedName>
    <definedName name="G_EVENT_MASTER" localSheetId="4">[3]ﾃﾞｰﾀﾍﾞｰｽ変更点!#REF!</definedName>
    <definedName name="G_EVENT_MASTER">[3]ﾃﾞｰﾀﾍﾞｰｽ変更点!#REF!</definedName>
    <definedName name="G_EVENT_NOTICE" localSheetId="6">[3]ﾃﾞｰﾀﾍﾞｰｽ変更点!#REF!</definedName>
    <definedName name="G_EVENT_NOTICE" localSheetId="4">[3]ﾃﾞｰﾀﾍﾞｰｽ変更点!#REF!</definedName>
    <definedName name="G_EVENT_NOTICE">[3]ﾃﾞｰﾀﾍﾞｰｽ変更点!#REF!</definedName>
    <definedName name="G_FUEL_GAUGE" localSheetId="6">[4]TableDesign!#REF!</definedName>
    <definedName name="G_FUEL_GAUGE" localSheetId="4">[4]TableDesign!#REF!</definedName>
    <definedName name="G_FUEL_GAUGE">[4]TableDesign!#REF!</definedName>
    <definedName name="G_GAUGE_FUEL_WTTEMP" localSheetId="6">[3]ﾃﾞｰﾀﾍﾞｰｽ変更点!#REF!</definedName>
    <definedName name="G_GAUGE_FUEL_WTTEMP" localSheetId="4">[3]ﾃﾞｰﾀﾍﾞｰｽ変更点!#REF!</definedName>
    <definedName name="G_GAUGE_FUEL_WTTEMP">[3]ﾃﾞｰﾀﾍﾞｰｽ変更点!#REF!</definedName>
    <definedName name="G_GIS_DEFINE" localSheetId="6">[4]TableDesign!#REF!</definedName>
    <definedName name="G_GIS_DEFINE" localSheetId="4">[4]TableDesign!#REF!</definedName>
    <definedName name="G_GIS_DEFINE">[4]TableDesign!#REF!</definedName>
    <definedName name="G_GPS" localSheetId="6">[3]ﾃﾞｰﾀﾍﾞｰｽ変更点!#REF!</definedName>
    <definedName name="G_GPS" localSheetId="4">[3]ﾃﾞｰﾀﾍﾞｰｽ変更点!#REF!</definedName>
    <definedName name="G_GPS">[3]ﾃﾞｰﾀﾍﾞｰｽ変更点!#REF!</definedName>
    <definedName name="G_GRANT_AUTHORITY" localSheetId="6">[3]ﾃﾞｰﾀﾍﾞｰｽ変更点!#REF!</definedName>
    <definedName name="G_GRANT_AUTHORITY" localSheetId="4">[3]ﾃﾞｰﾀﾍﾞｰｽ変更点!#REF!</definedName>
    <definedName name="G_GRANT_AUTHORITY">[3]ﾃﾞｰﾀﾍﾞｰｽ変更点!#REF!</definedName>
    <definedName name="G_GROUP_MASTER" localSheetId="6">[3]ﾃﾞｰﾀﾍﾞｰｽ変更点!#REF!</definedName>
    <definedName name="G_GROUP_MASTER" localSheetId="4">[3]ﾃﾞｰﾀﾍﾞｰｽ変更点!#REF!</definedName>
    <definedName name="G_GROUP_MASTER">[3]ﾃﾞｰﾀﾍﾞｰｽ変更点!#REF!</definedName>
    <definedName name="G_IGNORE_CAUTION" localSheetId="6">[5]テーブル設計!#REF!</definedName>
    <definedName name="G_IGNORE_CAUTION" localSheetId="4">[5]テーブル設計!#REF!</definedName>
    <definedName name="G_IGNORE_CAUTION">[5]テーブル設計!#REF!</definedName>
    <definedName name="G_IGNORE_ERROR" localSheetId="6">[5]テーブル設計!#REF!</definedName>
    <definedName name="G_IGNORE_ERROR" localSheetId="4">[5]テーブル設計!#REF!</definedName>
    <definedName name="G_IGNORE_ERROR">[5]テーブル設計!#REF!</definedName>
    <definedName name="G_INFORM_MASTER" localSheetId="6">[3]ﾃﾞｰﾀﾍﾞｰｽ変更点!#REF!</definedName>
    <definedName name="G_INFORM_MASTER" localSheetId="4">[3]ﾃﾞｰﾀﾍﾞｰｽ変更点!#REF!</definedName>
    <definedName name="G_INFORM_MASTER">[3]ﾃﾞｰﾀﾍﾞｰｽ変更点!#REF!</definedName>
    <definedName name="G_INFORMATION" localSheetId="6">[3]ﾃﾞｰﾀﾍﾞｰｽ変更点!#REF!</definedName>
    <definedName name="G_INFORMATION" localSheetId="4">[3]ﾃﾞｰﾀﾍﾞｰｽ変更点!#REF!</definedName>
    <definedName name="G_INFORMATION">[3]ﾃﾞｰﾀﾍﾞｰｽ変更点!#REF!</definedName>
    <definedName name="G_INFORMATION_READED" localSheetId="6">[3]ﾃﾞｰﾀﾍﾞｰｽ変更点!#REF!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6">[5]テーブル設計!#REF!</definedName>
    <definedName name="G_INVALID_PART_TERMINAL" localSheetId="4">[5]テーブル設計!#REF!</definedName>
    <definedName name="G_INVALID_PART_TERMINAL">[5]テーブル設計!#REF!</definedName>
    <definedName name="G_KIND_MASTER" localSheetId="6">[3]ﾃﾞｰﾀﾍﾞｰｽ変更点!#REF!</definedName>
    <definedName name="G_KIND_MASTER" localSheetId="4">[3]ﾃﾞｰﾀﾍﾞｰｽ変更点!#REF!</definedName>
    <definedName name="G_KIND_MASTER">[3]ﾃﾞｰﾀﾍﾞｰｽ変更点!#REF!</definedName>
    <definedName name="G_KRO_APPLICATION" localSheetId="6">[3]ﾃﾞｰﾀﾍﾞｰｽ変更点!#REF!</definedName>
    <definedName name="G_KRO_APPLICATION" localSheetId="4">[3]ﾃﾞｰﾀﾍﾞｰｽ変更点!#REF!</definedName>
    <definedName name="G_KRO_APPLICATION">[3]ﾃﾞｰﾀﾍﾞｰｽ変更点!#REF!</definedName>
    <definedName name="G_KRO_APPLICATION_DATA" localSheetId="6">[3]ﾃﾞｰﾀﾍﾞｰｽ変更点!#REF!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6">[3]ﾃﾞｰﾀﾍﾞｰｽ変更点!#REF!</definedName>
    <definedName name="G_KRO_COMPLETION" localSheetId="4">[3]ﾃﾞｰﾀﾍﾞｰｽ変更点!#REF!</definedName>
    <definedName name="G_KRO_COMPLETION">[3]ﾃﾞｰﾀﾍﾞｰｽ変更点!#REF!</definedName>
    <definedName name="G_KRO_COMPLETION_DATA" localSheetId="6">[3]ﾃﾞｰﾀﾍﾞｰｽ変更点!#REF!</definedName>
    <definedName name="G_KRO_COMPLETION_DATA" localSheetId="4">[3]ﾃﾞｰﾀﾍﾞｰｽ変更点!#REF!</definedName>
    <definedName name="G_KRO_COMPLETION_DATA">[3]ﾃﾞｰﾀﾍﾞｰｽ変更点!#REF!</definedName>
    <definedName name="G_KRO_EMERGENCY" localSheetId="6">[5]テーブル設計!#REF!</definedName>
    <definedName name="G_KRO_EMERGENCY" localSheetId="4">[5]テーブル設計!#REF!</definedName>
    <definedName name="G_KRO_EMERGENCY">[5]テーブル設計!#REF!</definedName>
    <definedName name="G_KRO_REPORT" localSheetId="6">[3]ﾃﾞｰﾀﾍﾞｰｽ変更点!#REF!</definedName>
    <definedName name="G_KRO_REPORT" localSheetId="4">[3]ﾃﾞｰﾀﾍﾞｰｽ変更点!#REF!</definedName>
    <definedName name="G_KRO_REPORT">[3]ﾃﾞｰﾀﾍﾞｰｽ変更点!#REF!</definedName>
    <definedName name="G_LANDMARK" localSheetId="6">[3]ﾃﾞｰﾀﾍﾞｰｽ変更点!#REF!</definedName>
    <definedName name="G_LANDMARK" localSheetId="4">[3]ﾃﾞｰﾀﾍﾞｰｽ変更点!#REF!</definedName>
    <definedName name="G_LANDMARK">[3]ﾃﾞｰﾀﾍﾞｰｽ変更点!#REF!</definedName>
    <definedName name="G_LANDMARK_CLASS" localSheetId="6">[3]ﾃﾞｰﾀﾍﾞｰｽ変更点!#REF!</definedName>
    <definedName name="G_LANDMARK_CLASS" localSheetId="4">[3]ﾃﾞｰﾀﾍﾞｰｽ変更点!#REF!</definedName>
    <definedName name="G_LANDMARK_CLASS">[3]ﾃﾞｰﾀﾍﾞｰｽ変更点!#REF!</definedName>
    <definedName name="G_LOGON_HISTORY" localSheetId="6">[3]ﾃﾞｰﾀﾍﾞｰｽ変更点!#REF!</definedName>
    <definedName name="G_LOGON_HISTORY" localSheetId="4">[3]ﾃﾞｰﾀﾍﾞｰｽ変更点!#REF!</definedName>
    <definedName name="G_LOGON_HISTORY">[3]ﾃﾞｰﾀﾍﾞｰｽ変更点!#REF!</definedName>
    <definedName name="G_MACHINE_ERROR" localSheetId="6">[4]TableDesign!#REF!</definedName>
    <definedName name="G_MACHINE_ERROR" localSheetId="4">[4]TableDesign!#REF!</definedName>
    <definedName name="G_MACHINE_ERROR">[4]TableDesign!#REF!</definedName>
    <definedName name="G_MACHINE_STATUS_MASTER" localSheetId="6">[3]ﾃﾞｰﾀﾍﾞｰｽ変更点!#REF!</definedName>
    <definedName name="G_MACHINE_STATUS_MASTER" localSheetId="4">[3]ﾃﾞｰﾀﾍﾞｰｽ変更点!#REF!</definedName>
    <definedName name="G_MACHINE_STATUS_MASTER">[3]ﾃﾞｰﾀﾍﾞｰｽ変更点!#REF!</definedName>
    <definedName name="G_MAINTENANCE_DATA" localSheetId="6">[3]ﾃﾞｰﾀﾍﾞｰｽ変更点!#REF!</definedName>
    <definedName name="G_MAINTENANCE_DATA" localSheetId="4">[3]ﾃﾞｰﾀﾍﾞｰｽ変更点!#REF!</definedName>
    <definedName name="G_MAINTENANCE_DATA">[3]ﾃﾞｰﾀﾍﾞｰｽ変更点!#REF!</definedName>
    <definedName name="G_MAINTENANCE_INFORM" localSheetId="6">[3]ﾃﾞｰﾀﾍﾞｰｽ変更点!#REF!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6">[3]ﾃﾞｰﾀﾍﾞｰｽ変更点!#REF!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6">[4]TableDesign!#REF!</definedName>
    <definedName name="G_MAINTENANCE_TIME" localSheetId="4">[4]TableDesign!#REF!</definedName>
    <definedName name="G_MAINTENANCE_TIME">[4]TableDesign!#REF!</definedName>
    <definedName name="G_MAKER_MASTER" localSheetId="6">[3]ﾃﾞｰﾀﾍﾞｰｽ変更点!#REF!</definedName>
    <definedName name="G_MAKER_MASTER" localSheetId="4">[3]ﾃﾞｰﾀﾍﾞｰｽ変更点!#REF!</definedName>
    <definedName name="G_MAKER_MASTER">[3]ﾃﾞｰﾀﾍﾞｰｽ変更点!#REF!</definedName>
    <definedName name="G_MARK_MACHINE" localSheetId="6">[4]TableDesign!#REF!</definedName>
    <definedName name="G_MARK_MACHINE" localSheetId="4">[4]TableDesign!#REF!</definedName>
    <definedName name="G_MARK_MACHINE">[4]TableDesign!#REF!</definedName>
    <definedName name="G_MARK_NOTIFICATION" localSheetId="6">[4]TableDesign!#REF!</definedName>
    <definedName name="G_MARK_NOTIFICATION" localSheetId="4">[4]TableDesign!#REF!</definedName>
    <definedName name="G_MARK_NOTIFICATION">[4]TableDesign!#REF!</definedName>
    <definedName name="G_MARK_NOTIFICATION_DETAIL" localSheetId="6">[4]TableDesign!#REF!</definedName>
    <definedName name="G_MARK_NOTIFICATION_DETAIL" localSheetId="4">[4]TableDesign!#REF!</definedName>
    <definedName name="G_MARK_NOTIFICATION_DETAIL">[4]TableDesign!#REF!</definedName>
    <definedName name="G_MEMO" localSheetId="6">[3]ﾃﾞｰﾀﾍﾞｰｽ変更点!#REF!</definedName>
    <definedName name="G_MEMO" localSheetId="4">[3]ﾃﾞｰﾀﾍﾞｰｽ変更点!#REF!</definedName>
    <definedName name="G_MEMO">[3]ﾃﾞｰﾀﾍﾞｰｽ変更点!#REF!</definedName>
    <definedName name="G_MEMORY_MODIFY" localSheetId="6">[3]ﾃﾞｰﾀﾍﾞｰｽ変更点!#REF!</definedName>
    <definedName name="G_MEMORY_MODIFY" localSheetId="4">[3]ﾃﾞｰﾀﾍﾞｰｽ変更点!#REF!</definedName>
    <definedName name="G_MEMORY_MODIFY">[3]ﾃﾞｰﾀﾍﾞｰｽ変更点!#REF!</definedName>
    <definedName name="G_MEMORY_MODIFY_DATA" localSheetId="6">[3]ﾃﾞｰﾀﾍﾞｰｽ変更点!#REF!</definedName>
    <definedName name="G_MEMORY_MODIFY_DATA" localSheetId="4">[3]ﾃﾞｰﾀﾍﾞｰｽ変更点!#REF!</definedName>
    <definedName name="G_MEMORY_MODIFY_DATA">[3]ﾃﾞｰﾀﾍﾞｰｽ変更点!#REF!</definedName>
    <definedName name="G_MESSAGE" localSheetId="6">[3]ﾃﾞｰﾀﾍﾞｰｽ変更点!#REF!</definedName>
    <definedName name="G_MESSAGE" localSheetId="4">[3]ﾃﾞｰﾀﾍﾞｰｽ変更点!#REF!</definedName>
    <definedName name="G_MESSAGE">[3]ﾃﾞｰﾀﾍﾞｰｽ変更点!#REF!</definedName>
    <definedName name="G_MESSAGE_MASTER" localSheetId="6">[3]ﾃﾞｰﾀﾍﾞｰｽ変更点!#REF!</definedName>
    <definedName name="G_MESSAGE_MASTER" localSheetId="4">[3]ﾃﾞｰﾀﾍﾞｰｽ変更点!#REF!</definedName>
    <definedName name="G_MESSAGE_MASTER">[3]ﾃﾞｰﾀﾍﾞｰｽ変更点!#REF!</definedName>
    <definedName name="G_MONTHLY_ATT_SMR" localSheetId="6">[4]TableDesign!#REF!</definedName>
    <definedName name="G_MONTHLY_ATT_SMR" localSheetId="4">[4]TableDesign!#REF!</definedName>
    <definedName name="G_MONTHLY_ATT_SMR">[4]TableDesign!#REF!</definedName>
    <definedName name="G_MONTHLY_ERROR" localSheetId="6">[4]TableDesign!#REF!</definedName>
    <definedName name="G_MONTHLY_ERROR" localSheetId="4">[4]TableDesign!#REF!</definedName>
    <definedName name="G_MONTHLY_ERROR">[4]TableDesign!#REF!</definedName>
    <definedName name="G_MONTHLY_LOAD" localSheetId="6">[4]TableDesign!#REF!</definedName>
    <definedName name="G_MONTHLY_LOAD" localSheetId="4">[4]TableDesign!#REF!</definedName>
    <definedName name="G_MONTHLY_LOAD">[4]TableDesign!#REF!</definedName>
    <definedName name="G_MONTHLY_MOVEMENT" localSheetId="6">[4]TableDesign!#REF!</definedName>
    <definedName name="G_MONTHLY_MOVEMENT" localSheetId="4">[4]TableDesign!#REF!</definedName>
    <definedName name="G_MONTHLY_MOVEMENT">[4]TableDesign!#REF!</definedName>
    <definedName name="G_MONTHLY_OPERATION" localSheetId="6">[4]TableDesign!#REF!</definedName>
    <definedName name="G_MONTHLY_OPERATION" localSheetId="4">[4]TableDesign!#REF!</definedName>
    <definedName name="G_MONTHLY_OPERATION">[4]TableDesign!#REF!</definedName>
    <definedName name="G_MONTHLY_SMR" localSheetId="6">[4]TableDesign!#REF!</definedName>
    <definedName name="G_MONTHLY_SMR" localSheetId="4">[4]TableDesign!#REF!</definedName>
    <definedName name="G_MONTHLY_SMR">[4]TableDesign!#REF!</definedName>
    <definedName name="G_MONTHLY_WORKING_SMR" localSheetId="6">[4]TableDesign!#REF!</definedName>
    <definedName name="G_MONTHLY_WORKING_SMR" localSheetId="4">[4]TableDesign!#REF!</definedName>
    <definedName name="G_MONTHLY_WORKING_SMR">[4]TableDesign!#REF!</definedName>
    <definedName name="G_MONTLY_LOAD" localSheetId="6">[4]TableDesign!#REF!</definedName>
    <definedName name="G_MONTLY_LOAD" localSheetId="4">[4]TableDesign!#REF!</definedName>
    <definedName name="G_MONTLY_LOAD">[4]TableDesign!#REF!</definedName>
    <definedName name="G_MULTI_OPE" localSheetId="6">[3]ﾃﾞｰﾀﾍﾞｰｽ変更点!#REF!</definedName>
    <definedName name="G_MULTI_OPE" localSheetId="4">[3]ﾃﾞｰﾀﾍﾞｰｽ変更点!#REF!</definedName>
    <definedName name="G_MULTI_OPE">[3]ﾃﾞｰﾀﾍﾞｰｽ変更点!#REF!</definedName>
    <definedName name="G_MULTI_OPE_DATA" localSheetId="6">[5]テーブル設計!#REF!</definedName>
    <definedName name="G_MULTI_OPE_DATA" localSheetId="4">[5]テーブル設計!#REF!</definedName>
    <definedName name="G_MULTI_OPE_DATA">[5]テーブル設計!#REF!</definedName>
    <definedName name="G_NLS_DB_RESOURCE" localSheetId="6">[4]TableDesign!#REF!</definedName>
    <definedName name="G_NLS_DB_RESOURCE" localSheetId="4">[4]TableDesign!#REF!</definedName>
    <definedName name="G_NLS_DB_RESOURCE">[4]TableDesign!#REF!</definedName>
    <definedName name="G_NLS_LANG" localSheetId="6">[4]TableDesign!#REF!</definedName>
    <definedName name="G_NLS_LANG" localSheetId="4">[4]TableDesign!#REF!</definedName>
    <definedName name="G_NLS_LANG">[4]TableDesign!#REF!</definedName>
    <definedName name="G_NLS_RESOURCE" localSheetId="6">[4]TableDesign!#REF!</definedName>
    <definedName name="G_NLS_RESOURCE" localSheetId="4">[4]TableDesign!#REF!</definedName>
    <definedName name="G_NLS_RESOURCE">[4]TableDesign!#REF!</definedName>
    <definedName name="G_NOT_ACTIVE" localSheetId="6">[3]ﾃﾞｰﾀﾍﾞｰｽ変更点!#REF!</definedName>
    <definedName name="G_NOT_ACTIVE" localSheetId="4">[3]ﾃﾞｰﾀﾍﾞｰｽ変更点!#REF!</definedName>
    <definedName name="G_NOT_ACTIVE">[3]ﾃﾞｰﾀﾍﾞｰｽ変更点!#REF!</definedName>
    <definedName name="G_OPERATION_CATEGORY" localSheetId="6">[4]TableDesign!#REF!</definedName>
    <definedName name="G_OPERATION_CATEGORY" localSheetId="4">[4]TableDesign!#REF!</definedName>
    <definedName name="G_OPERATION_CATEGORY">[4]TableDesign!#REF!</definedName>
    <definedName name="G_OPERATION_CLASS" localSheetId="6">[5]テーブル設計!#REF!</definedName>
    <definedName name="G_OPERATION_CLASS" localSheetId="4">[5]テーブル設計!#REF!</definedName>
    <definedName name="G_OPERATION_CLASS">[5]テーブル設計!#REF!</definedName>
    <definedName name="G_OPERATION_LOG" localSheetId="6">[3]ﾃﾞｰﾀﾍﾞｰｽ変更点!#REF!</definedName>
    <definedName name="G_OPERATION_LOG" localSheetId="4">[3]ﾃﾞｰﾀﾍﾞｰｽ変更点!#REF!</definedName>
    <definedName name="G_OPERATION_LOG">[3]ﾃﾞｰﾀﾍﾞｰｽ変更点!#REF!</definedName>
    <definedName name="G_OPERATION_LOG2" localSheetId="6">[5]テーブル設計!#REF!</definedName>
    <definedName name="G_OPERATION_LOG2" localSheetId="4">[5]テーブル設計!#REF!</definedName>
    <definedName name="G_OPERATION_LOG2">[5]テーブル設計!#REF!</definedName>
    <definedName name="G_OPERATION_MAP" localSheetId="6">[4]TableDesign!#REF!</definedName>
    <definedName name="G_OPERATION_MAP" localSheetId="4">[4]TableDesign!#REF!</definedName>
    <definedName name="G_OPERATION_MAP">[4]TableDesign!#REF!</definedName>
    <definedName name="G_OPERATION_MASTER" localSheetId="6">[5]テーブル設計!#REF!</definedName>
    <definedName name="G_OPERATION_MASTER" localSheetId="4">[5]テーブル設計!#REF!</definedName>
    <definedName name="G_OPERATION_MASTER">[5]テーブル設計!#REF!</definedName>
    <definedName name="G_ORBCOMM" localSheetId="6">[3]ﾃﾞｰﾀﾍﾞｰｽ変更点!#REF!</definedName>
    <definedName name="G_ORBCOMM" localSheetId="4">[3]ﾃﾞｰﾀﾍﾞｰｽ変更点!#REF!</definedName>
    <definedName name="G_ORBCOMM">[3]ﾃﾞｰﾀﾍﾞｰｽ変更点!#REF!</definedName>
    <definedName name="G_ORBCOMM_OWNER_HISTORY" localSheetId="6">[3]ﾃﾞｰﾀﾍﾞｰｽ変更点!#REF!</definedName>
    <definedName name="G_ORBCOMM_OWNER_HISTORY" localSheetId="4">[3]ﾃﾞｰﾀﾍﾞｰｽ変更点!#REF!</definedName>
    <definedName name="G_ORBCOMM_OWNER_HISTORY">[3]ﾃﾞｰﾀﾍﾞｰｽ変更点!#REF!</definedName>
    <definedName name="G_PLANT_CAR" localSheetId="6">[5]テーブル設計!#REF!</definedName>
    <definedName name="G_PLANT_CAR" localSheetId="4">[5]テーブル設計!#REF!</definedName>
    <definedName name="G_PLANT_CAR">[5]テーブル設計!#REF!</definedName>
    <definedName name="G_PLANT_ERROR" localSheetId="6">[5]テーブル設計!#REF!</definedName>
    <definedName name="G_PLANT_ERROR" localSheetId="4">[5]テーブル設計!#REF!</definedName>
    <definedName name="G_PLANT_ERROR">[5]テーブル設計!#REF!</definedName>
    <definedName name="G_PLANT_GPS" localSheetId="6">[5]テーブル設計!#REF!</definedName>
    <definedName name="G_PLANT_GPS" localSheetId="4">[5]テーブル設計!#REF!</definedName>
    <definedName name="G_PLANT_GPS">[5]テーブル設計!#REF!</definedName>
    <definedName name="G_PREVENT_THEFT_KEY" localSheetId="6">[3]ﾃﾞｰﾀﾍﾞｰｽ変更点!#REF!</definedName>
    <definedName name="G_PREVENT_THEFT_KEY" localSheetId="4">[3]ﾃﾞｰﾀﾍﾞｰｽ変更点!#REF!</definedName>
    <definedName name="G_PREVENT_THEFT_KEY">[3]ﾃﾞｰﾀﾍﾞｰｽ変更点!#REF!</definedName>
    <definedName name="G_PRIVATE_TARGET_CAR" localSheetId="6">[3]ﾃﾞｰﾀﾍﾞｰｽ変更点!#REF!</definedName>
    <definedName name="G_PRIVATE_TARGET_CAR" localSheetId="4">[3]ﾃﾞｰﾀﾍﾞｰｽ変更点!#REF!</definedName>
    <definedName name="G_PRIVATE_TARGET_CAR">[3]ﾃﾞｰﾀﾍﾞｰｽ変更点!#REF!</definedName>
    <definedName name="G_RECEIVE_LIST" localSheetId="6">[5]テーブル設計!#REF!</definedName>
    <definedName name="G_RECEIVE_LIST" localSheetId="4">[5]テーブル設計!#REF!</definedName>
    <definedName name="G_RECEIVE_LIST">[5]テーブル設計!#REF!</definedName>
    <definedName name="G_RECEIVE_LOG" localSheetId="6">[3]ﾃﾞｰﾀﾍﾞｰｽ変更点!#REF!</definedName>
    <definedName name="G_RECEIVE_LOG" localSheetId="4">[3]ﾃﾞｰﾀﾍﾞｰｽ変更点!#REF!</definedName>
    <definedName name="G_RECEIVE_LOG">[3]ﾃﾞｰﾀﾍﾞｰｽ変更点!#REF!</definedName>
    <definedName name="G_REGION_DATA" localSheetId="6">[4]TableDesign!#REF!</definedName>
    <definedName name="G_REGION_DATA" localSheetId="4">[4]TableDesign!#REF!</definedName>
    <definedName name="G_REGION_DATA">[4]TableDesign!#REF!</definedName>
    <definedName name="G_REGION_MASTER" localSheetId="6">[4]TableDesign!#REF!</definedName>
    <definedName name="G_REGION_MASTER" localSheetId="4">[4]TableDesign!#REF!</definedName>
    <definedName name="G_REGION_MASTER">[4]TableDesign!#REF!</definedName>
    <definedName name="G_RENTAL_TERMINAL" localSheetId="6">[5]テーブル設計!#REF!</definedName>
    <definedName name="G_RENTAL_TERMINAL" localSheetId="4">[5]テーブル設計!#REF!</definedName>
    <definedName name="G_RENTAL_TERMINAL">[5]テーブル設計!#REF!</definedName>
    <definedName name="G_REQUEST" localSheetId="6">[3]ﾃﾞｰﾀﾍﾞｰｽ変更点!#REF!</definedName>
    <definedName name="G_REQUEST" localSheetId="4">[3]ﾃﾞｰﾀﾍﾞｰｽ変更点!#REF!</definedName>
    <definedName name="G_REQUEST">[3]ﾃﾞｰﾀﾍﾞｰｽ変更点!#REF!</definedName>
    <definedName name="G_REQUEST_COUNT" localSheetId="6">[3]ﾃﾞｰﾀﾍﾞｰｽ変更点!#REF!</definedName>
    <definedName name="G_REQUEST_COUNT" localSheetId="4">[3]ﾃﾞｰﾀﾍﾞｰｽ変更点!#REF!</definedName>
    <definedName name="G_REQUEST_COUNT">[3]ﾃﾞｰﾀﾍﾞｰｽ変更点!#REF!</definedName>
    <definedName name="G_REQUEST_LOG" localSheetId="6">[3]ﾃﾞｰﾀﾍﾞｰｽ変更点!#REF!</definedName>
    <definedName name="G_REQUEST_LOG" localSheetId="4">[3]ﾃﾞｰﾀﾍﾞｰｽ変更点!#REF!</definedName>
    <definedName name="G_REQUEST_LOG">[3]ﾃﾞｰﾀﾍﾞｰｽ変更点!#REF!</definedName>
    <definedName name="G_RIVATE_TARGET_CAR" localSheetId="6">[4]TableDesign!#REF!</definedName>
    <definedName name="G_RIVATE_TARGET_CAR" localSheetId="4">[4]TableDesign!#REF!</definedName>
    <definedName name="G_RIVATE_TARGET_CAR">[4]TableDesign!#REF!</definedName>
    <definedName name="G_RUNNING_LOG" localSheetId="6">[3]ﾃﾞｰﾀﾍﾞｰｽ変更点!#REF!</definedName>
    <definedName name="G_RUNNING_LOG" localSheetId="4">[3]ﾃﾞｰﾀﾍﾞｰｽ変更点!#REF!</definedName>
    <definedName name="G_RUNNING_LOG">[3]ﾃﾞｰﾀﾍﾞｰｽ変更点!#REF!</definedName>
    <definedName name="G_SAVE_INFORMATION" localSheetId="6">[5]テーブル設計!#REF!</definedName>
    <definedName name="G_SAVE_INFORMATION" localSheetId="4">[5]テーブル設計!#REF!</definedName>
    <definedName name="G_SAVE_INFORMATION">[5]テーブル設計!#REF!</definedName>
    <definedName name="G_SELFCARINSPECTION" localSheetId="6">[3]ﾃﾞｰﾀﾍﾞｰｽ変更点!#REF!</definedName>
    <definedName name="G_SELFCARINSPECTION" localSheetId="4">[3]ﾃﾞｰﾀﾍﾞｰｽ変更点!#REF!</definedName>
    <definedName name="G_SELFCARINSPECTION">[3]ﾃﾞｰﾀﾍﾞｰｽ変更点!#REF!</definedName>
    <definedName name="G_SEND_LIST" localSheetId="6">[5]テーブル設計!#REF!</definedName>
    <definedName name="G_SEND_LIST" localSheetId="4">[5]テーブル設計!#REF!</definedName>
    <definedName name="G_SEND_LIST">[5]テーブル設計!#REF!</definedName>
    <definedName name="G_SEND_LOG" localSheetId="6">[5]テーブル設計!#REF!</definedName>
    <definedName name="G_SEND_LOG" localSheetId="4">[5]テーブル設計!#REF!</definedName>
    <definedName name="G_SEND_LOG">[5]テーブル設計!#REF!</definedName>
    <definedName name="G_SERVER_COMMUNICATION" localSheetId="6">[4]TableDesign!#REF!</definedName>
    <definedName name="G_SERVER_COMMUNICATION" localSheetId="4">[4]TableDesign!#REF!</definedName>
    <definedName name="G_SERVER_COMMUNICATION">[4]TableDesign!#REF!</definedName>
    <definedName name="G_SERVER_INFORMATION" localSheetId="6">[3]ﾃﾞｰﾀﾍﾞｰｽ変更点!#REF!</definedName>
    <definedName name="G_SERVER_INFORMATION" localSheetId="4">[3]ﾃﾞｰﾀﾍﾞｰｽ変更点!#REF!</definedName>
    <definedName name="G_SERVER_INFORMATION">[3]ﾃﾞｰﾀﾍﾞｰｽ変更点!#REF!</definedName>
    <definedName name="G_SERVICE_METER" localSheetId="6">[3]ﾃﾞｰﾀﾍﾞｰｽ変更点!#REF!</definedName>
    <definedName name="G_SERVICE_METER" localSheetId="4">[3]ﾃﾞｰﾀﾍﾞｰｽ変更点!#REF!</definedName>
    <definedName name="G_SERVICE_METER">[3]ﾃﾞｰﾀﾍﾞｰｽ変更点!#REF!</definedName>
    <definedName name="G_SERVICE_METER2" localSheetId="6">[5]テーブル設計!#REF!</definedName>
    <definedName name="G_SERVICE_METER2" localSheetId="4">[5]テーブル設計!#REF!</definedName>
    <definedName name="G_SERVICE_METER2">[5]テーブル設計!#REF!</definedName>
    <definedName name="G_SERVICEMAN" localSheetId="6">[5]テーブル設計!#REF!</definedName>
    <definedName name="G_SERVICEMAN" localSheetId="4">[5]テーブル設計!#REF!</definedName>
    <definedName name="G_SERVICEMAN">[5]テーブル設計!#REF!</definedName>
    <definedName name="G_SERVICEMAN_CHARGE" localSheetId="6">[5]テーブル設計!#REF!</definedName>
    <definedName name="G_SERVICEMAN_CHARGE" localSheetId="4">[5]テーブル設計!#REF!</definedName>
    <definedName name="G_SERVICEMAN_CHARGE">[5]テーブル設計!#REF!</definedName>
    <definedName name="G_SHIPMENT" localSheetId="6">[3]ﾃﾞｰﾀﾍﾞｰｽ変更点!#REF!</definedName>
    <definedName name="G_SHIPMENT" localSheetId="4">[3]ﾃﾞｰﾀﾍﾞｰｽ変更点!#REF!</definedName>
    <definedName name="G_SHIPMENT">[3]ﾃﾞｰﾀﾍﾞｰｽ変更点!#REF!</definedName>
    <definedName name="G_SHOW" localSheetId="6">[3]ﾃﾞｰﾀﾍﾞｰｽ変更点!#REF!</definedName>
    <definedName name="G_SHOW" localSheetId="4">[3]ﾃﾞｰﾀﾍﾞｰｽ変更点!#REF!</definedName>
    <definedName name="G_SHOW">[3]ﾃﾞｰﾀﾍﾞｰｽ変更点!#REF!</definedName>
    <definedName name="G_SHOW_GROUP" localSheetId="6">[3]ﾃﾞｰﾀﾍﾞｰｽ変更点!#REF!</definedName>
    <definedName name="G_SHOW_GROUP" localSheetId="4">[3]ﾃﾞｰﾀﾍﾞｰｽ変更点!#REF!</definedName>
    <definedName name="G_SHOW_GROUP">[3]ﾃﾞｰﾀﾍﾞｰｽ変更点!#REF!</definedName>
    <definedName name="G_SPECIAL_AREA" localSheetId="6">[3]ﾃﾞｰﾀﾍﾞｰｽ変更点!#REF!</definedName>
    <definedName name="G_SPECIAL_AREA" localSheetId="4">[3]ﾃﾞｰﾀﾍﾞｰｽ変更点!#REF!</definedName>
    <definedName name="G_SPECIAL_AREA">[3]ﾃﾞｰﾀﾍﾞｰｽ変更点!#REF!</definedName>
    <definedName name="G_SUB_GROUP" localSheetId="6">[4]TableDesign!#REF!</definedName>
    <definedName name="G_SUB_GROUP" localSheetId="4">[4]TableDesign!#REF!</definedName>
    <definedName name="G_SUB_GROUP">[4]TableDesign!#REF!</definedName>
    <definedName name="G_SUB_GROUP_CAR" localSheetId="6">[4]TableDesign!#REF!</definedName>
    <definedName name="G_SUB_GROUP_CAR" localSheetId="4">[4]TableDesign!#REF!</definedName>
    <definedName name="G_SUB_GROUP_CAR">[4]TableDesign!#REF!</definedName>
    <definedName name="G_SYSTEM_COMMTERM_INFO" localSheetId="6">[3]ﾃﾞｰﾀﾍﾞｰｽ変更点!#REF!</definedName>
    <definedName name="G_SYSTEM_COMMTERM_INFO" localSheetId="4">[3]ﾃﾞｰﾀﾍﾞｰｽ変更点!#REF!</definedName>
    <definedName name="G_SYSTEM_COMMTERM_INFO">[3]ﾃﾞｰﾀﾍﾞｰｽ変更点!#REF!</definedName>
    <definedName name="G_SYSTEM_LOG" localSheetId="6">[3]ﾃﾞｰﾀﾍﾞｰｽ変更点!#REF!</definedName>
    <definedName name="G_SYSTEM_LOG" localSheetId="4">[3]ﾃﾞｰﾀﾍﾞｰｽ変更点!#REF!</definedName>
    <definedName name="G_SYSTEM_LOG">[3]ﾃﾞｰﾀﾍﾞｰｽ変更点!#REF!</definedName>
    <definedName name="G_SYSTEM_NOTICE" localSheetId="6">[3]ﾃﾞｰﾀﾍﾞｰｽ変更点!#REF!</definedName>
    <definedName name="G_SYSTEM_NOTICE" localSheetId="4">[3]ﾃﾞｰﾀﾍﾞｰｽ変更点!#REF!</definedName>
    <definedName name="G_SYSTEM_NOTICE">[3]ﾃﾞｰﾀﾍﾞｰｽ変更点!#REF!</definedName>
    <definedName name="G_TARGET" localSheetId="6">[3]ﾃﾞｰﾀﾍﾞｰｽ変更点!#REF!</definedName>
    <definedName name="G_TARGET" localSheetId="4">[3]ﾃﾞｰﾀﾍﾞｰｽ変更点!#REF!</definedName>
    <definedName name="G_TARGET">[3]ﾃﾞｰﾀﾍﾞｰｽ変更点!#REF!</definedName>
    <definedName name="G_TARGET_CAR" localSheetId="6">[3]ﾃﾞｰﾀﾍﾞｰｽ変更点!#REF!</definedName>
    <definedName name="G_TARGET_CAR" localSheetId="4">[3]ﾃﾞｰﾀﾍﾞｰｽ変更点!#REF!</definedName>
    <definedName name="G_TARGET_CAR">[3]ﾃﾞｰﾀﾍﾞｰｽ変更点!#REF!</definedName>
    <definedName name="G_TERMINAL_AREA" localSheetId="6">[3]ﾃﾞｰﾀﾍﾞｰｽ変更点!#REF!</definedName>
    <definedName name="G_TERMINAL_AREA" localSheetId="4">[3]ﾃﾞｰﾀﾍﾞｰｽ変更点!#REF!</definedName>
    <definedName name="G_TERMINAL_AREA">[3]ﾃﾞｰﾀﾍﾞｰｽ変更点!#REF!</definedName>
    <definedName name="G_TERMINAL_CAUTION" localSheetId="6">[3]ﾃﾞｰﾀﾍﾞｰｽ変更点!#REF!</definedName>
    <definedName name="G_TERMINAL_CAUTION" localSheetId="4">[3]ﾃﾞｰﾀﾍﾞｰｽ変更点!#REF!</definedName>
    <definedName name="G_TERMINAL_CAUTION">[3]ﾃﾞｰﾀﾍﾞｰｽ変更点!#REF!</definedName>
    <definedName name="G_TERMINAL_ERROR" localSheetId="6">[3]ﾃﾞｰﾀﾍﾞｰｽ変更点!#REF!</definedName>
    <definedName name="G_TERMINAL_ERROR" localSheetId="4">[3]ﾃﾞｰﾀﾍﾞｰｽ変更点!#REF!</definedName>
    <definedName name="G_TERMINAL_ERROR">[3]ﾃﾞｰﾀﾍﾞｰｽ変更点!#REF!</definedName>
    <definedName name="G_TERMINAL_KIND" localSheetId="6">[3]ﾃﾞｰﾀﾍﾞｰｽ変更点!#REF!</definedName>
    <definedName name="G_TERMINAL_KIND" localSheetId="4">[3]ﾃﾞｰﾀﾍﾞｰｽ変更点!#REF!</definedName>
    <definedName name="G_TERMINAL_KIND">[3]ﾃﾞｰﾀﾍﾞｰｽ変更点!#REF!</definedName>
    <definedName name="G_TERMINAL_MASTER" localSheetId="6">[3]ﾃﾞｰﾀﾍﾞｰｽ変更点!#REF!</definedName>
    <definedName name="G_TERMINAL_MASTER" localSheetId="4">[3]ﾃﾞｰﾀﾍﾞｰｽ変更点!#REF!</definedName>
    <definedName name="G_TERMINAL_MASTER">[3]ﾃﾞｰﾀﾍﾞｰｽ変更点!#REF!</definedName>
    <definedName name="G_TERMINAL_PART_MASTER" localSheetId="6">[3]ﾃﾞｰﾀﾍﾞｰｽ変更点!#REF!</definedName>
    <definedName name="G_TERMINAL_PART_MASTER" localSheetId="4">[3]ﾃﾞｰﾀﾍﾞｰｽ変更点!#REF!</definedName>
    <definedName name="G_TERMINAL_PART_MASTER">[3]ﾃﾞｰﾀﾍﾞｰｽ変更点!#REF!</definedName>
    <definedName name="G_TYPE_MASTER" localSheetId="6">[3]ﾃﾞｰﾀﾍﾞｰｽ変更点!#REF!</definedName>
    <definedName name="G_TYPE_MASTER" localSheetId="4">[3]ﾃﾞｰﾀﾍﾞｰｽ変更点!#REF!</definedName>
    <definedName name="G_TYPE_MASTER">[3]ﾃﾞｰﾀﾍﾞｰｽ変更点!#REF!</definedName>
    <definedName name="G_UFO" localSheetId="6">[3]ﾃﾞｰﾀﾍﾞｰｽ変更点!#REF!</definedName>
    <definedName name="G_UFO" localSheetId="4">[3]ﾃﾞｰﾀﾍﾞｰｽ変更点!#REF!</definedName>
    <definedName name="G_UFO">[3]ﾃﾞｰﾀﾍﾞｰｽ変更点!#REF!</definedName>
    <definedName name="G_UNRELIABLE_RECEIVE" localSheetId="6">[3]ﾃﾞｰﾀﾍﾞｰｽ変更点!#REF!</definedName>
    <definedName name="G_UNRELIABLE_RECEIVE" localSheetId="4">[3]ﾃﾞｰﾀﾍﾞｰｽ変更点!#REF!</definedName>
    <definedName name="G_UNRELIABLE_RECEIVE">[3]ﾃﾞｰﾀﾍﾞｰｽ変更点!#REF!</definedName>
    <definedName name="G_USER_MASTER" localSheetId="6">[3]ﾃﾞｰﾀﾍﾞｰｽ変更点!#REF!</definedName>
    <definedName name="G_USER_MASTER" localSheetId="4">[3]ﾃﾞｰﾀﾍﾞｰｽ変更点!#REF!</definedName>
    <definedName name="G_USER_MASTER">[3]ﾃﾞｰﾀﾍﾞｰｽ変更点!#REF!</definedName>
    <definedName name="G_USER_TEMP" localSheetId="6">[3]ﾃﾞｰﾀﾍﾞｰｽ変更点!#REF!</definedName>
    <definedName name="G_USER_TEMP" localSheetId="4">[3]ﾃﾞｰﾀﾍﾞｰｽ変更点!#REF!</definedName>
    <definedName name="G_USER_TEMP">[3]ﾃﾞｰﾀﾍﾞｰｽ変更点!#REF!</definedName>
    <definedName name="G_V" localSheetId="6">[4]TableDesign!#REF!</definedName>
    <definedName name="G_V" localSheetId="4">[4]TableDesign!#REF!</definedName>
    <definedName name="G_V">[4]TableDesign!#REF!</definedName>
    <definedName name="G_WATER_TEMP_GAUGE" localSheetId="6">[4]TableDesign!#REF!</definedName>
    <definedName name="G_WATER_TEMP_GAUGE" localSheetId="4">[4]TableDesign!#REF!</definedName>
    <definedName name="G_WATER_TEMP_GAUGE">[4]TableDesign!#REF!</definedName>
    <definedName name="GG" localSheetId="6">'[6]DATA-COMMUNICATION-FORMAT'!#REF!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6">[3]ﾃﾞｰﾀﾍﾞｰｽ変更点!#REF!</definedName>
    <definedName name="GROUP" localSheetId="4">[3]ﾃﾞｰﾀﾍﾞｰｽ変更点!#REF!</definedName>
    <definedName name="GROUP">[3]ﾃﾞｰﾀﾍﾞｰｽ変更点!#REF!</definedName>
    <definedName name="GROUP_NUM" localSheetId="6">[3]ﾃﾞｰﾀﾍﾞｰｽ変更点!#REF!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6">'[6]DATA-COMMUNICATION-FORMAT'!#REF!</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6">#REF!</definedName>
    <definedName name="IF概要債権" localSheetId="4">#REF!</definedName>
    <definedName name="IF概要債権">#REF!</definedName>
    <definedName name="II" localSheetId="6">'[6]DATA-COMMUNICATION-FORMAT'!#REF!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6">'[11]御見積り（旧）'!#REF!</definedName>
    <definedName name="KAKAKU_PG" localSheetId="4">'[11]御見積り（旧）'!#REF!</definedName>
    <definedName name="KAKAKU_PG">'[11]御見積り（旧）'!#REF!</definedName>
    <definedName name="KAKAKU_SE" localSheetId="6">'[11]御見積り（旧）'!#REF!</definedName>
    <definedName name="KAKAKU_SE" localSheetId="4">'[11]御見積り（旧）'!#REF!</definedName>
    <definedName name="KAKAKU_SE">'[11]御見積り（旧）'!#REF!</definedName>
    <definedName name="KBA_ID" localSheetId="6">#REF!</definedName>
    <definedName name="KBA_ID" localSheetId="4">#REF!</definedName>
    <definedName name="KBA_ID">#REF!</definedName>
    <definedName name="KK" localSheetId="6">'[6]DATA-COMMUNICATION-FORMAT'!#REF!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6">[4]TableDesign!#REF!</definedName>
    <definedName name="NLS_LANG" localSheetId="4">[4]TableDesign!#REF!</definedName>
    <definedName name="NLS_LANG">[4]TableDesign!#REF!</definedName>
    <definedName name="NotNull" localSheetId="2">#REF!</definedName>
    <definedName name="NotNull" localSheetId="4">#REF!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6">[3]ﾃﾞｰﾀﾍﾞｰｽ変更点!#REF!</definedName>
    <definedName name="PART" localSheetId="4">[3]ﾃﾞｰﾀﾍﾞｰｽ変更点!#REF!</definedName>
    <definedName name="PART">[3]ﾃﾞｰﾀﾍﾞｰｽ変更点!#REF!</definedName>
    <definedName name="PrimaryKey" localSheetId="2">#REF!</definedName>
    <definedName name="PrimaryKey" localSheetId="4">#REF!</definedName>
    <definedName name="PrimaryKey">#REF!</definedName>
    <definedName name="_xlnm.Print_Area" localSheetId="6">'IT、ST（案）テスト項目'!$A$1:$J$18</definedName>
    <definedName name="_xlnm.Print_Area" localSheetId="2">テスト項目!$A$1:$J$245</definedName>
    <definedName name="_xlnm.Print_Area" localSheetId="4">#REF!</definedName>
    <definedName name="_xlnm.Print_Area" localSheetId="1">#REF!</definedName>
    <definedName name="_xlnm.Print_Area">#REF!</definedName>
    <definedName name="PRINT_AREA_MI" localSheetId="6">#REF!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 localSheetId="4">#REF!</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6">#REF!</definedName>
    <definedName name="Record" localSheetId="4">#REF!</definedName>
    <definedName name="Record">#REF!</definedName>
    <definedName name="Record2" localSheetId="6">#REF!</definedName>
    <definedName name="Record2" localSheetId="4">#REF!</definedName>
    <definedName name="Record2">#REF!</definedName>
    <definedName name="Record3" localSheetId="6">#REF!</definedName>
    <definedName name="Record3" localSheetId="4">#REF!</definedName>
    <definedName name="Record3">#REF!</definedName>
    <definedName name="Record4" localSheetId="6">#REF!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6">[3]ﾃﾞｰﾀﾍﾞｰｽ変更点!#REF!</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6">[4]TableDesign!#REF!</definedName>
    <definedName name="SHOW_GROUP" localSheetId="4">[4]TableDesign!#REF!</definedName>
    <definedName name="SHOW_GROUP">[4]TableDesign!#REF!</definedName>
    <definedName name="solver_lin" hidden="1">0</definedName>
    <definedName name="solver_num" hidden="1">0</definedName>
    <definedName name="solver_opt" localSheetId="6" hidden="1">#REF!</definedName>
    <definedName name="solver_opt" localSheetId="2" hidden="1">#REF!</definedName>
    <definedName name="solver_opt" localSheetId="4"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6">'[12]DATA-COMMUNICATION-FORMAT'!#REF!</definedName>
    <definedName name="ＳＳＳＳ" localSheetId="4">'[12]DATA-COMMUNICATION-FORMAT'!#REF!</definedName>
    <definedName name="ＳＳＳＳ">'[12]DATA-COMMUNICATION-FORMAT'!#REF!</definedName>
    <definedName name="SUB_GROUP" localSheetId="6">[4]TableDesign!#REF!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6">[4]TableDesign!#REF!</definedName>
    <definedName name="TARGET" localSheetId="4">[4]TableDesign!#REF!</definedName>
    <definedName name="TARGET">[4]TableDesign!#REF!</definedName>
    <definedName name="TBLNO" localSheetId="6">#REF!</definedName>
    <definedName name="TBLNO" localSheetId="4">#REF!</definedName>
    <definedName name="TBLNO">#REF!</definedName>
    <definedName name="TMS_CP" localSheetId="6">#REF!</definedName>
    <definedName name="TMS_CP" localSheetId="4">#REF!</definedName>
    <definedName name="TMS_CP">#REF!</definedName>
    <definedName name="Tracksize" localSheetId="6">#REF!</definedName>
    <definedName name="Tracksize" localSheetId="4">#REF!</definedName>
    <definedName name="Tracksize">#REF!</definedName>
    <definedName name="Tracksize2" localSheetId="6">#REF!</definedName>
    <definedName name="Tracksize2" localSheetId="4">#REF!</definedName>
    <definedName name="Tracksize2">#REF!</definedName>
    <definedName name="Tracksize3" localSheetId="6">#REF!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6">[3]ﾃﾞｰﾀﾍﾞｰｽ変更点!#REF!</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6">#REF!</definedName>
    <definedName name="あ" localSheetId="4">#REF!</definedName>
    <definedName name="あ">#REF!</definedName>
    <definedName name="ああ" localSheetId="6">'[12]DATA-COMMUNICATION-FORMAT'!#REF!</definedName>
    <definedName name="ああ" localSheetId="4">'[12]DATA-COMMUNICATION-FORMAT'!#REF!</definedName>
    <definedName name="ああ">'[12]DATA-COMMUNICATION-FORMAT'!#REF!</definedName>
    <definedName name="あああ" localSheetId="6">'[12]DATA-COMMUNICATION-FORMAT'!#REF!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6">'[12]DATA-COMMUNICATION-FORMAT'!#REF!</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6"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 localSheetId="4">#REF!</definedName>
    <definedName name="インデックスNO">#REF!</definedName>
    <definedName name="インデックス項目" localSheetId="2">#REF!</definedName>
    <definedName name="インデックス項目" localSheetId="4">#REF!</definedName>
    <definedName name="インデックス項目">#REF!</definedName>
    <definedName name="インデックス所有者" localSheetId="2">#REF!</definedName>
    <definedName name="インデックス所有者" localSheetId="4">#REF!</definedName>
    <definedName name="インデックス所有者">#REF!</definedName>
    <definedName name="インデックス属性" localSheetId="2">#REF!</definedName>
    <definedName name="インデックス属性" localSheetId="4">#REF!</definedName>
    <definedName name="インデックス属性">#REF!</definedName>
    <definedName name="インデックス表領域" localSheetId="2">#REF!</definedName>
    <definedName name="インデックス表領域" localSheetId="4">#REF!</definedName>
    <definedName name="インデックス表領域">#REF!</definedName>
    <definedName name="インデックス名" localSheetId="2">#REF!</definedName>
    <definedName name="インデックス名" localSheetId="4">#REF!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 localSheetId="4">#REF!</definedName>
    <definedName name="オブジェクトタイプ">#REF!</definedName>
    <definedName name="コンバート" localSheetId="6">'[12]DATA-COMMUNICATION-FORMAT'!#REF!</definedName>
    <definedName name="コンバート" localSheetId="4">'[12]DATA-COMMUNICATION-FORMAT'!#REF!</definedName>
    <definedName name="コンバート">'[12]DATA-COMMUNICATION-FORMAT'!#REF!</definedName>
    <definedName name="ｻｰﾎﾞﾚｽ性能" localSheetId="6" hidden="1">#REF!</definedName>
    <definedName name="ｻｰﾎﾞﾚｽ性能" localSheetId="2" hidden="1">#REF!</definedName>
    <definedName name="ｻｰﾎﾞﾚｽ性能" localSheetId="4"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6">#REF!</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6">#REF!</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 localSheetId="4">#REF!</definedName>
    <definedName name="テーブルNO">#REF!</definedName>
    <definedName name="テーブルサイズ1" localSheetId="2">#REF!</definedName>
    <definedName name="テーブルサイズ1" localSheetId="4">#REF!</definedName>
    <definedName name="テーブルサイズ1">#REF!</definedName>
    <definedName name="テーブルサイズ2" localSheetId="2">#REF!</definedName>
    <definedName name="テーブルサイズ2" localSheetId="4">#REF!</definedName>
    <definedName name="テーブルサイズ2">#REF!</definedName>
    <definedName name="テーブル型" localSheetId="2">#REF!</definedName>
    <definedName name="テーブル型" localSheetId="4">#REF!</definedName>
    <definedName name="テーブル型">#REF!</definedName>
    <definedName name="テーブル項目物理名" localSheetId="2">#REF!</definedName>
    <definedName name="テーブル項目物理名" localSheetId="4">#REF!</definedName>
    <definedName name="テーブル項目物理名">#REF!</definedName>
    <definedName name="テーブル項目論理名" localSheetId="2">#REF!</definedName>
    <definedName name="テーブル項目論理名" localSheetId="4">#REF!</definedName>
    <definedName name="テーブル項目論理名">#REF!</definedName>
    <definedName name="テーブル所有者" localSheetId="2">#REF!</definedName>
    <definedName name="テーブル所有者" localSheetId="4">#REF!</definedName>
    <definedName name="テーブル所有者">#REF!</definedName>
    <definedName name="テーブル備考" localSheetId="2">#REF!</definedName>
    <definedName name="テーブル備考" localSheetId="4">#REF!</definedName>
    <definedName name="テーブル備考">#REF!</definedName>
    <definedName name="テーブル表領域" localSheetId="2">#REF!</definedName>
    <definedName name="テーブル表領域" localSheetId="4">#REF!</definedName>
    <definedName name="テーブル表領域">#REF!</definedName>
    <definedName name="テーブル物理名" localSheetId="2">#REF!</definedName>
    <definedName name="テーブル物理名" localSheetId="4">#REF!</definedName>
    <definedName name="テーブル物理名">#REF!</definedName>
    <definedName name="テーブル論理名" localSheetId="2">#REF!</definedName>
    <definedName name="テーブル論理名" localSheetId="4">#REF!</definedName>
    <definedName name="テーブル論理名">#REF!</definedName>
    <definedName name="メモ" localSheetId="6">#REF!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6"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6">#REF!</definedName>
    <definedName name="結AF" localSheetId="4">#REF!</definedName>
    <definedName name="結AF">#REF!</definedName>
    <definedName name="結AT" localSheetId="6">#REF!</definedName>
    <definedName name="結AT" localSheetId="4">#REF!</definedName>
    <definedName name="結AT">#REF!</definedName>
    <definedName name="結合子" localSheetId="6">#REF!</definedName>
    <definedName name="結合子" localSheetId="4">#REF!</definedName>
    <definedName name="結合子">#REF!</definedName>
    <definedName name="結合子A201" localSheetId="6">#REF!</definedName>
    <definedName name="結合子A201" localSheetId="4">#REF!</definedName>
    <definedName name="結合子A201">#REF!</definedName>
    <definedName name="結合子B101" localSheetId="6">#REF!</definedName>
    <definedName name="結合子B101" localSheetId="4">#REF!</definedName>
    <definedName name="結合子B101">#REF!</definedName>
    <definedName name="結合子B301" localSheetId="6">#REF!</definedName>
    <definedName name="結合子B301" localSheetId="4">#REF!</definedName>
    <definedName name="結合子B301">#REF!</definedName>
    <definedName name="結合子B501" localSheetId="6">#REF!</definedName>
    <definedName name="結合子B501" localSheetId="4">#REF!</definedName>
    <definedName name="結合子B501">#REF!</definedName>
    <definedName name="結合子D101" localSheetId="6">#REF!</definedName>
    <definedName name="結合子D101" localSheetId="4">#REF!</definedName>
    <definedName name="結合子D101">#REF!</definedName>
    <definedName name="結合子D201" localSheetId="6">#REF!</definedName>
    <definedName name="結合子D201" localSheetId="4">#REF!</definedName>
    <definedName name="結合子D201">#REF!</definedName>
    <definedName name="更新" localSheetId="6">#REF!</definedName>
    <definedName name="更新" localSheetId="4">#REF!</definedName>
    <definedName name="更新">#REF!</definedName>
    <definedName name="更新者" localSheetId="6">#REF!</definedName>
    <definedName name="更新者" localSheetId="4">#REF!</definedName>
    <definedName name="更新者">#REF!</definedName>
    <definedName name="更新日" localSheetId="6">#REF!</definedName>
    <definedName name="更新日" localSheetId="4">#REF!</definedName>
    <definedName name="更新日">#REF!</definedName>
    <definedName name="作成者" localSheetId="6">#REF!</definedName>
    <definedName name="作成者" localSheetId="4">#REF!</definedName>
    <definedName name="作成者">#REF!</definedName>
    <definedName name="作成日" localSheetId="6">#REF!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 localSheetId="4">#REF!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6">#REF!</definedName>
    <definedName name="単価_IPｱﾄﾞﾚｽ登録" localSheetId="4">#REF!</definedName>
    <definedName name="単価_IPｱﾄﾞﾚｽ登録">#REF!</definedName>
    <definedName name="単価_NetWare関連_ﾌｧｲﾙ戻し_ｻｰﾊﾞ" localSheetId="6">#REF!</definedName>
    <definedName name="単価_NetWare関連_ﾌｧｲﾙ戻し_ｻｰﾊﾞ" localSheetId="4">#REF!</definedName>
    <definedName name="単価_NetWare関連_ﾌｧｲﾙ戻し_ｻｰﾊﾞ">#REF!</definedName>
    <definedName name="単価_NetWare関連_ﾌｧｲﾙ戻し_ﾃｰﾌﾟ" localSheetId="6">#REF!</definedName>
    <definedName name="単価_NetWare関連_ﾌｧｲﾙ戻し_ﾃｰﾌﾟ" localSheetId="4">#REF!</definedName>
    <definedName name="単価_NetWare関連_ﾌｧｲﾙ戻し_ﾃｰﾌﾟ">#REF!</definedName>
    <definedName name="単価_NetWare関連_申請関連" localSheetId="6">#REF!</definedName>
    <definedName name="単価_NetWare関連_申請関連" localSheetId="4">#REF!</definedName>
    <definedName name="単価_NetWare関連_申請関連">#REF!</definedName>
    <definedName name="単価_Notes関連_ﾃﾞｰﾀﾍﾞｰｽ戻し" localSheetId="6">#REF!</definedName>
    <definedName name="単価_Notes関連_ﾃﾞｰﾀﾍﾞｰｽ戻し" localSheetId="4">#REF!</definedName>
    <definedName name="単価_Notes関連_ﾃﾞｰﾀﾍﾞｰｽ戻し">#REF!</definedName>
    <definedName name="単価_Notes関連_申請関連" localSheetId="6">#REF!</definedName>
    <definedName name="単価_Notes関連_申請関連" localSheetId="4">#REF!</definedName>
    <definedName name="単価_Notes関連_申請関連">#REF!</definedName>
    <definedName name="単価_ｻｰﾊﾞに関する申請_DNS関連" localSheetId="6">#REF!</definedName>
    <definedName name="単価_ｻｰﾊﾞに関する申請_DNS関連" localSheetId="4">#REF!</definedName>
    <definedName name="単価_ｻｰﾊﾞに関する申請_DNS関連">#REF!</definedName>
    <definedName name="単価_ｻｰﾊﾞに関する申請_FireWallACL関連" localSheetId="6">#REF!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6">#REF!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6">#REF!</definedName>
    <definedName name="単価_ｻｰﾊﾞに関する申請_ﾒｰﾙﾙｰﾄ関連" localSheetId="4">#REF!</definedName>
    <definedName name="単価_ｻｰﾊﾞに関する申請_ﾒｰﾙﾙｰﾄ関連">#REF!</definedName>
    <definedName name="単価_ｻｰﾊﾞ証明書" localSheetId="6">#REF!</definedName>
    <definedName name="単価_ｻｰﾊﾞ証明書" localSheetId="4">#REF!</definedName>
    <definedName name="単価_ｻｰﾊﾞ証明書">#REF!</definedName>
    <definedName name="単価_ﾊﾟｿｺﾝﾌﾟﾘﾝﾀ移設" localSheetId="6">#REF!</definedName>
    <definedName name="単価_ﾊﾟｿｺﾝﾌﾟﾘﾝﾀ移設" localSheetId="4">#REF!</definedName>
    <definedName name="単価_ﾊﾟｿｺﾝﾌﾟﾘﾝﾀ移設">#REF!</definedName>
    <definedName name="単価_ﾊﾟｿｺﾝﾌﾟﾘﾝﾀ新設" localSheetId="6">#REF!</definedName>
    <definedName name="単価_ﾊﾟｿｺﾝﾌﾟﾘﾝﾀ新設" localSheetId="4">#REF!</definedName>
    <definedName name="単価_ﾊﾟｿｺﾝﾌﾟﾘﾝﾀ新設">#REF!</definedName>
    <definedName name="単価_ﾊﾟｿｺﾝ変更" localSheetId="6">#REF!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N4" i="19" l="1"/>
  <c r="Q4" i="19"/>
  <c r="Q3" i="19"/>
  <c r="B420" i="19"/>
  <c r="B419" i="19"/>
  <c r="B418" i="19"/>
  <c r="B417" i="19"/>
  <c r="B416" i="19"/>
  <c r="B415" i="19"/>
  <c r="B414" i="19"/>
  <c r="B413" i="19"/>
  <c r="B412" i="19"/>
  <c r="B411" i="19"/>
  <c r="B410" i="19"/>
  <c r="B409" i="19"/>
  <c r="B408" i="19"/>
  <c r="B407" i="19"/>
  <c r="B406" i="19"/>
  <c r="B405" i="19"/>
  <c r="B404" i="19"/>
  <c r="B403" i="19"/>
  <c r="B402" i="19"/>
  <c r="B401" i="19"/>
  <c r="B400" i="19"/>
  <c r="B399" i="19"/>
  <c r="B398" i="19"/>
  <c r="B397" i="19"/>
  <c r="B396" i="19"/>
  <c r="B395" i="19"/>
  <c r="B394" i="19"/>
  <c r="B393" i="19"/>
  <c r="B392" i="19"/>
  <c r="B391" i="19"/>
  <c r="B390" i="19"/>
  <c r="B389" i="19"/>
  <c r="B388" i="19"/>
  <c r="B387" i="19"/>
  <c r="B386" i="19"/>
  <c r="B385" i="19"/>
  <c r="B384" i="19"/>
  <c r="B383" i="19"/>
  <c r="B382" i="19"/>
  <c r="B381" i="19"/>
  <c r="B380" i="19"/>
  <c r="B379" i="19"/>
  <c r="B378" i="19"/>
  <c r="B377" i="19"/>
  <c r="B376" i="19"/>
  <c r="B375" i="19"/>
  <c r="B374" i="19"/>
  <c r="B373" i="19"/>
  <c r="B372" i="19"/>
  <c r="B371" i="19"/>
  <c r="B370" i="19"/>
  <c r="B369" i="19"/>
  <c r="B368" i="19"/>
  <c r="B367" i="19"/>
  <c r="B366" i="19"/>
  <c r="B365" i="19"/>
  <c r="B364" i="19"/>
  <c r="B363" i="19"/>
  <c r="B362" i="19"/>
  <c r="B361" i="19"/>
  <c r="B355" i="19"/>
  <c r="B354" i="19"/>
  <c r="B353" i="19"/>
  <c r="B352" i="19"/>
  <c r="B351" i="19"/>
  <c r="B350" i="19"/>
  <c r="B349" i="19"/>
  <c r="B348" i="19"/>
  <c r="B347" i="19"/>
  <c r="B346" i="19"/>
  <c r="B345" i="19"/>
  <c r="B344" i="19"/>
  <c r="B343" i="19"/>
  <c r="B342" i="19"/>
  <c r="B341" i="19"/>
  <c r="B340" i="19"/>
  <c r="B339" i="19"/>
  <c r="B338" i="19"/>
  <c r="B337" i="19"/>
  <c r="B336" i="19"/>
  <c r="B335" i="19"/>
  <c r="B334" i="19"/>
  <c r="B333" i="19"/>
  <c r="B332" i="19"/>
  <c r="B331" i="19"/>
  <c r="B330" i="19"/>
  <c r="B329" i="19"/>
  <c r="B328" i="19"/>
  <c r="B327" i="19"/>
  <c r="B326" i="19"/>
  <c r="B325" i="19"/>
  <c r="B320" i="19"/>
  <c r="B319" i="19"/>
  <c r="B318" i="19"/>
  <c r="B317" i="19"/>
  <c r="B316" i="19"/>
  <c r="B315" i="19"/>
  <c r="B314" i="19"/>
  <c r="B313" i="19"/>
  <c r="B312" i="19"/>
  <c r="B311" i="19"/>
  <c r="B310" i="19"/>
  <c r="B309" i="19"/>
  <c r="B308" i="19"/>
  <c r="B307" i="19"/>
  <c r="B306" i="19"/>
  <c r="B305" i="19"/>
  <c r="B304" i="19"/>
  <c r="B303" i="19"/>
  <c r="B302" i="19"/>
  <c r="B301" i="19"/>
  <c r="B300" i="19"/>
  <c r="B299" i="19"/>
  <c r="B298" i="19"/>
  <c r="B297" i="19"/>
  <c r="B296" i="19"/>
  <c r="B295" i="19"/>
  <c r="B294" i="19"/>
  <c r="B293" i="19"/>
  <c r="B292" i="19"/>
  <c r="B291" i="19"/>
  <c r="B290" i="19"/>
  <c r="B289" i="19"/>
  <c r="B284" i="19"/>
  <c r="B283" i="19"/>
  <c r="B282" i="19"/>
  <c r="B281" i="19"/>
  <c r="B280" i="19"/>
  <c r="B279" i="19"/>
  <c r="B278" i="19"/>
  <c r="B277" i="19"/>
  <c r="B276" i="19"/>
  <c r="B275" i="19"/>
  <c r="B274" i="19"/>
  <c r="B273" i="19"/>
  <c r="B272" i="19"/>
  <c r="B271" i="19"/>
  <c r="B270" i="19"/>
  <c r="B269" i="19"/>
  <c r="B268" i="19"/>
  <c r="B267" i="19"/>
  <c r="B266" i="19"/>
  <c r="B265" i="19"/>
  <c r="B264" i="19"/>
  <c r="B263" i="19"/>
  <c r="B262" i="19"/>
  <c r="B261" i="19"/>
  <c r="Q2" i="19"/>
  <c r="B253" i="19"/>
  <c r="B254" i="19"/>
  <c r="B255" i="19"/>
  <c r="B256"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4" i="19"/>
  <c r="B153"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P4" i="19"/>
  <c r="P3" i="19"/>
  <c r="P2" i="19"/>
  <c r="N3" i="19"/>
  <c r="N2" i="19"/>
  <c r="O4" i="19"/>
  <c r="O2" i="19"/>
  <c r="O3" i="19"/>
  <c r="M20" i="14"/>
  <c r="L20" i="14"/>
  <c r="K20" i="14"/>
  <c r="H20" i="14" s="1"/>
  <c r="N4" i="14"/>
  <c r="N3" i="14" s="1"/>
  <c r="J3" i="14" s="1"/>
  <c r="M4" i="14"/>
  <c r="M3" i="14" s="1"/>
  <c r="I3" i="14" s="1"/>
  <c r="L4" i="14"/>
  <c r="L3" i="14" s="1"/>
  <c r="H3" i="14" s="1"/>
  <c r="K4" i="14"/>
  <c r="K3" i="14" s="1"/>
  <c r="G3" i="14" s="1"/>
  <c r="H4" i="14"/>
  <c r="M2" i="19" l="1"/>
  <c r="M3" i="19"/>
  <c r="M4" i="19"/>
  <c r="H3" i="19"/>
  <c r="I3" i="19"/>
  <c r="J3" i="19"/>
  <c r="G3" i="19" l="1"/>
</calcChain>
</file>

<file path=xl/sharedStrings.xml><?xml version="1.0" encoding="utf-8"?>
<sst xmlns="http://schemas.openxmlformats.org/spreadsheetml/2006/main" count="2486" uniqueCount="865">
  <si>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</si>
  <si>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</si>
  <si>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</si>
  <si>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</si>
  <si>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</si>
  <si>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</si>
  <si>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</si>
  <si>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</si>
  <si>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</si>
  <si>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</si>
  <si>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</si>
  <si>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</si>
  <si>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</si>
  <si>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</si>
  <si>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</si>
  <si>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</si>
  <si>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</si>
  <si>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</si>
  <si>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</si>
  <si>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</si>
  <si>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</si>
  <si>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</si>
  <si>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</si>
  <si>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</si>
  <si>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</si>
  <si>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</si>
  <si>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</si>
  <si>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</si>
  <si>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</si>
  <si>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</si>
  <si>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</si>
  <si>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</si>
  <si>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</si>
  <si>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</si>
  <si>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</si>
  <si>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</si>
  <si>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</si>
  <si>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</si>
  <si>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</si>
  <si>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</si>
  <si>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</si>
  <si>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</si>
  <si>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</si>
  <si>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</si>
  <si>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</si>
  <si>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</si>
  <si>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</si>
  <si>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</si>
  <si>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</si>
  <si>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</si>
  <si>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</si>
  <si>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</si>
  <si>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</si>
  <si>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</si>
  <si>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</si>
  <si>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</si>
  <si>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</si>
  <si>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</si>
  <si>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</si>
  <si>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</si>
  <si>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</si>
  <si>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</si>
  <si>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</si>
  <si>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</si>
  <si>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</si>
  <si>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</si>
  <si>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</si>
  <si>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</si>
  <si>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</si>
  <si>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</si>
  <si>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</si>
  <si>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</si>
  <si>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</si>
  <si>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</si>
  <si>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</si>
  <si>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</si>
  <si>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</si>
  <si>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</si>
  <si>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</si>
  <si>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</si>
  <si>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</si>
  <si>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</si>
  <si>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</si>
  <si>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</si>
  <si>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</si>
  <si>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</si>
  <si>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</si>
  <si>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</si>
  <si>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</si>
  <si>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</si>
  <si>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</si>
  <si>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</si>
  <si>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</si>
  <si>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画面が起動すること</t>
    <rPh sb="0" eb="2">
      <t>ガメン</t>
    </rPh>
    <rPh sb="3" eb="5">
      <t>キドウ</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</si>
  <si>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</si>
  <si>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</si>
  <si>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</si>
  <si>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</si>
  <si>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</si>
  <si>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別シート"リクエストパラメータチェックシート:リソース取得API"参照</t>
    <rPh sb="27" eb="29">
      <t>シュトク</t>
    </rPh>
    <phoneticPr fontId="28"/>
  </si>
  <si>
    <t>-</t>
    <phoneticPr fontId="47"/>
  </si>
  <si>
    <t>モーダル画面とエラーメッセージが表示されること</t>
    <rPh sb="4" eb="6">
      <t>ガメン</t>
    </rPh>
    <rPh sb="16" eb="18">
      <t>ヒョウジ</t>
    </rPh>
    <phoneticPr fontId="28"/>
  </si>
  <si>
    <t>モーダル画面とエラーメッセージが表示されること</t>
    <phoneticPr fontId="28"/>
  </si>
  <si>
    <t>検索ボタン</t>
    <rPh sb="0" eb="2">
      <t>ケンサク</t>
    </rPh>
    <phoneticPr fontId="47"/>
  </si>
  <si>
    <t>非表示になること</t>
    <rPh sb="0" eb="3">
      <t>ヒヒョウジ</t>
    </rPh>
    <phoneticPr fontId="28"/>
  </si>
  <si>
    <t>表示されること</t>
    <rPh sb="0" eb="2">
      <t>ヒョウジ</t>
    </rPh>
    <phoneticPr fontId="28"/>
  </si>
  <si>
    <t>画面項目制御</t>
    <rPh sb="0" eb="2">
      <t>ガメン</t>
    </rPh>
    <rPh sb="2" eb="4">
      <t>コウモク</t>
    </rPh>
    <rPh sb="4" eb="6">
      <t>セイギョ</t>
    </rPh>
    <phoneticPr fontId="47"/>
  </si>
  <si>
    <t>初期表示</t>
    <rPh sb="0" eb="2">
      <t>ショキ</t>
    </rPh>
    <rPh sb="2" eb="4">
      <t>ヒョウジ</t>
    </rPh>
    <phoneticPr fontId="47"/>
  </si>
  <si>
    <t>header</t>
    <phoneticPr fontId="28"/>
  </si>
  <si>
    <t>空白になっている事</t>
    <rPh sb="0" eb="2">
      <t>クウハク</t>
    </rPh>
    <rPh sb="8" eb="9">
      <t>コト</t>
    </rPh>
    <phoneticPr fontId="28"/>
  </si>
  <si>
    <t>処理結果の確認</t>
    <rPh sb="0" eb="2">
      <t>ショリ</t>
    </rPh>
    <rPh sb="2" eb="4">
      <t>ケッカ</t>
    </rPh>
    <rPh sb="5" eb="7">
      <t>カクニン</t>
    </rPh>
    <phoneticPr fontId="28"/>
  </si>
  <si>
    <t>「データがありません。」と表示されること</t>
    <rPh sb="13" eb="15">
      <t>ヒョウジ</t>
    </rPh>
    <phoneticPr fontId="28"/>
  </si>
  <si>
    <t>「前ページ」ボタン</t>
    <phoneticPr fontId="28"/>
  </si>
  <si>
    <t>「次ページ」ボタン</t>
    <phoneticPr fontId="28"/>
  </si>
  <si>
    <t>「ページ選択」ボタン</t>
    <rPh sb="4" eb="6">
      <t>センタク</t>
    </rPh>
    <phoneticPr fontId="47"/>
  </si>
  <si>
    <t>ページ番号</t>
    <rPh sb="3" eb="5">
      <t>バンゴウ</t>
    </rPh>
    <phoneticPr fontId="47"/>
  </si>
  <si>
    <t>エラー確認</t>
    <rPh sb="3" eb="5">
      <t>カクニン</t>
    </rPh>
    <phoneticPr fontId="28"/>
  </si>
  <si>
    <t>非活性になっていること</t>
    <rPh sb="0" eb="1">
      <t>ヒ</t>
    </rPh>
    <rPh sb="1" eb="3">
      <t>カッセイ</t>
    </rPh>
    <phoneticPr fontId="28"/>
  </si>
  <si>
    <t>ページ数が「0/0 - 0/0」になっていること</t>
    <rPh sb="3" eb="4">
      <t>スウ</t>
    </rPh>
    <phoneticPr fontId="28"/>
  </si>
  <si>
    <t>活性化されていること</t>
    <rPh sb="0" eb="3">
      <t>カッセイカ</t>
    </rPh>
    <phoneticPr fontId="28"/>
  </si>
  <si>
    <t>▲アイコンが表示されていること</t>
    <rPh sb="6" eb="8">
      <t>ヒョウジ</t>
    </rPh>
    <phoneticPr fontId="28"/>
  </si>
  <si>
    <t>▲アイコンが表示されていないこと</t>
    <rPh sb="6" eb="8">
      <t>ヒョウジ</t>
    </rPh>
    <phoneticPr fontId="28"/>
  </si>
  <si>
    <t>「ページ選択」</t>
    <rPh sb="4" eb="6">
      <t>センタク</t>
    </rPh>
    <phoneticPr fontId="47"/>
  </si>
  <si>
    <t>「次ページ」ボタン</t>
    <phoneticPr fontId="28"/>
  </si>
  <si>
    <t>「前ページ」ボタン</t>
    <phoneticPr fontId="28"/>
  </si>
  <si>
    <t>1ページで表示されていること</t>
    <rPh sb="5" eb="7">
      <t>ヒョウジ</t>
    </rPh>
    <phoneticPr fontId="28"/>
  </si>
  <si>
    <t>2ページで表示されていること</t>
    <rPh sb="5" eb="7">
      <t>ヒョウジ</t>
    </rPh>
    <phoneticPr fontId="28"/>
  </si>
  <si>
    <t>3ページで表示されていること</t>
    <rPh sb="5" eb="7">
      <t>ヒョウジ</t>
    </rPh>
    <phoneticPr fontId="28"/>
  </si>
  <si>
    <t>画面表示</t>
    <rPh sb="0" eb="2">
      <t>ガメン</t>
    </rPh>
    <rPh sb="2" eb="4">
      <t>ヒョウジ</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</si>
  <si>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</si>
  <si>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</si>
  <si>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</si>
  <si>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レイアウトが崩れないこと</t>
    <rPh sb="6" eb="7">
      <t>クズ</t>
    </rPh>
    <phoneticPr fontId="28"/>
  </si>
  <si>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</si>
  <si>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</si>
  <si>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</si>
  <si>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</si>
  <si>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タブブラウザのセッション復元機能によるページ呼び出し</t>
    <phoneticPr fontId="28"/>
  </si>
  <si>
    <t>１度押したら、LOADING画像が表示されること</t>
    <rPh sb="1" eb="2">
      <t>ド</t>
    </rPh>
    <rPh sb="2" eb="3">
      <t>オ</t>
    </rPh>
    <rPh sb="14" eb="16">
      <t>ガゾウ</t>
    </rPh>
    <rPh sb="17" eb="19">
      <t>ヒョウジ</t>
    </rPh>
    <phoneticPr fontId="28"/>
  </si>
  <si>
    <t>画面項目制御（データテーブル）</t>
    <rPh sb="0" eb="2">
      <t>ガメン</t>
    </rPh>
    <rPh sb="2" eb="4">
      <t>コウモク</t>
    </rPh>
    <rPh sb="4" eb="6">
      <t>セイギョ</t>
    </rPh>
    <phoneticPr fontId="28"/>
  </si>
  <si>
    <t>-</t>
  </si>
  <si>
    <t>　　呼び出し失敗</t>
    <rPh sb="2" eb="3">
      <t>ヨ</t>
    </rPh>
    <rPh sb="4" eb="5">
      <t>ダ</t>
    </rPh>
    <rPh sb="6" eb="8">
      <t>シッパイ</t>
    </rPh>
    <phoneticPr fontId="47"/>
  </si>
  <si>
    <t>　　エラー確認</t>
    <rPh sb="5" eb="7">
      <t>カクニン</t>
    </rPh>
    <phoneticPr fontId="47"/>
  </si>
  <si>
    <t>　　正常確認</t>
    <rPh sb="2" eb="4">
      <t>セイジョウ</t>
    </rPh>
    <rPh sb="4" eb="6">
      <t>カクニン</t>
    </rPh>
    <phoneticPr fontId="47"/>
  </si>
  <si>
    <t>別シート"リクエストパラメータチェックシート：車両一覧取得API "参照
※プルダウン情報を取得</t>
    <rPh sb="0" eb="1">
      <t>ベツ</t>
    </rPh>
    <rPh sb="34" eb="36">
      <t>サンショウ</t>
    </rPh>
    <rPh sb="43" eb="45">
      <t>ジョウホウ</t>
    </rPh>
    <rPh sb="46" eb="48">
      <t>シュトク</t>
    </rPh>
    <phoneticPr fontId="28"/>
  </si>
  <si>
    <t>車両一覧</t>
    <rPh sb="0" eb="2">
      <t>シャリョウ</t>
    </rPh>
    <rPh sb="2" eb="4">
      <t>イチラン</t>
    </rPh>
    <phoneticPr fontId="47"/>
  </si>
  <si>
    <t>次世代対応を反映した画面設計書と画面を照らし合わせ、権限に合った項目が表示されていること</t>
    <rPh sb="0" eb="3">
      <t>ジセダイ</t>
    </rPh>
    <rPh sb="3" eb="5">
      <t>タイオウ</t>
    </rPh>
    <rPh sb="6" eb="8">
      <t>ハンエイ</t>
    </rPh>
    <rPh sb="10" eb="12">
      <t>ガメン</t>
    </rPh>
    <rPh sb="12" eb="15">
      <t>セッケイショ</t>
    </rPh>
    <rPh sb="16" eb="18">
      <t>ガメン</t>
    </rPh>
    <rPh sb="19" eb="20">
      <t>テ</t>
    </rPh>
    <rPh sb="22" eb="23">
      <t>ア</t>
    </rPh>
    <rPh sb="26" eb="28">
      <t>ケンゲン</t>
    </rPh>
    <rPh sb="29" eb="30">
      <t>ア</t>
    </rPh>
    <rPh sb="32" eb="34">
      <t>コウモク</t>
    </rPh>
    <rPh sb="35" eb="37">
      <t>ヒョウジ</t>
    </rPh>
    <phoneticPr fontId="47"/>
  </si>
  <si>
    <t>機種（データテーブル）</t>
    <rPh sb="0" eb="2">
      <t>キシュ</t>
    </rPh>
    <phoneticPr fontId="47"/>
  </si>
  <si>
    <t>車両一覧取得APIの取得結果が表示されていること</t>
    <rPh sb="0" eb="2">
      <t>シャリョウ</t>
    </rPh>
    <rPh sb="2" eb="4">
      <t>イチラン</t>
    </rPh>
    <rPh sb="4" eb="6">
      <t>シュトク</t>
    </rPh>
    <rPh sb="10" eb="12">
      <t>シュトク</t>
    </rPh>
    <rPh sb="12" eb="14">
      <t>ケッカ</t>
    </rPh>
    <rPh sb="15" eb="17">
      <t>ヒョウジ</t>
    </rPh>
    <phoneticPr fontId="28"/>
  </si>
  <si>
    <t>次世代対応を反映した画面設計書と画面を照らし合わせ、権限に合った項目が車両一覧のヘッダに表示されていること</t>
    <rPh sb="0" eb="3">
      <t>ジセダイ</t>
    </rPh>
    <rPh sb="3" eb="5">
      <t>タイオウ</t>
    </rPh>
    <rPh sb="6" eb="8">
      <t>ハンエイ</t>
    </rPh>
    <rPh sb="10" eb="12">
      <t>ガメン</t>
    </rPh>
    <rPh sb="12" eb="15">
      <t>セッケイショ</t>
    </rPh>
    <rPh sb="16" eb="18">
      <t>ガメン</t>
    </rPh>
    <rPh sb="19" eb="20">
      <t>テ</t>
    </rPh>
    <rPh sb="22" eb="23">
      <t>ア</t>
    </rPh>
    <rPh sb="26" eb="28">
      <t>ケンゲン</t>
    </rPh>
    <rPh sb="29" eb="30">
      <t>ア</t>
    </rPh>
    <rPh sb="32" eb="34">
      <t>コウモク</t>
    </rPh>
    <phoneticPr fontId="47"/>
  </si>
  <si>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</si>
  <si>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</si>
  <si>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</si>
  <si>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</si>
  <si>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担当DB</t>
  </si>
  <si>
    <t>担当DB組織ｺｰﾄﾞ</t>
  </si>
  <si>
    <t>ｻｰﾋﾞｽDB</t>
  </si>
  <si>
    <t>ｻｰﾋﾞｽDB組織ｺｰﾄﾞ</t>
  </si>
  <si>
    <t>顧客</t>
  </si>
  <si>
    <t>顧客組織ｺｰﾄﾞ</t>
  </si>
  <si>
    <t>業種</t>
  </si>
  <si>
    <t>銀行</t>
  </si>
  <si>
    <t>債権</t>
  </si>
  <si>
    <t>車両種類</t>
  </si>
  <si>
    <t>ﾒｰｶ</t>
  </si>
  <si>
    <t>機種</t>
  </si>
  <si>
    <t>型式</t>
  </si>
  <si>
    <t>機番</t>
  </si>
  <si>
    <t>顧客管理番号</t>
  </si>
  <si>
    <t>備考1</t>
  </si>
  <si>
    <t>備考2</t>
  </si>
  <si>
    <t>備考3</t>
  </si>
  <si>
    <t>備考4</t>
  </si>
  <si>
    <t>分類1</t>
  </si>
  <si>
    <t>分類2</t>
  </si>
  <si>
    <t>分類3</t>
  </si>
  <si>
    <t>分類4</t>
  </si>
  <si>
    <t>分類5</t>
  </si>
  <si>
    <t>資産状態(含む)</t>
  </si>
  <si>
    <t>資産所有者(含む)</t>
  </si>
  <si>
    <t>ｻﾌﾞｸﾞﾙｰﾌﾟ</t>
  </si>
  <si>
    <t>新車/中古車</t>
  </si>
  <si>
    <t>情報化施工</t>
  </si>
  <si>
    <t>ｺﾏﾂｵｰﾙｻﾎﾟｰﾄ</t>
  </si>
  <si>
    <t>広域顧客</t>
  </si>
  <si>
    <t>KBS車輛</t>
  </si>
  <si>
    <t>現場名</t>
  </si>
  <si>
    <t>オペ名</t>
  </si>
  <si>
    <t>保守責任者</t>
  </si>
  <si>
    <t>現在地</t>
  </si>
  <si>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</si>
  <si>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別シート"リクエストパラメータチェックシート：リソース取得API"参照
※プルダウン情報を取得</t>
    <rPh sb="0" eb="1">
      <t>ベツ</t>
    </rPh>
    <rPh sb="33" eb="35">
      <t>サンショウ</t>
    </rPh>
    <rPh sb="42" eb="44">
      <t>ジョウホウ</t>
    </rPh>
    <rPh sb="45" eb="47">
      <t>シュトク</t>
    </rPh>
    <phoneticPr fontId="28"/>
  </si>
  <si>
    <t>-</t>
    <phoneticPr fontId="47"/>
  </si>
  <si>
    <t>大項目2でテストを実施する</t>
    <rPh sb="0" eb="3">
      <t>ダイコウモク</t>
    </rPh>
    <rPh sb="9" eb="11">
      <t>ジッシ</t>
    </rPh>
    <phoneticPr fontId="47"/>
  </si>
  <si>
    <t>初期処理</t>
    <rPh sb="0" eb="2">
      <t>ショキ</t>
    </rPh>
    <rPh sb="2" eb="4">
      <t>ショリ</t>
    </rPh>
    <phoneticPr fontId="28"/>
  </si>
  <si>
    <t>クリアボタン</t>
    <phoneticPr fontId="28"/>
  </si>
  <si>
    <t>初期表示</t>
    <rPh sb="0" eb="2">
      <t>ショキ</t>
    </rPh>
    <rPh sb="2" eb="4">
      <t>ヒョウジ</t>
    </rPh>
    <phoneticPr fontId="28"/>
  </si>
  <si>
    <t>クリック</t>
    <phoneticPr fontId="28"/>
  </si>
  <si>
    <t>一覧のチェックが全て外れること</t>
    <rPh sb="0" eb="2">
      <t>イチラン</t>
    </rPh>
    <rPh sb="8" eb="9">
      <t>スベ</t>
    </rPh>
    <rPh sb="10" eb="11">
      <t>ハズ</t>
    </rPh>
    <phoneticPr fontId="28"/>
  </si>
  <si>
    <t>担当DB一覧</t>
    <rPh sb="0" eb="2">
      <t>タントウ</t>
    </rPh>
    <rPh sb="4" eb="6">
      <t>イチラン</t>
    </rPh>
    <phoneticPr fontId="28"/>
  </si>
  <si>
    <t>活性化されること</t>
    <rPh sb="0" eb="3">
      <t>カッセイカ</t>
    </rPh>
    <phoneticPr fontId="28"/>
  </si>
  <si>
    <t>OKボタン</t>
    <phoneticPr fontId="28"/>
  </si>
  <si>
    <t>チェックされているデータがないこと</t>
    <phoneticPr fontId="28"/>
  </si>
  <si>
    <t>担当DB未選択時の確認</t>
    <rPh sb="0" eb="2">
      <t>タントウ</t>
    </rPh>
    <rPh sb="4" eb="5">
      <t>ミ</t>
    </rPh>
    <rPh sb="5" eb="7">
      <t>センタク</t>
    </rPh>
    <rPh sb="7" eb="8">
      <t>ジ</t>
    </rPh>
    <rPh sb="9" eb="11">
      <t>カクニン</t>
    </rPh>
    <phoneticPr fontId="28"/>
  </si>
  <si>
    <t>担当DB選択時の確認</t>
    <rPh sb="0" eb="2">
      <t>タントウ</t>
    </rPh>
    <rPh sb="4" eb="6">
      <t>センタク</t>
    </rPh>
    <rPh sb="6" eb="7">
      <t>ジ</t>
    </rPh>
    <rPh sb="8" eb="10">
      <t>カクニン</t>
    </rPh>
    <phoneticPr fontId="28"/>
  </si>
  <si>
    <t>選択されているデータがチェックされていること</t>
    <rPh sb="0" eb="2">
      <t>センタク</t>
    </rPh>
    <phoneticPr fontId="28"/>
  </si>
  <si>
    <t>チェックボックスON（未選択→1件選択）</t>
    <rPh sb="11" eb="12">
      <t>ミ</t>
    </rPh>
    <rPh sb="12" eb="14">
      <t>センタク</t>
    </rPh>
    <rPh sb="16" eb="17">
      <t>ケン</t>
    </rPh>
    <rPh sb="17" eb="19">
      <t>センタク</t>
    </rPh>
    <phoneticPr fontId="28"/>
  </si>
  <si>
    <t>チェックボックスOFF（1件選択→未選択）</t>
    <phoneticPr fontId="28"/>
  </si>
  <si>
    <t>非活性になっていること</t>
    <rPh sb="0" eb="1">
      <t>ヒ</t>
    </rPh>
    <rPh sb="1" eb="3">
      <t>カッセイ</t>
    </rPh>
    <phoneticPr fontId="28"/>
  </si>
  <si>
    <t>担当DB一覧</t>
    <phoneticPr fontId="28"/>
  </si>
  <si>
    <t>画面が閉じること</t>
    <rPh sb="0" eb="2">
      <t>ガメン</t>
    </rPh>
    <rPh sb="3" eb="4">
      <t>ト</t>
    </rPh>
    <phoneticPr fontId="28"/>
  </si>
  <si>
    <t>担当DB</t>
    <phoneticPr fontId="28"/>
  </si>
  <si>
    <t>複数選択が表示されている事</t>
    <rPh sb="0" eb="2">
      <t>フクスウ</t>
    </rPh>
    <rPh sb="2" eb="4">
      <t>センタク</t>
    </rPh>
    <rPh sb="5" eb="7">
      <t>ヒョウジ</t>
    </rPh>
    <rPh sb="12" eb="13">
      <t>コト</t>
    </rPh>
    <phoneticPr fontId="28"/>
  </si>
  <si>
    <t>キャンセルボタン</t>
    <phoneticPr fontId="28"/>
  </si>
  <si>
    <t>担当DB組織コード</t>
    <phoneticPr fontId="47"/>
  </si>
  <si>
    <t>非表示になること</t>
    <rPh sb="0" eb="3">
      <t>ヒヒョウジ</t>
    </rPh>
    <phoneticPr fontId="28"/>
  </si>
  <si>
    <t>テキストが表示されること</t>
    <rPh sb="5" eb="7">
      <t>ヒョウジ</t>
    </rPh>
    <phoneticPr fontId="28"/>
  </si>
  <si>
    <t>担当DB(テキスト)</t>
    <phoneticPr fontId="47"/>
  </si>
  <si>
    <t>表示されること</t>
    <rPh sb="0" eb="2">
      <t>ヒョウジ</t>
    </rPh>
    <phoneticPr fontId="28"/>
  </si>
  <si>
    <t>担当DBで選択した組織コードが表示されていること</t>
    <rPh sb="0" eb="2">
      <t>タントウ</t>
    </rPh>
    <rPh sb="5" eb="7">
      <t>センタク</t>
    </rPh>
    <rPh sb="9" eb="11">
      <t>ソシキ</t>
    </rPh>
    <rPh sb="15" eb="17">
      <t>ヒョウジ</t>
    </rPh>
    <phoneticPr fontId="28"/>
  </si>
  <si>
    <t>担当DB</t>
    <rPh sb="0" eb="2">
      <t>タントウ</t>
    </rPh>
    <phoneticPr fontId="28"/>
  </si>
  <si>
    <t>組織コードと一致する担当DBが表示されること</t>
    <rPh sb="0" eb="2">
      <t>ソシキ</t>
    </rPh>
    <rPh sb="6" eb="8">
      <t>イッチ</t>
    </rPh>
    <rPh sb="10" eb="12">
      <t>タントウ</t>
    </rPh>
    <rPh sb="15" eb="17">
      <t>ヒョウジ</t>
    </rPh>
    <phoneticPr fontId="28"/>
  </si>
  <si>
    <t>サービスDB組織コード</t>
    <rPh sb="6" eb="8">
      <t>ソシキ</t>
    </rPh>
    <phoneticPr fontId="28"/>
  </si>
  <si>
    <t>サービスDB組織コード</t>
    <phoneticPr fontId="47"/>
  </si>
  <si>
    <t>サービスDB</t>
    <phoneticPr fontId="28"/>
  </si>
  <si>
    <t>組織コードと一致するサービスDBが表示されること</t>
    <rPh sb="0" eb="2">
      <t>ソシキ</t>
    </rPh>
    <rPh sb="6" eb="8">
      <t>イッチ</t>
    </rPh>
    <rPh sb="17" eb="19">
      <t>ヒョウジ</t>
    </rPh>
    <phoneticPr fontId="28"/>
  </si>
  <si>
    <t>顧客組織コード</t>
  </si>
  <si>
    <t>顧客で選択した組織コードが表示されていること</t>
    <rPh sb="3" eb="5">
      <t>センタク</t>
    </rPh>
    <rPh sb="7" eb="9">
      <t>ソシキ</t>
    </rPh>
    <rPh sb="13" eb="15">
      <t>ヒョウジ</t>
    </rPh>
    <phoneticPr fontId="28"/>
  </si>
  <si>
    <t>顧客子画面</t>
  </si>
  <si>
    <t>顧客(テキスト)</t>
  </si>
  <si>
    <t>大項目3でテストを実施する</t>
    <rPh sb="0" eb="3">
      <t>ダイコウモク</t>
    </rPh>
    <rPh sb="9" eb="11">
      <t>ジッシ</t>
    </rPh>
    <phoneticPr fontId="47"/>
  </si>
  <si>
    <t>顧客子画面</t>
    <rPh sb="0" eb="2">
      <t>コキャク</t>
    </rPh>
    <rPh sb="2" eb="3">
      <t>コ</t>
    </rPh>
    <rPh sb="3" eb="5">
      <t>ガメン</t>
    </rPh>
    <phoneticPr fontId="28"/>
  </si>
  <si>
    <t>顧客一覧</t>
  </si>
  <si>
    <t>顧客一覧</t>
    <rPh sb="0" eb="2">
      <t>コキャク</t>
    </rPh>
    <rPh sb="2" eb="4">
      <t>イチラン</t>
    </rPh>
    <phoneticPr fontId="28"/>
  </si>
  <si>
    <t>担当DBで選択されている担当DBが表示されること</t>
    <rPh sb="0" eb="2">
      <t>タントウ</t>
    </rPh>
    <rPh sb="5" eb="7">
      <t>センタク</t>
    </rPh>
    <rPh sb="12" eb="14">
      <t>タントウ</t>
    </rPh>
    <rPh sb="17" eb="19">
      <t>ヒョウジ</t>
    </rPh>
    <phoneticPr fontId="28"/>
  </si>
  <si>
    <t>担当DB</t>
    <phoneticPr fontId="28"/>
  </si>
  <si>
    <t>初期表示</t>
    <phoneticPr fontId="28"/>
  </si>
  <si>
    <t>顧客検索条件項目</t>
    <rPh sb="0" eb="2">
      <t>コキャク</t>
    </rPh>
    <rPh sb="2" eb="4">
      <t>ケンサク</t>
    </rPh>
    <rPh sb="4" eb="6">
      <t>ジョウケン</t>
    </rPh>
    <rPh sb="6" eb="8">
      <t>コウモク</t>
    </rPh>
    <phoneticPr fontId="28"/>
  </si>
  <si>
    <t>*が表示されていること</t>
    <rPh sb="2" eb="4">
      <t>ヒョウジ</t>
    </rPh>
    <phoneticPr fontId="28"/>
  </si>
  <si>
    <t>検索ボタン</t>
    <rPh sb="0" eb="2">
      <t>ケンサク</t>
    </rPh>
    <phoneticPr fontId="28"/>
  </si>
  <si>
    <t>クリック（顧客未選択時）</t>
    <rPh sb="5" eb="7">
      <t>コキャク</t>
    </rPh>
    <rPh sb="7" eb="8">
      <t>ミ</t>
    </rPh>
    <rPh sb="8" eb="10">
      <t>センタク</t>
    </rPh>
    <rPh sb="10" eb="11">
      <t>ジ</t>
    </rPh>
    <phoneticPr fontId="28"/>
  </si>
  <si>
    <t>大項目3</t>
    <rPh sb="0" eb="3">
      <t>ダイコウモク</t>
    </rPh>
    <phoneticPr fontId="28"/>
  </si>
  <si>
    <t>「データがありません。」と表示されていること</t>
    <rPh sb="13" eb="15">
      <t>ヒョウジ</t>
    </rPh>
    <phoneticPr fontId="28"/>
  </si>
  <si>
    <t>顧客一覧子画面</t>
  </si>
  <si>
    <t>顧客一覧(テキスト)</t>
  </si>
  <si>
    <t>顧客一覧子画面の表示前と値が変更されていないこと</t>
    <rPh sb="8" eb="10">
      <t>ヒョウジ</t>
    </rPh>
    <rPh sb="10" eb="11">
      <t>マエ</t>
    </rPh>
    <rPh sb="12" eb="13">
      <t>アタイ</t>
    </rPh>
    <rPh sb="14" eb="16">
      <t>ヘンコウ</t>
    </rPh>
    <phoneticPr fontId="28"/>
  </si>
  <si>
    <t>顧客組織コード</t>
    <phoneticPr fontId="28"/>
  </si>
  <si>
    <t>顧客一覧子画面で選択したデータがセットされていること</t>
    <rPh sb="8" eb="10">
      <t>センタク</t>
    </rPh>
    <phoneticPr fontId="28"/>
  </si>
  <si>
    <t>クリック（顧客複数選択時）</t>
    <rPh sb="5" eb="7">
      <t>コキャク</t>
    </rPh>
    <rPh sb="7" eb="9">
      <t>フクスウ</t>
    </rPh>
    <rPh sb="9" eb="11">
      <t>センタク</t>
    </rPh>
    <rPh sb="11" eb="12">
      <t>ジ</t>
    </rPh>
    <phoneticPr fontId="28"/>
  </si>
  <si>
    <t>APIで取得したデータがに表示されること</t>
    <rPh sb="4" eb="6">
      <t>シュトク</t>
    </rPh>
    <rPh sb="13" eb="15">
      <t>ヒョウジ</t>
    </rPh>
    <phoneticPr fontId="28"/>
  </si>
  <si>
    <t>複数選択されていたデータが表示されチェックがONになっていること</t>
    <rPh sb="0" eb="2">
      <t>フクスウ</t>
    </rPh>
    <rPh sb="2" eb="4">
      <t>センタク</t>
    </rPh>
    <rPh sb="13" eb="15">
      <t>ヒョウジ</t>
    </rPh>
    <phoneticPr fontId="28"/>
  </si>
  <si>
    <t>組織コードと一致する顧客が表示されること</t>
    <rPh sb="0" eb="2">
      <t>ソシキ</t>
    </rPh>
    <rPh sb="6" eb="8">
      <t>イッチ</t>
    </rPh>
    <rPh sb="10" eb="12">
      <t>コキャク</t>
    </rPh>
    <rPh sb="13" eb="15">
      <t>ヒョウジ</t>
    </rPh>
    <phoneticPr fontId="28"/>
  </si>
  <si>
    <t>注目車両グループ</t>
    <phoneticPr fontId="28"/>
  </si>
  <si>
    <t>選択された値がセットされること</t>
    <rPh sb="0" eb="2">
      <t>センタク</t>
    </rPh>
    <rPh sb="5" eb="6">
      <t>アタイ</t>
    </rPh>
    <phoneticPr fontId="28"/>
  </si>
  <si>
    <t>サブグループ</t>
  </si>
  <si>
    <t>サブグループ子画面</t>
  </si>
  <si>
    <t>サブグループ(テキスト)</t>
  </si>
  <si>
    <t>大項目4でテストを実施する</t>
    <rPh sb="0" eb="3">
      <t>ダイコウモク</t>
    </rPh>
    <rPh sb="9" eb="11">
      <t>ジッシ</t>
    </rPh>
    <phoneticPr fontId="47"/>
  </si>
  <si>
    <t>サブグループ</t>
    <phoneticPr fontId="28"/>
  </si>
  <si>
    <t>サブグループで選択されているサブグループ名が表示されること</t>
    <rPh sb="7" eb="9">
      <t>センタク</t>
    </rPh>
    <rPh sb="20" eb="21">
      <t>メイ</t>
    </rPh>
    <rPh sb="22" eb="24">
      <t>ヒョウジ</t>
    </rPh>
    <phoneticPr fontId="28"/>
  </si>
  <si>
    <t>サブグループで選択したサブグループ名が表示されること</t>
    <rPh sb="7" eb="9">
      <t>センタク</t>
    </rPh>
    <rPh sb="17" eb="18">
      <t>メイ</t>
    </rPh>
    <rPh sb="19" eb="21">
      <t>ヒョウジ</t>
    </rPh>
    <phoneticPr fontId="28"/>
  </si>
  <si>
    <t>サブグループ子画面</t>
    <rPh sb="6" eb="7">
      <t>コ</t>
    </rPh>
    <rPh sb="7" eb="9">
      <t>ガメン</t>
    </rPh>
    <phoneticPr fontId="28"/>
  </si>
  <si>
    <t>大項目4</t>
    <rPh sb="0" eb="3">
      <t>ダイコウモク</t>
    </rPh>
    <phoneticPr fontId="28"/>
  </si>
  <si>
    <t>サブグループ検索条件項目</t>
    <rPh sb="6" eb="8">
      <t>ケンサク</t>
    </rPh>
    <rPh sb="8" eb="10">
      <t>ジョウケン</t>
    </rPh>
    <rPh sb="10" eb="12">
      <t>コウモク</t>
    </rPh>
    <phoneticPr fontId="28"/>
  </si>
  <si>
    <t>サブグループ一覧</t>
    <rPh sb="6" eb="8">
      <t>イチラン</t>
    </rPh>
    <phoneticPr fontId="28"/>
  </si>
  <si>
    <t>クリック（サブグループ未選択時）</t>
    <rPh sb="11" eb="12">
      <t>ミ</t>
    </rPh>
    <rPh sb="12" eb="14">
      <t>センタク</t>
    </rPh>
    <rPh sb="14" eb="15">
      <t>ジ</t>
    </rPh>
    <phoneticPr fontId="28"/>
  </si>
  <si>
    <t>クリック（サブグループ複数選択時）</t>
    <rPh sb="11" eb="13">
      <t>フクスウ</t>
    </rPh>
    <rPh sb="13" eb="15">
      <t>センタク</t>
    </rPh>
    <rPh sb="15" eb="16">
      <t>ジ</t>
    </rPh>
    <phoneticPr fontId="28"/>
  </si>
  <si>
    <t>サブグループ一覧(テキスト)</t>
  </si>
  <si>
    <t>サブグループ子画面で選択したデータがセットされていること</t>
    <rPh sb="10" eb="12">
      <t>センタク</t>
    </rPh>
    <phoneticPr fontId="28"/>
  </si>
  <si>
    <t>サブグループ子画面の表示前と値が変更されていないこと</t>
    <rPh sb="10" eb="12">
      <t>ヒョウジ</t>
    </rPh>
    <rPh sb="12" eb="13">
      <t>マエ</t>
    </rPh>
    <rPh sb="14" eb="15">
      <t>アタイ</t>
    </rPh>
    <rPh sb="16" eb="18">
      <t>ヘンコウ</t>
    </rPh>
    <phoneticPr fontId="28"/>
  </si>
  <si>
    <t>サブグループ子画面</t>
    <phoneticPr fontId="28"/>
  </si>
  <si>
    <t>大項目2</t>
    <rPh sb="0" eb="3">
      <t>ダイコウモク</t>
    </rPh>
    <phoneticPr fontId="28"/>
  </si>
  <si>
    <t>完全一致</t>
    <phoneticPr fontId="28"/>
  </si>
  <si>
    <t>型式</t>
    <rPh sb="0" eb="2">
      <t>カタシキ</t>
    </rPh>
    <phoneticPr fontId="28"/>
  </si>
  <si>
    <t>顧客</t>
    <rPh sb="0" eb="2">
      <t>コキャク</t>
    </rPh>
    <phoneticPr fontId="28"/>
  </si>
  <si>
    <t>備考２</t>
  </si>
  <si>
    <t>備考３</t>
  </si>
  <si>
    <t>備考４</t>
  </si>
  <si>
    <t>備考５</t>
  </si>
  <si>
    <t>分類２ID</t>
  </si>
  <si>
    <t>分類３ID</t>
  </si>
  <si>
    <t>分類４ID</t>
  </si>
  <si>
    <t>分類５ID</t>
  </si>
  <si>
    <t>カスタム車両属性２詳細ID</t>
  </si>
  <si>
    <t>カスタム車両属性３詳細ID</t>
  </si>
  <si>
    <t>カスタム車両属性４詳細ID</t>
  </si>
  <si>
    <t>カスタム車両属性５詳細ID</t>
  </si>
  <si>
    <t>カスタム車両属性６詳細ID</t>
  </si>
  <si>
    <t>カスタム車両属性７詳細ID</t>
  </si>
  <si>
    <t>カスタム車両属性８詳細ID</t>
  </si>
  <si>
    <t>カスタム車両属性９詳細ID</t>
  </si>
  <si>
    <t>カスタム車両属性１０詳細ID</t>
  </si>
  <si>
    <t>別シート"リクエストパラメータチェックシート：車両一覧取得API "参照</t>
    <phoneticPr fontId="28"/>
  </si>
  <si>
    <t>件数が1/10 - 10/10 で表示されていること</t>
    <rPh sb="0" eb="2">
      <t>ケンスウ</t>
    </rPh>
    <rPh sb="17" eb="19">
      <t>ヒョウジ</t>
    </rPh>
    <phoneticPr fontId="28"/>
  </si>
  <si>
    <t>件数が1/30 - 10/30 で表示されていること</t>
    <rPh sb="0" eb="2">
      <t>ケンスウ</t>
    </rPh>
    <rPh sb="17" eb="19">
      <t>ヒョウジ</t>
    </rPh>
    <phoneticPr fontId="28"/>
  </si>
  <si>
    <t>件数が11/30 - 20/30 で表示されていること</t>
    <rPh sb="0" eb="2">
      <t>ケンスウ</t>
    </rPh>
    <rPh sb="18" eb="20">
      <t>ヒョウジ</t>
    </rPh>
    <phoneticPr fontId="28"/>
  </si>
  <si>
    <t>件数が21/30 - 30/30 で表示されていること</t>
    <rPh sb="0" eb="2">
      <t>ケンスウ</t>
    </rPh>
    <rPh sb="18" eb="20">
      <t>ヒョウジ</t>
    </rPh>
    <phoneticPr fontId="28"/>
  </si>
  <si>
    <t>プロファイル件数（リンク）クリック</t>
    <rPh sb="6" eb="8">
      <t>ケンスウ</t>
    </rPh>
    <phoneticPr fontId="28"/>
  </si>
  <si>
    <t>ﾌﾟﾛﾌｧｲﾙ件数</t>
  </si>
  <si>
    <t>担当DB(英語)</t>
  </si>
  <si>
    <t>ｻｰﾋﾞｽDB(英語)</t>
  </si>
  <si>
    <t>顧客名称</t>
  </si>
  <si>
    <t>顧客名称(英語)</t>
  </si>
  <si>
    <t>備考5</t>
  </si>
  <si>
    <t>SMR</t>
  </si>
  <si>
    <t>最新通信時刻</t>
  </si>
  <si>
    <t>サービス契約</t>
  </si>
  <si>
    <t>コマツオールサポート</t>
  </si>
  <si>
    <t>顧客車輛番号</t>
  </si>
  <si>
    <t>資産状態</t>
  </si>
  <si>
    <t>資産所有者</t>
  </si>
  <si>
    <t>オペ名1</t>
  </si>
  <si>
    <t>オペ名2</t>
  </si>
  <si>
    <t>オペ名3</t>
  </si>
  <si>
    <t>現場責任者</t>
  </si>
  <si>
    <t>場所</t>
  </si>
  <si>
    <t>測位時刻</t>
  </si>
  <si>
    <t>ヘッダ項目名</t>
    <rPh sb="3" eb="5">
      <t>コウモク</t>
    </rPh>
    <rPh sb="5" eb="6">
      <t>メイ</t>
    </rPh>
    <phoneticPr fontId="28"/>
  </si>
  <si>
    <t>車両一覧取得API呼び出し</t>
    <rPh sb="9" eb="10">
      <t>ヨ</t>
    </rPh>
    <rPh sb="11" eb="12">
      <t>ダ</t>
    </rPh>
    <phoneticPr fontId="28"/>
  </si>
  <si>
    <t>ヘッダ項目クリック</t>
    <rPh sb="3" eb="5">
      <t>コウモク</t>
    </rPh>
    <phoneticPr fontId="28"/>
  </si>
  <si>
    <t>クリック</t>
    <phoneticPr fontId="47"/>
  </si>
  <si>
    <t>各ヘッダ項目</t>
    <rPh sb="0" eb="1">
      <t>カク</t>
    </rPh>
    <rPh sb="4" eb="6">
      <t>コウモク</t>
    </rPh>
    <phoneticPr fontId="47"/>
  </si>
  <si>
    <t>query</t>
    <phoneticPr fontId="28"/>
  </si>
  <si>
    <t>car_id</t>
  </si>
  <si>
    <t>車両</t>
    <phoneticPr fontId="28"/>
  </si>
  <si>
    <t>profile_label</t>
    <phoneticPr fontId="28"/>
  </si>
  <si>
    <t>プロファイル名称</t>
    <phoneticPr fontId="28"/>
  </si>
  <si>
    <t>ワイルドカード使用可能</t>
    <phoneticPr fontId="28"/>
  </si>
  <si>
    <t>active_status</t>
    <phoneticPr fontId="28"/>
  </si>
  <si>
    <t>有効状態</t>
    <phoneticPr fontId="28"/>
  </si>
  <si>
    <t>0:無効、1:有効</t>
    <phoneticPr fontId="28"/>
  </si>
  <si>
    <t>receiver</t>
    <phoneticPr fontId="28"/>
  </si>
  <si>
    <t>受信者</t>
    <phoneticPr fontId="28"/>
  </si>
  <si>
    <t>プロファイルの受信者に設定されている受信者名、受信者名(英語)、受信者ニックネーム、Eメールアドレス、電話番号から部分一致にて検索する。ワイルドカード使用可能</t>
    <phoneticPr fontId="28"/>
  </si>
  <si>
    <t xml:space="preserve">notification_search_method </t>
    <phoneticPr fontId="28"/>
  </si>
  <si>
    <t>お知らせ検索方法</t>
    <phoneticPr fontId="28"/>
  </si>
  <si>
    <t>お知らせ種別毎の検索対象設定による検索方法を指定する。0:AND検索、1:OR検索</t>
    <phoneticPr fontId="28"/>
  </si>
  <si>
    <t>エリア対象設定</t>
    <phoneticPr fontId="28"/>
  </si>
  <si>
    <t>エリアを通知対象とするプロファイルを検索対象とするか指定する。0:無効、1:有効</t>
    <phoneticPr fontId="28"/>
  </si>
  <si>
    <t>セキュリティ対象設定</t>
    <phoneticPr fontId="28"/>
  </si>
  <si>
    <t>セキュリティを通知対象とするプロファイルを検索対象とするか指定する。0:無効、1:有効</t>
    <phoneticPr fontId="28"/>
  </si>
  <si>
    <t>エラー対象設定</t>
    <phoneticPr fontId="28"/>
  </si>
  <si>
    <t>エラーを通知対象とするプロファイルを検索対象とするか指定する。0:無効、1:有効</t>
    <phoneticPr fontId="28"/>
  </si>
  <si>
    <t>コーション対象設定</t>
    <phoneticPr fontId="28"/>
  </si>
  <si>
    <t>コーションを通知対象とするプロファイルを検索対象とするか指定する。0:無効、1:有効</t>
    <phoneticPr fontId="28"/>
  </si>
  <si>
    <t>交換時期対象設定</t>
    <phoneticPr fontId="28"/>
  </si>
  <si>
    <t>交換時期を通知対象とするプロファイルを検索対象とするか指定する。0:無効、1:有効</t>
    <phoneticPr fontId="28"/>
  </si>
  <si>
    <t>その他お知らせ対象設定</t>
    <phoneticPr fontId="28"/>
  </si>
  <si>
    <t>その他お知らせを通知対象とするプロファイルを検索対象とするか指定する。0:無効、1:有効</t>
    <phoneticPr fontId="28"/>
  </si>
  <si>
    <t>SMR対象設定</t>
    <phoneticPr fontId="28"/>
  </si>
  <si>
    <t>SMRを通知対象とするプロファイルを検索対象とするか指定する。0:無効、1:有効</t>
    <phoneticPr fontId="28"/>
  </si>
  <si>
    <t>大項目5</t>
    <rPh sb="0" eb="3">
      <t>ダイコウモク</t>
    </rPh>
    <phoneticPr fontId="28"/>
  </si>
  <si>
    <t>この車両が登録されているプロファイル</t>
    <rPh sb="2" eb="4">
      <t>シャリョウ</t>
    </rPh>
    <rPh sb="5" eb="7">
      <t>トウロク</t>
    </rPh>
    <phoneticPr fontId="28"/>
  </si>
  <si>
    <t>選択した車両の機番が表示されること</t>
    <rPh sb="0" eb="2">
      <t>センタク</t>
    </rPh>
    <rPh sb="4" eb="6">
      <t>シャリョウ</t>
    </rPh>
    <rPh sb="7" eb="9">
      <t>キバン</t>
    </rPh>
    <rPh sb="10" eb="12">
      <t>ヒョウジ</t>
    </rPh>
    <phoneticPr fontId="28"/>
  </si>
  <si>
    <t>プロファイル一覧</t>
    <rPh sb="6" eb="8">
      <t>イチラン</t>
    </rPh>
    <phoneticPr fontId="47"/>
  </si>
  <si>
    <t>プロファイル一覧取得APIの取得結果が表示されていること</t>
    <rPh sb="6" eb="8">
      <t>イチラン</t>
    </rPh>
    <rPh sb="8" eb="10">
      <t>シュトク</t>
    </rPh>
    <rPh sb="14" eb="16">
      <t>シュトク</t>
    </rPh>
    <rPh sb="16" eb="18">
      <t>ケッカ</t>
    </rPh>
    <rPh sb="19" eb="21">
      <t>ヒョウジ</t>
    </rPh>
    <phoneticPr fontId="28"/>
  </si>
  <si>
    <t>件数が1/15 - 15/15 で表示されていること</t>
    <rPh sb="0" eb="2">
      <t>ケンスウ</t>
    </rPh>
    <rPh sb="17" eb="19">
      <t>ヒョウジ</t>
    </rPh>
    <phoneticPr fontId="28"/>
  </si>
  <si>
    <t>プロファイル名</t>
    <rPh sb="6" eb="7">
      <t>メイ</t>
    </rPh>
    <phoneticPr fontId="47"/>
  </si>
  <si>
    <t>件数が1/30 - 15/30 で表示されていること</t>
    <rPh sb="0" eb="2">
      <t>ケンスウ</t>
    </rPh>
    <rPh sb="17" eb="19">
      <t>ヒョウジ</t>
    </rPh>
    <phoneticPr fontId="28"/>
  </si>
  <si>
    <t>件数が1/45 - 15/45 で表示されていること</t>
    <rPh sb="0" eb="2">
      <t>ケンスウ</t>
    </rPh>
    <rPh sb="17" eb="19">
      <t>ヒョウジ</t>
    </rPh>
    <phoneticPr fontId="28"/>
  </si>
  <si>
    <t>別シート"リクエストパラメータチェックシート：プロファイル一覧取得API"参照</t>
    <rPh sb="0" eb="1">
      <t>ベツ</t>
    </rPh>
    <rPh sb="37" eb="39">
      <t>サンショウ</t>
    </rPh>
    <phoneticPr fontId="47"/>
  </si>
  <si>
    <t>件数が16/45 - 30/45 で表示されていること</t>
    <rPh sb="0" eb="2">
      <t>ケンスウ</t>
    </rPh>
    <rPh sb="18" eb="20">
      <t>ヒョウジ</t>
    </rPh>
    <phoneticPr fontId="28"/>
  </si>
  <si>
    <t>件数が31/45 - 45/45 で表示されていること</t>
    <rPh sb="0" eb="2">
      <t>ケンスウ</t>
    </rPh>
    <rPh sb="18" eb="20">
      <t>ヒョウジ</t>
    </rPh>
    <phoneticPr fontId="28"/>
  </si>
  <si>
    <t>プロファイル名（リンク）クリック</t>
    <rPh sb="6" eb="7">
      <t>メイ</t>
    </rPh>
    <phoneticPr fontId="28"/>
  </si>
  <si>
    <t>画面表示確認</t>
    <rPh sb="0" eb="2">
      <t>ガメン</t>
    </rPh>
    <rPh sb="2" eb="4">
      <t>ヒョウジ</t>
    </rPh>
    <rPh sb="4" eb="6">
      <t>カクニン</t>
    </rPh>
    <phoneticPr fontId="28"/>
  </si>
  <si>
    <t>プロファイル-プロファイル編集/削除画面が表示されること</t>
    <rPh sb="13" eb="15">
      <t>ヘンシュウ</t>
    </rPh>
    <rPh sb="16" eb="18">
      <t>サクジョ</t>
    </rPh>
    <rPh sb="18" eb="20">
      <t>ガメン</t>
    </rPh>
    <rPh sb="21" eb="23">
      <t>ヒョウジ</t>
    </rPh>
    <phoneticPr fontId="28"/>
  </si>
  <si>
    <t>車両からプロファイル検索で選択した情報が表示されていること</t>
    <rPh sb="0" eb="2">
      <t>シャリョウ</t>
    </rPh>
    <rPh sb="10" eb="12">
      <t>ケンサク</t>
    </rPh>
    <rPh sb="13" eb="15">
      <t>センタク</t>
    </rPh>
    <rPh sb="17" eb="19">
      <t>ジョウホウ</t>
    </rPh>
    <rPh sb="20" eb="22">
      <t>ヒョウジ</t>
    </rPh>
    <phoneticPr fontId="28"/>
  </si>
  <si>
    <t>プロファイル一覧取得API
呼び出し</t>
    <rPh sb="14" eb="15">
      <t>ヨ</t>
    </rPh>
    <rPh sb="16" eb="17">
      <t>ダ</t>
    </rPh>
    <phoneticPr fontId="28"/>
  </si>
  <si>
    <t>ﾌﾟﾛﾌｧｲﾙ名</t>
    <rPh sb="7" eb="8">
      <t>メイ</t>
    </rPh>
    <phoneticPr fontId="28"/>
  </si>
  <si>
    <t>エリア</t>
    <phoneticPr fontId="28"/>
  </si>
  <si>
    <t>セキュリティ</t>
    <phoneticPr fontId="28"/>
  </si>
  <si>
    <t>その他のお知らせ</t>
    <rPh sb="2" eb="3">
      <t>タ</t>
    </rPh>
    <rPh sb="5" eb="6">
      <t>シ</t>
    </rPh>
    <phoneticPr fontId="28"/>
  </si>
  <si>
    <t>車両エラー</t>
    <rPh sb="0" eb="2">
      <t>シャリョウ</t>
    </rPh>
    <phoneticPr fontId="28"/>
  </si>
  <si>
    <t>コーション</t>
    <phoneticPr fontId="28"/>
  </si>
  <si>
    <t>交換時期</t>
    <rPh sb="0" eb="2">
      <t>コウカン</t>
    </rPh>
    <rPh sb="2" eb="4">
      <t>ジキ</t>
    </rPh>
    <phoneticPr fontId="28"/>
  </si>
  <si>
    <t>SMR</t>
    <phoneticPr fontId="28"/>
  </si>
  <si>
    <t>車両</t>
    <rPh sb="0" eb="2">
      <t>シャリョウ</t>
    </rPh>
    <phoneticPr fontId="28"/>
  </si>
  <si>
    <t>受信者</t>
    <rPh sb="0" eb="3">
      <t>ジュシンシャ</t>
    </rPh>
    <phoneticPr fontId="28"/>
  </si>
  <si>
    <t>有効・無効化</t>
    <rPh sb="0" eb="2">
      <t>ユウコウ</t>
    </rPh>
    <rPh sb="3" eb="6">
      <t>ムコウカ</t>
    </rPh>
    <phoneticPr fontId="28"/>
  </si>
  <si>
    <t>-</t>
    <phoneticPr fontId="28"/>
  </si>
  <si>
    <t>-</t>
    <phoneticPr fontId="28"/>
  </si>
  <si>
    <t>禁則文字チェック</t>
    <rPh sb="0" eb="2">
      <t>キンソク</t>
    </rPh>
    <rPh sb="2" eb="4">
      <t>モジ</t>
    </rPh>
    <phoneticPr fontId="28"/>
  </si>
  <si>
    <t>クリック(チェック1件)</t>
    <rPh sb="10" eb="11">
      <t>ケン</t>
    </rPh>
    <phoneticPr fontId="28"/>
  </si>
  <si>
    <t>リソース取得API</t>
    <phoneticPr fontId="47"/>
  </si>
  <si>
    <t>リクエストパラメータ　確認</t>
    <rPh sb="11" eb="13">
      <t>カクニン</t>
    </rPh>
    <phoneticPr fontId="47"/>
  </si>
  <si>
    <t>－</t>
    <phoneticPr fontId="47"/>
  </si>
  <si>
    <t>ラベル取得API</t>
    <phoneticPr fontId="47"/>
  </si>
  <si>
    <t>別シート"リクエストパラメータチェックシート:ラベル取得API"参照</t>
    <phoneticPr fontId="28"/>
  </si>
  <si>
    <t>－</t>
    <phoneticPr fontId="47"/>
  </si>
  <si>
    <t>指定画面サイズ（1280 * 768）で表示した際、JSエラーなく表示されること</t>
    <phoneticPr fontId="47"/>
  </si>
  <si>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</si>
  <si>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</si>
  <si>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</si>
  <si>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</si>
  <si>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リサイズ</t>
    <phoneticPr fontId="47"/>
  </si>
  <si>
    <t>権限</t>
    <rPh sb="0" eb="2">
      <t>ケンゲン</t>
    </rPh>
    <phoneticPr fontId="47"/>
  </si>
  <si>
    <t>権限：SAO（SMS権限あり）</t>
    <rPh sb="0" eb="2">
      <t>ケンゲン</t>
    </rPh>
    <phoneticPr fontId="47"/>
  </si>
  <si>
    <t>権限：SAO（SMS権限なし）</t>
    <rPh sb="0" eb="2">
      <t>ケンゲン</t>
    </rPh>
    <phoneticPr fontId="47"/>
  </si>
  <si>
    <t>権限：AO</t>
    <rPh sb="0" eb="2">
      <t>ケンゲン</t>
    </rPh>
    <phoneticPr fontId="47"/>
  </si>
  <si>
    <t>権限：代理店</t>
    <rPh sb="0" eb="2">
      <t>ケンゲン</t>
    </rPh>
    <rPh sb="3" eb="6">
      <t>ダイリテン</t>
    </rPh>
    <phoneticPr fontId="47"/>
  </si>
  <si>
    <t>権限：広域顧客</t>
    <rPh sb="0" eb="2">
      <t>ケンゲン</t>
    </rPh>
    <rPh sb="3" eb="5">
      <t>コウイキ</t>
    </rPh>
    <rPh sb="5" eb="7">
      <t>コキャク</t>
    </rPh>
    <phoneticPr fontId="47"/>
  </si>
  <si>
    <t>権限：顧客</t>
    <rPh sb="0" eb="2">
      <t>ケンゲン</t>
    </rPh>
    <rPh sb="3" eb="5">
      <t>コキャク</t>
    </rPh>
    <phoneticPr fontId="47"/>
  </si>
  <si>
    <t>権限（車両一覧ヘッダ）</t>
    <rPh sb="0" eb="2">
      <t>ケンゲン</t>
    </rPh>
    <phoneticPr fontId="47"/>
  </si>
  <si>
    <t>降順（アイコン▼）
※ヘッダ項目昇順時</t>
    <rPh sb="0" eb="2">
      <t>コウジュン</t>
    </rPh>
    <rPh sb="14" eb="16">
      <t>コウモク</t>
    </rPh>
    <rPh sb="16" eb="18">
      <t>ショウジュン</t>
    </rPh>
    <rPh sb="18" eb="19">
      <t>ジ</t>
    </rPh>
    <phoneticPr fontId="28"/>
  </si>
  <si>
    <t>昇順（アイコン▲）
※ヘッダ項目降順時</t>
    <rPh sb="0" eb="2">
      <t>ショウジュン</t>
    </rPh>
    <rPh sb="16" eb="18">
      <t>コウジュン</t>
    </rPh>
    <rPh sb="18" eb="19">
      <t>ジ</t>
    </rPh>
    <phoneticPr fontId="28"/>
  </si>
  <si>
    <t>1が表示されていること</t>
    <rPh sb="2" eb="4">
      <t>ヒョウジ</t>
    </rPh>
    <phoneticPr fontId="28"/>
  </si>
  <si>
    <t>－</t>
    <phoneticPr fontId="47"/>
  </si>
  <si>
    <t>1のみ選択できること</t>
    <rPh sb="3" eb="5">
      <t>センタク</t>
    </rPh>
    <phoneticPr fontId="28"/>
  </si>
  <si>
    <t>－</t>
    <phoneticPr fontId="47"/>
  </si>
  <si>
    <t>－</t>
    <phoneticPr fontId="47"/>
  </si>
  <si>
    <t>1～3を選択できること</t>
    <rPh sb="4" eb="6">
      <t>センタク</t>
    </rPh>
    <phoneticPr fontId="28"/>
  </si>
  <si>
    <t>リクエストパラメータ　確認①</t>
    <rPh sb="11" eb="13">
      <t>カクニン</t>
    </rPh>
    <phoneticPr fontId="47"/>
  </si>
  <si>
    <t>リクエストパラメータ　確認②</t>
    <rPh sb="11" eb="13">
      <t>カクニン</t>
    </rPh>
    <phoneticPr fontId="47"/>
  </si>
  <si>
    <t>リクエストパラメータ　確認③</t>
    <rPh sb="11" eb="13">
      <t>カクニン</t>
    </rPh>
    <phoneticPr fontId="47"/>
  </si>
  <si>
    <t>リクエストパラメータ　確認④</t>
    <rPh sb="11" eb="13">
      <t>カクニン</t>
    </rPh>
    <phoneticPr fontId="47"/>
  </si>
  <si>
    <t>リクエストパラメータ　確認⑤</t>
    <rPh sb="11" eb="13">
      <t>カクニン</t>
    </rPh>
    <phoneticPr fontId="47"/>
  </si>
  <si>
    <t>リソース取得ＡＰＩ(post:/applications/views/resources/search)</t>
    <phoneticPr fontId="28"/>
  </si>
  <si>
    <t>header</t>
    <phoneticPr fontId="28"/>
  </si>
  <si>
    <t>チェック欄</t>
    <rPh sb="4" eb="5">
      <t>ラン</t>
    </rPh>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</si>
  <si>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</si>
  <si>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</si>
  <si>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</si>
  <si>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</si>
  <si>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</si>
  <si>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</si>
  <si>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</si>
  <si>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</si>
  <si>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</si>
  <si>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</si>
  <si>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</si>
  <si>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</si>
  <si>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</si>
  <si>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</si>
  <si>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</si>
  <si>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</si>
  <si>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</si>
  <si>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</si>
  <si>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車種</t>
    <rPh sb="0" eb="2">
      <t>シャシュ</t>
    </rPh>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</si>
  <si>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</si>
  <si>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</si>
  <si>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X-Count</t>
    <phoneticPr fontId="28"/>
  </si>
  <si>
    <t>一覧取得系APIの取得件数</t>
    <rPh sb="0" eb="2">
      <t>イチラン</t>
    </rPh>
    <rPh sb="2" eb="4">
      <t>シュトク</t>
    </rPh>
    <rPh sb="4" eb="5">
      <t>ケイ</t>
    </rPh>
    <rPh sb="9" eb="11">
      <t>シュトク</t>
    </rPh>
    <rPh sb="11" eb="13">
      <t>ケンスウ</t>
    </rPh>
    <phoneticPr fontId="28"/>
  </si>
  <si>
    <t>X-Sort</t>
    <phoneticPr fontId="28"/>
  </si>
  <si>
    <t>一覧取得系APIのソートを指定</t>
    <rPh sb="0" eb="2">
      <t>イチラン</t>
    </rPh>
    <rPh sb="2" eb="4">
      <t>シュトク</t>
    </rPh>
    <rPh sb="4" eb="5">
      <t>ケイ</t>
    </rPh>
    <rPh sb="13" eb="15">
      <t>シテイ</t>
    </rPh>
    <phoneticPr fontId="28"/>
  </si>
  <si>
    <t>body</t>
    <phoneticPr fontId="28"/>
  </si>
  <si>
    <t>screen_code</t>
    <phoneticPr fontId="28"/>
  </si>
  <si>
    <t>画面コード</t>
    <phoneticPr fontId="28"/>
  </si>
  <si>
    <t>画面コード一覧参照</t>
    <rPh sb="0" eb="2">
      <t>ガメン</t>
    </rPh>
    <rPh sb="5" eb="7">
      <t>イチラン</t>
    </rPh>
    <rPh sb="7" eb="9">
      <t>サンショウ</t>
    </rPh>
    <phoneticPr fontId="28"/>
  </si>
  <si>
    <t>search_parameters</t>
    <phoneticPr fontId="28"/>
  </si>
  <si>
    <t>　resource_path</t>
    <phoneticPr fontId="28"/>
  </si>
  <si>
    <t>リソースパス</t>
    <phoneticPr fontId="28"/>
  </si>
  <si>
    <t>　kinds</t>
    <phoneticPr fontId="28"/>
  </si>
  <si>
    <t>区分</t>
    <rPh sb="0" eb="2">
      <t>クブン</t>
    </rPh>
    <phoneticPr fontId="28"/>
  </si>
  <si>
    <t>　condition_sets</t>
    <phoneticPr fontId="28"/>
  </si>
  <si>
    <t>絞込条件</t>
    <rPh sb="0" eb="2">
      <t>シボリコミ</t>
    </rPh>
    <rPh sb="2" eb="4">
      <t>ジョウケン</t>
    </rPh>
    <phoneticPr fontId="28"/>
  </si>
  <si>
    <t>　　condition</t>
    <phoneticPr fontId="28"/>
  </si>
  <si>
    <t>　　values</t>
    <phoneticPr fontId="28"/>
  </si>
  <si>
    <t>ラベル取得ＡＰＩ(get: /applications/views/labels)</t>
    <phoneticPr fontId="28"/>
  </si>
  <si>
    <r>
      <t>header</t>
    </r>
    <r>
      <rPr>
        <sz val="10"/>
        <color rgb="FFFF0000"/>
        <rFont val="ＭＳ Ｐゴシック"/>
        <family val="3"/>
        <charset val="128"/>
      </rPr>
      <t>　</t>
    </r>
    <phoneticPr fontId="28"/>
  </si>
  <si>
    <t>Authorization</t>
    <phoneticPr fontId="28"/>
  </si>
  <si>
    <t>Bearerトークン</t>
    <phoneticPr fontId="28"/>
  </si>
  <si>
    <t>データ形式</t>
    <phoneticPr fontId="28"/>
  </si>
  <si>
    <t>メディアタイプ</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</si>
  <si>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</si>
  <si>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</si>
  <si>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</si>
  <si>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</si>
  <si>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</si>
  <si>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</si>
  <si>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</si>
  <si>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</si>
  <si>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</si>
  <si>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</si>
  <si>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</si>
  <si>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</si>
  <si>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X-Count</t>
    <phoneticPr fontId="28"/>
  </si>
  <si>
    <t>X-Sort</t>
    <phoneticPr fontId="28"/>
  </si>
  <si>
    <t>body</t>
    <phoneticPr fontId="28"/>
  </si>
  <si>
    <t>screen_code</t>
    <phoneticPr fontId="28"/>
  </si>
  <si>
    <t>画面コード</t>
    <phoneticPr fontId="28"/>
  </si>
  <si>
    <t>別シート"リクエストパラメータチェックシート：プロファイル一覧取得API"参照</t>
    <phoneticPr fontId="28"/>
  </si>
  <si>
    <t>　　機番</t>
  </si>
  <si>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</si>
  <si>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１.メインメニュー［ログ］項目より［車両からプロファイル検索］をクリック</t>
    <rPh sb="13" eb="15">
      <t>コウモク</t>
    </rPh>
    <phoneticPr fontId="28"/>
  </si>
  <si>
    <t>戻るボタンクリック時</t>
    <rPh sb="0" eb="1">
      <t>モド</t>
    </rPh>
    <rPh sb="9" eb="10">
      <t>ジ</t>
    </rPh>
    <phoneticPr fontId="28"/>
  </si>
  <si>
    <t>F5ボタンクリック時</t>
    <rPh sb="9" eb="10">
      <t>ジ</t>
    </rPh>
    <phoneticPr fontId="47"/>
  </si>
  <si>
    <t>車両からプロファイル検索画面が起動すること</t>
    <rPh sb="12" eb="14">
      <t>ガメン</t>
    </rPh>
    <rPh sb="15" eb="17">
      <t>キドウ</t>
    </rPh>
    <phoneticPr fontId="47"/>
  </si>
  <si>
    <t>禁則文字で検索した場合、エラーになること
※禁則文字："#%&amp;'&lt;&gt;</t>
    <rPh sb="0" eb="2">
      <t>キンソク</t>
    </rPh>
    <rPh sb="2" eb="4">
      <t>モジ</t>
    </rPh>
    <rPh sb="22" eb="24">
      <t>キンソク</t>
    </rPh>
    <rPh sb="24" eb="26">
      <t>モジ</t>
    </rPh>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</si>
  <si>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</si>
  <si>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</si>
  <si>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</si>
  <si>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担当DB画面</t>
  </si>
  <si>
    <t>担当DB画面</t>
    <phoneticPr fontId="28"/>
  </si>
  <si>
    <t>担当DB画面の表示前と値が変更されていないこと</t>
    <rPh sb="7" eb="9">
      <t>ヒョウジ</t>
    </rPh>
    <rPh sb="9" eb="10">
      <t>マエ</t>
    </rPh>
    <rPh sb="11" eb="12">
      <t>アタイ</t>
    </rPh>
    <rPh sb="13" eb="15">
      <t>ヘンコウ</t>
    </rPh>
    <phoneticPr fontId="28"/>
  </si>
  <si>
    <t>車両からプロファイル検索</t>
    <phoneticPr fontId="28"/>
  </si>
  <si>
    <t>①</t>
    <phoneticPr fontId="28"/>
  </si>
  <si>
    <t>②</t>
    <phoneticPr fontId="28"/>
  </si>
  <si>
    <t>③</t>
    <phoneticPr fontId="28"/>
  </si>
  <si>
    <t>④</t>
    <phoneticPr fontId="28"/>
  </si>
  <si>
    <t>⑤</t>
    <phoneticPr fontId="28"/>
  </si>
  <si>
    <t>①</t>
    <phoneticPr fontId="28"/>
  </si>
  <si>
    <t>⑤</t>
    <phoneticPr fontId="28"/>
  </si>
  <si>
    <t>①</t>
    <phoneticPr fontId="28"/>
  </si>
  <si>
    <t>⑤</t>
    <phoneticPr fontId="28"/>
  </si>
  <si>
    <t>②</t>
    <phoneticPr fontId="28"/>
  </si>
  <si>
    <t>③</t>
    <phoneticPr fontId="28"/>
  </si>
  <si>
    <t>④</t>
    <phoneticPr fontId="28"/>
  </si>
  <si>
    <t>⑤</t>
    <phoneticPr fontId="28"/>
  </si>
  <si>
    <t>②</t>
    <phoneticPr fontId="28"/>
  </si>
  <si>
    <t>　common</t>
  </si>
  <si>
    <t>　　　maker_ids</t>
  </si>
  <si>
    <t>　　　division_ids</t>
  </si>
  <si>
    <t>　　　models</t>
  </si>
  <si>
    <t>　　　types</t>
  </si>
  <si>
    <t>ワイルドカード使用可能</t>
    <phoneticPr fontId="28"/>
  </si>
  <si>
    <t>　　　revs</t>
  </si>
  <si>
    <t>　　　type_revs</t>
  </si>
  <si>
    <t>型式(小変形含む)</t>
    <phoneticPr fontId="28"/>
  </si>
  <si>
    <t>　　　serials</t>
  </si>
  <si>
    <t>　　　pins</t>
  </si>
  <si>
    <t>　　　model_type_revs</t>
  </si>
  <si>
    <t>　　komtrax_unit</t>
  </si>
  <si>
    <t>　　　terminal</t>
  </si>
  <si>
    <t>　　target_cars</t>
  </si>
  <si>
    <t>　　　id</t>
  </si>
  <si>
    <t>　　support_distributor</t>
  </si>
  <si>
    <t>　　　ids</t>
  </si>
  <si>
    <t>グループID</t>
    <phoneticPr fontId="28"/>
  </si>
  <si>
    <t>　　　organization_codes</t>
  </si>
  <si>
    <t>　　service_distributor</t>
  </si>
  <si>
    <t>サービス代理店</t>
    <phoneticPr fontId="28"/>
  </si>
  <si>
    <t>　　bank</t>
  </si>
  <si>
    <t>　　insurance</t>
  </si>
  <si>
    <t>　　finance</t>
  </si>
  <si>
    <t>　　customer</t>
  </si>
  <si>
    <t>　　user_permission</t>
  </si>
  <si>
    <t>　　　sub_group_ids</t>
  </si>
  <si>
    <t>　　customer_attribute</t>
  </si>
  <si>
    <t>　　　operator_labels</t>
  </si>
  <si>
    <t>　　　mainte_in_charge</t>
  </si>
  <si>
    <t>　　　customer_car_no</t>
  </si>
  <si>
    <t>　　　customer_management_no</t>
  </si>
  <si>
    <t>　　distributor_attribute</t>
  </si>
  <si>
    <t>　　　debit_kinds</t>
  </si>
  <si>
    <t>　　　elapsed_months_from</t>
  </si>
  <si>
    <t>　　　elapsed_months_to</t>
  </si>
  <si>
    <t>　　　new_used_kind</t>
  </si>
  <si>
    <t>　　　delivery_date_from</t>
  </si>
  <si>
    <t>　　　delivery_date_to</t>
  </si>
  <si>
    <t>　　　eqp_delivery_date_from</t>
  </si>
  <si>
    <t>　　　eqp_delivery_date_to</t>
  </si>
  <si>
    <t>　　　used_delivery_date_from</t>
  </si>
  <si>
    <t>　　　used_delivery_date_to</t>
  </si>
  <si>
    <t>　　　eqp_used_delivery_date_from</t>
  </si>
  <si>
    <t>　　　eqp_used_delivery_date_to</t>
  </si>
  <si>
    <t>　　　production_year_month_from</t>
  </si>
  <si>
    <t>　　　production_year_month_to</t>
  </si>
  <si>
    <t>　　　asset_status_kinds</t>
  </si>
  <si>
    <t>　　　asset_owner_ids</t>
  </si>
  <si>
    <t>　　　note_1</t>
  </si>
  <si>
    <t>　　　note_2</t>
  </si>
  <si>
    <t>　　　note_3</t>
  </si>
  <si>
    <t>　　　note_4</t>
  </si>
  <si>
    <t>　　　note_5</t>
  </si>
  <si>
    <t>　　　class_1_ids</t>
  </si>
  <si>
    <t>　　　class_2_ids</t>
  </si>
  <si>
    <t>　　　class_3_ids</t>
  </si>
  <si>
    <t>　　　class_4_ids</t>
  </si>
  <si>
    <t>　　　class_5_ids</t>
  </si>
  <si>
    <t>　　　custom_car_attribute_1_detail_ids</t>
  </si>
  <si>
    <t>　　　custom_car_attribute_2_detail_ids</t>
  </si>
  <si>
    <t>　　　custom_car_attribute_3_detail_ids</t>
  </si>
  <si>
    <t>　　　custom_car_attribute_4_detail_ids</t>
  </si>
  <si>
    <t>　　　custom_car_attribute_5_detail_ids</t>
  </si>
  <si>
    <t>　　　custom_car_attribute_6_detail_ids</t>
  </si>
  <si>
    <t>　　　custom_car_attribute_7_detail_ids</t>
  </si>
  <si>
    <t>　　　custom_car_attribute_8_detail_ids</t>
  </si>
  <si>
    <t>　　　custom_car_attribute_9_detail_ids</t>
  </si>
  <si>
    <t>　　　custom_car_attribute_10_detail_ids</t>
  </si>
  <si>
    <t>　　lock_status</t>
  </si>
  <si>
    <t>ロック状態</t>
    <phoneticPr fontId="28"/>
  </si>
  <si>
    <t>　　　forced_lock_kind</t>
  </si>
  <si>
    <t>　　　night_lock_kind</t>
  </si>
  <si>
    <t>　　　calendar_lock_kind</t>
  </si>
  <si>
    <t>　　latest_status</t>
  </si>
  <si>
    <t>　　　smr_from</t>
  </si>
  <si>
    <t>　　　smr_to</t>
  </si>
  <si>
    <t>　　　odometer_from</t>
  </si>
  <si>
    <t>　　　odometer_to</t>
  </si>
  <si>
    <t>　　　places</t>
  </si>
  <si>
    <t>　　　place_search_method</t>
  </si>
  <si>
    <t>　　　point_bounds</t>
  </si>
  <si>
    <t>　　　　south_west_point</t>
  </si>
  <si>
    <t>　　　　　type</t>
  </si>
  <si>
    <t>　　　　　coordinates</t>
  </si>
  <si>
    <t>　　　　north_east_point</t>
  </si>
  <si>
    <t>　　　communication_date_from</t>
  </si>
  <si>
    <t>　　　communication_date_to</t>
  </si>
  <si>
    <t>　　　operator_identification_kind</t>
  </si>
  <si>
    <t>Enum:-1:未対応, 0:無効, 1:有効, 2:不明, -99:未指定と同等</t>
    <phoneticPr fontId="28"/>
  </si>
  <si>
    <t>　　current_status</t>
  </si>
  <si>
    <t>　　　caution_kind</t>
  </si>
  <si>
    <t>　　site_current_entry</t>
  </si>
  <si>
    <t>　selected_car_ids</t>
  </si>
  <si>
    <t>この車両が登録されているプロファイル画面がモーダルで表示されること
※テストは大項目5で実施する</t>
    <rPh sb="2" eb="4">
      <t>シャリョウ</t>
    </rPh>
    <rPh sb="5" eb="7">
      <t>トウロク</t>
    </rPh>
    <rPh sb="18" eb="20">
      <t>ガメン</t>
    </rPh>
    <rPh sb="26" eb="28">
      <t>ヒョウジ</t>
    </rPh>
    <rPh sb="39" eb="42">
      <t>ダイコウモク</t>
    </rPh>
    <rPh sb="44" eb="46">
      <t>ジッシ</t>
    </rPh>
    <phoneticPr fontId="28"/>
  </si>
  <si>
    <t>別シート"リクエストパラメータチェックシート：サブグループ一覧取得API"参照
※プルダウン情報を取得</t>
    <rPh sb="0" eb="1">
      <t>ベツ</t>
    </rPh>
    <rPh sb="37" eb="39">
      <t>サンショウ</t>
    </rPh>
    <rPh sb="46" eb="48">
      <t>ジョウホウ</t>
    </rPh>
    <rPh sb="49" eb="51">
      <t>シュトク</t>
    </rPh>
    <phoneticPr fontId="28"/>
  </si>
  <si>
    <t xml:space="preserve">検索条件取得API </t>
    <phoneticPr fontId="28"/>
  </si>
  <si>
    <t>別シート"リクエストパラメータチェックシート：検索条件取得API "参照
※プルダウン情報を取得</t>
    <rPh sb="0" eb="1">
      <t>ベツ</t>
    </rPh>
    <rPh sb="34" eb="36">
      <t>サンショウ</t>
    </rPh>
    <rPh sb="43" eb="45">
      <t>ジョウホウ</t>
    </rPh>
    <rPh sb="46" eb="48">
      <t>シュトク</t>
    </rPh>
    <phoneticPr fontId="28"/>
  </si>
  <si>
    <t>検索条件取得APIで取得した値が表示されること</t>
    <rPh sb="0" eb="2">
      <t>ケンサク</t>
    </rPh>
    <rPh sb="2" eb="4">
      <t>ジョウケン</t>
    </rPh>
    <rPh sb="4" eb="6">
      <t>シュトク</t>
    </rPh>
    <rPh sb="10" eb="12">
      <t>シュトク</t>
    </rPh>
    <rPh sb="14" eb="15">
      <t>アタイ</t>
    </rPh>
    <rPh sb="16" eb="18">
      <t>ヒョウジ</t>
    </rPh>
    <phoneticPr fontId="28"/>
  </si>
  <si>
    <t>画面項目制御
　　注目車両グループ</t>
    <rPh sb="0" eb="2">
      <t>ガメン</t>
    </rPh>
    <rPh sb="2" eb="4">
      <t>コウモク</t>
    </rPh>
    <rPh sb="4" eb="6">
      <t>セイギョ</t>
    </rPh>
    <phoneticPr fontId="47"/>
  </si>
  <si>
    <t>プルダウン選択</t>
    <rPh sb="5" eb="7">
      <t>センタク</t>
    </rPh>
    <phoneticPr fontId="47"/>
  </si>
  <si>
    <t>　　担当DB</t>
    <phoneticPr fontId="47"/>
  </si>
  <si>
    <t>呼び出し失敗</t>
    <rPh sb="0" eb="1">
      <t>ヨ</t>
    </rPh>
    <rPh sb="2" eb="3">
      <t>ダ</t>
    </rPh>
    <rPh sb="4" eb="6">
      <t>シッパイ</t>
    </rPh>
    <phoneticPr fontId="47"/>
  </si>
  <si>
    <t>エラー確認</t>
    <rPh sb="3" eb="5">
      <t>カクニン</t>
    </rPh>
    <phoneticPr fontId="47"/>
  </si>
  <si>
    <t>　呼び出し失敗</t>
    <rPh sb="1" eb="2">
      <t>ヨ</t>
    </rPh>
    <rPh sb="3" eb="4">
      <t>ダ</t>
    </rPh>
    <rPh sb="5" eb="7">
      <t>シッパイ</t>
    </rPh>
    <phoneticPr fontId="47"/>
  </si>
  <si>
    <t>　エラー確認</t>
    <rPh sb="4" eb="6">
      <t>カクニン</t>
    </rPh>
    <phoneticPr fontId="47"/>
  </si>
  <si>
    <t>車両一覧取得API</t>
  </si>
  <si>
    <t>正常確認</t>
    <rPh sb="0" eb="2">
      <t>セイジョウ</t>
    </rPh>
    <rPh sb="2" eb="4">
      <t>カクニン</t>
    </rPh>
    <phoneticPr fontId="47"/>
  </si>
  <si>
    <t>リンククリック</t>
  </si>
  <si>
    <t>　呼び出し失敗</t>
    <rPh sb="1" eb="2">
      <t>ヨ</t>
    </rPh>
    <rPh sb="3" eb="4">
      <t>ダ</t>
    </rPh>
    <rPh sb="5" eb="7">
      <t>シッパイ</t>
    </rPh>
    <phoneticPr fontId="28"/>
  </si>
  <si>
    <t>担当DB画面でデータ選択後</t>
    <rPh sb="10" eb="12">
      <t>センタク</t>
    </rPh>
    <rPh sb="12" eb="13">
      <t>ゴ</t>
    </rPh>
    <phoneticPr fontId="28"/>
  </si>
  <si>
    <t>プルダウンで[複数選択]選択時→
　[複数選択]以外を選択</t>
    <rPh sb="12" eb="14">
      <t>センタク</t>
    </rPh>
    <rPh sb="14" eb="15">
      <t>ジ</t>
    </rPh>
    <rPh sb="19" eb="21">
      <t>フクスウ</t>
    </rPh>
    <rPh sb="21" eb="23">
      <t>センタク</t>
    </rPh>
    <rPh sb="24" eb="26">
      <t>イガイ</t>
    </rPh>
    <rPh sb="27" eb="29">
      <t>センタク</t>
    </rPh>
    <phoneticPr fontId="47"/>
  </si>
  <si>
    <t>顧客子画面でデータ選択後</t>
    <rPh sb="2" eb="3">
      <t>コ</t>
    </rPh>
    <rPh sb="3" eb="5">
      <t>ガメン</t>
    </rPh>
    <rPh sb="9" eb="11">
      <t>センタク</t>
    </rPh>
    <rPh sb="11" eb="12">
      <t>ゴ</t>
    </rPh>
    <phoneticPr fontId="28"/>
  </si>
  <si>
    <t>サブグループ子画面でデータ選択後</t>
    <rPh sb="6" eb="7">
      <t>コ</t>
    </rPh>
    <rPh sb="7" eb="9">
      <t>ガメン</t>
    </rPh>
    <rPh sb="13" eb="15">
      <t>センタク</t>
    </rPh>
    <rPh sb="15" eb="16">
      <t>ゴ</t>
    </rPh>
    <phoneticPr fontId="28"/>
  </si>
  <si>
    <t>　「次ページ」ボタンクリック</t>
  </si>
  <si>
    <t>　「前ページ」ボタンクリック</t>
    <rPh sb="2" eb="3">
      <t>マエ</t>
    </rPh>
    <phoneticPr fontId="47"/>
  </si>
  <si>
    <t>　「ページ選択」ボタンクリック：3ページ選択</t>
    <rPh sb="5" eb="7">
      <t>センタク</t>
    </rPh>
    <rPh sb="20" eb="22">
      <t>センタク</t>
    </rPh>
    <phoneticPr fontId="47"/>
  </si>
  <si>
    <t>車両からプロファイル検索画面</t>
    <rPh sb="12" eb="14">
      <t>ガメン</t>
    </rPh>
    <phoneticPr fontId="28"/>
  </si>
  <si>
    <t>呼び出し失敗</t>
    <rPh sb="0" eb="1">
      <t>ヨ</t>
    </rPh>
    <rPh sb="2" eb="3">
      <t>ダ</t>
    </rPh>
    <rPh sb="4" eb="6">
      <t>シッパイ</t>
    </rPh>
    <phoneticPr fontId="28"/>
  </si>
  <si>
    <t>正常確認</t>
    <rPh sb="0" eb="2">
      <t>セイジョウ</t>
    </rPh>
    <rPh sb="2" eb="4">
      <t>カクニン</t>
    </rPh>
    <phoneticPr fontId="28"/>
  </si>
  <si>
    <t>プロファイル件数：15件</t>
    <rPh sb="6" eb="8">
      <t>ケンスウ</t>
    </rPh>
    <phoneticPr fontId="47"/>
  </si>
  <si>
    <t>プロファイル件数：30件</t>
    <rPh sb="6" eb="8">
      <t>ケンスウ</t>
    </rPh>
    <phoneticPr fontId="47"/>
  </si>
  <si>
    <t>プロファイル件数：45件</t>
    <rPh sb="6" eb="8">
      <t>ケンスウ</t>
    </rPh>
    <phoneticPr fontId="47"/>
  </si>
  <si>
    <t>クリック</t>
    <phoneticPr fontId="47"/>
  </si>
  <si>
    <t>正常確認
　　検索結果：0件</t>
    <rPh sb="0" eb="2">
      <t>セイジョウ</t>
    </rPh>
    <rPh sb="2" eb="4">
      <t>カクニン</t>
    </rPh>
    <rPh sb="8" eb="10">
      <t>ケンサク</t>
    </rPh>
    <rPh sb="10" eb="12">
      <t>ケッカ</t>
    </rPh>
    <phoneticPr fontId="28"/>
  </si>
  <si>
    <t>　　取得結果：10件</t>
    <rPh sb="2" eb="4">
      <t>シュトク</t>
    </rPh>
    <phoneticPr fontId="47"/>
  </si>
  <si>
    <t>　　検索結果：30件</t>
    <phoneticPr fontId="28"/>
  </si>
  <si>
    <t>　「次ページ」ボタン</t>
    <phoneticPr fontId="47"/>
  </si>
  <si>
    <t>　「前ページ」ボタン</t>
    <rPh sb="2" eb="3">
      <t>マエ</t>
    </rPh>
    <phoneticPr fontId="47"/>
  </si>
  <si>
    <t>3ページ選択</t>
    <rPh sb="4" eb="6">
      <t>センタク</t>
    </rPh>
    <phoneticPr fontId="47"/>
  </si>
  <si>
    <t>　「ページ選択」</t>
    <phoneticPr fontId="28"/>
  </si>
  <si>
    <t>検索条件保管時</t>
    <rPh sb="0" eb="2">
      <t>ケンサク</t>
    </rPh>
    <rPh sb="2" eb="4">
      <t>ジョウケン</t>
    </rPh>
    <rPh sb="4" eb="6">
      <t>ホカン</t>
    </rPh>
    <rPh sb="6" eb="7">
      <t>ジ</t>
    </rPh>
    <phoneticPr fontId="28"/>
  </si>
  <si>
    <t>検索条件未保管時</t>
    <rPh sb="0" eb="2">
      <t>ケンサク</t>
    </rPh>
    <rPh sb="2" eb="4">
      <t>ジョウケン</t>
    </rPh>
    <rPh sb="4" eb="5">
      <t>ミ</t>
    </rPh>
    <rPh sb="5" eb="7">
      <t>ホカン</t>
    </rPh>
    <rPh sb="7" eb="8">
      <t>ジ</t>
    </rPh>
    <phoneticPr fontId="28"/>
  </si>
  <si>
    <t>すべてが表示されていること</t>
    <rPh sb="4" eb="6">
      <t>ヒョウジ</t>
    </rPh>
    <phoneticPr fontId="28"/>
  </si>
  <si>
    <t>空白になっていること</t>
    <rPh sb="0" eb="2">
      <t>クウハク</t>
    </rPh>
    <phoneticPr fontId="28"/>
  </si>
  <si>
    <t>非表示になっていること</t>
    <rPh sb="0" eb="3">
      <t>ヒヒョウジ</t>
    </rPh>
    <phoneticPr fontId="28"/>
  </si>
  <si>
    <t>　　担当DB組織ｺｰﾄﾞ</t>
  </si>
  <si>
    <t>－</t>
  </si>
  <si>
    <t>　　顧客</t>
  </si>
  <si>
    <t>　　顧客組織ｺｰﾄﾞ</t>
  </si>
  <si>
    <t>　　業種</t>
  </si>
  <si>
    <t>　　銀行</t>
  </si>
  <si>
    <t>　　債権</t>
  </si>
  <si>
    <t>　　車両種類</t>
  </si>
  <si>
    <t>　　ﾒｰｶ</t>
  </si>
  <si>
    <t>　　機種</t>
  </si>
  <si>
    <t>　　型式</t>
  </si>
  <si>
    <t>　　顧客管理番号</t>
  </si>
  <si>
    <t>　　顧客車両番号</t>
  </si>
  <si>
    <t>　　備考1</t>
  </si>
  <si>
    <t>　　備考2</t>
  </si>
  <si>
    <t>　　備考3</t>
  </si>
  <si>
    <t>　　備考4</t>
  </si>
  <si>
    <t>　　備考5</t>
  </si>
  <si>
    <t>　　分類1</t>
  </si>
  <si>
    <t>　　分類2</t>
  </si>
  <si>
    <t>　　分類3</t>
  </si>
  <si>
    <t>　　分類4</t>
  </si>
  <si>
    <t>　　分類5</t>
  </si>
  <si>
    <t>　　資産状態(含む)</t>
  </si>
  <si>
    <t>　　資産所有者(含む)</t>
  </si>
  <si>
    <t>　　サブグループ</t>
  </si>
  <si>
    <t>　　サブグループ(テキスト)</t>
  </si>
  <si>
    <t>　　新車/中古車</t>
  </si>
  <si>
    <t>　　情報化施工</t>
  </si>
  <si>
    <t>　　ｺﾏﾂｵｰﾙｻﾎﾟｰﾄ</t>
  </si>
  <si>
    <t>　　広域顧客</t>
  </si>
  <si>
    <t>　　KBS車輛</t>
  </si>
  <si>
    <t>　　現場名</t>
  </si>
  <si>
    <t>　　オペ名</t>
  </si>
  <si>
    <t>　　保守責任者</t>
  </si>
  <si>
    <t>　　現在地(テキスト)</t>
  </si>
  <si>
    <t>　　現在地(プルダウン)</t>
  </si>
  <si>
    <t>結合テスト仕様書 車両からプロファイル検索</t>
    <rPh sb="0" eb="2">
      <t>ケツゴウ</t>
    </rPh>
    <rPh sb="5" eb="7">
      <t>シヨウ</t>
    </rPh>
    <rPh sb="7" eb="8">
      <t>ショ</t>
    </rPh>
    <phoneticPr fontId="145"/>
  </si>
  <si>
    <t>車両一覧取得API　（post: /emn/profile_cars/search）</t>
    <phoneticPr fontId="28"/>
  </si>
  <si>
    <t>header</t>
    <phoneticPr fontId="28"/>
  </si>
  <si>
    <t>①</t>
    <phoneticPr fontId="28"/>
  </si>
  <si>
    <t>②</t>
    <phoneticPr fontId="28"/>
  </si>
  <si>
    <t>③</t>
    <phoneticPr fontId="28"/>
  </si>
  <si>
    <t>④</t>
    <phoneticPr fontId="28"/>
  </si>
  <si>
    <t>⑤</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</si>
  <si>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</si>
  <si>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</si>
  <si>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</si>
  <si>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</si>
  <si>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</si>
  <si>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</si>
  <si>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X-AppCode</t>
    <phoneticPr fontId="28"/>
  </si>
  <si>
    <t>日付形式</t>
    <phoneticPr fontId="28"/>
  </si>
  <si>
    <t>距離単位</t>
    <phoneticPr fontId="28"/>
  </si>
  <si>
    <t>X-TemperatureUnit</t>
    <phoneticPr fontId="28"/>
  </si>
  <si>
    <t>X-Fields</t>
    <phoneticPr fontId="28"/>
  </si>
  <si>
    <t>指定項目</t>
    <phoneticPr fontId="28"/>
  </si>
  <si>
    <t>X-From</t>
    <phoneticPr fontId="28"/>
  </si>
  <si>
    <t>X-Count</t>
    <phoneticPr fontId="28"/>
  </si>
  <si>
    <t>X-Sort</t>
    <phoneticPr fontId="28"/>
  </si>
  <si>
    <t>body</t>
    <phoneticPr fontId="28"/>
  </si>
  <si>
    <t>①</t>
    <phoneticPr fontId="28"/>
  </si>
  <si>
    <t>②</t>
    <phoneticPr fontId="28"/>
  </si>
  <si>
    <t>③</t>
    <phoneticPr fontId="28"/>
  </si>
  <si>
    <t>④</t>
    <phoneticPr fontId="28"/>
  </si>
  <si>
    <t>⑤</t>
    <phoneticPr fontId="28"/>
  </si>
  <si>
    <t>フリート共通検索条件</t>
    <phoneticPr fontId="28"/>
  </si>
  <si>
    <t>車両ID</t>
    <phoneticPr fontId="28"/>
  </si>
  <si>
    <t>メーカID</t>
    <phoneticPr fontId="28"/>
  </si>
  <si>
    <t>車種ID</t>
    <phoneticPr fontId="28"/>
  </si>
  <si>
    <t>通常の車種IDまたはカスタム車種IDを指定可能 カスタム車種IDを指定する際はprefixに"C"を付与する</t>
    <phoneticPr fontId="28"/>
  </si>
  <si>
    <t>機種</t>
    <phoneticPr fontId="28"/>
  </si>
  <si>
    <t>ワイルドカード使用可能</t>
    <phoneticPr fontId="28"/>
  </si>
  <si>
    <t>ワイルドカード使用可能</t>
    <phoneticPr fontId="28"/>
  </si>
  <si>
    <t>小変形</t>
    <phoneticPr fontId="28"/>
  </si>
  <si>
    <t>機番</t>
    <phoneticPr fontId="28"/>
  </si>
  <si>
    <t xml:space="preserve">ワイルドカード使用可能/ハイフンマイナス区切り:From-To検索 </t>
    <phoneticPr fontId="28"/>
  </si>
  <si>
    <t>車両PIN</t>
    <phoneticPr fontId="28"/>
  </si>
  <si>
    <t>機種-型式(小変形含む)</t>
    <phoneticPr fontId="28"/>
  </si>
  <si>
    <t>機種、型式(小変形含む)をハイフンマイナス区切りで指定。ワイルドカード指定不可</t>
    <phoneticPr fontId="28"/>
  </si>
  <si>
    <t>KOMTRAXユニット</t>
    <phoneticPr fontId="28"/>
  </si>
  <si>
    <t>端末</t>
    <phoneticPr fontId="28"/>
  </si>
  <si>
    <t>1:KOMTRAXのみ/2:VHMSつき/-99:未指定と同等 TBD 端末種別の概要検討</t>
    <phoneticPr fontId="28"/>
  </si>
  <si>
    <t>注目車両グループID</t>
    <phoneticPr fontId="28"/>
  </si>
  <si>
    <t>-5:プライベート/-99:未指定と同等 TBD 注目車両グループの「プライベート」概要確認 TBD 注目車両グループ　条件登録の実現方法検討</t>
    <phoneticPr fontId="28"/>
  </si>
  <si>
    <t>担当代理店</t>
    <phoneticPr fontId="28"/>
  </si>
  <si>
    <t>グループID</t>
    <phoneticPr fontId="28"/>
  </si>
  <si>
    <t>-99:未指定と同等</t>
    <phoneticPr fontId="28"/>
  </si>
  <si>
    <t>組織コード</t>
    <phoneticPr fontId="28"/>
  </si>
  <si>
    <t>-99:未指定と同等</t>
    <phoneticPr fontId="28"/>
  </si>
  <si>
    <t>-19：サービス責任車両/-3：サービス代理店契約あり/-4：サービス代理店契約なし/-99:未指定と同等</t>
    <phoneticPr fontId="28"/>
  </si>
  <si>
    <t>銀行</t>
    <phoneticPr fontId="28"/>
  </si>
  <si>
    <t>グループID -2:is null(not exists)検索/-99:未指定と同等</t>
    <phoneticPr fontId="28"/>
  </si>
  <si>
    <t>保険</t>
    <phoneticPr fontId="28"/>
  </si>
  <si>
    <t>ファイナンス</t>
    <phoneticPr fontId="28"/>
  </si>
  <si>
    <t>グループID</t>
    <phoneticPr fontId="28"/>
  </si>
  <si>
    <t xml:space="preserve">-2:is null(not exists)検索/-99:未指定と同等 </t>
    <phoneticPr fontId="28"/>
  </si>
  <si>
    <t>-99:未指定と同等</t>
    <phoneticPr fontId="28"/>
  </si>
  <si>
    <t>ユーザ車両パーミッション</t>
    <phoneticPr fontId="28"/>
  </si>
  <si>
    <t>サブグループID</t>
    <phoneticPr fontId="28"/>
  </si>
  <si>
    <t>顧客車両属性</t>
    <phoneticPr fontId="28"/>
  </si>
  <si>
    <t>オペレータ名</t>
    <phoneticPr fontId="28"/>
  </si>
  <si>
    <t>保守責任者</t>
    <phoneticPr fontId="28"/>
  </si>
  <si>
    <t>顧客車両番号</t>
    <phoneticPr fontId="28"/>
  </si>
  <si>
    <t xml:space="preserve">ワイルドカード使用可能 </t>
    <phoneticPr fontId="28"/>
  </si>
  <si>
    <t>顧客管理番号</t>
    <phoneticPr fontId="28"/>
  </si>
  <si>
    <t>代理店車両属性</t>
    <phoneticPr fontId="28"/>
  </si>
  <si>
    <t>債権区分</t>
    <phoneticPr fontId="28"/>
  </si>
  <si>
    <t>Enum:[ 1:債権あり, 2:債権なし, -99:未指定と同等 ]</t>
    <phoneticPr fontId="28"/>
  </si>
  <si>
    <t>経過月数(From)</t>
    <phoneticPr fontId="28"/>
  </si>
  <si>
    <t>経過月数(To)</t>
    <phoneticPr fontId="28"/>
  </si>
  <si>
    <t>新車中古車区分</t>
    <phoneticPr fontId="28"/>
  </si>
  <si>
    <t>Enum:[ 0:新車, 1:中古車, -99:未指定と同等 ]</t>
    <phoneticPr fontId="28"/>
  </si>
  <si>
    <t>車両納入日(From)</t>
    <phoneticPr fontId="28"/>
  </si>
  <si>
    <t>車両納入日(To)</t>
    <phoneticPr fontId="28"/>
  </si>
  <si>
    <t>EQP車両納入日(From)</t>
    <phoneticPr fontId="28"/>
  </si>
  <si>
    <t>EQP車両納入日(To)</t>
    <phoneticPr fontId="28"/>
  </si>
  <si>
    <t>中古車両納入日(From)</t>
    <phoneticPr fontId="28"/>
  </si>
  <si>
    <t>中古車両納入日(To)</t>
    <phoneticPr fontId="28"/>
  </si>
  <si>
    <t>EQP中古車両納入日(From)</t>
    <phoneticPr fontId="28"/>
  </si>
  <si>
    <t>EQP中古車両納入日(To)</t>
    <phoneticPr fontId="28"/>
  </si>
  <si>
    <t>製造年月(From)</t>
    <phoneticPr fontId="28"/>
  </si>
  <si>
    <t>製造年月(To)</t>
    <phoneticPr fontId="28"/>
  </si>
  <si>
    <t>資産状態区分</t>
    <phoneticPr fontId="28"/>
  </si>
  <si>
    <t>資産所有者ID</t>
    <phoneticPr fontId="28"/>
  </si>
  <si>
    <t>備考１</t>
    <phoneticPr fontId="28"/>
  </si>
  <si>
    <t>分類１ID</t>
    <phoneticPr fontId="28"/>
  </si>
  <si>
    <t xml:space="preserve">-2:is null(not exists)検索/-99:未指定と同等 </t>
    <phoneticPr fontId="28"/>
  </si>
  <si>
    <t>カスタム車両属性１詳細ID</t>
    <phoneticPr fontId="28"/>
  </si>
  <si>
    <t xml:space="preserve">-2:is null(not exists)検索/-99:未指定と同等 </t>
    <phoneticPr fontId="28"/>
  </si>
  <si>
    <t>強制ロック状態区分</t>
    <phoneticPr fontId="28"/>
  </si>
  <si>
    <t>0:ロック設定なし, 1:ロック設定あり, 2:現在ロック中, 3:ロック解除要求, 4:ロック設定要求中, -99:未指定と同等</t>
    <phoneticPr fontId="28"/>
  </si>
  <si>
    <t>夜間予約ロック状態区分</t>
    <phoneticPr fontId="28"/>
  </si>
  <si>
    <t>0:ロック設定なし, 1:ロック設定あり, 2:現在ロック中, 3:ロック解除要求, 4:ロック設定要求中, -99:未指定と同等</t>
    <phoneticPr fontId="28"/>
  </si>
  <si>
    <t>カレンダ予約ロック状態区分</t>
    <phoneticPr fontId="28"/>
  </si>
  <si>
    <t>0:ロック設定なし, 1:ロック設定あり, 2:現在ロック中, 3:ロック解除要求, 4:ロック設定要求中, -99:未指定と同等</t>
    <phoneticPr fontId="28"/>
  </si>
  <si>
    <t>車両最新状態</t>
    <phoneticPr fontId="28"/>
  </si>
  <si>
    <t>SMR(From)</t>
    <phoneticPr fontId="28"/>
  </si>
  <si>
    <t>SMR(To)</t>
    <phoneticPr fontId="28"/>
  </si>
  <si>
    <t>オドメータ(From)</t>
    <phoneticPr fontId="28"/>
  </si>
  <si>
    <t>[km] or [mile]単位。X-DistanceUnitヘッダ指定単位に基づく</t>
    <phoneticPr fontId="28"/>
  </si>
  <si>
    <t>オドメータ(To)</t>
    <phoneticPr fontId="28"/>
  </si>
  <si>
    <t>[km] or [mile]単位。X-DistanceUnitヘッダ指定単位に基づく</t>
    <phoneticPr fontId="28"/>
  </si>
  <si>
    <t>現在地</t>
    <phoneticPr fontId="28"/>
  </si>
  <si>
    <t>現在地検索方法</t>
    <phoneticPr fontId="28"/>
  </si>
  <si>
    <t>0:一致しない, 1:一致する</t>
    <phoneticPr fontId="28"/>
  </si>
  <si>
    <t>現在位置境界</t>
    <phoneticPr fontId="28"/>
  </si>
  <si>
    <t>南西位置(世界測地系)</t>
    <phoneticPr fontId="28"/>
  </si>
  <si>
    <t>北東位置(世界測地系)</t>
    <phoneticPr fontId="28"/>
  </si>
  <si>
    <t>通信日(From)</t>
    <phoneticPr fontId="28"/>
  </si>
  <si>
    <t>通信日(To)</t>
    <phoneticPr fontId="28"/>
  </si>
  <si>
    <t>オペレータ識別区分</t>
    <phoneticPr fontId="28"/>
  </si>
  <si>
    <t>車両現在状態</t>
    <phoneticPr fontId="28"/>
  </si>
  <si>
    <t>エンジン状態区分</t>
    <phoneticPr fontId="28"/>
  </si>
  <si>
    <t>Enum:[ 0:OFF, 1:ON, -99:未指定と同等 ]</t>
    <phoneticPr fontId="28"/>
  </si>
  <si>
    <t>コーションON/OFF区分</t>
    <phoneticPr fontId="28"/>
  </si>
  <si>
    <t>現在サイト</t>
    <phoneticPr fontId="28"/>
  </si>
  <si>
    <t>サイトID</t>
    <phoneticPr fontId="28"/>
  </si>
  <si>
    <t xml:space="preserve">-99:未指定と同等 </t>
    <phoneticPr fontId="28"/>
  </si>
  <si>
    <t>選択済み車両ID</t>
    <phoneticPr fontId="28"/>
  </si>
  <si>
    <t>検索条件取得ＡＰＩ(get: /applications/search_condition)</t>
    <rPh sb="0" eb="2">
      <t>ケンサク</t>
    </rPh>
    <rPh sb="2" eb="4">
      <t>ジョウケン</t>
    </rPh>
    <phoneticPr fontId="28"/>
  </si>
  <si>
    <t>Bearerトークン</t>
    <phoneticPr fontId="28"/>
  </si>
  <si>
    <t>Content-Type</t>
    <phoneticPr fontId="28"/>
  </si>
  <si>
    <t>データ形式</t>
    <phoneticPr fontId="28"/>
  </si>
  <si>
    <t>Accept</t>
    <phoneticPr fontId="28"/>
  </si>
  <si>
    <t>メディアタイプ</t>
    <phoneticPr fontId="28"/>
  </si>
  <si>
    <t>言語タグ</t>
    <phoneticPr fontId="28"/>
  </si>
  <si>
    <t>X-AppCode</t>
    <phoneticPr fontId="28"/>
  </si>
  <si>
    <t>グループID</t>
    <phoneticPr fontId="28"/>
  </si>
  <si>
    <t>X-DateFormat</t>
    <phoneticPr fontId="28"/>
  </si>
  <si>
    <t>日付形式</t>
    <phoneticPr fontId="28"/>
  </si>
  <si>
    <t>X-TemperatureUnit</t>
    <phoneticPr fontId="28"/>
  </si>
  <si>
    <t>温度単位</t>
    <phoneticPr fontId="28"/>
  </si>
  <si>
    <t>X-Fields</t>
    <phoneticPr fontId="28"/>
  </si>
  <si>
    <t>指定項目</t>
    <phoneticPr fontId="28"/>
  </si>
  <si>
    <t>X-Count</t>
    <phoneticPr fontId="28"/>
  </si>
  <si>
    <t>X-Sort</t>
    <phoneticPr fontId="28"/>
  </si>
  <si>
    <t>未実施</t>
    <rPh sb="0" eb="3">
      <t>ミジッシ</t>
    </rPh>
    <phoneticPr fontId="28"/>
  </si>
  <si>
    <t>エビデンス</t>
    <phoneticPr fontId="28"/>
  </si>
  <si>
    <t>明細部には何も表示されないこと</t>
    <rPh sb="0" eb="2">
      <t>メイサイ</t>
    </rPh>
    <rPh sb="2" eb="3">
      <t>ブ</t>
    </rPh>
    <rPh sb="5" eb="6">
      <t>ナニ</t>
    </rPh>
    <rPh sb="7" eb="9">
      <t>ヒョウジ</t>
    </rPh>
    <phoneticPr fontId="28"/>
  </si>
  <si>
    <t>担当DB画面で選択した担当DB名が表示されていること</t>
    <rPh sb="7" eb="9">
      <t>センタク</t>
    </rPh>
    <rPh sb="11" eb="13">
      <t>タントウ</t>
    </rPh>
    <rPh sb="15" eb="16">
      <t>メイ</t>
    </rPh>
    <rPh sb="17" eb="19">
      <t>ヒョウジ</t>
    </rPh>
    <phoneticPr fontId="28"/>
  </si>
  <si>
    <t>エビデンス</t>
    <phoneticPr fontId="28"/>
  </si>
  <si>
    <t>プロファイル情報取得API 　（get: /emn/profiles/{profile_id}）</t>
    <rPh sb="6" eb="8">
      <t>ジョウホウ</t>
    </rPh>
    <phoneticPr fontId="28"/>
  </si>
  <si>
    <t>profile_id</t>
    <phoneticPr fontId="28"/>
  </si>
  <si>
    <t>プロファイルID</t>
    <phoneticPr fontId="28"/>
  </si>
  <si>
    <t>X-GroupId</t>
  </si>
  <si>
    <t>X-CarDivision</t>
  </si>
  <si>
    <t>リクエストパラメータ　確認</t>
    <phoneticPr fontId="28"/>
  </si>
  <si>
    <t>別シート"リクエストパラメータチェックシート:サブグループ一覧取得API"参照</t>
    <phoneticPr fontId="28"/>
  </si>
  <si>
    <t>サブグループ一覧取得API　（get: /groups/sub_groups）</t>
    <phoneticPr fontId="28"/>
  </si>
  <si>
    <t>サブグループ名称</t>
    <phoneticPr fontId="28"/>
  </si>
  <si>
    <t>ワイルドカード使用可能
　　　　　　　サブグループ名称とサブグループ名称(英語)の両方に対して検索を行う。
　　　　　　　未指定時は検索条件に含めない</t>
    <phoneticPr fontId="28"/>
  </si>
  <si>
    <t>sub_group_label</t>
    <phoneticPr fontId="28"/>
  </si>
  <si>
    <t>X-Fields</t>
    <phoneticPr fontId="28"/>
  </si>
  <si>
    <t>対象項目を示すオブジェクトの階層を"."で連結した文字列</t>
    <phoneticPr fontId="28"/>
  </si>
  <si>
    <t>検索条件保管時、かつプルダウンで複数選択時</t>
    <rPh sb="0" eb="2">
      <t>ケンサク</t>
    </rPh>
    <rPh sb="2" eb="4">
      <t>ジョウケン</t>
    </rPh>
    <rPh sb="4" eb="6">
      <t>ホカン</t>
    </rPh>
    <rPh sb="6" eb="7">
      <t>ジ</t>
    </rPh>
    <rPh sb="16" eb="18">
      <t>フクスウ</t>
    </rPh>
    <rPh sb="18" eb="20">
      <t>センタク</t>
    </rPh>
    <rPh sb="20" eb="21">
      <t>ジ</t>
    </rPh>
    <phoneticPr fontId="28"/>
  </si>
  <si>
    <t>プロファイル一覧取得API 　（get: /emn/profiles）</t>
    <phoneticPr fontId="28"/>
  </si>
  <si>
    <t>別シート"リクエストパラメータチェックシート：プロファイル情報取得API"参照</t>
    <rPh sb="0" eb="1">
      <t>ベツ</t>
    </rPh>
    <rPh sb="37" eb="39">
      <t>サンショウ</t>
    </rPh>
    <phoneticPr fontId="47"/>
  </si>
  <si>
    <t>検索条件未保管時、もしくはプルダウンで複数選択以外の場合</t>
    <rPh sb="0" eb="2">
      <t>ケンサク</t>
    </rPh>
    <rPh sb="2" eb="4">
      <t>ジョウケン</t>
    </rPh>
    <rPh sb="4" eb="5">
      <t>ミ</t>
    </rPh>
    <rPh sb="5" eb="7">
      <t>ホカン</t>
    </rPh>
    <rPh sb="7" eb="8">
      <t>ジ</t>
    </rPh>
    <rPh sb="19" eb="21">
      <t>フクスウ</t>
    </rPh>
    <rPh sb="21" eb="23">
      <t>センタク</t>
    </rPh>
    <rPh sb="23" eb="25">
      <t>イガイ</t>
    </rPh>
    <rPh sb="26" eb="28">
      <t>バアイ</t>
    </rPh>
    <phoneticPr fontId="28"/>
  </si>
  <si>
    <t>　　car_identification</t>
    <phoneticPr fontId="28"/>
  </si>
  <si>
    <t>　　　car_ids</t>
    <phoneticPr fontId="28"/>
  </si>
  <si>
    <t>②</t>
    <phoneticPr fontId="28"/>
  </si>
  <si>
    <t>検索ボタン連打</t>
    <rPh sb="0" eb="2">
      <t>ケンサク</t>
    </rPh>
    <rPh sb="5" eb="7">
      <t>レンダ</t>
    </rPh>
    <phoneticPr fontId="28"/>
  </si>
  <si>
    <t>検索ボタンクリック時</t>
    <rPh sb="0" eb="2">
      <t>ケンサク</t>
    </rPh>
    <rPh sb="9" eb="10">
      <t>ジ</t>
    </rPh>
    <phoneticPr fontId="28"/>
  </si>
  <si>
    <t>ブラウザ再起動
車両からプロファイル検索のURLを指定</t>
    <rPh sb="4" eb="7">
      <t>サイキドウ</t>
    </rPh>
    <rPh sb="8" eb="10">
      <t>シャリョウ</t>
    </rPh>
    <rPh sb="18" eb="20">
      <t>ケンサク</t>
    </rPh>
    <rPh sb="25" eb="27">
      <t>シテイ</t>
    </rPh>
    <phoneticPr fontId="47"/>
  </si>
  <si>
    <t>車両からプロファイル検索画面が表示されること</t>
    <rPh sb="15" eb="17">
      <t>ヒョウジ</t>
    </rPh>
    <phoneticPr fontId="28"/>
  </si>
  <si>
    <t>X-La</t>
  </si>
  <si>
    <t>　　　eine_status_kind</t>
  </si>
  <si>
    <t xml:space="preserve">area_target_setti </t>
  </si>
  <si>
    <t>security_target_setti</t>
  </si>
  <si>
    <t>abnormality_target_setti</t>
  </si>
  <si>
    <t xml:space="preserve">caution_target_setti </t>
  </si>
  <si>
    <t xml:space="preserve">replacement_time_target_setti </t>
  </si>
  <si>
    <t>other_notification_target_setti</t>
  </si>
  <si>
    <t>smr_target_setti</t>
  </si>
  <si>
    <t>塚田</t>
    <rPh sb="0" eb="2">
      <t>ツカダ</t>
    </rPh>
    <phoneticPr fontId="28"/>
  </si>
  <si>
    <t>唐鎌</t>
    <rPh sb="0" eb="2">
      <t>カラカマ</t>
    </rPh>
    <phoneticPr fontId="28"/>
  </si>
  <si>
    <t>増田</t>
    <rPh sb="0" eb="2">
      <t>マスダ</t>
    </rPh>
    <phoneticPr fontId="28"/>
  </si>
  <si>
    <t>「ヘッダ項目マトリクス_車両からプロファイル検索」シートが全てOKになること</t>
    <rPh sb="29" eb="30">
      <t>スベ</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</si>
</sst>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8"/>
      <color rgb="FF3B4151"/>
      <name val="Arial"/>
      <family val="2"/>
    </font>
    <font>
      <sz val="10"/>
      <color rgb="FFFF0000"/>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theme="0" tint="-0.499984740745262"/>
        <bgColor indexed="64"/>
      </patternFill>
    </fill>
    <fill>
      <patternFill patternType="solid">
        <fgColor rgb="FF92D05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62">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wrapText="1"/>
    </xf>
    <xf numFmtId="0" fontId="0" fillId="0" borderId="0" xfId="0" applyFont="1" applyBorder="1" applyAlignment="1">
      <alignment vertical="top" wrapText="1"/>
    </xf>
    <xf numFmtId="0" fontId="0" fillId="0" borderId="0" xfId="0" applyBorder="1"/>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0" borderId="17" xfId="210" applyFont="1" applyFill="1" applyBorder="1" applyAlignment="1">
      <alignmen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59"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left" vertical="center"/>
    </xf>
    <xf numFmtId="0" fontId="91" fillId="0" borderId="0" xfId="210" applyFont="1" applyFill="1" applyBorder="1" applyAlignment="1">
      <alignment horizontal="center" vertical="center"/>
    </xf>
    <xf numFmtId="0" fontId="0" fillId="0" borderId="0" xfId="0" applyAlignment="1">
      <alignment horizontal="left"/>
    </xf>
    <xf numFmtId="0" fontId="0" fillId="60" borderId="3" xfId="0" applyFont="1" applyFill="1" applyBorder="1" applyAlignment="1">
      <alignment vertical="top" wrapText="1"/>
    </xf>
    <xf numFmtId="0" fontId="0" fillId="0" borderId="0" xfId="0" applyAlignment="1">
      <alignment vertical="top" wrapText="1"/>
    </xf>
    <xf numFmtId="0" fontId="0" fillId="0" borderId="56" xfId="0" applyFont="1" applyBorder="1" applyAlignment="1">
      <alignment vertical="top" wrapText="1"/>
    </xf>
    <xf numFmtId="0" fontId="0" fillId="60" borderId="56" xfId="0" applyFont="1" applyFill="1" applyBorder="1" applyAlignment="1">
      <alignment vertical="top" wrapText="1"/>
    </xf>
    <xf numFmtId="0" fontId="0" fillId="0" borderId="56" xfId="0" applyBorder="1"/>
    <xf numFmtId="0" fontId="0" fillId="60" borderId="0" xfId="0" applyFont="1" applyFill="1" applyBorder="1" applyAlignment="1">
      <alignment vertical="top" wrapText="1"/>
    </xf>
    <xf numFmtId="0" fontId="0" fillId="0" borderId="3" xfId="0" applyFill="1" applyBorder="1"/>
    <xf numFmtId="0" fontId="0" fillId="0" borderId="3" xfId="0" quotePrefix="1" applyBorder="1" applyAlignment="1">
      <alignment wrapText="1"/>
    </xf>
    <xf numFmtId="0" fontId="0" fillId="61" borderId="3" xfId="0" applyFill="1" applyBorder="1" applyAlignment="1">
      <alignment horizontal="center" vertical="center"/>
    </xf>
    <xf numFmtId="0" fontId="0" fillId="61" borderId="3" xfId="0" applyFill="1" applyBorder="1" applyAlignment="1">
      <alignment horizontal="center" vertical="center" wrapText="1"/>
    </xf>
    <xf numFmtId="0" fontId="148" fillId="0" borderId="3" xfId="0" applyFont="1" applyBorder="1"/>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0" fillId="63" borderId="3" xfId="0" applyFill="1" applyBorder="1" applyAlignment="1">
      <alignment horizontal="center"/>
    </xf>
    <xf numFmtId="0" fontId="0" fillId="0" borderId="3" xfId="0" applyFont="1" applyBorder="1" applyAlignment="1">
      <alignment horizontal="left" vertical="top" wrapText="1"/>
    </xf>
    <xf numFmtId="0" fontId="0" fillId="0" borderId="3" xfId="0" applyBorder="1" applyAlignment="1">
      <alignment horizontal="left" vertical="top"/>
    </xf>
    <xf numFmtId="0" fontId="0" fillId="60" borderId="3" xfId="0" applyFill="1" applyBorder="1"/>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0" borderId="38" xfId="0" applyBorder="1"/>
    <xf numFmtId="0" fontId="0" fillId="60" borderId="38" xfId="0" applyFill="1" applyBorder="1"/>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60" borderId="0" xfId="0" applyFill="1" applyBorder="1" applyAlignment="1">
      <alignment vertical="top"/>
    </xf>
    <xf numFmtId="0" fontId="0" fillId="60" borderId="3" xfId="0" applyFill="1" applyBorder="1" applyAlignment="1">
      <alignment vertical="top"/>
    </xf>
    <xf numFmtId="0" fontId="91" fillId="0" borderId="0" xfId="210" applyFont="1" applyFill="1" applyBorder="1" applyAlignment="1">
      <alignment horizontal="center" vertical="center"/>
    </xf>
    <xf numFmtId="0" fontId="91" fillId="0" borderId="0" xfId="210" applyFont="1" applyAlignment="1">
      <alignment vertical="center" wrapText="1"/>
    </xf>
    <xf numFmtId="0" fontId="91" fillId="0" borderId="0" xfId="210" applyFont="1" applyFill="1" applyBorder="1" applyAlignment="1">
      <alignment horizontal="left" vertical="center" wrapText="1"/>
    </xf>
    <xf numFmtId="0" fontId="91" fillId="60" borderId="3" xfId="210" applyNumberFormat="1" applyFont="1" applyFill="1" applyBorder="1" applyAlignment="1">
      <alignment horizontal="center" vertical="center"/>
    </xf>
    <xf numFmtId="0" fontId="0" fillId="61" borderId="3" xfId="0" applyFill="1" applyBorder="1" applyAlignment="1">
      <alignment wrapText="1"/>
    </xf>
    <xf numFmtId="0" fontId="0" fillId="0" borderId="3" xfId="0" applyFill="1" applyBorder="1" applyAlignment="1">
      <alignment wrapText="1"/>
    </xf>
    <xf numFmtId="0" fontId="0" fillId="62" borderId="3" xfId="0" applyFill="1" applyBorder="1"/>
    <xf numFmtId="0" fontId="0" fillId="0" borderId="0" xfId="0" applyAlignment="1">
      <alignment wrapText="1"/>
    </xf>
    <xf numFmtId="0" fontId="0" fillId="63" borderId="3" xfId="0" applyFill="1" applyBorder="1"/>
    <xf numFmtId="0" fontId="0" fillId="0" borderId="0" xfId="0" applyBorder="1" applyAlignment="1">
      <alignment wrapText="1"/>
    </xf>
    <xf numFmtId="0" fontId="91" fillId="0" borderId="17" xfId="210" applyFont="1" applyFill="1" applyBorder="1" applyAlignment="1">
      <alignment horizontal="center" vertical="center" wrapText="1"/>
    </xf>
    <xf numFmtId="0" fontId="0" fillId="62" borderId="3" xfId="0" applyFont="1" applyFill="1" applyBorder="1" applyAlignment="1">
      <alignment vertical="top" wrapText="1"/>
    </xf>
    <xf numFmtId="0" fontId="0" fillId="62" borderId="3" xfId="0" applyFill="1" applyBorder="1" applyAlignment="1">
      <alignment vertical="top"/>
    </xf>
    <xf numFmtId="0" fontId="0" fillId="60" borderId="3" xfId="0" applyFill="1" applyBorder="1" applyAlignment="1">
      <alignment horizontal="center" vertical="center"/>
    </xf>
    <xf numFmtId="0" fontId="0" fillId="62" borderId="3" xfId="0" applyFill="1" applyBorder="1" applyAlignment="1">
      <alignment horizontal="center" vertical="center"/>
    </xf>
    <xf numFmtId="0" fontId="0" fillId="62" borderId="3" xfId="0" applyFill="1" applyBorder="1" applyAlignment="1">
      <alignment wrapText="1"/>
    </xf>
    <xf numFmtId="0" fontId="0" fillId="0" borderId="3" xfId="0" applyFont="1" applyFill="1" applyBorder="1" applyAlignment="1">
      <alignment vertical="top" wrapText="1"/>
    </xf>
    <xf numFmtId="0" fontId="91" fillId="0" borderId="0" xfId="210" applyFont="1" applyFill="1" applyBorder="1" applyAlignment="1">
      <alignment horizontal="center" vertical="center"/>
    </xf>
    <xf numFmtId="0" fontId="91" fillId="0" borderId="0" xfId="210" applyFont="1" applyAlignment="1">
      <alignment horizontal="left" vertical="center"/>
    </xf>
    <xf numFmtId="0" fontId="48" fillId="0" borderId="17" xfId="210" applyFont="1" applyFill="1" applyBorder="1" applyAlignment="1">
      <alignment horizontal="center" vertical="center"/>
    </xf>
    <xf numFmtId="14" fontId="48" fillId="0" borderId="17" xfId="210" applyNumberFormat="1" applyFont="1" applyFill="1" applyBorder="1" applyAlignment="1">
      <alignment horizontal="center" vertical="center"/>
    </xf>
    <xf numFmtId="0" fontId="48" fillId="0" borderId="17" xfId="210" applyFont="1" applyFill="1" applyBorder="1" applyAlignment="1">
      <alignment horizontal="center" vertical="center" wrapText="1"/>
    </xf>
    <xf numFmtId="0" fontId="91" fillId="0" borderId="17" xfId="210" applyFont="1" applyFill="1" applyBorder="1" applyAlignment="1">
      <alignment vertical="center" wrapText="1"/>
    </xf>
    <xf numFmtId="0" fontId="91"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0" xfId="210" applyFont="1" applyFill="1" applyAlignment="1">
      <alignment horizontal="center" vertical="center"/>
    </xf>
    <xf numFmtId="0" fontId="91" fillId="0" borderId="0" xfId="210" applyFont="1" applyBorder="1" applyAlignment="1">
      <alignment vertical="center"/>
    </xf>
    <xf numFmtId="0" fontId="91" fillId="0" borderId="63" xfId="210" applyFont="1" applyFill="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83" xfId="210" applyFont="1" applyFill="1" applyBorder="1" applyAlignment="1">
      <alignment vertical="center" wrapText="1"/>
    </xf>
    <xf numFmtId="0" fontId="91" fillId="0" borderId="21" xfId="210" applyFont="1" applyFill="1" applyBorder="1" applyAlignment="1">
      <alignment vertical="center" wrapText="1"/>
    </xf>
    <xf numFmtId="0" fontId="91" fillId="0" borderId="17" xfId="210" applyFont="1" applyFill="1" applyBorder="1" applyAlignment="1">
      <alignment vertical="center" wrapText="1"/>
    </xf>
    <xf numFmtId="0" fontId="91" fillId="0" borderId="83" xfId="210" applyFont="1" applyFill="1" applyBorder="1" applyAlignment="1">
      <alignment horizontal="center" vertical="center" wrapText="1"/>
    </xf>
    <xf numFmtId="0" fontId="91" fillId="0" borderId="21" xfId="210" applyFont="1" applyFill="1" applyBorder="1" applyAlignment="1">
      <alignment horizontal="center" vertical="center" wrapText="1"/>
    </xf>
    <xf numFmtId="0" fontId="91" fillId="0" borderId="17" xfId="210" applyFont="1" applyFill="1" applyBorder="1" applyAlignment="1">
      <alignment horizontal="center" vertical="center" wrapText="1"/>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wrapText="1"/>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0" fillId="61" borderId="3" xfId="0" applyFill="1" applyBorder="1" applyAlignment="1">
      <alignment horizontal="center"/>
    </xf>
    <xf numFmtId="0" fontId="0" fillId="61" borderId="3" xfId="0" applyFill="1" applyBorder="1" applyAlignment="1">
      <alignment horizontal="center" vertical="center"/>
    </xf>
    <xf numFmtId="0" fontId="91" fillId="2" borderId="3" xfId="210" applyFont="1" applyFill="1" applyBorder="1" applyAlignment="1">
      <alignment horizontal="center" vertical="center" wrapText="1"/>
    </xf>
    <xf numFmtId="0" fontId="0" fillId="0" borderId="0" xfId="0" applyFont="1" applyFill="1" applyBorder="1" applyAlignment="1">
      <alignment horizontal="left" vertical="top"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B1" sqref="B1"/>
    </sheetView>
  </sheetViews>
  <sheetFormatPr defaultColWidth="0.75" defaultRowHeight="12"/>
  <cols>
    <col min="1" max="16384" width="0.75" style="61"/>
  </cols>
  <sheetData>
    <row r="4" spans="1:168" ht="13.5">
      <c r="EM4" s="210"/>
      <c r="EN4" s="211"/>
      <c r="EO4" s="211"/>
      <c r="EP4" s="211"/>
      <c r="EQ4" s="211"/>
      <c r="ER4" s="211"/>
      <c r="ES4" s="211"/>
      <c r="ET4" s="211"/>
      <c r="EU4" s="211"/>
      <c r="EV4" s="211"/>
      <c r="EW4" s="211"/>
      <c r="EX4" s="211"/>
      <c r="EY4" s="211"/>
      <c r="EZ4" s="211"/>
      <c r="FA4" s="211"/>
      <c r="FB4" s="211"/>
      <c r="FC4" s="211"/>
      <c r="FD4" s="211"/>
      <c r="FE4" s="211"/>
      <c r="FF4" s="211"/>
      <c r="FG4" s="211"/>
      <c r="FH4" s="211"/>
      <c r="FI4" s="211"/>
      <c r="FJ4" s="211"/>
      <c r="FK4" s="211"/>
      <c r="FL4" s="211"/>
    </row>
    <row r="5" spans="1:168">
      <c r="A5" s="62"/>
      <c r="B5" s="62"/>
      <c r="C5" s="62"/>
      <c r="D5" s="62"/>
      <c r="E5" s="62"/>
      <c r="F5" s="62"/>
      <c r="G5" s="62"/>
      <c r="H5" s="62"/>
      <c r="I5" s="212" t="s">
        <v>63</v>
      </c>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62"/>
      <c r="FF5" s="62"/>
      <c r="FG5" s="62"/>
      <c r="FH5" s="62"/>
      <c r="FI5" s="62"/>
      <c r="FJ5" s="62"/>
      <c r="FK5" s="62"/>
      <c r="FL5" s="62"/>
    </row>
    <row r="6" spans="1:168">
      <c r="A6" s="62"/>
      <c r="B6" s="62"/>
      <c r="C6" s="62"/>
      <c r="D6" s="62"/>
      <c r="E6" s="62"/>
      <c r="F6" s="62"/>
      <c r="G6" s="62"/>
      <c r="H6" s="6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213" t="s">
        <v>81</v>
      </c>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c r="AV8" s="213"/>
      <c r="AW8" s="213"/>
      <c r="AX8" s="213"/>
      <c r="AY8" s="213"/>
      <c r="AZ8" s="213"/>
      <c r="BA8" s="213"/>
      <c r="BB8" s="213"/>
      <c r="BC8" s="213"/>
      <c r="BD8" s="213"/>
      <c r="BE8" s="213"/>
      <c r="BF8" s="213"/>
      <c r="BG8" s="213"/>
      <c r="BH8" s="213"/>
      <c r="BI8" s="213"/>
      <c r="BJ8" s="213"/>
      <c r="BK8" s="213"/>
      <c r="BL8" s="213"/>
      <c r="BM8" s="213"/>
      <c r="BN8" s="213"/>
      <c r="BO8" s="213"/>
      <c r="BP8" s="213"/>
      <c r="BQ8" s="213"/>
      <c r="BR8" s="213"/>
      <c r="BS8" s="213"/>
      <c r="BT8" s="213"/>
      <c r="BU8" s="213"/>
      <c r="BV8" s="213"/>
      <c r="BW8" s="213"/>
      <c r="BX8" s="213"/>
      <c r="BY8" s="213"/>
      <c r="BZ8" s="213"/>
      <c r="CA8" s="213"/>
      <c r="CB8" s="213"/>
      <c r="CC8" s="213"/>
      <c r="CD8" s="213"/>
      <c r="CE8" s="213"/>
      <c r="CF8" s="213"/>
      <c r="CG8" s="213"/>
      <c r="CH8" s="213"/>
      <c r="CI8" s="213"/>
      <c r="CJ8" s="213"/>
      <c r="CK8" s="213"/>
      <c r="CL8" s="213"/>
      <c r="CM8" s="213"/>
      <c r="CN8" s="213"/>
      <c r="CO8" s="213"/>
      <c r="CP8" s="213"/>
      <c r="CQ8" s="213"/>
      <c r="CR8" s="213"/>
      <c r="CS8" s="213"/>
      <c r="CT8" s="213"/>
      <c r="CU8" s="213"/>
      <c r="CV8" s="213"/>
      <c r="CW8" s="213"/>
      <c r="CX8" s="213"/>
      <c r="CY8" s="213"/>
      <c r="CZ8" s="213"/>
      <c r="DA8" s="213"/>
      <c r="DB8" s="213"/>
      <c r="DC8" s="213"/>
      <c r="DD8" s="213"/>
      <c r="DE8" s="213"/>
      <c r="DF8" s="213"/>
      <c r="DG8" s="213"/>
      <c r="DH8" s="213"/>
      <c r="DI8" s="213"/>
      <c r="DJ8" s="213"/>
      <c r="DK8" s="213"/>
      <c r="DL8" s="213"/>
      <c r="DM8" s="213"/>
      <c r="DN8" s="213"/>
      <c r="DO8" s="213"/>
      <c r="DP8" s="213"/>
      <c r="DQ8" s="213"/>
      <c r="DR8" s="213"/>
      <c r="DS8" s="213"/>
      <c r="DT8" s="213"/>
      <c r="DU8" s="213"/>
      <c r="DV8" s="213"/>
      <c r="DW8" s="213"/>
      <c r="DX8" s="213"/>
      <c r="DY8" s="213"/>
      <c r="DZ8" s="213"/>
      <c r="EA8" s="213"/>
      <c r="EB8" s="213"/>
      <c r="EC8" s="213"/>
      <c r="ED8" s="213"/>
      <c r="EE8" s="213"/>
      <c r="EF8" s="213"/>
      <c r="EG8" s="213"/>
      <c r="EH8" s="213"/>
      <c r="EI8" s="213"/>
      <c r="EJ8" s="213"/>
      <c r="EK8" s="213"/>
      <c r="EL8" s="213"/>
      <c r="EM8" s="213"/>
      <c r="EN8" s="213"/>
      <c r="EO8" s="213"/>
      <c r="EP8" s="213"/>
      <c r="EQ8" s="213"/>
      <c r="ER8" s="213"/>
      <c r="ES8" s="213"/>
      <c r="ET8" s="213"/>
      <c r="EU8" s="213"/>
      <c r="EV8" s="213"/>
      <c r="EW8" s="213"/>
      <c r="EX8" s="213"/>
      <c r="EY8" s="213"/>
      <c r="EZ8" s="213"/>
      <c r="FA8" s="213"/>
      <c r="FB8" s="213"/>
      <c r="FC8" s="213"/>
      <c r="FD8" s="213"/>
      <c r="FE8" s="62"/>
      <c r="FF8" s="62"/>
      <c r="FG8" s="62"/>
      <c r="FH8" s="62"/>
      <c r="FI8" s="62"/>
      <c r="FJ8" s="62"/>
      <c r="FK8" s="62"/>
      <c r="FL8" s="62"/>
    </row>
    <row r="9" spans="1:168">
      <c r="A9" s="62"/>
      <c r="B9" s="62"/>
      <c r="C9" s="62"/>
      <c r="D9" s="62"/>
      <c r="E9" s="62"/>
      <c r="F9" s="62"/>
      <c r="G9" s="62"/>
      <c r="H9" s="62"/>
      <c r="I9" s="213"/>
      <c r="J9" s="213"/>
      <c r="K9" s="213"/>
      <c r="L9" s="213"/>
      <c r="M9" s="213"/>
      <c r="N9" s="213"/>
      <c r="O9" s="213"/>
      <c r="P9" s="213"/>
      <c r="Q9" s="213"/>
      <c r="R9" s="213"/>
      <c r="S9" s="213"/>
      <c r="T9" s="213"/>
      <c r="U9" s="213"/>
      <c r="V9" s="213"/>
      <c r="W9" s="213"/>
      <c r="X9" s="213"/>
      <c r="Y9" s="213"/>
      <c r="Z9" s="213"/>
      <c r="AA9" s="213"/>
      <c r="AB9" s="213"/>
      <c r="AC9" s="213"/>
      <c r="AD9" s="213"/>
      <c r="AE9" s="213"/>
      <c r="AF9" s="213"/>
      <c r="AG9" s="213"/>
      <c r="AH9" s="213"/>
      <c r="AI9" s="213"/>
      <c r="AJ9" s="213"/>
      <c r="AK9" s="213"/>
      <c r="AL9" s="213"/>
      <c r="AM9" s="213"/>
      <c r="AN9" s="213"/>
      <c r="AO9" s="213"/>
      <c r="AP9" s="213"/>
      <c r="AQ9" s="213"/>
      <c r="AR9" s="213"/>
      <c r="AS9" s="213"/>
      <c r="AT9" s="213"/>
      <c r="AU9" s="213"/>
      <c r="AV9" s="213"/>
      <c r="AW9" s="213"/>
      <c r="AX9" s="213"/>
      <c r="AY9" s="213"/>
      <c r="AZ9" s="213"/>
      <c r="BA9" s="213"/>
      <c r="BB9" s="213"/>
      <c r="BC9" s="213"/>
      <c r="BD9" s="213"/>
      <c r="BE9" s="213"/>
      <c r="BF9" s="213"/>
      <c r="BG9" s="213"/>
      <c r="BH9" s="213"/>
      <c r="BI9" s="213"/>
      <c r="BJ9" s="213"/>
      <c r="BK9" s="213"/>
      <c r="BL9" s="213"/>
      <c r="BM9" s="213"/>
      <c r="BN9" s="213"/>
      <c r="BO9" s="213"/>
      <c r="BP9" s="213"/>
      <c r="BQ9" s="213"/>
      <c r="BR9" s="213"/>
      <c r="BS9" s="213"/>
      <c r="BT9" s="213"/>
      <c r="BU9" s="213"/>
      <c r="BV9" s="213"/>
      <c r="BW9" s="213"/>
      <c r="BX9" s="213"/>
      <c r="BY9" s="213"/>
      <c r="BZ9" s="213"/>
      <c r="CA9" s="213"/>
      <c r="CB9" s="213"/>
      <c r="CC9" s="213"/>
      <c r="CD9" s="213"/>
      <c r="CE9" s="213"/>
      <c r="CF9" s="213"/>
      <c r="CG9" s="213"/>
      <c r="CH9" s="213"/>
      <c r="CI9" s="213"/>
      <c r="CJ9" s="213"/>
      <c r="CK9" s="213"/>
      <c r="CL9" s="213"/>
      <c r="CM9" s="213"/>
      <c r="CN9" s="213"/>
      <c r="CO9" s="213"/>
      <c r="CP9" s="213"/>
      <c r="CQ9" s="213"/>
      <c r="CR9" s="213"/>
      <c r="CS9" s="213"/>
      <c r="CT9" s="213"/>
      <c r="CU9" s="213"/>
      <c r="CV9" s="213"/>
      <c r="CW9" s="213"/>
      <c r="CX9" s="213"/>
      <c r="CY9" s="213"/>
      <c r="CZ9" s="213"/>
      <c r="DA9" s="213"/>
      <c r="DB9" s="213"/>
      <c r="DC9" s="213"/>
      <c r="DD9" s="213"/>
      <c r="DE9" s="213"/>
      <c r="DF9" s="213"/>
      <c r="DG9" s="213"/>
      <c r="DH9" s="213"/>
      <c r="DI9" s="213"/>
      <c r="DJ9" s="213"/>
      <c r="DK9" s="213"/>
      <c r="DL9" s="213"/>
      <c r="DM9" s="213"/>
      <c r="DN9" s="213"/>
      <c r="DO9" s="213"/>
      <c r="DP9" s="213"/>
      <c r="DQ9" s="213"/>
      <c r="DR9" s="213"/>
      <c r="DS9" s="213"/>
      <c r="DT9" s="213"/>
      <c r="DU9" s="213"/>
      <c r="DV9" s="213"/>
      <c r="DW9" s="213"/>
      <c r="DX9" s="213"/>
      <c r="DY9" s="213"/>
      <c r="DZ9" s="213"/>
      <c r="EA9" s="213"/>
      <c r="EB9" s="213"/>
      <c r="EC9" s="213"/>
      <c r="ED9" s="213"/>
      <c r="EE9" s="213"/>
      <c r="EF9" s="213"/>
      <c r="EG9" s="213"/>
      <c r="EH9" s="213"/>
      <c r="EI9" s="213"/>
      <c r="EJ9" s="213"/>
      <c r="EK9" s="213"/>
      <c r="EL9" s="213"/>
      <c r="EM9" s="213"/>
      <c r="EN9" s="213"/>
      <c r="EO9" s="213"/>
      <c r="EP9" s="213"/>
      <c r="EQ9" s="213"/>
      <c r="ER9" s="213"/>
      <c r="ES9" s="213"/>
      <c r="ET9" s="213"/>
      <c r="EU9" s="213"/>
      <c r="EV9" s="213"/>
      <c r="EW9" s="213"/>
      <c r="EX9" s="213"/>
      <c r="EY9" s="213"/>
      <c r="EZ9" s="213"/>
      <c r="FA9" s="213"/>
      <c r="FB9" s="213"/>
      <c r="FC9" s="213"/>
      <c r="FD9" s="213"/>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214" t="s">
        <v>683</v>
      </c>
      <c r="R11" s="214"/>
      <c r="S11" s="214"/>
      <c r="T11" s="214"/>
      <c r="U11" s="214"/>
      <c r="V11" s="214"/>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4"/>
      <c r="BW11" s="214"/>
      <c r="BX11" s="214"/>
      <c r="BY11" s="214"/>
      <c r="BZ11" s="214"/>
      <c r="CA11" s="214"/>
      <c r="CB11" s="214"/>
      <c r="CC11" s="214"/>
      <c r="CD11" s="214"/>
      <c r="CE11" s="214"/>
      <c r="CF11" s="214"/>
      <c r="CG11" s="214"/>
      <c r="CH11" s="214"/>
      <c r="CI11" s="214"/>
      <c r="CJ11" s="214"/>
      <c r="CK11" s="214"/>
      <c r="CL11" s="214"/>
      <c r="CM11" s="214"/>
      <c r="CN11" s="214"/>
      <c r="CO11" s="214"/>
      <c r="CP11" s="214"/>
      <c r="CQ11" s="214"/>
      <c r="CR11" s="214"/>
      <c r="CS11" s="214"/>
      <c r="CT11" s="214"/>
      <c r="CU11" s="214"/>
      <c r="CV11" s="214"/>
      <c r="CW11" s="214"/>
      <c r="CX11" s="214"/>
      <c r="CY11" s="214"/>
      <c r="CZ11" s="214"/>
      <c r="DA11" s="214"/>
      <c r="DB11" s="214"/>
      <c r="DC11" s="214"/>
      <c r="DD11" s="214"/>
      <c r="DE11" s="214"/>
      <c r="DF11" s="214"/>
      <c r="DG11" s="214"/>
      <c r="DH11" s="214"/>
      <c r="DI11" s="214"/>
      <c r="DJ11" s="214"/>
      <c r="DK11" s="214"/>
      <c r="DL11" s="214"/>
      <c r="DM11" s="214"/>
      <c r="DN11" s="214"/>
      <c r="DO11" s="214"/>
      <c r="DP11" s="214"/>
      <c r="DQ11" s="214"/>
      <c r="DR11" s="214"/>
      <c r="DS11" s="214"/>
      <c r="DT11" s="214"/>
      <c r="DU11" s="214"/>
      <c r="DV11" s="214"/>
      <c r="DW11" s="214"/>
      <c r="DX11" s="214"/>
      <c r="DY11" s="214"/>
      <c r="DZ11" s="214"/>
      <c r="EA11" s="214"/>
      <c r="EB11" s="214"/>
      <c r="EC11" s="214"/>
      <c r="ED11" s="214"/>
      <c r="EE11" s="214"/>
      <c r="EF11" s="214"/>
      <c r="EG11" s="214"/>
      <c r="EH11" s="214"/>
      <c r="EI11" s="214"/>
      <c r="EJ11" s="214"/>
      <c r="EK11" s="214"/>
      <c r="EL11" s="214"/>
      <c r="EM11" s="214"/>
      <c r="EN11" s="214"/>
      <c r="EO11" s="214"/>
      <c r="EP11" s="214"/>
      <c r="EQ11" s="214"/>
      <c r="ER11" s="214"/>
      <c r="ES11" s="214"/>
      <c r="ET11" s="214"/>
      <c r="EU11" s="214"/>
      <c r="EV11" s="214"/>
      <c r="EW11" s="214"/>
      <c r="EX11" s="214"/>
      <c r="EY11" s="214"/>
      <c r="EZ11" s="214"/>
      <c r="FA11" s="214"/>
      <c r="FB11" s="214"/>
      <c r="FC11" s="214"/>
      <c r="FD11" s="214"/>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4"/>
      <c r="BW12" s="214"/>
      <c r="BX12" s="214"/>
      <c r="BY12" s="214"/>
      <c r="BZ12" s="214"/>
      <c r="CA12" s="214"/>
      <c r="CB12" s="214"/>
      <c r="CC12" s="214"/>
      <c r="CD12" s="214"/>
      <c r="CE12" s="214"/>
      <c r="CF12" s="214"/>
      <c r="CG12" s="214"/>
      <c r="CH12" s="214"/>
      <c r="CI12" s="214"/>
      <c r="CJ12" s="214"/>
      <c r="CK12" s="214"/>
      <c r="CL12" s="214"/>
      <c r="CM12" s="214"/>
      <c r="CN12" s="214"/>
      <c r="CO12" s="214"/>
      <c r="CP12" s="214"/>
      <c r="CQ12" s="214"/>
      <c r="CR12" s="214"/>
      <c r="CS12" s="214"/>
      <c r="CT12" s="214"/>
      <c r="CU12" s="214"/>
      <c r="CV12" s="214"/>
      <c r="CW12" s="214"/>
      <c r="CX12" s="214"/>
      <c r="CY12" s="214"/>
      <c r="CZ12" s="214"/>
      <c r="DA12" s="214"/>
      <c r="DB12" s="214"/>
      <c r="DC12" s="214"/>
      <c r="DD12" s="214"/>
      <c r="DE12" s="214"/>
      <c r="DF12" s="214"/>
      <c r="DG12" s="214"/>
      <c r="DH12" s="214"/>
      <c r="DI12" s="214"/>
      <c r="DJ12" s="214"/>
      <c r="DK12" s="214"/>
      <c r="DL12" s="214"/>
      <c r="DM12" s="214"/>
      <c r="DN12" s="214"/>
      <c r="DO12" s="214"/>
      <c r="DP12" s="214"/>
      <c r="DQ12" s="214"/>
      <c r="DR12" s="214"/>
      <c r="DS12" s="214"/>
      <c r="DT12" s="214"/>
      <c r="DU12" s="214"/>
      <c r="DV12" s="214"/>
      <c r="DW12" s="214"/>
      <c r="DX12" s="214"/>
      <c r="DY12" s="214"/>
      <c r="DZ12" s="214"/>
      <c r="EA12" s="214"/>
      <c r="EB12" s="214"/>
      <c r="EC12" s="214"/>
      <c r="ED12" s="214"/>
      <c r="EE12" s="214"/>
      <c r="EF12" s="214"/>
      <c r="EG12" s="214"/>
      <c r="EH12" s="214"/>
      <c r="EI12" s="214"/>
      <c r="EJ12" s="214"/>
      <c r="EK12" s="214"/>
      <c r="EL12" s="214"/>
      <c r="EM12" s="214"/>
      <c r="EN12" s="214"/>
      <c r="EO12" s="214"/>
      <c r="EP12" s="214"/>
      <c r="EQ12" s="214"/>
      <c r="ER12" s="214"/>
      <c r="ES12" s="214"/>
      <c r="ET12" s="214"/>
      <c r="EU12" s="214"/>
      <c r="EV12" s="214"/>
      <c r="EW12" s="214"/>
      <c r="EX12" s="214"/>
      <c r="EY12" s="214"/>
      <c r="EZ12" s="214"/>
      <c r="FA12" s="214"/>
      <c r="FB12" s="214"/>
      <c r="FC12" s="214"/>
      <c r="FD12" s="214"/>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215" t="s">
        <v>64</v>
      </c>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7"/>
      <c r="BD28" s="221" t="s">
        <v>65</v>
      </c>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7"/>
      <c r="CA28" s="221" t="s">
        <v>66</v>
      </c>
      <c r="CB28" s="216"/>
      <c r="CC28" s="216"/>
      <c r="CD28" s="216"/>
      <c r="CE28" s="216"/>
      <c r="CF28" s="216"/>
      <c r="CG28" s="216"/>
      <c r="CH28" s="216"/>
      <c r="CI28" s="216"/>
      <c r="CJ28" s="216"/>
      <c r="CK28" s="216"/>
      <c r="CL28" s="216"/>
      <c r="CM28" s="216"/>
      <c r="CN28" s="216"/>
      <c r="CO28" s="216"/>
      <c r="CP28" s="216"/>
      <c r="CQ28" s="216"/>
      <c r="CR28" s="216"/>
      <c r="CS28" s="216"/>
      <c r="CT28" s="216"/>
      <c r="CU28" s="216"/>
      <c r="CV28" s="216"/>
      <c r="CW28" s="223"/>
      <c r="CX28" s="65"/>
      <c r="CY28" s="65"/>
      <c r="CZ28" s="65"/>
      <c r="DA28" s="65"/>
      <c r="DB28" s="65"/>
      <c r="DC28" s="65"/>
      <c r="DD28" s="65"/>
      <c r="DE28" s="65"/>
      <c r="DF28" s="65"/>
      <c r="DG28" s="65"/>
      <c r="DH28" s="65"/>
    </row>
    <row r="29" spans="3:112" s="92" customFormat="1" ht="12.75" customHeight="1" thickBot="1">
      <c r="C29" s="66"/>
      <c r="AG29" s="218"/>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220"/>
      <c r="BD29" s="222"/>
      <c r="BE29" s="219"/>
      <c r="BF29" s="219"/>
      <c r="BG29" s="219"/>
      <c r="BH29" s="219"/>
      <c r="BI29" s="219"/>
      <c r="BJ29" s="219"/>
      <c r="BK29" s="219"/>
      <c r="BL29" s="219"/>
      <c r="BM29" s="219"/>
      <c r="BN29" s="219"/>
      <c r="BO29" s="219"/>
      <c r="BP29" s="219"/>
      <c r="BQ29" s="219"/>
      <c r="BR29" s="219"/>
      <c r="BS29" s="219"/>
      <c r="BT29" s="219"/>
      <c r="BU29" s="219"/>
      <c r="BV29" s="219"/>
      <c r="BW29" s="219"/>
      <c r="BX29" s="219"/>
      <c r="BY29" s="219"/>
      <c r="BZ29" s="220"/>
      <c r="CA29" s="222"/>
      <c r="CB29" s="219"/>
      <c r="CC29" s="219"/>
      <c r="CD29" s="219"/>
      <c r="CE29" s="219"/>
      <c r="CF29" s="219"/>
      <c r="CG29" s="219"/>
      <c r="CH29" s="219"/>
      <c r="CI29" s="219"/>
      <c r="CJ29" s="219"/>
      <c r="CK29" s="219"/>
      <c r="CL29" s="219"/>
      <c r="CM29" s="219"/>
      <c r="CN29" s="219"/>
      <c r="CO29" s="219"/>
      <c r="CP29" s="219"/>
      <c r="CQ29" s="219"/>
      <c r="CR29" s="219"/>
      <c r="CS29" s="219"/>
      <c r="CT29" s="219"/>
      <c r="CU29" s="219"/>
      <c r="CV29" s="219"/>
      <c r="CW29" s="224"/>
      <c r="CX29" s="66"/>
      <c r="CY29" s="66"/>
      <c r="CZ29" s="65"/>
      <c r="DA29" s="65"/>
      <c r="DB29" s="65"/>
      <c r="DC29" s="65"/>
      <c r="DD29" s="65"/>
      <c r="DE29" s="65"/>
      <c r="DF29" s="65"/>
      <c r="DG29" s="65"/>
      <c r="DH29" s="65"/>
    </row>
    <row r="30" spans="3:112" s="92" customFormat="1" ht="12.75" customHeight="1" thickTop="1">
      <c r="C30" s="66"/>
      <c r="AG30" s="197" t="s">
        <v>863</v>
      </c>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9"/>
      <c r="BD30" s="206" t="s">
        <v>862</v>
      </c>
      <c r="BE30" s="198"/>
      <c r="BF30" s="198"/>
      <c r="BG30" s="198"/>
      <c r="BH30" s="198"/>
      <c r="BI30" s="198"/>
      <c r="BJ30" s="198"/>
      <c r="BK30" s="198"/>
      <c r="BL30" s="198"/>
      <c r="BM30" s="198"/>
      <c r="BN30" s="198"/>
      <c r="BO30" s="198"/>
      <c r="BP30" s="198"/>
      <c r="BQ30" s="198"/>
      <c r="BR30" s="198"/>
      <c r="BS30" s="198"/>
      <c r="BT30" s="198"/>
      <c r="BU30" s="198"/>
      <c r="BV30" s="198"/>
      <c r="BW30" s="198"/>
      <c r="BX30" s="198"/>
      <c r="BY30" s="198"/>
      <c r="BZ30" s="199"/>
      <c r="CA30" s="206" t="s">
        <v>861</v>
      </c>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208"/>
      <c r="CX30" s="66"/>
      <c r="CY30" s="66"/>
      <c r="CZ30" s="65"/>
      <c r="DA30" s="65"/>
      <c r="DB30" s="65"/>
      <c r="DC30" s="65"/>
      <c r="DD30" s="65"/>
      <c r="DE30" s="65"/>
      <c r="DF30" s="65"/>
      <c r="DG30" s="65"/>
      <c r="DH30" s="65"/>
    </row>
    <row r="31" spans="3:112" s="92" customFormat="1" ht="12" customHeight="1">
      <c r="C31" s="65"/>
      <c r="AG31" s="200"/>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2"/>
      <c r="BD31" s="207"/>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2"/>
      <c r="CA31" s="207"/>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9"/>
      <c r="CX31" s="65"/>
      <c r="CY31" s="65"/>
      <c r="CZ31" s="65"/>
      <c r="DA31" s="65"/>
      <c r="DB31" s="65"/>
      <c r="DC31" s="65"/>
      <c r="DD31" s="65"/>
      <c r="DE31" s="65"/>
      <c r="DF31" s="65"/>
      <c r="DG31" s="65"/>
      <c r="DH31" s="65"/>
    </row>
    <row r="32" spans="3:112" s="92" customFormat="1" ht="12" customHeight="1">
      <c r="C32" s="65"/>
      <c r="AG32" s="200"/>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2"/>
      <c r="BD32" s="207"/>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2"/>
      <c r="CA32" s="207"/>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9"/>
      <c r="CX32" s="65"/>
      <c r="CY32" s="65"/>
      <c r="CZ32" s="65"/>
      <c r="DA32" s="65"/>
      <c r="DB32" s="65"/>
      <c r="DC32" s="65"/>
      <c r="DD32" s="65"/>
      <c r="DE32" s="65"/>
      <c r="DF32" s="65"/>
      <c r="DG32" s="65"/>
      <c r="DH32" s="65"/>
    </row>
    <row r="33" spans="3:164" s="92" customFormat="1" ht="12" customHeight="1" thickBot="1">
      <c r="C33" s="65"/>
      <c r="AG33" s="225">
        <v>42955</v>
      </c>
      <c r="AH33" s="193"/>
      <c r="AI33" s="193"/>
      <c r="AJ33" s="193"/>
      <c r="AK33" s="193"/>
      <c r="AL33" s="193"/>
      <c r="AM33" s="193"/>
      <c r="AN33" s="193"/>
      <c r="AO33" s="193"/>
      <c r="AP33" s="193"/>
      <c r="AQ33" s="193"/>
      <c r="AR33" s="193"/>
      <c r="AS33" s="193"/>
      <c r="AT33" s="193"/>
      <c r="AU33" s="193"/>
      <c r="AV33" s="193"/>
      <c r="AW33" s="193"/>
      <c r="AX33" s="193"/>
      <c r="AY33" s="193"/>
      <c r="AZ33" s="193"/>
      <c r="BA33" s="193"/>
      <c r="BB33" s="193"/>
      <c r="BC33" s="193"/>
      <c r="BD33" s="193">
        <v>42955</v>
      </c>
      <c r="BE33" s="193"/>
      <c r="BF33" s="193"/>
      <c r="BG33" s="193"/>
      <c r="BH33" s="193"/>
      <c r="BI33" s="193"/>
      <c r="BJ33" s="193"/>
      <c r="BK33" s="193"/>
      <c r="BL33" s="193"/>
      <c r="BM33" s="193"/>
      <c r="BN33" s="193"/>
      <c r="BO33" s="193"/>
      <c r="BP33" s="193"/>
      <c r="BQ33" s="193"/>
      <c r="BR33" s="193"/>
      <c r="BS33" s="193"/>
      <c r="BT33" s="193"/>
      <c r="BU33" s="193"/>
      <c r="BV33" s="193"/>
      <c r="BW33" s="193"/>
      <c r="BX33" s="193"/>
      <c r="BY33" s="193"/>
      <c r="BZ33" s="193"/>
      <c r="CA33" s="193">
        <v>42955</v>
      </c>
      <c r="CB33" s="195"/>
      <c r="CC33" s="195"/>
      <c r="CD33" s="195"/>
      <c r="CE33" s="195"/>
      <c r="CF33" s="195"/>
      <c r="CG33" s="195"/>
      <c r="CH33" s="195"/>
      <c r="CI33" s="195"/>
      <c r="CJ33" s="195"/>
      <c r="CK33" s="195"/>
      <c r="CL33" s="195"/>
      <c r="CM33" s="195"/>
      <c r="CN33" s="195"/>
      <c r="CO33" s="195"/>
      <c r="CP33" s="195"/>
      <c r="CQ33" s="195"/>
      <c r="CR33" s="195"/>
      <c r="CS33" s="195"/>
      <c r="CT33" s="195"/>
      <c r="CU33" s="195"/>
      <c r="CV33" s="195"/>
      <c r="CW33" s="196"/>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215" t="s">
        <v>74</v>
      </c>
      <c r="K35" s="216"/>
      <c r="L35" s="216"/>
      <c r="M35" s="216"/>
      <c r="N35" s="216"/>
      <c r="O35" s="216"/>
      <c r="P35" s="216"/>
      <c r="Q35" s="216"/>
      <c r="R35" s="216"/>
      <c r="S35" s="216"/>
      <c r="T35" s="216"/>
      <c r="U35" s="216"/>
      <c r="V35" s="216"/>
      <c r="W35" s="216"/>
      <c r="X35" s="216"/>
      <c r="Y35" s="216"/>
      <c r="Z35" s="216"/>
      <c r="AA35" s="216"/>
      <c r="AB35" s="216"/>
      <c r="AC35" s="216"/>
      <c r="AD35" s="216"/>
      <c r="AE35" s="216"/>
      <c r="AF35" s="217"/>
      <c r="AG35" s="221" t="s">
        <v>75</v>
      </c>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7"/>
      <c r="BD35" s="221" t="s">
        <v>76</v>
      </c>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7"/>
      <c r="CA35" s="221" t="s">
        <v>77</v>
      </c>
      <c r="CB35" s="216"/>
      <c r="CC35" s="216"/>
      <c r="CD35" s="216"/>
      <c r="CE35" s="216"/>
      <c r="CF35" s="216"/>
      <c r="CG35" s="216"/>
      <c r="CH35" s="216"/>
      <c r="CI35" s="216"/>
      <c r="CJ35" s="216"/>
      <c r="CK35" s="216"/>
      <c r="CL35" s="216"/>
      <c r="CM35" s="216"/>
      <c r="CN35" s="216"/>
      <c r="CO35" s="216"/>
      <c r="CP35" s="216"/>
      <c r="CQ35" s="216"/>
      <c r="CR35" s="216"/>
      <c r="CS35" s="216"/>
      <c r="CT35" s="216"/>
      <c r="CU35" s="216"/>
      <c r="CV35" s="216"/>
      <c r="CW35" s="223"/>
      <c r="CX35" s="65"/>
      <c r="CY35" s="65"/>
      <c r="CZ35" s="65"/>
      <c r="DA35" s="65"/>
      <c r="DB35" s="65"/>
      <c r="DC35" s="65"/>
      <c r="DD35" s="65"/>
      <c r="DE35" s="65"/>
      <c r="DF35" s="65"/>
      <c r="DG35" s="65"/>
      <c r="DH35" s="65"/>
    </row>
    <row r="36" spans="3:164" s="92" customFormat="1" ht="12" customHeight="1" thickBot="1">
      <c r="C36" s="65"/>
      <c r="J36" s="218"/>
      <c r="K36" s="219"/>
      <c r="L36" s="219"/>
      <c r="M36" s="219"/>
      <c r="N36" s="219"/>
      <c r="O36" s="219"/>
      <c r="P36" s="219"/>
      <c r="Q36" s="219"/>
      <c r="R36" s="219"/>
      <c r="S36" s="219"/>
      <c r="T36" s="219"/>
      <c r="U36" s="219"/>
      <c r="V36" s="219"/>
      <c r="W36" s="219"/>
      <c r="X36" s="219"/>
      <c r="Y36" s="219"/>
      <c r="Z36" s="219"/>
      <c r="AA36" s="219"/>
      <c r="AB36" s="219"/>
      <c r="AC36" s="219"/>
      <c r="AD36" s="219"/>
      <c r="AE36" s="219"/>
      <c r="AF36" s="220"/>
      <c r="AG36" s="222"/>
      <c r="AH36" s="219"/>
      <c r="AI36" s="219"/>
      <c r="AJ36" s="219"/>
      <c r="AK36" s="219"/>
      <c r="AL36" s="219"/>
      <c r="AM36" s="219"/>
      <c r="AN36" s="219"/>
      <c r="AO36" s="219"/>
      <c r="AP36" s="219"/>
      <c r="AQ36" s="219"/>
      <c r="AR36" s="219"/>
      <c r="AS36" s="219"/>
      <c r="AT36" s="219"/>
      <c r="AU36" s="219"/>
      <c r="AV36" s="219"/>
      <c r="AW36" s="219"/>
      <c r="AX36" s="219"/>
      <c r="AY36" s="219"/>
      <c r="AZ36" s="219"/>
      <c r="BA36" s="219"/>
      <c r="BB36" s="219"/>
      <c r="BC36" s="220"/>
      <c r="BD36" s="222"/>
      <c r="BE36" s="219"/>
      <c r="BF36" s="219"/>
      <c r="BG36" s="219"/>
      <c r="BH36" s="219"/>
      <c r="BI36" s="219"/>
      <c r="BJ36" s="219"/>
      <c r="BK36" s="219"/>
      <c r="BL36" s="219"/>
      <c r="BM36" s="219"/>
      <c r="BN36" s="219"/>
      <c r="BO36" s="219"/>
      <c r="BP36" s="219"/>
      <c r="BQ36" s="219"/>
      <c r="BR36" s="219"/>
      <c r="BS36" s="219"/>
      <c r="BT36" s="219"/>
      <c r="BU36" s="219"/>
      <c r="BV36" s="219"/>
      <c r="BW36" s="219"/>
      <c r="BX36" s="219"/>
      <c r="BY36" s="219"/>
      <c r="BZ36" s="220"/>
      <c r="CA36" s="222"/>
      <c r="CB36" s="219"/>
      <c r="CC36" s="219"/>
      <c r="CD36" s="219"/>
      <c r="CE36" s="219"/>
      <c r="CF36" s="219"/>
      <c r="CG36" s="219"/>
      <c r="CH36" s="219"/>
      <c r="CI36" s="219"/>
      <c r="CJ36" s="219"/>
      <c r="CK36" s="219"/>
      <c r="CL36" s="219"/>
      <c r="CM36" s="219"/>
      <c r="CN36" s="219"/>
      <c r="CO36" s="219"/>
      <c r="CP36" s="219"/>
      <c r="CQ36" s="219"/>
      <c r="CR36" s="219"/>
      <c r="CS36" s="219"/>
      <c r="CT36" s="219"/>
      <c r="CU36" s="219"/>
      <c r="CV36" s="219"/>
      <c r="CW36" s="224"/>
      <c r="CX36" s="65"/>
      <c r="CY36" s="65"/>
      <c r="CZ36" s="65"/>
      <c r="DA36" s="65"/>
      <c r="DB36" s="65"/>
      <c r="DC36" s="65"/>
      <c r="DD36" s="65"/>
      <c r="DE36" s="65"/>
      <c r="DF36" s="65"/>
      <c r="DG36" s="65"/>
      <c r="DH36" s="65"/>
    </row>
    <row r="37" spans="3:164" s="92" customFormat="1" ht="12" customHeight="1" thickTop="1">
      <c r="C37" s="65"/>
      <c r="J37" s="197"/>
      <c r="K37" s="198"/>
      <c r="L37" s="198"/>
      <c r="M37" s="198"/>
      <c r="N37" s="198"/>
      <c r="O37" s="198"/>
      <c r="P37" s="198"/>
      <c r="Q37" s="198"/>
      <c r="R37" s="198"/>
      <c r="S37" s="198"/>
      <c r="T37" s="198"/>
      <c r="U37" s="198"/>
      <c r="V37" s="198"/>
      <c r="W37" s="198"/>
      <c r="X37" s="198"/>
      <c r="Y37" s="198"/>
      <c r="Z37" s="198"/>
      <c r="AA37" s="198"/>
      <c r="AB37" s="198"/>
      <c r="AC37" s="198"/>
      <c r="AD37" s="198"/>
      <c r="AE37" s="198"/>
      <c r="AF37" s="199"/>
      <c r="AG37" s="206"/>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9"/>
      <c r="BD37" s="206"/>
      <c r="BE37" s="198"/>
      <c r="BF37" s="198"/>
      <c r="BG37" s="198"/>
      <c r="BH37" s="198"/>
      <c r="BI37" s="198"/>
      <c r="BJ37" s="198"/>
      <c r="BK37" s="198"/>
      <c r="BL37" s="198"/>
      <c r="BM37" s="198"/>
      <c r="BN37" s="198"/>
      <c r="BO37" s="198"/>
      <c r="BP37" s="198"/>
      <c r="BQ37" s="198"/>
      <c r="BR37" s="198"/>
      <c r="BS37" s="198"/>
      <c r="BT37" s="198"/>
      <c r="BU37" s="198"/>
      <c r="BV37" s="198"/>
      <c r="BW37" s="198"/>
      <c r="BX37" s="198"/>
      <c r="BY37" s="198"/>
      <c r="BZ37" s="199"/>
      <c r="CA37" s="206"/>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208"/>
      <c r="CX37" s="65"/>
      <c r="CY37" s="65"/>
      <c r="CZ37" s="65"/>
      <c r="DA37" s="65"/>
      <c r="DB37" s="65"/>
      <c r="DC37" s="65"/>
      <c r="DD37" s="65"/>
      <c r="DE37" s="65"/>
      <c r="DF37" s="65"/>
      <c r="DG37" s="65"/>
      <c r="DH37" s="65"/>
      <c r="DK37" s="188" t="s">
        <v>67</v>
      </c>
      <c r="DL37" s="188"/>
      <c r="DM37" s="188"/>
      <c r="DN37" s="188"/>
      <c r="DO37" s="188"/>
      <c r="DP37" s="188"/>
      <c r="DQ37" s="188"/>
      <c r="DR37" s="188"/>
      <c r="DS37" s="188"/>
      <c r="DT37" s="188"/>
      <c r="DU37" s="188"/>
      <c r="DV37" s="188"/>
      <c r="DW37" s="188"/>
      <c r="DX37" s="188"/>
      <c r="DY37" s="188"/>
      <c r="DZ37" s="188"/>
      <c r="EA37" s="188"/>
      <c r="EB37" s="188"/>
      <c r="EC37" s="188"/>
      <c r="ED37" s="188"/>
      <c r="EE37" s="188"/>
      <c r="EF37" s="188"/>
      <c r="EG37" s="188"/>
      <c r="EH37" s="188"/>
      <c r="EI37" s="188"/>
      <c r="EJ37" s="188"/>
      <c r="EK37" s="188"/>
      <c r="EL37" s="188"/>
      <c r="EM37" s="188"/>
      <c r="EN37" s="188"/>
      <c r="EO37" s="188"/>
      <c r="EP37" s="188"/>
      <c r="EQ37" s="188"/>
      <c r="ER37" s="188"/>
      <c r="ES37" s="188"/>
      <c r="ET37" s="188"/>
      <c r="EU37" s="188"/>
      <c r="EV37" s="188"/>
      <c r="EW37" s="188"/>
      <c r="EX37" s="188"/>
      <c r="EY37" s="188"/>
      <c r="EZ37" s="188"/>
      <c r="FA37" s="188"/>
      <c r="FB37" s="188"/>
      <c r="FC37" s="188"/>
      <c r="FD37" s="188"/>
      <c r="FE37" s="188"/>
      <c r="FF37" s="188"/>
      <c r="FG37" s="188"/>
      <c r="FH37" s="188"/>
    </row>
    <row r="38" spans="3:164" s="92" customFormat="1">
      <c r="C38" s="65"/>
      <c r="J38" s="200"/>
      <c r="K38" s="201"/>
      <c r="L38" s="201"/>
      <c r="M38" s="201"/>
      <c r="N38" s="201"/>
      <c r="O38" s="201"/>
      <c r="P38" s="201"/>
      <c r="Q38" s="201"/>
      <c r="R38" s="201"/>
      <c r="S38" s="201"/>
      <c r="T38" s="201"/>
      <c r="U38" s="201"/>
      <c r="V38" s="201"/>
      <c r="W38" s="201"/>
      <c r="X38" s="201"/>
      <c r="Y38" s="201"/>
      <c r="Z38" s="201"/>
      <c r="AA38" s="201"/>
      <c r="AB38" s="201"/>
      <c r="AC38" s="201"/>
      <c r="AD38" s="201"/>
      <c r="AE38" s="201"/>
      <c r="AF38" s="202"/>
      <c r="AG38" s="207"/>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2"/>
      <c r="BD38" s="207"/>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2"/>
      <c r="CA38" s="207"/>
      <c r="CB38" s="201"/>
      <c r="CC38" s="201"/>
      <c r="CD38" s="201"/>
      <c r="CE38" s="201"/>
      <c r="CF38" s="201"/>
      <c r="CG38" s="201"/>
      <c r="CH38" s="201"/>
      <c r="CI38" s="201"/>
      <c r="CJ38" s="201"/>
      <c r="CK38" s="201"/>
      <c r="CL38" s="201"/>
      <c r="CM38" s="201"/>
      <c r="CN38" s="201"/>
      <c r="CO38" s="201"/>
      <c r="CP38" s="201"/>
      <c r="CQ38" s="201"/>
      <c r="CR38" s="201"/>
      <c r="CS38" s="201"/>
      <c r="CT38" s="201"/>
      <c r="CU38" s="201"/>
      <c r="CV38" s="201"/>
      <c r="CW38" s="209"/>
      <c r="CX38" s="65"/>
      <c r="CY38" s="65"/>
      <c r="CZ38" s="65"/>
      <c r="DA38" s="65"/>
      <c r="DB38" s="65"/>
      <c r="DC38" s="65"/>
      <c r="DD38" s="65"/>
      <c r="DE38" s="65"/>
      <c r="DF38" s="65"/>
      <c r="DG38" s="65"/>
      <c r="DH38" s="65"/>
      <c r="DK38" s="188"/>
      <c r="DL38" s="188"/>
      <c r="DM38" s="188"/>
      <c r="DN38" s="188"/>
      <c r="DO38" s="188"/>
      <c r="DP38" s="188"/>
      <c r="DQ38" s="188"/>
      <c r="DR38" s="188"/>
      <c r="DS38" s="188"/>
      <c r="DT38" s="188"/>
      <c r="DU38" s="188"/>
      <c r="DV38" s="188"/>
      <c r="DW38" s="188"/>
      <c r="DX38" s="188"/>
      <c r="DY38" s="188"/>
      <c r="DZ38" s="188"/>
      <c r="EA38" s="188"/>
      <c r="EB38" s="188"/>
      <c r="EC38" s="188"/>
      <c r="ED38" s="188"/>
      <c r="EE38" s="188"/>
      <c r="EF38" s="188"/>
      <c r="EG38" s="188"/>
      <c r="EH38" s="188"/>
      <c r="EI38" s="188"/>
      <c r="EJ38" s="188"/>
      <c r="EK38" s="188"/>
      <c r="EL38" s="188"/>
      <c r="EM38" s="188"/>
      <c r="EN38" s="188"/>
      <c r="EO38" s="188"/>
      <c r="EP38" s="188"/>
      <c r="EQ38" s="188"/>
      <c r="ER38" s="188"/>
      <c r="ES38" s="188"/>
      <c r="ET38" s="188"/>
      <c r="EU38" s="188"/>
      <c r="EV38" s="188"/>
      <c r="EW38" s="188"/>
      <c r="EX38" s="188"/>
      <c r="EY38" s="188"/>
      <c r="EZ38" s="188"/>
      <c r="FA38" s="188"/>
      <c r="FB38" s="188"/>
      <c r="FC38" s="188"/>
      <c r="FD38" s="188"/>
      <c r="FE38" s="188"/>
      <c r="FF38" s="188"/>
      <c r="FG38" s="188"/>
      <c r="FH38" s="188"/>
    </row>
    <row r="39" spans="3:164" s="92" customFormat="1">
      <c r="J39" s="203"/>
      <c r="K39" s="204"/>
      <c r="L39" s="204"/>
      <c r="M39" s="204"/>
      <c r="N39" s="204"/>
      <c r="O39" s="204"/>
      <c r="P39" s="204"/>
      <c r="Q39" s="204"/>
      <c r="R39" s="204"/>
      <c r="S39" s="204"/>
      <c r="T39" s="204"/>
      <c r="U39" s="204"/>
      <c r="V39" s="204"/>
      <c r="W39" s="204"/>
      <c r="X39" s="204"/>
      <c r="Y39" s="204"/>
      <c r="Z39" s="204"/>
      <c r="AA39" s="204"/>
      <c r="AB39" s="204"/>
      <c r="AC39" s="204"/>
      <c r="AD39" s="204"/>
      <c r="AE39" s="204"/>
      <c r="AF39" s="205"/>
      <c r="AG39" s="207"/>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2"/>
      <c r="BD39" s="207"/>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2"/>
      <c r="CA39" s="207"/>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9"/>
      <c r="DK39" s="189"/>
      <c r="DL39" s="189"/>
      <c r="DM39" s="189"/>
      <c r="DN39" s="189"/>
      <c r="DO39" s="189"/>
      <c r="DP39" s="189"/>
      <c r="DQ39" s="189"/>
      <c r="DR39" s="189"/>
      <c r="DS39" s="189"/>
      <c r="DT39" s="189"/>
      <c r="DU39" s="189"/>
      <c r="DV39" s="189"/>
      <c r="DW39" s="189"/>
      <c r="DX39" s="189"/>
      <c r="DY39" s="189"/>
      <c r="DZ39" s="189"/>
      <c r="EA39" s="189"/>
      <c r="EB39" s="189"/>
      <c r="EC39" s="189"/>
      <c r="ED39" s="189"/>
      <c r="EE39" s="189"/>
      <c r="EF39" s="189"/>
      <c r="EG39" s="189"/>
      <c r="EH39" s="189"/>
      <c r="EI39" s="189"/>
      <c r="EJ39" s="189"/>
      <c r="EK39" s="189"/>
      <c r="EL39" s="189"/>
      <c r="EM39" s="189"/>
      <c r="EN39" s="189"/>
      <c r="EO39" s="189"/>
      <c r="EP39" s="189"/>
      <c r="EQ39" s="189"/>
      <c r="ER39" s="189"/>
      <c r="ES39" s="189"/>
      <c r="ET39" s="189"/>
      <c r="EU39" s="189"/>
      <c r="EV39" s="189"/>
      <c r="EW39" s="189"/>
      <c r="EX39" s="189"/>
      <c r="EY39" s="189"/>
      <c r="EZ39" s="189"/>
      <c r="FA39" s="189"/>
      <c r="FB39" s="189"/>
      <c r="FC39" s="189"/>
      <c r="FD39" s="189"/>
      <c r="FE39" s="189"/>
      <c r="FF39" s="189"/>
      <c r="FG39" s="189"/>
      <c r="FH39" s="189"/>
    </row>
    <row r="40" spans="3:164" s="92" customFormat="1" ht="12.75" thickBot="1">
      <c r="J40" s="190"/>
      <c r="K40" s="191"/>
      <c r="L40" s="191"/>
      <c r="M40" s="191"/>
      <c r="N40" s="191"/>
      <c r="O40" s="191"/>
      <c r="P40" s="191"/>
      <c r="Q40" s="191"/>
      <c r="R40" s="191"/>
      <c r="S40" s="191"/>
      <c r="T40" s="191"/>
      <c r="U40" s="191"/>
      <c r="V40" s="191"/>
      <c r="W40" s="191"/>
      <c r="X40" s="191"/>
      <c r="Y40" s="191"/>
      <c r="Z40" s="191"/>
      <c r="AA40" s="191"/>
      <c r="AB40" s="191"/>
      <c r="AC40" s="191"/>
      <c r="AD40" s="191"/>
      <c r="AE40" s="191"/>
      <c r="AF40" s="192"/>
      <c r="AG40" s="193"/>
      <c r="AH40" s="193"/>
      <c r="AI40" s="193"/>
      <c r="AJ40" s="193"/>
      <c r="AK40" s="193"/>
      <c r="AL40" s="193"/>
      <c r="AM40" s="193"/>
      <c r="AN40" s="193"/>
      <c r="AO40" s="193"/>
      <c r="AP40" s="193"/>
      <c r="AQ40" s="193"/>
      <c r="AR40" s="193"/>
      <c r="AS40" s="193"/>
      <c r="AT40" s="193"/>
      <c r="AU40" s="193"/>
      <c r="AV40" s="193"/>
      <c r="AW40" s="193"/>
      <c r="AX40" s="193"/>
      <c r="AY40" s="193"/>
      <c r="AZ40" s="193"/>
      <c r="BA40" s="193"/>
      <c r="BB40" s="193"/>
      <c r="BC40" s="193"/>
      <c r="BD40" s="193"/>
      <c r="BE40" s="193"/>
      <c r="BF40" s="193"/>
      <c r="BG40" s="193"/>
      <c r="BH40" s="193"/>
      <c r="BI40" s="193"/>
      <c r="BJ40" s="193"/>
      <c r="BK40" s="193"/>
      <c r="BL40" s="193"/>
      <c r="BM40" s="193"/>
      <c r="BN40" s="193"/>
      <c r="BO40" s="193"/>
      <c r="BP40" s="193"/>
      <c r="BQ40" s="193"/>
      <c r="BR40" s="193"/>
      <c r="BS40" s="193"/>
      <c r="BT40" s="193"/>
      <c r="BU40" s="193"/>
      <c r="BV40" s="193"/>
      <c r="BW40" s="193"/>
      <c r="BX40" s="193"/>
      <c r="BY40" s="193"/>
      <c r="BZ40" s="193"/>
      <c r="CA40" s="193"/>
      <c r="CB40" s="193"/>
      <c r="CC40" s="193"/>
      <c r="CD40" s="193"/>
      <c r="CE40" s="193"/>
      <c r="CF40" s="193"/>
      <c r="CG40" s="193"/>
      <c r="CH40" s="193"/>
      <c r="CI40" s="193"/>
      <c r="CJ40" s="193"/>
      <c r="CK40" s="193"/>
      <c r="CL40" s="193"/>
      <c r="CM40" s="193"/>
      <c r="CN40" s="193"/>
      <c r="CO40" s="193"/>
      <c r="CP40" s="193"/>
      <c r="CQ40" s="193"/>
      <c r="CR40" s="193"/>
      <c r="CS40" s="193"/>
      <c r="CT40" s="193"/>
      <c r="CU40" s="193"/>
      <c r="CV40" s="193"/>
      <c r="CW40" s="194"/>
      <c r="DK40" s="189"/>
      <c r="DL40" s="189"/>
      <c r="DM40" s="189"/>
      <c r="DN40" s="189"/>
      <c r="DO40" s="189"/>
      <c r="DP40" s="189"/>
      <c r="DQ40" s="189"/>
      <c r="DR40" s="189"/>
      <c r="DS40" s="189"/>
      <c r="DT40" s="189"/>
      <c r="DU40" s="189"/>
      <c r="DV40" s="189"/>
      <c r="DW40" s="189"/>
      <c r="DX40" s="189"/>
      <c r="DY40" s="189"/>
      <c r="DZ40" s="189"/>
      <c r="EA40" s="189"/>
      <c r="EB40" s="189"/>
      <c r="EC40" s="189"/>
      <c r="ED40" s="189"/>
      <c r="EE40" s="189"/>
      <c r="EF40" s="189"/>
      <c r="EG40" s="189"/>
      <c r="EH40" s="189"/>
      <c r="EI40" s="189"/>
      <c r="EJ40" s="189"/>
      <c r="EK40" s="189"/>
      <c r="EL40" s="189"/>
      <c r="EM40" s="189"/>
      <c r="EN40" s="189"/>
      <c r="EO40" s="189"/>
      <c r="EP40" s="189"/>
      <c r="EQ40" s="189"/>
      <c r="ER40" s="189"/>
      <c r="ES40" s="189"/>
      <c r="ET40" s="189"/>
      <c r="EU40" s="189"/>
      <c r="EV40" s="189"/>
      <c r="EW40" s="189"/>
      <c r="EX40" s="189"/>
      <c r="EY40" s="189"/>
      <c r="EZ40" s="189"/>
      <c r="FA40" s="189"/>
      <c r="FB40" s="189"/>
      <c r="FC40" s="189"/>
      <c r="FD40" s="189"/>
      <c r="FE40" s="189"/>
      <c r="FF40" s="189"/>
      <c r="FG40" s="189"/>
      <c r="FH40" s="189"/>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98</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20"/>
  <sheetViews>
    <sheetView zoomScale="70" zoomScaleNormal="70" workbookViewId="0">
      <pane ySplit="8" topLeftCell="A9" activePane="bottomLeft" state="frozen"/>
      <selection pane="bottomLeft" activeCell="A3" sqref="A3"/>
    </sheetView>
  </sheetViews>
  <sheetFormatPr defaultColWidth="6.875" defaultRowHeight="13.5"/>
  <cols>
    <col min="1" max="1" width="4.5" style="99" bestFit="1" customWidth="1"/>
    <col min="2" max="2" width="9" style="2" customWidth="1"/>
    <col min="3" max="3" width="38.25" style="99" customWidth="1"/>
    <col min="4" max="4" width="38.25" style="161" customWidth="1"/>
    <col min="5" max="5" width="35.75" style="161" customWidth="1"/>
    <col min="6" max="6" width="60.25" style="5" customWidth="1"/>
    <col min="7" max="7" width="8.75" style="14" customWidth="1"/>
    <col min="8" max="8" width="8.75" style="4" customWidth="1"/>
    <col min="9" max="9" width="11.625" style="4" customWidth="1"/>
    <col min="10" max="10" width="8.75" style="4" customWidth="1"/>
    <col min="11" max="11" width="9.375" style="4" customWidth="1"/>
    <col min="12" max="12" width="11.625" style="8" bestFit="1" customWidth="1"/>
    <col min="13" max="13" width="7.5" style="99" bestFit="1" customWidth="1"/>
    <col min="14" max="14" width="9.875" style="99" customWidth="1"/>
    <col min="15" max="15" width="11.625" style="99" bestFit="1" customWidth="1"/>
    <col min="16" max="16" width="7.5" style="99" bestFit="1" customWidth="1"/>
    <col min="17" max="17" width="35.875" style="4" customWidth="1"/>
    <col min="18" max="18" width="35.875" style="99" customWidth="1"/>
    <col min="19" max="19" width="16.75" style="99" customWidth="1"/>
    <col min="20" max="20" width="20" style="99" customWidth="1"/>
    <col min="21" max="21" width="18" style="99" customWidth="1"/>
    <col min="22" max="22" width="6.875" style="186"/>
    <col min="23" max="16384" width="6.875" style="99"/>
  </cols>
  <sheetData>
    <row r="1" spans="1:24">
      <c r="N1" s="99" t="s">
        <v>0</v>
      </c>
      <c r="O1" s="99" t="s">
        <v>85</v>
      </c>
      <c r="P1" s="99" t="s">
        <v>86</v>
      </c>
      <c r="Q1" s="178" t="s">
        <v>823</v>
      </c>
    </row>
    <row r="2" spans="1:24">
      <c r="A2" s="98"/>
      <c r="G2" s="6" t="s">
        <v>1</v>
      </c>
      <c r="H2" s="7" t="s">
        <v>0</v>
      </c>
      <c r="I2" s="7" t="s">
        <v>17</v>
      </c>
      <c r="J2" s="7" t="s">
        <v>21</v>
      </c>
      <c r="K2" s="96"/>
      <c r="L2" s="103" t="s">
        <v>87</v>
      </c>
      <c r="M2" s="12">
        <f>COUNTA(B8:B470)-8</f>
        <v>395</v>
      </c>
      <c r="N2" s="99">
        <f>COUNTIF($H$9:$H$970,"OK")+COUNTIF($H$9:$H970,"－")</f>
        <v>0</v>
      </c>
      <c r="O2" s="99">
        <f>COUNTIF($H$9:$H$970,"NG")</f>
        <v>0</v>
      </c>
      <c r="P2" s="99">
        <f>COUNTIF($H$9:$H$970,"NG（済）")</f>
        <v>0</v>
      </c>
      <c r="Q2" s="178">
        <f>COUNTIF($H$9:$H$970,"未実施")</f>
        <v>0</v>
      </c>
    </row>
    <row r="3" spans="1:24">
      <c r="A3" s="98" t="s">
        <v>2</v>
      </c>
      <c r="B3" s="9" t="s">
        <v>80</v>
      </c>
      <c r="G3" s="10">
        <f>SUM(M2:M5)</f>
        <v>1185</v>
      </c>
      <c r="H3" s="10">
        <f>SUM(N2:N5)</f>
        <v>0</v>
      </c>
      <c r="I3" s="10">
        <f>SUM(O2:O5)</f>
        <v>0</v>
      </c>
      <c r="J3" s="10">
        <f>SUM(P2:P5)</f>
        <v>0</v>
      </c>
      <c r="K3" s="96"/>
      <c r="L3" s="104" t="s">
        <v>88</v>
      </c>
      <c r="M3" s="12">
        <f>COUNTA(B8:B970)-8</f>
        <v>395</v>
      </c>
      <c r="N3" s="99">
        <f>COUNTIF($K$9:$K$970,"OK")+COUNTIF($K$9:$K$970,"－")</f>
        <v>0</v>
      </c>
      <c r="O3" s="99">
        <f>COUNTIF($K$9:$K$970,"NG")</f>
        <v>0</v>
      </c>
      <c r="P3" s="99">
        <f>COUNTIF($K$9:$K$970,"NG（済）")</f>
        <v>0</v>
      </c>
      <c r="Q3" s="178">
        <f>COUNTIF($K$9:$K$970,"未実施")</f>
        <v>0</v>
      </c>
    </row>
    <row r="4" spans="1:24">
      <c r="A4" s="13"/>
      <c r="B4" s="99" t="s">
        <v>482</v>
      </c>
      <c r="L4" s="104" t="s">
        <v>89</v>
      </c>
      <c r="M4" s="12">
        <f>COUNTA(B8:B470)-8</f>
        <v>395</v>
      </c>
      <c r="N4" s="99">
        <f>COUNTIF($N$9:$N$970,"OK")+COUNTIF($N$9:$N$970,"－")</f>
        <v>0</v>
      </c>
      <c r="O4" s="99">
        <f>COUNTIF($N$9:$N$970,"NG")</f>
        <v>0</v>
      </c>
      <c r="P4" s="99">
        <f>COUNTIF($N$9:$N$970,"NG（済）")</f>
        <v>0</v>
      </c>
      <c r="Q4" s="178">
        <f>COUNTIF($N$9:$N$970,"未実施")</f>
        <v>0</v>
      </c>
    </row>
    <row r="5" spans="1:24">
      <c r="A5" s="13" t="s">
        <v>3</v>
      </c>
      <c r="B5" s="98" t="s">
        <v>13</v>
      </c>
      <c r="C5" s="97" t="s">
        <v>494</v>
      </c>
      <c r="D5" s="162"/>
      <c r="L5" s="104"/>
      <c r="M5" s="12"/>
      <c r="Q5" s="97"/>
      <c r="R5" s="13"/>
    </row>
    <row r="6" spans="1:24">
      <c r="A6" s="13"/>
      <c r="B6" s="98"/>
      <c r="L6" s="104"/>
      <c r="Q6" s="177"/>
      <c r="R6" s="13"/>
    </row>
    <row r="7" spans="1:24">
      <c r="B7" s="238" t="s">
        <v>4</v>
      </c>
      <c r="C7" s="240" t="s">
        <v>5</v>
      </c>
      <c r="D7" s="242" t="s">
        <v>79</v>
      </c>
      <c r="E7" s="242" t="s">
        <v>6</v>
      </c>
      <c r="F7" s="244" t="s">
        <v>7</v>
      </c>
      <c r="G7" s="245"/>
      <c r="H7" s="236" t="s">
        <v>90</v>
      </c>
      <c r="I7" s="236"/>
      <c r="J7" s="236"/>
      <c r="K7" s="236" t="s">
        <v>83</v>
      </c>
      <c r="L7" s="236"/>
      <c r="M7" s="236"/>
      <c r="N7" s="236" t="s">
        <v>84</v>
      </c>
      <c r="O7" s="236"/>
      <c r="P7" s="236"/>
      <c r="Q7" s="242" t="s">
        <v>824</v>
      </c>
      <c r="R7" s="242" t="s">
        <v>78</v>
      </c>
      <c r="S7" s="237" t="s">
        <v>14</v>
      </c>
      <c r="T7" s="237"/>
      <c r="U7" s="237"/>
      <c r="V7" s="184"/>
    </row>
    <row r="8" spans="1:24">
      <c r="B8" s="239"/>
      <c r="C8" s="241"/>
      <c r="D8" s="243"/>
      <c r="E8" s="243"/>
      <c r="F8" s="246"/>
      <c r="G8" s="247"/>
      <c r="H8" s="111" t="s">
        <v>8</v>
      </c>
      <c r="I8" s="111" t="s">
        <v>9</v>
      </c>
      <c r="J8" s="111" t="s">
        <v>10</v>
      </c>
      <c r="K8" s="111" t="s">
        <v>8</v>
      </c>
      <c r="L8" s="111" t="s">
        <v>9</v>
      </c>
      <c r="M8" s="111" t="s">
        <v>10</v>
      </c>
      <c r="N8" s="111" t="s">
        <v>8</v>
      </c>
      <c r="O8" s="111" t="s">
        <v>9</v>
      </c>
      <c r="P8" s="111" t="s">
        <v>10</v>
      </c>
      <c r="Q8" s="241"/>
      <c r="R8" s="241"/>
      <c r="S8" s="93"/>
      <c r="T8" s="94"/>
      <c r="U8" s="95"/>
      <c r="V8" s="184"/>
    </row>
    <row r="9" spans="1:24" ht="72.599999999999994" customHeight="1">
      <c r="B9" s="147" t="str">
        <f t="shared" ref="B9" si="0">"1-"&amp;ROW()-8</f>
        <v>1-1</v>
      </c>
      <c r="C9" s="42" t="s">
        <v>483</v>
      </c>
      <c r="D9" s="42" t="s">
        <v>383</v>
      </c>
      <c r="E9" s="42" t="s">
        <v>411</v>
      </c>
      <c r="F9" s="226" t="s">
        <v>99</v>
      </c>
      <c r="G9" s="227"/>
      <c r="H9" s="101"/>
      <c r="I9" s="20"/>
      <c r="J9" s="101"/>
      <c r="K9" s="101"/>
      <c r="L9" s="20"/>
      <c r="M9" s="101"/>
      <c r="N9" s="101"/>
      <c r="O9" s="20"/>
      <c r="P9" s="101"/>
      <c r="Q9" s="101"/>
      <c r="R9" s="101"/>
      <c r="S9" s="100"/>
      <c r="T9" s="102"/>
      <c r="U9" s="102"/>
      <c r="V9" s="184"/>
    </row>
    <row r="10" spans="1:24" ht="41.25" customHeight="1">
      <c r="B10" s="147" t="str">
        <f t="shared" ref="B10:B76" si="1">"1-"&amp;ROW()-8</f>
        <v>1-2</v>
      </c>
      <c r="C10" s="100" t="s">
        <v>82</v>
      </c>
      <c r="D10" s="42" t="s">
        <v>612</v>
      </c>
      <c r="E10" s="42" t="s">
        <v>110</v>
      </c>
      <c r="F10" s="226" t="s">
        <v>101</v>
      </c>
      <c r="G10" s="227"/>
      <c r="H10" s="179"/>
      <c r="I10" s="180"/>
      <c r="J10" s="180"/>
      <c r="K10" s="179"/>
      <c r="L10" s="180"/>
      <c r="M10" s="180"/>
      <c r="N10" s="179"/>
      <c r="O10" s="180"/>
      <c r="P10" s="180"/>
      <c r="Q10" s="179"/>
      <c r="R10" s="101"/>
      <c r="S10" s="100"/>
      <c r="T10" s="102"/>
      <c r="U10" s="102"/>
      <c r="V10" s="184"/>
    </row>
    <row r="11" spans="1:24" ht="41.25" customHeight="1">
      <c r="B11" s="147" t="str">
        <f t="shared" si="1"/>
        <v>1-3</v>
      </c>
      <c r="C11" s="100" t="s">
        <v>82</v>
      </c>
      <c r="D11" s="42" t="s">
        <v>613</v>
      </c>
      <c r="E11" s="42" t="s">
        <v>110</v>
      </c>
      <c r="F11" s="226" t="s">
        <v>101</v>
      </c>
      <c r="G11" s="227"/>
      <c r="H11" s="179"/>
      <c r="I11" s="180"/>
      <c r="J11" s="180"/>
      <c r="K11" s="179"/>
      <c r="L11" s="180"/>
      <c r="M11" s="180"/>
      <c r="N11" s="179"/>
      <c r="O11" s="180"/>
      <c r="P11" s="180"/>
      <c r="Q11" s="179"/>
      <c r="R11" s="101"/>
      <c r="S11" s="100"/>
      <c r="T11" s="102"/>
      <c r="U11" s="102"/>
      <c r="V11" s="184"/>
    </row>
    <row r="12" spans="1:24" ht="45.75" customHeight="1">
      <c r="B12" s="147" t="str">
        <f t="shared" si="1"/>
        <v>1-4</v>
      </c>
      <c r="C12" s="100" t="s">
        <v>385</v>
      </c>
      <c r="D12" s="42" t="s">
        <v>386</v>
      </c>
      <c r="E12" s="42" t="s">
        <v>384</v>
      </c>
      <c r="F12" s="226" t="s">
        <v>387</v>
      </c>
      <c r="G12" s="227"/>
      <c r="H12" s="179"/>
      <c r="I12" s="180"/>
      <c r="J12" s="179"/>
      <c r="K12" s="179"/>
      <c r="L12" s="180"/>
      <c r="M12" s="179"/>
      <c r="N12" s="179"/>
      <c r="O12" s="180"/>
      <c r="P12" s="179"/>
      <c r="Q12" s="179"/>
      <c r="R12" s="101"/>
      <c r="S12" s="100"/>
      <c r="T12" s="102"/>
      <c r="U12" s="102"/>
      <c r="V12" s="184"/>
    </row>
    <row r="13" spans="1:24" ht="41.25" customHeight="1">
      <c r="B13" s="147" t="str">
        <f t="shared" si="1"/>
        <v>1-5</v>
      </c>
      <c r="C13" s="100" t="s">
        <v>388</v>
      </c>
      <c r="D13" s="42" t="s">
        <v>612</v>
      </c>
      <c r="E13" s="42" t="s">
        <v>110</v>
      </c>
      <c r="F13" s="226" t="s">
        <v>101</v>
      </c>
      <c r="G13" s="227"/>
      <c r="H13" s="179"/>
      <c r="I13" s="180"/>
      <c r="J13" s="180"/>
      <c r="K13" s="179"/>
      <c r="L13" s="180"/>
      <c r="M13" s="180"/>
      <c r="N13" s="179"/>
      <c r="O13" s="180"/>
      <c r="P13" s="180"/>
      <c r="Q13" s="179"/>
      <c r="R13" s="101"/>
      <c r="S13" s="100"/>
      <c r="T13" s="102"/>
      <c r="U13" s="102"/>
      <c r="V13" s="184"/>
    </row>
    <row r="14" spans="1:24" ht="41.25" customHeight="1">
      <c r="B14" s="147" t="str">
        <f t="shared" si="1"/>
        <v>1-6</v>
      </c>
      <c r="C14" s="100" t="s">
        <v>385</v>
      </c>
      <c r="D14" s="42" t="s">
        <v>613</v>
      </c>
      <c r="E14" s="42" t="s">
        <v>110</v>
      </c>
      <c r="F14" s="226" t="s">
        <v>101</v>
      </c>
      <c r="G14" s="227"/>
      <c r="H14" s="179"/>
      <c r="I14" s="180"/>
      <c r="J14" s="180"/>
      <c r="K14" s="179"/>
      <c r="L14" s="180"/>
      <c r="M14" s="180"/>
      <c r="N14" s="179"/>
      <c r="O14" s="180"/>
      <c r="P14" s="180"/>
      <c r="Q14" s="179"/>
      <c r="R14" s="101"/>
      <c r="S14" s="100"/>
      <c r="T14" s="102"/>
      <c r="U14" s="102"/>
      <c r="V14" s="184"/>
    </row>
    <row r="15" spans="1:24" ht="48.95" customHeight="1">
      <c r="B15" s="147" t="str">
        <f t="shared" si="1"/>
        <v>1-7</v>
      </c>
      <c r="C15" s="100" t="s">
        <v>82</v>
      </c>
      <c r="D15" s="42" t="s">
        <v>606</v>
      </c>
      <c r="E15" s="42" t="s">
        <v>384</v>
      </c>
      <c r="F15" s="226" t="s">
        <v>607</v>
      </c>
      <c r="G15" s="227"/>
      <c r="H15" s="179"/>
      <c r="I15" s="180"/>
      <c r="J15" s="179"/>
      <c r="K15" s="179"/>
      <c r="L15" s="180"/>
      <c r="M15" s="179"/>
      <c r="N15" s="179"/>
      <c r="O15" s="180"/>
      <c r="P15" s="179"/>
      <c r="Q15" s="179"/>
      <c r="R15" s="101"/>
      <c r="S15" s="100"/>
      <c r="T15" s="102"/>
      <c r="U15" s="102"/>
      <c r="V15" s="184"/>
      <c r="W15" s="116"/>
      <c r="X15" s="116"/>
    </row>
    <row r="16" spans="1:24" ht="48.95" customHeight="1">
      <c r="B16" s="147" t="str">
        <f t="shared" si="1"/>
        <v>1-8</v>
      </c>
      <c r="C16" s="100" t="s">
        <v>82</v>
      </c>
      <c r="D16" s="42" t="s">
        <v>614</v>
      </c>
      <c r="E16" s="42" t="s">
        <v>110</v>
      </c>
      <c r="F16" s="226" t="s">
        <v>101</v>
      </c>
      <c r="G16" s="227"/>
      <c r="H16" s="179"/>
      <c r="I16" s="180"/>
      <c r="J16" s="180"/>
      <c r="K16" s="179"/>
      <c r="L16" s="180"/>
      <c r="M16" s="180"/>
      <c r="N16" s="179"/>
      <c r="O16" s="180"/>
      <c r="P16" s="180"/>
      <c r="Q16" s="179"/>
      <c r="R16" s="101"/>
      <c r="S16" s="100"/>
      <c r="T16" s="102"/>
      <c r="U16" s="102"/>
      <c r="V16" s="184"/>
      <c r="W16" s="116"/>
      <c r="X16" s="116"/>
    </row>
    <row r="17" spans="2:24" ht="48.95" customHeight="1">
      <c r="B17" s="147" t="str">
        <f t="shared" si="1"/>
        <v>1-9</v>
      </c>
      <c r="C17" s="100" t="s">
        <v>82</v>
      </c>
      <c r="D17" s="42" t="s">
        <v>615</v>
      </c>
      <c r="E17" s="42" t="s">
        <v>110</v>
      </c>
      <c r="F17" s="226" t="s">
        <v>101</v>
      </c>
      <c r="G17" s="227"/>
      <c r="H17" s="179"/>
      <c r="I17" s="180"/>
      <c r="J17" s="180"/>
      <c r="K17" s="179"/>
      <c r="L17" s="180"/>
      <c r="M17" s="180"/>
      <c r="N17" s="179"/>
      <c r="O17" s="180"/>
      <c r="P17" s="180"/>
      <c r="Q17" s="179"/>
      <c r="R17" s="101"/>
      <c r="S17" s="100"/>
      <c r="T17" s="102"/>
      <c r="U17" s="102"/>
      <c r="V17" s="184"/>
      <c r="W17" s="116"/>
      <c r="X17" s="116"/>
    </row>
    <row r="18" spans="2:24" ht="48.95" customHeight="1">
      <c r="B18" s="147" t="str">
        <f t="shared" si="1"/>
        <v>1-10</v>
      </c>
      <c r="C18" s="100" t="s">
        <v>82</v>
      </c>
      <c r="D18" s="42" t="s">
        <v>616</v>
      </c>
      <c r="E18" s="42" t="s">
        <v>411</v>
      </c>
      <c r="F18" s="226" t="s">
        <v>144</v>
      </c>
      <c r="G18" s="227"/>
      <c r="H18" s="179"/>
      <c r="I18" s="180"/>
      <c r="J18" s="179"/>
      <c r="K18" s="179"/>
      <c r="L18" s="180"/>
      <c r="M18" s="179"/>
      <c r="N18" s="179"/>
      <c r="O18" s="180"/>
      <c r="P18" s="179"/>
      <c r="Q18" s="179"/>
      <c r="R18" s="101"/>
      <c r="S18" s="100"/>
      <c r="T18" s="102"/>
      <c r="U18" s="102"/>
      <c r="V18" s="184"/>
      <c r="W18" s="116"/>
      <c r="X18" s="116"/>
    </row>
    <row r="19" spans="2:24" ht="48.95" customHeight="1">
      <c r="B19" s="147" t="str">
        <f t="shared" si="1"/>
        <v>1-11</v>
      </c>
      <c r="C19" s="100" t="s">
        <v>82</v>
      </c>
      <c r="D19" s="42" t="s">
        <v>612</v>
      </c>
      <c r="E19" s="42" t="s">
        <v>110</v>
      </c>
      <c r="F19" s="226" t="s">
        <v>101</v>
      </c>
      <c r="G19" s="227"/>
      <c r="H19" s="179"/>
      <c r="I19" s="180"/>
      <c r="J19" s="180"/>
      <c r="K19" s="179"/>
      <c r="L19" s="180"/>
      <c r="M19" s="180"/>
      <c r="N19" s="179"/>
      <c r="O19" s="180"/>
      <c r="P19" s="180"/>
      <c r="Q19" s="179"/>
      <c r="R19" s="101"/>
      <c r="S19" s="100"/>
      <c r="T19" s="102"/>
      <c r="U19" s="102"/>
      <c r="V19" s="184"/>
      <c r="W19" s="116"/>
      <c r="X19" s="116"/>
    </row>
    <row r="20" spans="2:24" ht="48.95" customHeight="1">
      <c r="B20" s="147" t="str">
        <f t="shared" si="1"/>
        <v>1-12</v>
      </c>
      <c r="C20" s="100" t="s">
        <v>82</v>
      </c>
      <c r="D20" s="42" t="s">
        <v>613</v>
      </c>
      <c r="E20" s="42" t="s">
        <v>110</v>
      </c>
      <c r="F20" s="226" t="s">
        <v>101</v>
      </c>
      <c r="G20" s="227"/>
      <c r="H20" s="179"/>
      <c r="I20" s="180"/>
      <c r="J20" s="180"/>
      <c r="K20" s="179"/>
      <c r="L20" s="180"/>
      <c r="M20" s="180"/>
      <c r="N20" s="179"/>
      <c r="O20" s="180"/>
      <c r="P20" s="180"/>
      <c r="Q20" s="179"/>
      <c r="R20" s="101"/>
      <c r="S20" s="100"/>
      <c r="T20" s="102"/>
      <c r="U20" s="102"/>
      <c r="V20" s="184"/>
      <c r="W20" s="116"/>
      <c r="X20" s="116"/>
    </row>
    <row r="21" spans="2:24" ht="48.95" customHeight="1">
      <c r="B21" s="147" t="str">
        <f t="shared" si="1"/>
        <v>1-13</v>
      </c>
      <c r="C21" s="100" t="s">
        <v>82</v>
      </c>
      <c r="D21" s="42" t="s">
        <v>617</v>
      </c>
      <c r="E21" s="42" t="s">
        <v>62</v>
      </c>
      <c r="F21" s="226" t="s">
        <v>486</v>
      </c>
      <c r="G21" s="227"/>
      <c r="H21" s="101"/>
      <c r="I21" s="20"/>
      <c r="J21" s="101"/>
      <c r="K21" s="101"/>
      <c r="L21" s="20"/>
      <c r="M21" s="101"/>
      <c r="N21" s="101"/>
      <c r="O21" s="20"/>
      <c r="P21" s="101"/>
      <c r="Q21" s="179"/>
      <c r="R21" s="101"/>
      <c r="S21" s="100"/>
      <c r="T21" s="102"/>
      <c r="U21" s="102"/>
      <c r="V21" s="184"/>
      <c r="W21" s="146"/>
      <c r="X21" s="146"/>
    </row>
    <row r="22" spans="2:24" ht="34.5" customHeight="1">
      <c r="B22" s="147" t="str">
        <f t="shared" si="1"/>
        <v>1-14</v>
      </c>
      <c r="C22" s="100" t="s">
        <v>385</v>
      </c>
      <c r="D22" s="42"/>
      <c r="E22" s="42" t="s">
        <v>62</v>
      </c>
      <c r="F22" s="226" t="s">
        <v>389</v>
      </c>
      <c r="G22" s="227"/>
      <c r="H22" s="101"/>
      <c r="I22" s="20"/>
      <c r="J22" s="101"/>
      <c r="K22" s="101"/>
      <c r="L22" s="20"/>
      <c r="M22" s="101"/>
      <c r="N22" s="101"/>
      <c r="O22" s="20"/>
      <c r="P22" s="101"/>
      <c r="Q22" s="101"/>
      <c r="R22" s="101"/>
      <c r="S22" s="100"/>
      <c r="T22" s="102"/>
      <c r="U22" s="102"/>
      <c r="V22" s="184"/>
    </row>
    <row r="23" spans="2:24" ht="34.5" customHeight="1">
      <c r="B23" s="147" t="str">
        <f t="shared" si="1"/>
        <v>1-15</v>
      </c>
      <c r="C23" s="100" t="s">
        <v>390</v>
      </c>
      <c r="D23" s="42" t="s">
        <v>385</v>
      </c>
      <c r="E23" s="42" t="s">
        <v>62</v>
      </c>
      <c r="F23" s="226" t="s">
        <v>91</v>
      </c>
      <c r="G23" s="227"/>
      <c r="H23" s="101"/>
      <c r="I23" s="20"/>
      <c r="J23" s="101"/>
      <c r="K23" s="101"/>
      <c r="L23" s="20"/>
      <c r="M23" s="101"/>
      <c r="N23" s="101"/>
      <c r="O23" s="20"/>
      <c r="P23" s="101"/>
      <c r="Q23" s="101"/>
      <c r="R23" s="101"/>
      <c r="S23" s="100"/>
      <c r="T23" s="102"/>
      <c r="U23" s="102"/>
      <c r="V23" s="184"/>
      <c r="W23" s="146"/>
      <c r="X23" s="146"/>
    </row>
    <row r="24" spans="2:24" ht="34.5" customHeight="1">
      <c r="B24" s="147" t="str">
        <f t="shared" si="1"/>
        <v>1-16</v>
      </c>
      <c r="C24" s="100" t="s">
        <v>385</v>
      </c>
      <c r="D24" s="42" t="s">
        <v>390</v>
      </c>
      <c r="E24" s="42" t="s">
        <v>62</v>
      </c>
      <c r="F24" s="226" t="s">
        <v>92</v>
      </c>
      <c r="G24" s="227"/>
      <c r="H24" s="101"/>
      <c r="I24" s="20"/>
      <c r="J24" s="101"/>
      <c r="K24" s="101"/>
      <c r="L24" s="20"/>
      <c r="M24" s="101"/>
      <c r="N24" s="101"/>
      <c r="O24" s="20"/>
      <c r="P24" s="101"/>
      <c r="Q24" s="101"/>
      <c r="R24" s="101"/>
      <c r="S24" s="100"/>
      <c r="T24" s="102"/>
      <c r="U24" s="102"/>
      <c r="V24" s="184"/>
      <c r="W24" s="146"/>
      <c r="X24" s="146"/>
    </row>
    <row r="25" spans="2:24" ht="38.1" customHeight="1">
      <c r="B25" s="147" t="str">
        <f t="shared" si="1"/>
        <v>1-17</v>
      </c>
      <c r="C25" s="100"/>
      <c r="D25" s="42" t="s">
        <v>390</v>
      </c>
      <c r="E25" s="42" t="s">
        <v>391</v>
      </c>
      <c r="F25" s="226" t="s">
        <v>392</v>
      </c>
      <c r="G25" s="227"/>
      <c r="H25" s="101"/>
      <c r="I25" s="20"/>
      <c r="J25" s="101"/>
      <c r="K25" s="101"/>
      <c r="L25" s="20"/>
      <c r="M25" s="101"/>
      <c r="N25" s="101"/>
      <c r="O25" s="20"/>
      <c r="P25" s="101"/>
      <c r="Q25" s="183"/>
      <c r="R25" s="101"/>
      <c r="S25" s="100"/>
      <c r="T25" s="102"/>
      <c r="U25" s="102"/>
      <c r="V25" s="184"/>
      <c r="W25" s="146"/>
      <c r="X25" s="146"/>
    </row>
    <row r="26" spans="2:24" ht="38.1" customHeight="1">
      <c r="B26" s="147" t="str">
        <f t="shared" si="1"/>
        <v>1-18</v>
      </c>
      <c r="C26" s="100"/>
      <c r="D26" s="42" t="s">
        <v>393</v>
      </c>
      <c r="E26" s="42" t="s">
        <v>391</v>
      </c>
      <c r="F26" s="226" t="s">
        <v>91</v>
      </c>
      <c r="G26" s="227"/>
      <c r="H26" s="101"/>
      <c r="I26" s="20"/>
      <c r="J26" s="101"/>
      <c r="K26" s="101"/>
      <c r="L26" s="20"/>
      <c r="M26" s="101"/>
      <c r="N26" s="101"/>
      <c r="O26" s="20"/>
      <c r="P26" s="101"/>
      <c r="Q26" s="183"/>
      <c r="R26" s="182"/>
      <c r="S26" s="100"/>
      <c r="T26" s="102"/>
      <c r="U26" s="102"/>
      <c r="V26" s="184"/>
      <c r="W26" s="146"/>
      <c r="X26" s="146"/>
    </row>
    <row r="27" spans="2:24" ht="38.1" customHeight="1">
      <c r="B27" s="147" t="str">
        <f t="shared" si="1"/>
        <v>1-19</v>
      </c>
      <c r="C27" s="100"/>
      <c r="D27" s="42" t="s">
        <v>390</v>
      </c>
      <c r="E27" s="42" t="s">
        <v>394</v>
      </c>
      <c r="F27" s="226" t="s">
        <v>92</v>
      </c>
      <c r="G27" s="227"/>
      <c r="H27" s="101"/>
      <c r="I27" s="20"/>
      <c r="J27" s="101"/>
      <c r="K27" s="101"/>
      <c r="L27" s="20"/>
      <c r="M27" s="101"/>
      <c r="N27" s="101"/>
      <c r="O27" s="20"/>
      <c r="P27" s="101"/>
      <c r="Q27" s="183"/>
      <c r="R27" s="101"/>
      <c r="S27" s="100"/>
      <c r="T27" s="102"/>
      <c r="U27" s="102"/>
      <c r="V27" s="184"/>
      <c r="W27" s="146"/>
      <c r="X27" s="146"/>
    </row>
    <row r="28" spans="2:24" ht="54" customHeight="1">
      <c r="B28" s="147" t="str">
        <f t="shared" si="1"/>
        <v>1-20</v>
      </c>
      <c r="C28" s="100" t="s">
        <v>395</v>
      </c>
      <c r="D28" s="42" t="s">
        <v>396</v>
      </c>
      <c r="E28" s="42" t="s">
        <v>62</v>
      </c>
      <c r="F28" s="226" t="s">
        <v>146</v>
      </c>
      <c r="G28" s="227"/>
      <c r="H28" s="101"/>
      <c r="I28" s="20"/>
      <c r="J28" s="101"/>
      <c r="K28" s="101"/>
      <c r="L28" s="20"/>
      <c r="M28" s="101"/>
      <c r="N28" s="101"/>
      <c r="O28" s="20"/>
      <c r="P28" s="101"/>
      <c r="Q28" s="233"/>
      <c r="R28" s="230"/>
      <c r="S28" s="100"/>
      <c r="T28" s="102"/>
      <c r="U28" s="102"/>
      <c r="V28" s="184"/>
      <c r="W28" s="112"/>
      <c r="X28" s="112"/>
    </row>
    <row r="29" spans="2:24" ht="51.75" customHeight="1">
      <c r="B29" s="147" t="str">
        <f t="shared" si="1"/>
        <v>1-21</v>
      </c>
      <c r="C29" s="100" t="s">
        <v>82</v>
      </c>
      <c r="D29" s="42" t="s">
        <v>397</v>
      </c>
      <c r="E29" s="42" t="s">
        <v>62</v>
      </c>
      <c r="F29" s="226" t="s">
        <v>146</v>
      </c>
      <c r="G29" s="227"/>
      <c r="H29" s="101"/>
      <c r="I29" s="20"/>
      <c r="J29" s="101"/>
      <c r="K29" s="101"/>
      <c r="L29" s="20"/>
      <c r="M29" s="101"/>
      <c r="N29" s="101"/>
      <c r="O29" s="20"/>
      <c r="P29" s="101"/>
      <c r="Q29" s="234"/>
      <c r="R29" s="231"/>
      <c r="S29" s="100"/>
      <c r="T29" s="102"/>
      <c r="U29" s="102"/>
      <c r="V29" s="184"/>
      <c r="W29" s="126"/>
      <c r="X29" s="126"/>
    </row>
    <row r="30" spans="2:24" ht="51.75" customHeight="1">
      <c r="B30" s="147" t="str">
        <f t="shared" si="1"/>
        <v>1-22</v>
      </c>
      <c r="C30" s="100" t="s">
        <v>82</v>
      </c>
      <c r="D30" s="42" t="s">
        <v>398</v>
      </c>
      <c r="E30" s="42" t="s">
        <v>62</v>
      </c>
      <c r="F30" s="226" t="s">
        <v>146</v>
      </c>
      <c r="G30" s="227"/>
      <c r="H30" s="101"/>
      <c r="I30" s="20"/>
      <c r="J30" s="101"/>
      <c r="K30" s="101"/>
      <c r="L30" s="20"/>
      <c r="M30" s="101"/>
      <c r="N30" s="101"/>
      <c r="O30" s="20"/>
      <c r="P30" s="101"/>
      <c r="Q30" s="234"/>
      <c r="R30" s="231"/>
      <c r="S30" s="100"/>
      <c r="T30" s="102"/>
      <c r="U30" s="102"/>
      <c r="V30" s="184"/>
      <c r="W30" s="126"/>
      <c r="X30" s="126"/>
    </row>
    <row r="31" spans="2:24" ht="51.75" customHeight="1">
      <c r="B31" s="147" t="str">
        <f t="shared" si="1"/>
        <v>1-23</v>
      </c>
      <c r="C31" s="100" t="s">
        <v>82</v>
      </c>
      <c r="D31" s="42" t="s">
        <v>399</v>
      </c>
      <c r="E31" s="42" t="s">
        <v>62</v>
      </c>
      <c r="F31" s="226" t="s">
        <v>146</v>
      </c>
      <c r="G31" s="227"/>
      <c r="H31" s="101"/>
      <c r="I31" s="20"/>
      <c r="J31" s="101"/>
      <c r="K31" s="101"/>
      <c r="L31" s="20"/>
      <c r="M31" s="101"/>
      <c r="N31" s="101"/>
      <c r="O31" s="20"/>
      <c r="P31" s="101"/>
      <c r="Q31" s="234"/>
      <c r="R31" s="231"/>
      <c r="S31" s="100"/>
      <c r="T31" s="102"/>
      <c r="U31" s="102"/>
      <c r="V31" s="184"/>
      <c r="W31" s="126"/>
      <c r="X31" s="126"/>
    </row>
    <row r="32" spans="2:24" ht="51.75" customHeight="1">
      <c r="B32" s="147" t="str">
        <f t="shared" si="1"/>
        <v>1-24</v>
      </c>
      <c r="C32" s="100" t="s">
        <v>82</v>
      </c>
      <c r="D32" s="42" t="s">
        <v>400</v>
      </c>
      <c r="E32" s="42" t="s">
        <v>62</v>
      </c>
      <c r="F32" s="226" t="s">
        <v>146</v>
      </c>
      <c r="G32" s="227"/>
      <c r="H32" s="101"/>
      <c r="I32" s="20"/>
      <c r="J32" s="101"/>
      <c r="K32" s="101"/>
      <c r="L32" s="20"/>
      <c r="M32" s="101"/>
      <c r="N32" s="101"/>
      <c r="O32" s="20"/>
      <c r="P32" s="101"/>
      <c r="Q32" s="234"/>
      <c r="R32" s="231"/>
      <c r="S32" s="100"/>
      <c r="T32" s="102"/>
      <c r="U32" s="102"/>
      <c r="V32" s="184"/>
      <c r="W32" s="126"/>
      <c r="X32" s="126"/>
    </row>
    <row r="33" spans="2:24" ht="51.75" customHeight="1">
      <c r="B33" s="147" t="str">
        <f t="shared" si="1"/>
        <v>1-25</v>
      </c>
      <c r="C33" s="100" t="s">
        <v>82</v>
      </c>
      <c r="D33" s="42" t="s">
        <v>401</v>
      </c>
      <c r="E33" s="42" t="s">
        <v>62</v>
      </c>
      <c r="F33" s="226" t="s">
        <v>146</v>
      </c>
      <c r="G33" s="227"/>
      <c r="H33" s="101"/>
      <c r="I33" s="20"/>
      <c r="J33" s="101"/>
      <c r="K33" s="101"/>
      <c r="L33" s="20"/>
      <c r="M33" s="101"/>
      <c r="N33" s="101"/>
      <c r="O33" s="20"/>
      <c r="P33" s="101"/>
      <c r="Q33" s="235"/>
      <c r="R33" s="232"/>
      <c r="S33" s="100"/>
      <c r="T33" s="102"/>
      <c r="U33" s="102"/>
      <c r="V33" s="184"/>
      <c r="W33" s="126"/>
      <c r="X33" s="126"/>
    </row>
    <row r="34" spans="2:24" ht="81" customHeight="1">
      <c r="B34" s="147" t="str">
        <f t="shared" si="1"/>
        <v>1-26</v>
      </c>
      <c r="C34" s="100" t="s">
        <v>402</v>
      </c>
      <c r="D34" s="42" t="s">
        <v>396</v>
      </c>
      <c r="E34" s="42" t="s">
        <v>62</v>
      </c>
      <c r="F34" s="226" t="s">
        <v>149</v>
      </c>
      <c r="G34" s="227"/>
      <c r="H34" s="101"/>
      <c r="I34" s="20"/>
      <c r="J34" s="101"/>
      <c r="K34" s="101"/>
      <c r="L34" s="20"/>
      <c r="M34" s="101"/>
      <c r="N34" s="101"/>
      <c r="O34" s="20"/>
      <c r="P34" s="101"/>
      <c r="Q34" s="233"/>
      <c r="R34" s="230"/>
      <c r="S34" s="100"/>
      <c r="T34" s="102"/>
      <c r="U34" s="102"/>
      <c r="V34" s="184"/>
    </row>
    <row r="35" spans="2:24" ht="41.25" customHeight="1">
      <c r="B35" s="147" t="str">
        <f t="shared" si="1"/>
        <v>1-27</v>
      </c>
      <c r="C35" s="100" t="s">
        <v>82</v>
      </c>
      <c r="D35" s="42" t="s">
        <v>397</v>
      </c>
      <c r="E35" s="42" t="s">
        <v>62</v>
      </c>
      <c r="F35" s="226" t="s">
        <v>149</v>
      </c>
      <c r="G35" s="227"/>
      <c r="H35" s="101"/>
      <c r="I35" s="20"/>
      <c r="J35" s="101"/>
      <c r="K35" s="101"/>
      <c r="L35" s="20"/>
      <c r="M35" s="101"/>
      <c r="N35" s="101"/>
      <c r="O35" s="20"/>
      <c r="P35" s="101"/>
      <c r="Q35" s="234"/>
      <c r="R35" s="231"/>
      <c r="S35" s="100"/>
      <c r="T35" s="102"/>
      <c r="U35" s="102"/>
      <c r="V35" s="184"/>
    </row>
    <row r="36" spans="2:24" ht="41.25" customHeight="1">
      <c r="B36" s="147" t="str">
        <f t="shared" si="1"/>
        <v>1-28</v>
      </c>
      <c r="C36" s="100" t="s">
        <v>82</v>
      </c>
      <c r="D36" s="42" t="s">
        <v>398</v>
      </c>
      <c r="E36" s="42" t="s">
        <v>62</v>
      </c>
      <c r="F36" s="226" t="s">
        <v>149</v>
      </c>
      <c r="G36" s="227"/>
      <c r="H36" s="101"/>
      <c r="I36" s="20"/>
      <c r="J36" s="101"/>
      <c r="K36" s="101"/>
      <c r="L36" s="20"/>
      <c r="M36" s="101"/>
      <c r="N36" s="101"/>
      <c r="O36" s="20"/>
      <c r="P36" s="101"/>
      <c r="Q36" s="234"/>
      <c r="R36" s="231"/>
      <c r="S36" s="100"/>
      <c r="T36" s="102"/>
      <c r="U36" s="102"/>
      <c r="V36" s="184"/>
    </row>
    <row r="37" spans="2:24" ht="41.25" customHeight="1">
      <c r="B37" s="147" t="str">
        <f t="shared" si="1"/>
        <v>1-29</v>
      </c>
      <c r="C37" s="100" t="s">
        <v>82</v>
      </c>
      <c r="D37" s="42" t="s">
        <v>399</v>
      </c>
      <c r="E37" s="42" t="s">
        <v>62</v>
      </c>
      <c r="F37" s="226" t="s">
        <v>149</v>
      </c>
      <c r="G37" s="227"/>
      <c r="H37" s="101"/>
      <c r="I37" s="20"/>
      <c r="J37" s="101"/>
      <c r="K37" s="101"/>
      <c r="L37" s="20"/>
      <c r="M37" s="101"/>
      <c r="N37" s="101"/>
      <c r="O37" s="20"/>
      <c r="P37" s="101"/>
      <c r="Q37" s="234"/>
      <c r="R37" s="231"/>
      <c r="S37" s="100"/>
      <c r="T37" s="102"/>
      <c r="U37" s="102"/>
      <c r="V37" s="184"/>
    </row>
    <row r="38" spans="2:24" ht="41.25" customHeight="1">
      <c r="B38" s="147" t="str">
        <f t="shared" si="1"/>
        <v>1-30</v>
      </c>
      <c r="C38" s="100" t="s">
        <v>82</v>
      </c>
      <c r="D38" s="42" t="s">
        <v>400</v>
      </c>
      <c r="E38" s="42" t="s">
        <v>62</v>
      </c>
      <c r="F38" s="226" t="s">
        <v>149</v>
      </c>
      <c r="G38" s="227"/>
      <c r="H38" s="101"/>
      <c r="I38" s="20"/>
      <c r="J38" s="101"/>
      <c r="K38" s="101"/>
      <c r="L38" s="20"/>
      <c r="M38" s="101"/>
      <c r="N38" s="101"/>
      <c r="O38" s="20"/>
      <c r="P38" s="101"/>
      <c r="Q38" s="234"/>
      <c r="R38" s="231"/>
      <c r="S38" s="100"/>
      <c r="T38" s="102"/>
      <c r="U38" s="102"/>
      <c r="V38" s="184"/>
    </row>
    <row r="39" spans="2:24" ht="41.25" customHeight="1">
      <c r="B39" s="147" t="str">
        <f t="shared" si="1"/>
        <v>1-31</v>
      </c>
      <c r="C39" s="100" t="s">
        <v>82</v>
      </c>
      <c r="D39" s="42" t="s">
        <v>401</v>
      </c>
      <c r="E39" s="42" t="s">
        <v>62</v>
      </c>
      <c r="F39" s="226" t="s">
        <v>149</v>
      </c>
      <c r="G39" s="227"/>
      <c r="H39" s="101"/>
      <c r="I39" s="20"/>
      <c r="J39" s="101"/>
      <c r="K39" s="101"/>
      <c r="L39" s="20"/>
      <c r="M39" s="101"/>
      <c r="N39" s="101"/>
      <c r="O39" s="20"/>
      <c r="P39" s="101"/>
      <c r="Q39" s="235"/>
      <c r="R39" s="232"/>
      <c r="S39" s="100"/>
      <c r="T39" s="102"/>
      <c r="U39" s="102"/>
      <c r="V39" s="184"/>
    </row>
    <row r="40" spans="2:24" ht="45" customHeight="1">
      <c r="B40" s="147" t="str">
        <f t="shared" si="1"/>
        <v>1-32</v>
      </c>
      <c r="C40" s="42" t="s">
        <v>609</v>
      </c>
      <c r="D40" s="42" t="s">
        <v>107</v>
      </c>
      <c r="E40" s="100" t="s">
        <v>641</v>
      </c>
      <c r="F40" s="226" t="s">
        <v>608</v>
      </c>
      <c r="G40" s="227"/>
      <c r="H40" s="101"/>
      <c r="I40" s="20"/>
      <c r="J40" s="101"/>
      <c r="K40" s="101"/>
      <c r="L40" s="20"/>
      <c r="M40" s="101"/>
      <c r="N40" s="101"/>
      <c r="O40" s="20"/>
      <c r="P40" s="101"/>
      <c r="Q40" s="183"/>
      <c r="R40" s="101"/>
      <c r="S40" s="100"/>
      <c r="T40" s="102"/>
      <c r="U40" s="102"/>
      <c r="V40" s="184"/>
    </row>
    <row r="41" spans="2:24" ht="45" customHeight="1">
      <c r="B41" s="147" t="str">
        <f t="shared" si="1"/>
        <v>1-33</v>
      </c>
      <c r="C41" s="100" t="s">
        <v>82</v>
      </c>
      <c r="D41" s="100" t="s">
        <v>82</v>
      </c>
      <c r="E41" s="100" t="s">
        <v>642</v>
      </c>
      <c r="F41" s="226" t="s">
        <v>643</v>
      </c>
      <c r="G41" s="227"/>
      <c r="H41" s="101"/>
      <c r="I41" s="20"/>
      <c r="J41" s="101"/>
      <c r="K41" s="101"/>
      <c r="L41" s="20"/>
      <c r="M41" s="101"/>
      <c r="N41" s="101"/>
      <c r="O41" s="20"/>
      <c r="P41" s="101"/>
      <c r="Q41" s="183"/>
      <c r="R41" s="101"/>
      <c r="S41" s="100"/>
      <c r="T41" s="102"/>
      <c r="U41" s="102"/>
      <c r="V41" s="184"/>
    </row>
    <row r="42" spans="2:24" ht="45" customHeight="1">
      <c r="B42" s="147" t="str">
        <f t="shared" si="1"/>
        <v>1-34</v>
      </c>
      <c r="C42" s="100" t="s">
        <v>82</v>
      </c>
      <c r="D42" s="42" t="s">
        <v>610</v>
      </c>
      <c r="E42" s="42" t="s">
        <v>252</v>
      </c>
      <c r="F42" s="226" t="s">
        <v>253</v>
      </c>
      <c r="G42" s="227"/>
      <c r="H42" s="101"/>
      <c r="I42" s="20"/>
      <c r="J42" s="101"/>
      <c r="K42" s="101"/>
      <c r="L42" s="20"/>
      <c r="M42" s="101"/>
      <c r="N42" s="101"/>
      <c r="O42" s="20"/>
      <c r="P42" s="101"/>
      <c r="Q42" s="183"/>
      <c r="R42" s="101"/>
      <c r="S42" s="100"/>
      <c r="T42" s="102"/>
      <c r="U42" s="102"/>
      <c r="V42" s="184"/>
    </row>
    <row r="43" spans="2:24" ht="48.95" customHeight="1">
      <c r="B43" s="147" t="str">
        <f t="shared" si="1"/>
        <v>1-35</v>
      </c>
      <c r="C43" s="100" t="s">
        <v>611</v>
      </c>
      <c r="D43" s="42" t="s">
        <v>107</v>
      </c>
      <c r="E43" s="100" t="s">
        <v>641</v>
      </c>
      <c r="F43" s="226" t="s">
        <v>608</v>
      </c>
      <c r="G43" s="227"/>
      <c r="H43" s="101"/>
      <c r="I43" s="20"/>
      <c r="J43" s="101"/>
      <c r="K43" s="101"/>
      <c r="L43" s="20"/>
      <c r="M43" s="101"/>
      <c r="N43" s="101"/>
      <c r="O43" s="20"/>
      <c r="P43" s="101"/>
      <c r="Q43" s="183"/>
      <c r="R43" s="101"/>
      <c r="S43" s="100"/>
      <c r="T43" s="102"/>
      <c r="U43" s="102"/>
      <c r="V43" s="184"/>
      <c r="W43" s="115"/>
      <c r="X43" s="115"/>
    </row>
    <row r="44" spans="2:24" ht="48.95" customHeight="1">
      <c r="B44" s="147" t="str">
        <f t="shared" si="1"/>
        <v>1-36</v>
      </c>
      <c r="C44" s="100" t="s">
        <v>82</v>
      </c>
      <c r="D44" s="100" t="s">
        <v>82</v>
      </c>
      <c r="E44" s="100" t="s">
        <v>642</v>
      </c>
      <c r="F44" s="226" t="s">
        <v>643</v>
      </c>
      <c r="G44" s="227"/>
      <c r="H44" s="101"/>
      <c r="I44" s="20"/>
      <c r="J44" s="101"/>
      <c r="K44" s="101"/>
      <c r="L44" s="20"/>
      <c r="M44" s="101"/>
      <c r="N44" s="101"/>
      <c r="O44" s="20"/>
      <c r="P44" s="101"/>
      <c r="Q44" s="183"/>
      <c r="R44" s="101"/>
      <c r="S44" s="100"/>
      <c r="T44" s="102"/>
      <c r="U44" s="102"/>
      <c r="V44" s="184"/>
      <c r="W44" s="160"/>
      <c r="X44" s="160"/>
    </row>
    <row r="45" spans="2:24" ht="38.25" customHeight="1">
      <c r="B45" s="147" t="str">
        <f t="shared" si="1"/>
        <v>1-37</v>
      </c>
      <c r="C45" s="100" t="s">
        <v>82</v>
      </c>
      <c r="D45" s="42" t="s">
        <v>610</v>
      </c>
      <c r="E45" s="42" t="s">
        <v>412</v>
      </c>
      <c r="F45" s="226" t="s">
        <v>191</v>
      </c>
      <c r="G45" s="227"/>
      <c r="H45" s="101"/>
      <c r="I45" s="20"/>
      <c r="J45" s="101"/>
      <c r="K45" s="101"/>
      <c r="L45" s="20"/>
      <c r="M45" s="101"/>
      <c r="N45" s="101"/>
      <c r="O45" s="20"/>
      <c r="P45" s="101"/>
      <c r="Q45" s="101"/>
      <c r="R45" s="101"/>
      <c r="S45" s="100"/>
      <c r="T45" s="102"/>
      <c r="U45" s="102"/>
      <c r="V45" s="184"/>
    </row>
    <row r="46" spans="2:24" ht="38.25" customHeight="1">
      <c r="B46" s="147" t="str">
        <f t="shared" si="1"/>
        <v>1-38</v>
      </c>
      <c r="C46" s="100"/>
      <c r="D46" s="42" t="s">
        <v>82</v>
      </c>
      <c r="E46" s="42" t="s">
        <v>214</v>
      </c>
      <c r="F46" s="226" t="s">
        <v>219</v>
      </c>
      <c r="G46" s="227"/>
      <c r="H46" s="101"/>
      <c r="I46" s="20"/>
      <c r="J46" s="101"/>
      <c r="K46" s="101"/>
      <c r="L46" s="20"/>
      <c r="M46" s="101"/>
      <c r="N46" s="101"/>
      <c r="O46" s="20"/>
      <c r="P46" s="101"/>
      <c r="Q46" s="181"/>
      <c r="R46" s="101"/>
      <c r="S46" s="100"/>
      <c r="T46" s="102"/>
      <c r="U46" s="102"/>
      <c r="V46" s="184"/>
    </row>
    <row r="47" spans="2:24" ht="38.25" customHeight="1">
      <c r="B47" s="147" t="str">
        <f t="shared" si="1"/>
        <v>1-39</v>
      </c>
      <c r="C47" s="100" t="s">
        <v>82</v>
      </c>
      <c r="D47" s="42" t="s">
        <v>82</v>
      </c>
      <c r="E47" s="42" t="s">
        <v>154</v>
      </c>
      <c r="F47" s="226" t="s">
        <v>253</v>
      </c>
      <c r="G47" s="227"/>
      <c r="H47" s="101"/>
      <c r="I47" s="20"/>
      <c r="J47" s="101"/>
      <c r="K47" s="101"/>
      <c r="L47" s="20"/>
      <c r="M47" s="101"/>
      <c r="N47" s="101"/>
      <c r="O47" s="20"/>
      <c r="P47" s="101"/>
      <c r="Q47" s="181"/>
      <c r="R47" s="101"/>
      <c r="S47" s="100"/>
      <c r="T47" s="102"/>
      <c r="U47" s="102"/>
      <c r="V47" s="184"/>
    </row>
    <row r="48" spans="2:24" ht="38.25" customHeight="1">
      <c r="B48" s="147" t="str">
        <f t="shared" si="1"/>
        <v>1-40</v>
      </c>
      <c r="C48" s="100" t="s">
        <v>82</v>
      </c>
      <c r="D48" s="42" t="s">
        <v>618</v>
      </c>
      <c r="E48" s="42" t="s">
        <v>413</v>
      </c>
      <c r="F48" s="226" t="s">
        <v>191</v>
      </c>
      <c r="G48" s="227"/>
      <c r="H48" s="101"/>
      <c r="I48" s="20"/>
      <c r="J48" s="101"/>
      <c r="K48" s="101"/>
      <c r="L48" s="20"/>
      <c r="M48" s="101"/>
      <c r="N48" s="101"/>
      <c r="O48" s="20"/>
      <c r="P48" s="101"/>
      <c r="Q48" s="179"/>
      <c r="R48" s="101"/>
      <c r="S48" s="100"/>
      <c r="T48" s="102"/>
      <c r="U48" s="102"/>
      <c r="V48" s="184"/>
    </row>
    <row r="49" spans="2:23" ht="38.25" customHeight="1">
      <c r="B49" s="147" t="str">
        <f t="shared" si="1"/>
        <v>1-41</v>
      </c>
      <c r="C49" s="100" t="s">
        <v>82</v>
      </c>
      <c r="D49" s="42" t="s">
        <v>619</v>
      </c>
      <c r="E49" s="42" t="s">
        <v>110</v>
      </c>
      <c r="F49" s="226" t="s">
        <v>101</v>
      </c>
      <c r="G49" s="227"/>
      <c r="H49" s="179"/>
      <c r="I49" s="180"/>
      <c r="J49" s="180"/>
      <c r="K49" s="179"/>
      <c r="L49" s="180"/>
      <c r="M49" s="180"/>
      <c r="N49" s="179"/>
      <c r="O49" s="180"/>
      <c r="P49" s="180"/>
      <c r="Q49" s="179"/>
      <c r="R49" s="101"/>
      <c r="S49" s="100"/>
      <c r="T49" s="102"/>
      <c r="U49" s="102"/>
      <c r="V49" s="184"/>
    </row>
    <row r="50" spans="2:23" ht="38.25" customHeight="1">
      <c r="B50" s="147" t="str">
        <f t="shared" si="1"/>
        <v>1-42</v>
      </c>
      <c r="C50" s="100" t="s">
        <v>82</v>
      </c>
      <c r="D50" s="42" t="s">
        <v>615</v>
      </c>
      <c r="E50" s="42" t="s">
        <v>110</v>
      </c>
      <c r="F50" s="226" t="s">
        <v>101</v>
      </c>
      <c r="G50" s="227"/>
      <c r="H50" s="179"/>
      <c r="I50" s="180"/>
      <c r="J50" s="180"/>
      <c r="K50" s="179"/>
      <c r="L50" s="180"/>
      <c r="M50" s="180"/>
      <c r="N50" s="179"/>
      <c r="O50" s="180"/>
      <c r="P50" s="180"/>
      <c r="Q50" s="179"/>
      <c r="R50" s="101"/>
      <c r="S50" s="100"/>
      <c r="T50" s="102"/>
      <c r="U50" s="102"/>
      <c r="V50" s="184"/>
    </row>
    <row r="51" spans="2:23" ht="38.25" customHeight="1">
      <c r="B51" s="147" t="str">
        <f t="shared" si="1"/>
        <v>1-43</v>
      </c>
      <c r="C51" s="100" t="s">
        <v>82</v>
      </c>
      <c r="D51" s="42"/>
      <c r="E51" s="42" t="s">
        <v>491</v>
      </c>
      <c r="F51" s="226" t="s">
        <v>193</v>
      </c>
      <c r="G51" s="227"/>
      <c r="H51" s="101"/>
      <c r="I51" s="20"/>
      <c r="J51" s="101"/>
      <c r="K51" s="101"/>
      <c r="L51" s="20"/>
      <c r="M51" s="101"/>
      <c r="N51" s="101"/>
      <c r="O51" s="20"/>
      <c r="P51" s="101"/>
      <c r="Q51" s="179"/>
      <c r="R51" s="101"/>
      <c r="S51" s="132"/>
      <c r="T51" s="102"/>
      <c r="U51" s="102"/>
      <c r="V51" s="184"/>
    </row>
    <row r="52" spans="2:23" ht="38.25" customHeight="1">
      <c r="B52" s="147" t="str">
        <f t="shared" si="1"/>
        <v>1-44</v>
      </c>
      <c r="C52" s="100" t="s">
        <v>82</v>
      </c>
      <c r="D52" s="42" t="s">
        <v>620</v>
      </c>
      <c r="E52" s="42" t="s">
        <v>211</v>
      </c>
      <c r="F52" s="226" t="s">
        <v>212</v>
      </c>
      <c r="G52" s="227"/>
      <c r="H52" s="101"/>
      <c r="I52" s="20"/>
      <c r="J52" s="101"/>
      <c r="K52" s="101"/>
      <c r="L52" s="20"/>
      <c r="M52" s="101"/>
      <c r="N52" s="101"/>
      <c r="O52" s="20"/>
      <c r="P52" s="101"/>
      <c r="Q52" s="179"/>
      <c r="R52" s="101"/>
      <c r="S52" s="100"/>
      <c r="T52" s="102"/>
      <c r="U52" s="102"/>
      <c r="V52" s="98"/>
    </row>
    <row r="53" spans="2:23" ht="38.25" customHeight="1">
      <c r="B53" s="147" t="str">
        <f t="shared" si="1"/>
        <v>1-45</v>
      </c>
      <c r="C53" s="100" t="s">
        <v>82</v>
      </c>
      <c r="D53" s="42" t="s">
        <v>621</v>
      </c>
      <c r="E53" s="42" t="s">
        <v>217</v>
      </c>
      <c r="F53" s="226" t="s">
        <v>215</v>
      </c>
      <c r="G53" s="227"/>
      <c r="H53" s="101"/>
      <c r="I53" s="20"/>
      <c r="J53" s="101"/>
      <c r="K53" s="101"/>
      <c r="L53" s="20"/>
      <c r="M53" s="101"/>
      <c r="N53" s="101"/>
      <c r="O53" s="20"/>
      <c r="P53" s="101"/>
      <c r="Q53" s="179"/>
      <c r="R53" s="101"/>
      <c r="S53" s="100"/>
      <c r="T53" s="102"/>
      <c r="U53" s="102"/>
      <c r="V53" s="98"/>
    </row>
    <row r="54" spans="2:23" ht="38.25" customHeight="1">
      <c r="B54" s="147" t="str">
        <f t="shared" si="1"/>
        <v>1-46</v>
      </c>
      <c r="C54" s="100" t="s">
        <v>82</v>
      </c>
      <c r="D54" s="42" t="s">
        <v>82</v>
      </c>
      <c r="E54" s="42" t="s">
        <v>214</v>
      </c>
      <c r="F54" s="226" t="s">
        <v>218</v>
      </c>
      <c r="G54" s="227"/>
      <c r="H54" s="101"/>
      <c r="I54" s="20"/>
      <c r="J54" s="101"/>
      <c r="K54" s="101"/>
      <c r="L54" s="20"/>
      <c r="M54" s="101"/>
      <c r="N54" s="101"/>
      <c r="O54" s="20"/>
      <c r="P54" s="101"/>
      <c r="Q54" s="179"/>
      <c r="R54" s="101"/>
      <c r="S54" s="100"/>
      <c r="T54" s="102"/>
      <c r="U54" s="102"/>
      <c r="V54" s="98"/>
    </row>
    <row r="55" spans="2:23" ht="38.25" customHeight="1">
      <c r="B55" s="147" t="str">
        <f t="shared" si="1"/>
        <v>1-47</v>
      </c>
      <c r="C55" s="100" t="s">
        <v>82</v>
      </c>
      <c r="D55" s="42" t="s">
        <v>82</v>
      </c>
      <c r="E55" s="42" t="s">
        <v>82</v>
      </c>
      <c r="F55" s="226" t="s">
        <v>219</v>
      </c>
      <c r="G55" s="227"/>
      <c r="H55" s="101"/>
      <c r="I55" s="20"/>
      <c r="J55" s="101"/>
      <c r="K55" s="101"/>
      <c r="L55" s="20"/>
      <c r="M55" s="101"/>
      <c r="N55" s="101"/>
      <c r="O55" s="20"/>
      <c r="P55" s="101"/>
      <c r="Q55" s="179"/>
      <c r="R55" s="101"/>
      <c r="S55" s="100"/>
      <c r="T55" s="102"/>
      <c r="U55" s="102"/>
      <c r="V55" s="98"/>
    </row>
    <row r="56" spans="2:23" ht="39" customHeight="1">
      <c r="B56" s="147" t="str">
        <f t="shared" si="1"/>
        <v>1-48</v>
      </c>
      <c r="C56" s="100" t="s">
        <v>646</v>
      </c>
      <c r="D56" s="42" t="s">
        <v>107</v>
      </c>
      <c r="E56" s="100" t="s">
        <v>641</v>
      </c>
      <c r="F56" s="226" t="s">
        <v>608</v>
      </c>
      <c r="G56" s="227"/>
      <c r="H56" s="101"/>
      <c r="I56" s="20"/>
      <c r="J56" s="101"/>
      <c r="K56" s="101"/>
      <c r="L56" s="20"/>
      <c r="M56" s="101"/>
      <c r="N56" s="101"/>
      <c r="O56" s="20"/>
      <c r="P56" s="101"/>
      <c r="Q56" s="181"/>
      <c r="R56" s="101"/>
      <c r="S56" s="101"/>
      <c r="T56" s="100"/>
      <c r="U56" s="102"/>
      <c r="V56" s="187"/>
      <c r="W56" s="116"/>
    </row>
    <row r="57" spans="2:23" ht="39" customHeight="1">
      <c r="B57" s="147" t="str">
        <f t="shared" si="1"/>
        <v>1-49</v>
      </c>
      <c r="C57" s="100" t="s">
        <v>647</v>
      </c>
      <c r="D57" s="100" t="s">
        <v>82</v>
      </c>
      <c r="E57" s="100" t="s">
        <v>642</v>
      </c>
      <c r="F57" s="226" t="s">
        <v>643</v>
      </c>
      <c r="G57" s="227"/>
      <c r="H57" s="101"/>
      <c r="I57" s="20"/>
      <c r="J57" s="101"/>
      <c r="K57" s="101"/>
      <c r="L57" s="20"/>
      <c r="M57" s="101"/>
      <c r="N57" s="101"/>
      <c r="O57" s="20"/>
      <c r="P57" s="101"/>
      <c r="Q57" s="181"/>
      <c r="R57" s="101"/>
      <c r="S57" s="101"/>
      <c r="T57" s="100"/>
      <c r="U57" s="102"/>
      <c r="V57" s="187"/>
      <c r="W57" s="160"/>
    </row>
    <row r="58" spans="2:23" ht="39" customHeight="1">
      <c r="B58" s="147" t="str">
        <f t="shared" si="1"/>
        <v>1-50</v>
      </c>
      <c r="C58" s="100" t="s">
        <v>647</v>
      </c>
      <c r="D58" s="42" t="s">
        <v>610</v>
      </c>
      <c r="E58" s="42" t="s">
        <v>220</v>
      </c>
      <c r="F58" s="226" t="s">
        <v>221</v>
      </c>
      <c r="G58" s="227"/>
      <c r="H58" s="101"/>
      <c r="I58" s="20"/>
      <c r="J58" s="101"/>
      <c r="K58" s="101"/>
      <c r="L58" s="20"/>
      <c r="M58" s="101"/>
      <c r="N58" s="101"/>
      <c r="O58" s="20"/>
      <c r="P58" s="101"/>
      <c r="Q58" s="181"/>
      <c r="R58" s="101"/>
      <c r="S58" s="101"/>
      <c r="T58" s="100"/>
      <c r="U58" s="102"/>
      <c r="V58" s="187"/>
      <c r="W58" s="131"/>
    </row>
    <row r="59" spans="2:23" ht="45" customHeight="1">
      <c r="B59" s="147" t="str">
        <f t="shared" si="1"/>
        <v>1-51</v>
      </c>
      <c r="C59" s="100" t="s">
        <v>647</v>
      </c>
      <c r="D59" s="42" t="s">
        <v>82</v>
      </c>
      <c r="E59" s="42" t="s">
        <v>155</v>
      </c>
      <c r="F59" s="226" t="s">
        <v>253</v>
      </c>
      <c r="G59" s="227"/>
      <c r="H59" s="101"/>
      <c r="I59" s="20"/>
      <c r="J59" s="101"/>
      <c r="K59" s="101"/>
      <c r="L59" s="20"/>
      <c r="M59" s="101"/>
      <c r="N59" s="101"/>
      <c r="O59" s="20"/>
      <c r="P59" s="101"/>
      <c r="Q59" s="181"/>
      <c r="R59" s="101"/>
      <c r="S59" s="100"/>
      <c r="T59" s="102"/>
      <c r="U59" s="102"/>
      <c r="V59" s="184"/>
    </row>
    <row r="60" spans="2:23" ht="39" customHeight="1">
      <c r="B60" s="147" t="str">
        <f t="shared" si="1"/>
        <v>1-52</v>
      </c>
      <c r="C60" s="42" t="s">
        <v>156</v>
      </c>
      <c r="D60" s="42" t="s">
        <v>107</v>
      </c>
      <c r="E60" s="100" t="s">
        <v>641</v>
      </c>
      <c r="F60" s="226" t="s">
        <v>608</v>
      </c>
      <c r="G60" s="227"/>
      <c r="H60" s="101"/>
      <c r="I60" s="20"/>
      <c r="J60" s="101"/>
      <c r="K60" s="101"/>
      <c r="L60" s="20"/>
      <c r="M60" s="101"/>
      <c r="N60" s="101"/>
      <c r="O60" s="20"/>
      <c r="P60" s="101"/>
      <c r="Q60" s="181"/>
      <c r="R60" s="101"/>
      <c r="S60" s="101"/>
      <c r="T60" s="100"/>
      <c r="U60" s="102"/>
      <c r="V60" s="187"/>
      <c r="W60" s="116"/>
    </row>
    <row r="61" spans="2:23" ht="39" customHeight="1">
      <c r="B61" s="147" t="str">
        <f t="shared" si="1"/>
        <v>1-53</v>
      </c>
      <c r="C61" s="100" t="s">
        <v>647</v>
      </c>
      <c r="D61" s="42" t="s">
        <v>610</v>
      </c>
      <c r="E61" s="42" t="s">
        <v>222</v>
      </c>
      <c r="F61" s="226" t="s">
        <v>225</v>
      </c>
      <c r="G61" s="227"/>
      <c r="H61" s="101"/>
      <c r="I61" s="20"/>
      <c r="J61" s="101"/>
      <c r="K61" s="101"/>
      <c r="L61" s="20"/>
      <c r="M61" s="101"/>
      <c r="N61" s="101"/>
      <c r="O61" s="20"/>
      <c r="P61" s="101"/>
      <c r="Q61" s="181"/>
      <c r="R61" s="101"/>
      <c r="S61" s="101"/>
      <c r="T61" s="100"/>
      <c r="U61" s="102"/>
      <c r="V61" s="187"/>
      <c r="W61" s="131"/>
    </row>
    <row r="62" spans="2:23" ht="45" customHeight="1">
      <c r="B62" s="147" t="str">
        <f t="shared" si="1"/>
        <v>1-54</v>
      </c>
      <c r="C62" s="100" t="s">
        <v>647</v>
      </c>
      <c r="D62" s="42" t="s">
        <v>82</v>
      </c>
      <c r="E62" s="42" t="s">
        <v>156</v>
      </c>
      <c r="F62" s="226" t="s">
        <v>253</v>
      </c>
      <c r="G62" s="227"/>
      <c r="H62" s="101"/>
      <c r="I62" s="20"/>
      <c r="J62" s="101"/>
      <c r="K62" s="101"/>
      <c r="L62" s="20"/>
      <c r="M62" s="101"/>
      <c r="N62" s="101"/>
      <c r="O62" s="20"/>
      <c r="P62" s="101"/>
      <c r="Q62" s="181"/>
      <c r="R62" s="101"/>
      <c r="S62" s="100"/>
      <c r="T62" s="102"/>
      <c r="U62" s="102"/>
      <c r="V62" s="184"/>
    </row>
    <row r="63" spans="2:23" ht="39" customHeight="1">
      <c r="B63" s="147" t="str">
        <f t="shared" si="1"/>
        <v>1-55</v>
      </c>
      <c r="C63" s="42" t="s">
        <v>223</v>
      </c>
      <c r="D63" s="42" t="s">
        <v>107</v>
      </c>
      <c r="E63" s="100" t="s">
        <v>641</v>
      </c>
      <c r="F63" s="226" t="s">
        <v>608</v>
      </c>
      <c r="G63" s="227"/>
      <c r="H63" s="101"/>
      <c r="I63" s="20"/>
      <c r="J63" s="101"/>
      <c r="K63" s="101"/>
      <c r="L63" s="20"/>
      <c r="M63" s="101"/>
      <c r="N63" s="101"/>
      <c r="O63" s="20"/>
      <c r="P63" s="101"/>
      <c r="Q63" s="181"/>
      <c r="R63" s="101"/>
      <c r="S63" s="101"/>
      <c r="T63" s="100"/>
      <c r="U63" s="102"/>
      <c r="V63" s="187"/>
      <c r="W63" s="131"/>
    </row>
    <row r="64" spans="2:23" ht="39" customHeight="1">
      <c r="B64" s="147" t="str">
        <f t="shared" si="1"/>
        <v>1-56</v>
      </c>
      <c r="C64" s="100" t="s">
        <v>647</v>
      </c>
      <c r="D64" s="42" t="s">
        <v>610</v>
      </c>
      <c r="E64" s="42" t="s">
        <v>224</v>
      </c>
      <c r="F64" s="226" t="s">
        <v>225</v>
      </c>
      <c r="G64" s="227"/>
      <c r="H64" s="101"/>
      <c r="I64" s="20"/>
      <c r="J64" s="101"/>
      <c r="K64" s="101"/>
      <c r="L64" s="20"/>
      <c r="M64" s="101"/>
      <c r="N64" s="101"/>
      <c r="O64" s="20"/>
      <c r="P64" s="101"/>
      <c r="Q64" s="181"/>
      <c r="R64" s="101"/>
      <c r="S64" s="101"/>
      <c r="T64" s="100"/>
      <c r="U64" s="102"/>
      <c r="V64" s="187"/>
      <c r="W64" s="131"/>
    </row>
    <row r="65" spans="2:24" ht="48.95" customHeight="1">
      <c r="B65" s="147" t="str">
        <f t="shared" si="1"/>
        <v>1-57</v>
      </c>
      <c r="C65" s="42" t="s">
        <v>648</v>
      </c>
      <c r="D65" s="42" t="s">
        <v>107</v>
      </c>
      <c r="E65" s="100" t="s">
        <v>641</v>
      </c>
      <c r="F65" s="226" t="s">
        <v>608</v>
      </c>
      <c r="G65" s="227"/>
      <c r="H65" s="101"/>
      <c r="I65" s="20"/>
      <c r="J65" s="101"/>
      <c r="K65" s="101"/>
      <c r="L65" s="20"/>
      <c r="M65" s="101"/>
      <c r="N65" s="101"/>
      <c r="O65" s="20"/>
      <c r="P65" s="101"/>
      <c r="Q65" s="181"/>
      <c r="R65" s="101"/>
      <c r="S65" s="100"/>
      <c r="T65" s="102"/>
      <c r="U65" s="102"/>
      <c r="V65" s="184"/>
      <c r="W65" s="131"/>
      <c r="X65" s="131"/>
    </row>
    <row r="66" spans="2:24" ht="48.95" customHeight="1">
      <c r="B66" s="147" t="str">
        <f t="shared" si="1"/>
        <v>1-58</v>
      </c>
      <c r="C66" s="100" t="s">
        <v>647</v>
      </c>
      <c r="D66" s="100" t="s">
        <v>82</v>
      </c>
      <c r="E66" s="100" t="s">
        <v>642</v>
      </c>
      <c r="F66" s="226" t="s">
        <v>643</v>
      </c>
      <c r="G66" s="227"/>
      <c r="H66" s="101"/>
      <c r="I66" s="20"/>
      <c r="J66" s="101"/>
      <c r="K66" s="101"/>
      <c r="L66" s="20"/>
      <c r="M66" s="101"/>
      <c r="N66" s="101"/>
      <c r="O66" s="20"/>
      <c r="P66" s="101"/>
      <c r="Q66" s="181"/>
      <c r="R66" s="101"/>
      <c r="S66" s="100"/>
      <c r="T66" s="102"/>
      <c r="U66" s="102"/>
      <c r="V66" s="184"/>
      <c r="W66" s="160"/>
      <c r="X66" s="160"/>
    </row>
    <row r="67" spans="2:24" ht="45" customHeight="1">
      <c r="B67" s="147" t="str">
        <f t="shared" si="1"/>
        <v>1-59</v>
      </c>
      <c r="C67" s="100" t="s">
        <v>647</v>
      </c>
      <c r="D67" s="42" t="s">
        <v>610</v>
      </c>
      <c r="E67" s="42" t="s">
        <v>226</v>
      </c>
      <c r="F67" s="226" t="s">
        <v>227</v>
      </c>
      <c r="G67" s="227"/>
      <c r="H67" s="101"/>
      <c r="I67" s="20"/>
      <c r="J67" s="101"/>
      <c r="K67" s="101"/>
      <c r="L67" s="20"/>
      <c r="M67" s="101"/>
      <c r="N67" s="101"/>
      <c r="O67" s="20"/>
      <c r="P67" s="101"/>
      <c r="Q67" s="181"/>
      <c r="R67" s="101"/>
      <c r="S67" s="100"/>
      <c r="T67" s="102"/>
      <c r="U67" s="102"/>
      <c r="V67" s="184"/>
    </row>
    <row r="68" spans="2:24" ht="45" customHeight="1">
      <c r="B68" s="147" t="str">
        <f t="shared" si="1"/>
        <v>1-60</v>
      </c>
      <c r="C68" s="100" t="s">
        <v>647</v>
      </c>
      <c r="D68" s="42" t="s">
        <v>82</v>
      </c>
      <c r="E68" s="42" t="s">
        <v>158</v>
      </c>
      <c r="F68" s="226" t="s">
        <v>253</v>
      </c>
      <c r="G68" s="227"/>
      <c r="H68" s="101"/>
      <c r="I68" s="20"/>
      <c r="J68" s="101"/>
      <c r="K68" s="101"/>
      <c r="L68" s="20"/>
      <c r="M68" s="101"/>
      <c r="N68" s="101"/>
      <c r="O68" s="20"/>
      <c r="P68" s="101"/>
      <c r="Q68" s="181"/>
      <c r="R68" s="101"/>
      <c r="S68" s="100"/>
      <c r="T68" s="102"/>
      <c r="U68" s="102"/>
      <c r="V68" s="184"/>
    </row>
    <row r="69" spans="2:24" ht="45" customHeight="1">
      <c r="B69" s="147" t="str">
        <f t="shared" si="1"/>
        <v>1-61</v>
      </c>
      <c r="C69" s="100" t="s">
        <v>647</v>
      </c>
      <c r="D69" s="42" t="s">
        <v>618</v>
      </c>
      <c r="E69" s="42" t="s">
        <v>228</v>
      </c>
      <c r="F69" s="226" t="s">
        <v>230</v>
      </c>
      <c r="G69" s="227"/>
      <c r="H69" s="101"/>
      <c r="I69" s="20"/>
      <c r="J69" s="101"/>
      <c r="K69" s="101"/>
      <c r="L69" s="20"/>
      <c r="M69" s="101"/>
      <c r="N69" s="101"/>
      <c r="O69" s="20"/>
      <c r="P69" s="20"/>
      <c r="Q69" s="179"/>
      <c r="R69" s="101"/>
      <c r="S69" s="100"/>
      <c r="T69" s="102"/>
      <c r="U69" s="102"/>
      <c r="V69" s="184"/>
    </row>
    <row r="70" spans="2:24" ht="35.450000000000003" customHeight="1">
      <c r="B70" s="147" t="str">
        <f t="shared" si="1"/>
        <v>1-62</v>
      </c>
      <c r="C70" s="100" t="s">
        <v>647</v>
      </c>
      <c r="D70" s="42" t="s">
        <v>622</v>
      </c>
      <c r="E70" s="42" t="s">
        <v>158</v>
      </c>
      <c r="F70" s="226" t="s">
        <v>212</v>
      </c>
      <c r="G70" s="227"/>
      <c r="H70" s="101"/>
      <c r="I70" s="20"/>
      <c r="J70" s="101"/>
      <c r="K70" s="101"/>
      <c r="L70" s="20"/>
      <c r="M70" s="101"/>
      <c r="N70" s="101"/>
      <c r="O70" s="20"/>
      <c r="P70" s="20"/>
      <c r="Q70" s="179"/>
      <c r="R70" s="101"/>
      <c r="S70" s="100"/>
      <c r="T70" s="102"/>
      <c r="U70" s="102"/>
      <c r="V70" s="98"/>
    </row>
    <row r="71" spans="2:24" ht="35.450000000000003" customHeight="1">
      <c r="B71" s="147" t="str">
        <f t="shared" si="1"/>
        <v>1-63</v>
      </c>
      <c r="C71" s="100" t="s">
        <v>647</v>
      </c>
      <c r="D71" s="42" t="s">
        <v>621</v>
      </c>
      <c r="E71" s="42" t="s">
        <v>229</v>
      </c>
      <c r="F71" s="226" t="s">
        <v>104</v>
      </c>
      <c r="G71" s="227"/>
      <c r="H71" s="101"/>
      <c r="I71" s="20"/>
      <c r="J71" s="101"/>
      <c r="K71" s="101"/>
      <c r="L71" s="20"/>
      <c r="M71" s="101"/>
      <c r="N71" s="101"/>
      <c r="O71" s="20"/>
      <c r="P71" s="101"/>
      <c r="Q71" s="181"/>
      <c r="R71" s="101"/>
      <c r="S71" s="100"/>
      <c r="T71" s="102"/>
      <c r="U71" s="102"/>
      <c r="V71" s="98"/>
    </row>
    <row r="72" spans="2:24" ht="35.450000000000003" customHeight="1">
      <c r="B72" s="147" t="str">
        <f t="shared" si="1"/>
        <v>1-64</v>
      </c>
      <c r="C72" s="100" t="s">
        <v>647</v>
      </c>
      <c r="D72" s="42" t="s">
        <v>82</v>
      </c>
      <c r="E72" s="42" t="s">
        <v>226</v>
      </c>
      <c r="F72" s="226" t="s">
        <v>105</v>
      </c>
      <c r="G72" s="227"/>
      <c r="H72" s="101"/>
      <c r="I72" s="20"/>
      <c r="J72" s="101"/>
      <c r="K72" s="101"/>
      <c r="L72" s="20"/>
      <c r="M72" s="101"/>
      <c r="N72" s="101"/>
      <c r="O72" s="20"/>
      <c r="P72" s="101"/>
      <c r="Q72" s="179"/>
      <c r="R72" s="101"/>
      <c r="S72" s="100"/>
      <c r="T72" s="102"/>
      <c r="U72" s="102"/>
      <c r="V72" s="98"/>
    </row>
    <row r="73" spans="2:24" ht="35.450000000000003" customHeight="1">
      <c r="B73" s="147" t="str">
        <f t="shared" si="1"/>
        <v>1-65</v>
      </c>
      <c r="C73" s="100" t="s">
        <v>647</v>
      </c>
      <c r="D73" s="42" t="s">
        <v>82</v>
      </c>
      <c r="E73" s="42" t="s">
        <v>82</v>
      </c>
      <c r="F73" s="226" t="s">
        <v>227</v>
      </c>
      <c r="G73" s="227"/>
      <c r="H73" s="101"/>
      <c r="I73" s="20"/>
      <c r="J73" s="101"/>
      <c r="K73" s="101"/>
      <c r="L73" s="20"/>
      <c r="M73" s="101"/>
      <c r="N73" s="101"/>
      <c r="O73" s="20"/>
      <c r="P73" s="101"/>
      <c r="Q73" s="179"/>
      <c r="R73" s="101"/>
      <c r="S73" s="100"/>
      <c r="T73" s="102"/>
      <c r="U73" s="102"/>
      <c r="V73" s="98"/>
    </row>
    <row r="74" spans="2:24" ht="48.95" customHeight="1">
      <c r="B74" s="147" t="str">
        <f t="shared" si="1"/>
        <v>1-66</v>
      </c>
      <c r="C74" s="42" t="s">
        <v>649</v>
      </c>
      <c r="D74" s="42" t="s">
        <v>107</v>
      </c>
      <c r="E74" s="100" t="s">
        <v>641</v>
      </c>
      <c r="F74" s="226" t="s">
        <v>608</v>
      </c>
      <c r="G74" s="227"/>
      <c r="H74" s="101"/>
      <c r="I74" s="20"/>
      <c r="J74" s="101"/>
      <c r="K74" s="101"/>
      <c r="L74" s="20"/>
      <c r="M74" s="101"/>
      <c r="N74" s="101"/>
      <c r="O74" s="20"/>
      <c r="P74" s="101"/>
      <c r="Q74" s="181"/>
      <c r="R74" s="101"/>
      <c r="S74" s="100"/>
      <c r="T74" s="102"/>
      <c r="U74" s="102"/>
      <c r="V74" s="184"/>
      <c r="W74" s="116"/>
      <c r="X74" s="116"/>
    </row>
    <row r="75" spans="2:24" ht="48.95" customHeight="1">
      <c r="B75" s="147" t="str">
        <f t="shared" si="1"/>
        <v>1-67</v>
      </c>
      <c r="C75" s="100" t="s">
        <v>647</v>
      </c>
      <c r="D75" s="100" t="s">
        <v>82</v>
      </c>
      <c r="E75" s="100" t="s">
        <v>642</v>
      </c>
      <c r="F75" s="226" t="s">
        <v>643</v>
      </c>
      <c r="G75" s="227"/>
      <c r="H75" s="101"/>
      <c r="I75" s="20"/>
      <c r="J75" s="101"/>
      <c r="K75" s="101"/>
      <c r="L75" s="20"/>
      <c r="M75" s="101"/>
      <c r="N75" s="101"/>
      <c r="O75" s="20"/>
      <c r="P75" s="101"/>
      <c r="Q75" s="181"/>
      <c r="R75" s="101"/>
      <c r="S75" s="100"/>
      <c r="T75" s="102"/>
      <c r="U75" s="102"/>
      <c r="V75" s="184"/>
      <c r="W75" s="160"/>
      <c r="X75" s="160"/>
    </row>
    <row r="76" spans="2:24" ht="45" customHeight="1">
      <c r="B76" s="147" t="str">
        <f t="shared" si="1"/>
        <v>1-68</v>
      </c>
      <c r="C76" s="100" t="s">
        <v>647</v>
      </c>
      <c r="D76" s="42" t="s">
        <v>610</v>
      </c>
      <c r="E76" s="42" t="s">
        <v>158</v>
      </c>
      <c r="F76" s="226" t="s">
        <v>251</v>
      </c>
      <c r="G76" s="227"/>
      <c r="H76" s="101"/>
      <c r="I76" s="20"/>
      <c r="J76" s="101"/>
      <c r="K76" s="101"/>
      <c r="L76" s="20"/>
      <c r="M76" s="101"/>
      <c r="N76" s="101"/>
      <c r="O76" s="20"/>
      <c r="P76" s="101"/>
      <c r="Q76" s="181"/>
      <c r="R76" s="101"/>
      <c r="S76" s="100"/>
      <c r="T76" s="102"/>
      <c r="U76" s="102"/>
      <c r="V76" s="184"/>
    </row>
    <row r="77" spans="2:24" ht="39" customHeight="1">
      <c r="B77" s="147" t="str">
        <f t="shared" ref="B77:B166" si="2">"1-"&amp;ROW()-8</f>
        <v>1-69</v>
      </c>
      <c r="C77" s="100" t="s">
        <v>647</v>
      </c>
      <c r="D77" s="42" t="s">
        <v>82</v>
      </c>
      <c r="E77" s="42" t="s">
        <v>159</v>
      </c>
      <c r="F77" s="226" t="s">
        <v>253</v>
      </c>
      <c r="G77" s="227"/>
      <c r="H77" s="101"/>
      <c r="I77" s="20"/>
      <c r="J77" s="101"/>
      <c r="K77" s="101"/>
      <c r="L77" s="20"/>
      <c r="M77" s="101"/>
      <c r="N77" s="101"/>
      <c r="O77" s="20"/>
      <c r="P77" s="101"/>
      <c r="Q77" s="181"/>
      <c r="R77" s="101"/>
      <c r="S77" s="101"/>
      <c r="T77" s="100"/>
      <c r="U77" s="102"/>
      <c r="V77" s="187"/>
      <c r="W77" s="131"/>
    </row>
    <row r="78" spans="2:24" ht="39" customHeight="1">
      <c r="B78" s="147" t="str">
        <f t="shared" si="2"/>
        <v>1-70</v>
      </c>
      <c r="C78" s="42" t="s">
        <v>650</v>
      </c>
      <c r="D78" s="42" t="s">
        <v>107</v>
      </c>
      <c r="E78" s="100" t="s">
        <v>641</v>
      </c>
      <c r="F78" s="226" t="s">
        <v>608</v>
      </c>
      <c r="G78" s="227"/>
      <c r="H78" s="101"/>
      <c r="I78" s="20"/>
      <c r="J78" s="101"/>
      <c r="K78" s="101"/>
      <c r="L78" s="20"/>
      <c r="M78" s="101"/>
      <c r="N78" s="101"/>
      <c r="O78" s="20"/>
      <c r="P78" s="101"/>
      <c r="Q78" s="181"/>
      <c r="R78" s="101"/>
      <c r="S78" s="101"/>
      <c r="T78" s="100"/>
      <c r="U78" s="102"/>
      <c r="V78" s="187"/>
      <c r="W78" s="115"/>
    </row>
    <row r="79" spans="2:24" ht="39" customHeight="1">
      <c r="B79" s="147" t="str">
        <f t="shared" si="2"/>
        <v>1-71</v>
      </c>
      <c r="C79" s="100" t="s">
        <v>647</v>
      </c>
      <c r="D79" s="100" t="s">
        <v>82</v>
      </c>
      <c r="E79" s="100" t="s">
        <v>642</v>
      </c>
      <c r="F79" s="226" t="s">
        <v>643</v>
      </c>
      <c r="G79" s="227"/>
      <c r="H79" s="101"/>
      <c r="I79" s="20"/>
      <c r="J79" s="101"/>
      <c r="K79" s="101"/>
      <c r="L79" s="20"/>
      <c r="M79" s="101"/>
      <c r="N79" s="101"/>
      <c r="O79" s="20"/>
      <c r="P79" s="101"/>
      <c r="Q79" s="181"/>
      <c r="R79" s="101"/>
      <c r="S79" s="101"/>
      <c r="T79" s="100"/>
      <c r="U79" s="102"/>
      <c r="V79" s="187"/>
      <c r="W79" s="160"/>
    </row>
    <row r="80" spans="2:24" ht="45" customHeight="1">
      <c r="B80" s="147" t="str">
        <f t="shared" si="2"/>
        <v>1-72</v>
      </c>
      <c r="C80" s="100" t="s">
        <v>647</v>
      </c>
      <c r="D80" s="42" t="s">
        <v>610</v>
      </c>
      <c r="E80" s="42" t="s">
        <v>160</v>
      </c>
      <c r="F80" s="226" t="s">
        <v>253</v>
      </c>
      <c r="G80" s="227"/>
      <c r="H80" s="101"/>
      <c r="I80" s="20"/>
      <c r="J80" s="101"/>
      <c r="K80" s="101"/>
      <c r="L80" s="20"/>
      <c r="M80" s="101"/>
      <c r="N80" s="101"/>
      <c r="O80" s="20"/>
      <c r="P80" s="101"/>
      <c r="Q80" s="181"/>
      <c r="R80" s="101"/>
      <c r="S80" s="100"/>
      <c r="T80" s="102"/>
      <c r="U80" s="102"/>
      <c r="V80" s="184"/>
    </row>
    <row r="81" spans="2:24" ht="39" customHeight="1">
      <c r="B81" s="147" t="str">
        <f t="shared" si="2"/>
        <v>1-73</v>
      </c>
      <c r="C81" s="42" t="s">
        <v>651</v>
      </c>
      <c r="D81" s="42" t="s">
        <v>107</v>
      </c>
      <c r="E81" s="100" t="s">
        <v>641</v>
      </c>
      <c r="F81" s="226" t="s">
        <v>608</v>
      </c>
      <c r="G81" s="227"/>
      <c r="H81" s="101"/>
      <c r="I81" s="20"/>
      <c r="J81" s="101"/>
      <c r="K81" s="101"/>
      <c r="L81" s="20"/>
      <c r="M81" s="101"/>
      <c r="N81" s="101"/>
      <c r="O81" s="20"/>
      <c r="P81" s="101"/>
      <c r="Q81" s="181"/>
      <c r="R81" s="101"/>
      <c r="S81" s="101"/>
      <c r="T81" s="100"/>
      <c r="U81" s="102"/>
      <c r="V81" s="187"/>
      <c r="W81" s="115"/>
    </row>
    <row r="82" spans="2:24" ht="39" customHeight="1">
      <c r="B82" s="147" t="str">
        <f t="shared" si="2"/>
        <v>1-74</v>
      </c>
      <c r="C82" s="100" t="s">
        <v>647</v>
      </c>
      <c r="D82" s="100" t="s">
        <v>82</v>
      </c>
      <c r="E82" s="100" t="s">
        <v>642</v>
      </c>
      <c r="F82" s="226" t="s">
        <v>643</v>
      </c>
      <c r="G82" s="227"/>
      <c r="H82" s="101"/>
      <c r="I82" s="20"/>
      <c r="J82" s="101"/>
      <c r="K82" s="101"/>
      <c r="L82" s="20"/>
      <c r="M82" s="101"/>
      <c r="N82" s="101"/>
      <c r="O82" s="20"/>
      <c r="P82" s="101"/>
      <c r="Q82" s="181"/>
      <c r="R82" s="101"/>
      <c r="S82" s="101"/>
      <c r="T82" s="100"/>
      <c r="U82" s="102"/>
      <c r="V82" s="187"/>
      <c r="W82" s="160"/>
    </row>
    <row r="83" spans="2:24" ht="39" customHeight="1">
      <c r="B83" s="147" t="str">
        <f t="shared" si="2"/>
        <v>1-75</v>
      </c>
      <c r="C83" s="100" t="s">
        <v>647</v>
      </c>
      <c r="D83" s="42" t="s">
        <v>610</v>
      </c>
      <c r="E83" s="42" t="s">
        <v>161</v>
      </c>
      <c r="F83" s="226" t="s">
        <v>253</v>
      </c>
      <c r="G83" s="227"/>
      <c r="H83" s="101"/>
      <c r="I83" s="20"/>
      <c r="J83" s="101"/>
      <c r="K83" s="101"/>
      <c r="L83" s="20"/>
      <c r="M83" s="101"/>
      <c r="N83" s="101"/>
      <c r="O83" s="20"/>
      <c r="P83" s="101"/>
      <c r="Q83" s="181"/>
      <c r="R83" s="101"/>
      <c r="S83" s="101"/>
      <c r="T83" s="100"/>
      <c r="U83" s="102"/>
      <c r="V83" s="184"/>
      <c r="W83" s="131"/>
    </row>
    <row r="84" spans="2:24" ht="48.95" customHeight="1">
      <c r="B84" s="147" t="str">
        <f t="shared" si="2"/>
        <v>1-76</v>
      </c>
      <c r="C84" s="42" t="s">
        <v>652</v>
      </c>
      <c r="D84" s="42" t="s">
        <v>107</v>
      </c>
      <c r="E84" s="100" t="s">
        <v>641</v>
      </c>
      <c r="F84" s="226" t="s">
        <v>608</v>
      </c>
      <c r="G84" s="227"/>
      <c r="H84" s="101"/>
      <c r="I84" s="20"/>
      <c r="J84" s="101"/>
      <c r="K84" s="101"/>
      <c r="L84" s="20"/>
      <c r="M84" s="101"/>
      <c r="N84" s="101"/>
      <c r="O84" s="20"/>
      <c r="P84" s="101"/>
      <c r="Q84" s="181"/>
      <c r="R84" s="101"/>
      <c r="S84" s="100"/>
      <c r="T84" s="102"/>
      <c r="U84" s="102"/>
      <c r="V84" s="184"/>
      <c r="W84" s="115"/>
      <c r="X84" s="115"/>
    </row>
    <row r="85" spans="2:24" ht="48.95" customHeight="1">
      <c r="B85" s="147" t="str">
        <f t="shared" si="2"/>
        <v>1-77</v>
      </c>
      <c r="C85" s="100" t="s">
        <v>647</v>
      </c>
      <c r="D85" s="100" t="s">
        <v>82</v>
      </c>
      <c r="E85" s="100" t="s">
        <v>642</v>
      </c>
      <c r="F85" s="226" t="s">
        <v>643</v>
      </c>
      <c r="G85" s="227"/>
      <c r="H85" s="101"/>
      <c r="I85" s="20"/>
      <c r="J85" s="101"/>
      <c r="K85" s="101"/>
      <c r="L85" s="20"/>
      <c r="M85" s="101"/>
      <c r="N85" s="101"/>
      <c r="O85" s="20"/>
      <c r="P85" s="101"/>
      <c r="Q85" s="181"/>
      <c r="R85" s="101"/>
      <c r="S85" s="100"/>
      <c r="T85" s="102"/>
      <c r="U85" s="102"/>
      <c r="V85" s="184"/>
      <c r="W85" s="160"/>
      <c r="X85" s="160"/>
    </row>
    <row r="86" spans="2:24" ht="39" customHeight="1">
      <c r="B86" s="147" t="str">
        <f t="shared" si="2"/>
        <v>1-78</v>
      </c>
      <c r="C86" s="100" t="s">
        <v>647</v>
      </c>
      <c r="D86" s="42" t="s">
        <v>610</v>
      </c>
      <c r="E86" s="42" t="s">
        <v>162</v>
      </c>
      <c r="F86" s="226" t="s">
        <v>253</v>
      </c>
      <c r="G86" s="227"/>
      <c r="H86" s="101"/>
      <c r="I86" s="20"/>
      <c r="J86" s="101"/>
      <c r="K86" s="101"/>
      <c r="L86" s="20"/>
      <c r="M86" s="101"/>
      <c r="N86" s="101"/>
      <c r="O86" s="20"/>
      <c r="P86" s="101"/>
      <c r="Q86" s="181"/>
      <c r="R86" s="101"/>
      <c r="S86" s="101"/>
      <c r="T86" s="100"/>
      <c r="U86" s="102"/>
      <c r="V86" s="184"/>
      <c r="W86" s="131"/>
    </row>
    <row r="87" spans="2:24" ht="48.95" customHeight="1">
      <c r="B87" s="147" t="str">
        <f t="shared" si="2"/>
        <v>1-79</v>
      </c>
      <c r="C87" s="42" t="s">
        <v>653</v>
      </c>
      <c r="D87" s="42" t="s">
        <v>107</v>
      </c>
      <c r="E87" s="100" t="s">
        <v>641</v>
      </c>
      <c r="F87" s="226" t="s">
        <v>608</v>
      </c>
      <c r="G87" s="227"/>
      <c r="H87" s="101"/>
      <c r="I87" s="20"/>
      <c r="J87" s="101"/>
      <c r="K87" s="101"/>
      <c r="L87" s="20"/>
      <c r="M87" s="101"/>
      <c r="N87" s="101"/>
      <c r="O87" s="20"/>
      <c r="P87" s="101"/>
      <c r="Q87" s="181"/>
      <c r="R87" s="101"/>
      <c r="S87" s="100"/>
      <c r="T87" s="102"/>
      <c r="U87" s="102"/>
      <c r="V87" s="184"/>
      <c r="W87" s="116"/>
      <c r="X87" s="116"/>
    </row>
    <row r="88" spans="2:24" ht="48.95" customHeight="1">
      <c r="B88" s="147" t="str">
        <f t="shared" si="2"/>
        <v>1-80</v>
      </c>
      <c r="C88" s="100" t="s">
        <v>647</v>
      </c>
      <c r="D88" s="100" t="s">
        <v>82</v>
      </c>
      <c r="E88" s="100" t="s">
        <v>642</v>
      </c>
      <c r="F88" s="226" t="s">
        <v>643</v>
      </c>
      <c r="G88" s="227"/>
      <c r="H88" s="101"/>
      <c r="I88" s="20"/>
      <c r="J88" s="101"/>
      <c r="K88" s="101"/>
      <c r="L88" s="20"/>
      <c r="M88" s="101"/>
      <c r="N88" s="101"/>
      <c r="O88" s="20"/>
      <c r="P88" s="101"/>
      <c r="Q88" s="181"/>
      <c r="R88" s="101"/>
      <c r="S88" s="100"/>
      <c r="T88" s="102"/>
      <c r="U88" s="102"/>
      <c r="V88" s="184"/>
      <c r="W88" s="160"/>
      <c r="X88" s="160"/>
    </row>
    <row r="89" spans="2:24" ht="39" customHeight="1">
      <c r="B89" s="147" t="str">
        <f t="shared" si="2"/>
        <v>1-81</v>
      </c>
      <c r="C89" s="100" t="s">
        <v>647</v>
      </c>
      <c r="D89" s="42" t="s">
        <v>610</v>
      </c>
      <c r="E89" s="42" t="s">
        <v>163</v>
      </c>
      <c r="F89" s="226" t="s">
        <v>253</v>
      </c>
      <c r="G89" s="227"/>
      <c r="H89" s="101"/>
      <c r="I89" s="20"/>
      <c r="J89" s="101"/>
      <c r="K89" s="101"/>
      <c r="L89" s="20"/>
      <c r="M89" s="101"/>
      <c r="N89" s="101"/>
      <c r="O89" s="20"/>
      <c r="P89" s="101"/>
      <c r="Q89" s="181"/>
      <c r="R89" s="101"/>
      <c r="S89" s="101"/>
      <c r="T89" s="100"/>
      <c r="U89" s="102"/>
      <c r="V89" s="184"/>
      <c r="W89" s="131"/>
    </row>
    <row r="90" spans="2:24" ht="48.95" customHeight="1">
      <c r="B90" s="147" t="str">
        <f t="shared" si="2"/>
        <v>1-82</v>
      </c>
      <c r="C90" s="42" t="s">
        <v>654</v>
      </c>
      <c r="D90" s="42" t="s">
        <v>107</v>
      </c>
      <c r="E90" s="100" t="s">
        <v>641</v>
      </c>
      <c r="F90" s="226" t="s">
        <v>608</v>
      </c>
      <c r="G90" s="227"/>
      <c r="H90" s="101"/>
      <c r="I90" s="20"/>
      <c r="J90" s="101"/>
      <c r="K90" s="101"/>
      <c r="L90" s="20"/>
      <c r="M90" s="101"/>
      <c r="N90" s="101"/>
      <c r="O90" s="20"/>
      <c r="P90" s="101"/>
      <c r="Q90" s="181"/>
      <c r="R90" s="101"/>
      <c r="S90" s="100"/>
      <c r="T90" s="102"/>
      <c r="U90" s="102"/>
      <c r="V90" s="184"/>
      <c r="W90" s="116"/>
      <c r="X90" s="116"/>
    </row>
    <row r="91" spans="2:24" ht="48.95" customHeight="1">
      <c r="B91" s="147" t="str">
        <f t="shared" si="2"/>
        <v>1-83</v>
      </c>
      <c r="C91" s="100" t="s">
        <v>647</v>
      </c>
      <c r="D91" s="100" t="s">
        <v>82</v>
      </c>
      <c r="E91" s="100" t="s">
        <v>642</v>
      </c>
      <c r="F91" s="226" t="s">
        <v>643</v>
      </c>
      <c r="G91" s="227"/>
      <c r="H91" s="101"/>
      <c r="I91" s="20"/>
      <c r="J91" s="101"/>
      <c r="K91" s="101"/>
      <c r="L91" s="20"/>
      <c r="M91" s="101"/>
      <c r="N91" s="101"/>
      <c r="O91" s="20"/>
      <c r="P91" s="101"/>
      <c r="Q91" s="181"/>
      <c r="R91" s="101"/>
      <c r="S91" s="100"/>
      <c r="T91" s="102"/>
      <c r="U91" s="102"/>
      <c r="V91" s="184"/>
      <c r="W91" s="160"/>
      <c r="X91" s="160"/>
    </row>
    <row r="92" spans="2:24" ht="39" customHeight="1">
      <c r="B92" s="147" t="str">
        <f t="shared" si="2"/>
        <v>1-84</v>
      </c>
      <c r="C92" s="100" t="s">
        <v>647</v>
      </c>
      <c r="D92" s="42" t="s">
        <v>610</v>
      </c>
      <c r="E92" s="42" t="s">
        <v>164</v>
      </c>
      <c r="F92" s="226" t="s">
        <v>253</v>
      </c>
      <c r="G92" s="227"/>
      <c r="H92" s="101"/>
      <c r="I92" s="20"/>
      <c r="J92" s="101"/>
      <c r="K92" s="101"/>
      <c r="L92" s="20"/>
      <c r="M92" s="101"/>
      <c r="N92" s="101"/>
      <c r="O92" s="20"/>
      <c r="P92" s="101"/>
      <c r="Q92" s="181"/>
      <c r="R92" s="101"/>
      <c r="S92" s="101"/>
      <c r="T92" s="100"/>
      <c r="U92" s="102"/>
      <c r="V92" s="184"/>
      <c r="W92" s="131"/>
    </row>
    <row r="93" spans="2:24" ht="48.95" customHeight="1">
      <c r="B93" s="147" t="str">
        <f t="shared" si="2"/>
        <v>1-85</v>
      </c>
      <c r="C93" s="42" t="s">
        <v>655</v>
      </c>
      <c r="D93" s="42" t="s">
        <v>107</v>
      </c>
      <c r="E93" s="100" t="s">
        <v>641</v>
      </c>
      <c r="F93" s="226" t="s">
        <v>608</v>
      </c>
      <c r="G93" s="227"/>
      <c r="H93" s="101"/>
      <c r="I93" s="20"/>
      <c r="J93" s="101"/>
      <c r="K93" s="101"/>
      <c r="L93" s="20"/>
      <c r="M93" s="101"/>
      <c r="N93" s="101"/>
      <c r="O93" s="20"/>
      <c r="P93" s="101"/>
      <c r="Q93" s="181"/>
      <c r="R93" s="101"/>
      <c r="S93" s="100"/>
      <c r="T93" s="102"/>
      <c r="U93" s="102"/>
      <c r="V93" s="184"/>
      <c r="W93" s="116"/>
      <c r="X93" s="116"/>
    </row>
    <row r="94" spans="2:24" ht="48.95" customHeight="1">
      <c r="B94" s="147" t="str">
        <f t="shared" si="2"/>
        <v>1-86</v>
      </c>
      <c r="C94" s="100" t="s">
        <v>647</v>
      </c>
      <c r="D94" s="100" t="s">
        <v>82</v>
      </c>
      <c r="E94" s="100" t="s">
        <v>642</v>
      </c>
      <c r="F94" s="226" t="s">
        <v>644</v>
      </c>
      <c r="G94" s="227"/>
      <c r="H94" s="101"/>
      <c r="I94" s="20"/>
      <c r="J94" s="101"/>
      <c r="K94" s="101"/>
      <c r="L94" s="20"/>
      <c r="M94" s="101"/>
      <c r="N94" s="101"/>
      <c r="O94" s="20"/>
      <c r="P94" s="101"/>
      <c r="Q94" s="181"/>
      <c r="R94" s="101"/>
      <c r="S94" s="100"/>
      <c r="T94" s="102"/>
      <c r="U94" s="102"/>
      <c r="V94" s="184"/>
      <c r="W94" s="160"/>
      <c r="X94" s="160"/>
    </row>
    <row r="95" spans="2:24" ht="48.95" customHeight="1">
      <c r="B95" s="147" t="str">
        <f t="shared" si="2"/>
        <v>1-87</v>
      </c>
      <c r="C95" s="100" t="s">
        <v>140</v>
      </c>
      <c r="D95" s="42" t="s">
        <v>380</v>
      </c>
      <c r="E95" s="42" t="s">
        <v>381</v>
      </c>
      <c r="F95" s="226" t="s">
        <v>487</v>
      </c>
      <c r="G95" s="227"/>
      <c r="H95" s="101"/>
      <c r="I95" s="20"/>
      <c r="J95" s="101"/>
      <c r="K95" s="101"/>
      <c r="L95" s="20"/>
      <c r="M95" s="101"/>
      <c r="N95" s="101"/>
      <c r="O95" s="20"/>
      <c r="P95" s="101"/>
      <c r="Q95" s="179"/>
      <c r="R95" s="101"/>
      <c r="S95" s="100"/>
      <c r="T95" s="102"/>
      <c r="U95" s="102"/>
      <c r="V95" s="184"/>
      <c r="W95" s="131"/>
      <c r="X95" s="131"/>
    </row>
    <row r="96" spans="2:24" ht="48.95" customHeight="1">
      <c r="B96" s="147" t="str">
        <f t="shared" si="2"/>
        <v>1-88</v>
      </c>
      <c r="C96" s="42" t="s">
        <v>656</v>
      </c>
      <c r="D96" s="42" t="s">
        <v>107</v>
      </c>
      <c r="E96" s="100" t="s">
        <v>641</v>
      </c>
      <c r="F96" s="226" t="s">
        <v>608</v>
      </c>
      <c r="G96" s="227"/>
      <c r="H96" s="101"/>
      <c r="I96" s="20"/>
      <c r="J96" s="101"/>
      <c r="K96" s="101"/>
      <c r="L96" s="20"/>
      <c r="M96" s="101"/>
      <c r="N96" s="101"/>
      <c r="O96" s="20"/>
      <c r="P96" s="101"/>
      <c r="Q96" s="181"/>
      <c r="R96" s="101"/>
      <c r="S96" s="100"/>
      <c r="T96" s="102"/>
      <c r="U96" s="102"/>
      <c r="V96" s="184"/>
      <c r="W96" s="116"/>
      <c r="X96" s="116"/>
    </row>
    <row r="97" spans="2:24" ht="48.95" customHeight="1">
      <c r="B97" s="147" t="str">
        <f t="shared" si="2"/>
        <v>1-89</v>
      </c>
      <c r="C97" s="100" t="s">
        <v>140</v>
      </c>
      <c r="D97" s="100" t="s">
        <v>82</v>
      </c>
      <c r="E97" s="100" t="s">
        <v>642</v>
      </c>
      <c r="F97" s="226" t="s">
        <v>644</v>
      </c>
      <c r="G97" s="227"/>
      <c r="H97" s="101"/>
      <c r="I97" s="20"/>
      <c r="J97" s="101"/>
      <c r="K97" s="101"/>
      <c r="L97" s="20"/>
      <c r="M97" s="101"/>
      <c r="N97" s="101"/>
      <c r="O97" s="20"/>
      <c r="P97" s="101"/>
      <c r="Q97" s="181"/>
      <c r="R97" s="101"/>
      <c r="S97" s="100"/>
      <c r="T97" s="102"/>
      <c r="U97" s="102"/>
      <c r="V97" s="184"/>
      <c r="W97" s="160"/>
      <c r="X97" s="160"/>
    </row>
    <row r="98" spans="2:24" ht="48.95" customHeight="1">
      <c r="B98" s="147" t="str">
        <f t="shared" si="2"/>
        <v>1-90</v>
      </c>
      <c r="C98" s="100" t="s">
        <v>140</v>
      </c>
      <c r="D98" s="42" t="s">
        <v>380</v>
      </c>
      <c r="E98" s="42" t="s">
        <v>381</v>
      </c>
      <c r="F98" s="226" t="s">
        <v>487</v>
      </c>
      <c r="G98" s="227"/>
      <c r="H98" s="101"/>
      <c r="I98" s="20"/>
      <c r="J98" s="101"/>
      <c r="K98" s="101"/>
      <c r="L98" s="20"/>
      <c r="M98" s="101"/>
      <c r="N98" s="101"/>
      <c r="O98" s="20"/>
      <c r="P98" s="101"/>
      <c r="Q98" s="179"/>
      <c r="R98" s="101"/>
      <c r="S98" s="100"/>
      <c r="T98" s="102"/>
      <c r="U98" s="102"/>
      <c r="V98" s="184"/>
      <c r="W98" s="131"/>
      <c r="X98" s="131"/>
    </row>
    <row r="99" spans="2:24" ht="48.95" customHeight="1">
      <c r="B99" s="147" t="str">
        <f t="shared" si="2"/>
        <v>1-91</v>
      </c>
      <c r="C99" s="42" t="s">
        <v>481</v>
      </c>
      <c r="D99" s="42" t="s">
        <v>107</v>
      </c>
      <c r="E99" s="100" t="s">
        <v>641</v>
      </c>
      <c r="F99" s="226" t="s">
        <v>608</v>
      </c>
      <c r="G99" s="227"/>
      <c r="H99" s="101"/>
      <c r="I99" s="20"/>
      <c r="J99" s="101"/>
      <c r="K99" s="101"/>
      <c r="L99" s="20"/>
      <c r="M99" s="101"/>
      <c r="N99" s="101"/>
      <c r="O99" s="20"/>
      <c r="P99" s="101"/>
      <c r="Q99" s="181"/>
      <c r="R99" s="101"/>
      <c r="S99" s="100"/>
      <c r="T99" s="102"/>
      <c r="U99" s="102"/>
      <c r="V99" s="184"/>
      <c r="W99" s="116"/>
      <c r="X99" s="116"/>
    </row>
    <row r="100" spans="2:24" ht="48.95" customHeight="1">
      <c r="B100" s="147" t="str">
        <f t="shared" si="2"/>
        <v>1-92</v>
      </c>
      <c r="C100" s="100" t="s">
        <v>140</v>
      </c>
      <c r="D100" s="100" t="s">
        <v>82</v>
      </c>
      <c r="E100" s="100" t="s">
        <v>642</v>
      </c>
      <c r="F100" s="226" t="s">
        <v>644</v>
      </c>
      <c r="G100" s="227"/>
      <c r="H100" s="101"/>
      <c r="I100" s="20"/>
      <c r="J100" s="101"/>
      <c r="K100" s="101"/>
      <c r="L100" s="20"/>
      <c r="M100" s="101"/>
      <c r="N100" s="101"/>
      <c r="O100" s="20"/>
      <c r="P100" s="101"/>
      <c r="Q100" s="181"/>
      <c r="R100" s="101"/>
      <c r="S100" s="100"/>
      <c r="T100" s="102"/>
      <c r="U100" s="102"/>
      <c r="V100" s="184"/>
      <c r="W100" s="160"/>
      <c r="X100" s="160"/>
    </row>
    <row r="101" spans="2:24" ht="48.95" customHeight="1">
      <c r="B101" s="147" t="str">
        <f t="shared" si="2"/>
        <v>1-93</v>
      </c>
      <c r="C101" s="100" t="s">
        <v>140</v>
      </c>
      <c r="D101" s="42" t="s">
        <v>380</v>
      </c>
      <c r="E101" s="42" t="s">
        <v>381</v>
      </c>
      <c r="F101" s="226" t="s">
        <v>487</v>
      </c>
      <c r="G101" s="227"/>
      <c r="H101" s="101"/>
      <c r="I101" s="20"/>
      <c r="J101" s="101"/>
      <c r="K101" s="101"/>
      <c r="L101" s="20"/>
      <c r="M101" s="101"/>
      <c r="N101" s="101"/>
      <c r="O101" s="20"/>
      <c r="P101" s="101"/>
      <c r="Q101" s="179"/>
      <c r="R101" s="101"/>
      <c r="S101" s="100"/>
      <c r="T101" s="102"/>
      <c r="U101" s="102"/>
      <c r="V101" s="184"/>
      <c r="W101" s="131"/>
      <c r="X101" s="131"/>
    </row>
    <row r="102" spans="2:24" ht="48.95" customHeight="1">
      <c r="B102" s="147" t="str">
        <f t="shared" si="2"/>
        <v>1-94</v>
      </c>
      <c r="C102" s="42" t="s">
        <v>657</v>
      </c>
      <c r="D102" s="42" t="s">
        <v>107</v>
      </c>
      <c r="E102" s="100" t="s">
        <v>641</v>
      </c>
      <c r="F102" s="226" t="s">
        <v>608</v>
      </c>
      <c r="G102" s="227"/>
      <c r="H102" s="101"/>
      <c r="I102" s="20"/>
      <c r="J102" s="101"/>
      <c r="K102" s="101"/>
      <c r="L102" s="20"/>
      <c r="M102" s="101"/>
      <c r="N102" s="101"/>
      <c r="O102" s="20"/>
      <c r="P102" s="101"/>
      <c r="Q102" s="181"/>
      <c r="R102" s="101"/>
      <c r="S102" s="100"/>
      <c r="T102" s="102"/>
      <c r="U102" s="102"/>
      <c r="V102" s="184"/>
      <c r="W102" s="116"/>
      <c r="X102" s="116"/>
    </row>
    <row r="103" spans="2:24" ht="48.95" customHeight="1">
      <c r="B103" s="147" t="str">
        <f t="shared" si="2"/>
        <v>1-95</v>
      </c>
      <c r="C103" s="100" t="s">
        <v>140</v>
      </c>
      <c r="D103" s="100" t="s">
        <v>82</v>
      </c>
      <c r="E103" s="100" t="s">
        <v>642</v>
      </c>
      <c r="F103" s="226" t="s">
        <v>644</v>
      </c>
      <c r="G103" s="227"/>
      <c r="H103" s="101"/>
      <c r="I103" s="20"/>
      <c r="J103" s="101"/>
      <c r="K103" s="101"/>
      <c r="L103" s="20"/>
      <c r="M103" s="101"/>
      <c r="N103" s="101"/>
      <c r="O103" s="20"/>
      <c r="P103" s="101"/>
      <c r="Q103" s="181"/>
      <c r="R103" s="101"/>
      <c r="S103" s="100"/>
      <c r="T103" s="102"/>
      <c r="U103" s="102"/>
      <c r="V103" s="184"/>
      <c r="W103" s="160"/>
      <c r="X103" s="160"/>
    </row>
    <row r="104" spans="2:24" ht="48.95" customHeight="1">
      <c r="B104" s="147" t="str">
        <f t="shared" si="2"/>
        <v>1-96</v>
      </c>
      <c r="C104" s="100" t="s">
        <v>140</v>
      </c>
      <c r="D104" s="42" t="s">
        <v>380</v>
      </c>
      <c r="E104" s="42" t="s">
        <v>381</v>
      </c>
      <c r="F104" s="226" t="s">
        <v>487</v>
      </c>
      <c r="G104" s="227"/>
      <c r="H104" s="101"/>
      <c r="I104" s="20"/>
      <c r="J104" s="101"/>
      <c r="K104" s="101"/>
      <c r="L104" s="20"/>
      <c r="M104" s="101"/>
      <c r="N104" s="101"/>
      <c r="O104" s="20"/>
      <c r="P104" s="101"/>
      <c r="Q104" s="179"/>
      <c r="R104" s="183"/>
      <c r="S104" s="100"/>
      <c r="T104" s="102"/>
      <c r="U104" s="102"/>
      <c r="V104" s="184"/>
      <c r="W104" s="131"/>
      <c r="X104" s="131"/>
    </row>
    <row r="105" spans="2:24" ht="48.95" customHeight="1">
      <c r="B105" s="147" t="str">
        <f t="shared" si="2"/>
        <v>1-97</v>
      </c>
      <c r="C105" s="42" t="s">
        <v>658</v>
      </c>
      <c r="D105" s="42" t="s">
        <v>107</v>
      </c>
      <c r="E105" s="100" t="s">
        <v>641</v>
      </c>
      <c r="F105" s="226" t="s">
        <v>608</v>
      </c>
      <c r="G105" s="227"/>
      <c r="H105" s="101"/>
      <c r="I105" s="20"/>
      <c r="J105" s="101"/>
      <c r="K105" s="101"/>
      <c r="L105" s="20"/>
      <c r="M105" s="101"/>
      <c r="N105" s="101"/>
      <c r="O105" s="20"/>
      <c r="P105" s="101"/>
      <c r="Q105" s="181"/>
      <c r="R105" s="183"/>
      <c r="S105" s="100"/>
      <c r="T105" s="102"/>
      <c r="U105" s="102"/>
      <c r="V105" s="184"/>
      <c r="W105" s="116"/>
      <c r="X105" s="116"/>
    </row>
    <row r="106" spans="2:24" ht="48.95" customHeight="1">
      <c r="B106" s="147" t="str">
        <f t="shared" si="2"/>
        <v>1-98</v>
      </c>
      <c r="C106" s="100" t="s">
        <v>140</v>
      </c>
      <c r="D106" s="100" t="s">
        <v>82</v>
      </c>
      <c r="E106" s="100" t="s">
        <v>642</v>
      </c>
      <c r="F106" s="226" t="s">
        <v>644</v>
      </c>
      <c r="G106" s="227"/>
      <c r="H106" s="101"/>
      <c r="I106" s="20"/>
      <c r="J106" s="101"/>
      <c r="K106" s="101"/>
      <c r="L106" s="20"/>
      <c r="M106" s="101"/>
      <c r="N106" s="101"/>
      <c r="O106" s="20"/>
      <c r="P106" s="101"/>
      <c r="Q106" s="181"/>
      <c r="R106" s="183"/>
      <c r="S106" s="100"/>
      <c r="T106" s="102"/>
      <c r="U106" s="102"/>
      <c r="V106" s="184"/>
      <c r="W106" s="160"/>
      <c r="X106" s="160"/>
    </row>
    <row r="107" spans="2:24" ht="48.95" customHeight="1">
      <c r="B107" s="147" t="str">
        <f t="shared" si="2"/>
        <v>1-99</v>
      </c>
      <c r="C107" s="100" t="s">
        <v>140</v>
      </c>
      <c r="D107" s="42" t="s">
        <v>380</v>
      </c>
      <c r="E107" s="42" t="s">
        <v>381</v>
      </c>
      <c r="F107" s="226" t="s">
        <v>487</v>
      </c>
      <c r="G107" s="227"/>
      <c r="H107" s="101"/>
      <c r="I107" s="20"/>
      <c r="J107" s="101"/>
      <c r="K107" s="101"/>
      <c r="L107" s="20"/>
      <c r="M107" s="101"/>
      <c r="N107" s="101"/>
      <c r="O107" s="20"/>
      <c r="P107" s="101"/>
      <c r="Q107" s="179"/>
      <c r="R107" s="183"/>
      <c r="S107" s="100"/>
      <c r="T107" s="102"/>
      <c r="U107" s="102"/>
      <c r="V107" s="184"/>
      <c r="W107" s="131"/>
      <c r="X107" s="131"/>
    </row>
    <row r="108" spans="2:24" ht="48.95" customHeight="1">
      <c r="B108" s="147" t="str">
        <f t="shared" si="2"/>
        <v>1-100</v>
      </c>
      <c r="C108" s="42" t="s">
        <v>659</v>
      </c>
      <c r="D108" s="42" t="s">
        <v>107</v>
      </c>
      <c r="E108" s="100" t="s">
        <v>641</v>
      </c>
      <c r="F108" s="226" t="s">
        <v>608</v>
      </c>
      <c r="G108" s="227"/>
      <c r="H108" s="101"/>
      <c r="I108" s="20"/>
      <c r="J108" s="101"/>
      <c r="K108" s="101"/>
      <c r="L108" s="20"/>
      <c r="M108" s="101"/>
      <c r="N108" s="101"/>
      <c r="O108" s="20"/>
      <c r="P108" s="101"/>
      <c r="Q108" s="181"/>
      <c r="R108" s="183"/>
      <c r="S108" s="100"/>
      <c r="T108" s="102"/>
      <c r="U108" s="102"/>
      <c r="V108" s="184"/>
      <c r="W108" s="116"/>
      <c r="X108" s="116"/>
    </row>
    <row r="109" spans="2:24" ht="48.95" customHeight="1">
      <c r="B109" s="147" t="str">
        <f t="shared" si="2"/>
        <v>1-101</v>
      </c>
      <c r="C109" s="100" t="s">
        <v>140</v>
      </c>
      <c r="D109" s="100" t="s">
        <v>82</v>
      </c>
      <c r="E109" s="100" t="s">
        <v>642</v>
      </c>
      <c r="F109" s="226" t="s">
        <v>644</v>
      </c>
      <c r="G109" s="227"/>
      <c r="H109" s="101"/>
      <c r="I109" s="20"/>
      <c r="J109" s="101"/>
      <c r="K109" s="101"/>
      <c r="L109" s="20"/>
      <c r="M109" s="101"/>
      <c r="N109" s="101"/>
      <c r="O109" s="20"/>
      <c r="P109" s="101"/>
      <c r="Q109" s="181"/>
      <c r="R109" s="183"/>
      <c r="S109" s="100"/>
      <c r="T109" s="102"/>
      <c r="U109" s="102"/>
      <c r="V109" s="184"/>
      <c r="W109" s="160"/>
      <c r="X109" s="160"/>
    </row>
    <row r="110" spans="2:24" ht="48.95" customHeight="1">
      <c r="B110" s="147" t="str">
        <f t="shared" si="2"/>
        <v>1-102</v>
      </c>
      <c r="C110" s="100" t="s">
        <v>140</v>
      </c>
      <c r="D110" s="42" t="s">
        <v>380</v>
      </c>
      <c r="E110" s="42" t="s">
        <v>381</v>
      </c>
      <c r="F110" s="226" t="s">
        <v>487</v>
      </c>
      <c r="G110" s="227"/>
      <c r="H110" s="101"/>
      <c r="I110" s="20"/>
      <c r="J110" s="101"/>
      <c r="K110" s="101"/>
      <c r="L110" s="20"/>
      <c r="M110" s="101"/>
      <c r="N110" s="101"/>
      <c r="O110" s="20"/>
      <c r="P110" s="101"/>
      <c r="Q110" s="179"/>
      <c r="R110" s="183"/>
      <c r="S110" s="100"/>
      <c r="T110" s="102"/>
      <c r="U110" s="102"/>
      <c r="V110" s="184"/>
      <c r="W110" s="131"/>
      <c r="X110" s="131"/>
    </row>
    <row r="111" spans="2:24" ht="48.95" customHeight="1">
      <c r="B111" s="147" t="str">
        <f t="shared" si="2"/>
        <v>1-103</v>
      </c>
      <c r="C111" s="42" t="s">
        <v>660</v>
      </c>
      <c r="D111" s="42" t="s">
        <v>107</v>
      </c>
      <c r="E111" s="100" t="s">
        <v>641</v>
      </c>
      <c r="F111" s="226" t="s">
        <v>608</v>
      </c>
      <c r="G111" s="227"/>
      <c r="H111" s="101"/>
      <c r="I111" s="20"/>
      <c r="J111" s="101"/>
      <c r="K111" s="101"/>
      <c r="L111" s="20"/>
      <c r="M111" s="101"/>
      <c r="N111" s="101"/>
      <c r="O111" s="20"/>
      <c r="P111" s="101"/>
      <c r="Q111" s="181"/>
      <c r="R111" s="183"/>
      <c r="S111" s="100"/>
      <c r="T111" s="102"/>
      <c r="U111" s="102"/>
      <c r="V111" s="184"/>
      <c r="W111" s="113"/>
      <c r="X111" s="113"/>
    </row>
    <row r="112" spans="2:24" ht="48.95" customHeight="1">
      <c r="B112" s="147" t="str">
        <f t="shared" si="2"/>
        <v>1-104</v>
      </c>
      <c r="C112" s="42" t="s">
        <v>140</v>
      </c>
      <c r="D112" s="100" t="s">
        <v>82</v>
      </c>
      <c r="E112" s="100" t="s">
        <v>642</v>
      </c>
      <c r="F112" s="226" t="s">
        <v>644</v>
      </c>
      <c r="G112" s="227"/>
      <c r="H112" s="101"/>
      <c r="I112" s="20"/>
      <c r="J112" s="101"/>
      <c r="K112" s="101"/>
      <c r="L112" s="20"/>
      <c r="M112" s="101"/>
      <c r="N112" s="101"/>
      <c r="O112" s="20"/>
      <c r="P112" s="101"/>
      <c r="Q112" s="181"/>
      <c r="R112" s="183"/>
      <c r="S112" s="100"/>
      <c r="T112" s="102"/>
      <c r="U112" s="102"/>
      <c r="V112" s="184"/>
      <c r="W112" s="160"/>
      <c r="X112" s="160"/>
    </row>
    <row r="113" spans="2:24" ht="48.95" customHeight="1">
      <c r="B113" s="147" t="str">
        <f t="shared" si="2"/>
        <v>1-105</v>
      </c>
      <c r="C113" s="42" t="s">
        <v>140</v>
      </c>
      <c r="D113" s="42" t="s">
        <v>379</v>
      </c>
      <c r="E113" s="42" t="s">
        <v>381</v>
      </c>
      <c r="F113" s="226" t="s">
        <v>487</v>
      </c>
      <c r="G113" s="227"/>
      <c r="H113" s="101"/>
      <c r="I113" s="20"/>
      <c r="J113" s="101"/>
      <c r="K113" s="101"/>
      <c r="L113" s="20"/>
      <c r="M113" s="101"/>
      <c r="N113" s="101"/>
      <c r="O113" s="20"/>
      <c r="P113" s="101"/>
      <c r="Q113" s="179"/>
      <c r="R113" s="183"/>
      <c r="S113" s="100"/>
      <c r="T113" s="102"/>
      <c r="U113" s="102"/>
      <c r="V113" s="184"/>
      <c r="W113" s="131"/>
      <c r="X113" s="131"/>
    </row>
    <row r="114" spans="2:24" ht="48.95" customHeight="1">
      <c r="B114" s="147" t="str">
        <f t="shared" si="2"/>
        <v>1-106</v>
      </c>
      <c r="C114" s="42" t="s">
        <v>661</v>
      </c>
      <c r="D114" s="42" t="s">
        <v>107</v>
      </c>
      <c r="E114" s="100" t="s">
        <v>641</v>
      </c>
      <c r="F114" s="226" t="s">
        <v>608</v>
      </c>
      <c r="G114" s="227"/>
      <c r="H114" s="101"/>
      <c r="I114" s="20"/>
      <c r="J114" s="101"/>
      <c r="K114" s="101"/>
      <c r="L114" s="20"/>
      <c r="M114" s="101"/>
      <c r="N114" s="101"/>
      <c r="O114" s="20"/>
      <c r="P114" s="101"/>
      <c r="Q114" s="181"/>
      <c r="R114" s="183"/>
      <c r="S114" s="100"/>
      <c r="T114" s="102"/>
      <c r="U114" s="102"/>
      <c r="V114" s="184"/>
      <c r="W114" s="113"/>
      <c r="X114" s="113"/>
    </row>
    <row r="115" spans="2:24" ht="48.95" customHeight="1">
      <c r="B115" s="147" t="str">
        <f t="shared" si="2"/>
        <v>1-107</v>
      </c>
      <c r="C115" s="42" t="s">
        <v>140</v>
      </c>
      <c r="D115" s="100" t="s">
        <v>82</v>
      </c>
      <c r="E115" s="100" t="s">
        <v>642</v>
      </c>
      <c r="F115" s="226" t="s">
        <v>644</v>
      </c>
      <c r="G115" s="227"/>
      <c r="H115" s="101"/>
      <c r="I115" s="20"/>
      <c r="J115" s="101"/>
      <c r="K115" s="101"/>
      <c r="L115" s="20"/>
      <c r="M115" s="101"/>
      <c r="N115" s="101"/>
      <c r="O115" s="20"/>
      <c r="P115" s="101"/>
      <c r="Q115" s="181"/>
      <c r="R115" s="183"/>
      <c r="S115" s="100"/>
      <c r="T115" s="102"/>
      <c r="U115" s="102"/>
      <c r="V115" s="184"/>
      <c r="W115" s="160"/>
      <c r="X115" s="160"/>
    </row>
    <row r="116" spans="2:24" ht="48.95" customHeight="1">
      <c r="B116" s="147" t="str">
        <f t="shared" si="2"/>
        <v>1-108</v>
      </c>
      <c r="C116" s="42" t="s">
        <v>140</v>
      </c>
      <c r="D116" s="42" t="s">
        <v>379</v>
      </c>
      <c r="E116" s="42" t="s">
        <v>381</v>
      </c>
      <c r="F116" s="226" t="s">
        <v>487</v>
      </c>
      <c r="G116" s="227"/>
      <c r="H116" s="101"/>
      <c r="I116" s="20"/>
      <c r="J116" s="101"/>
      <c r="K116" s="101"/>
      <c r="L116" s="20"/>
      <c r="M116" s="101"/>
      <c r="N116" s="101"/>
      <c r="O116" s="20"/>
      <c r="P116" s="101"/>
      <c r="Q116" s="179"/>
      <c r="R116" s="183"/>
      <c r="S116" s="100"/>
      <c r="T116" s="102"/>
      <c r="U116" s="102"/>
      <c r="V116" s="184"/>
      <c r="W116" s="131"/>
      <c r="X116" s="131"/>
    </row>
    <row r="117" spans="2:24" ht="48.95" customHeight="1">
      <c r="B117" s="147" t="str">
        <f t="shared" si="2"/>
        <v>1-109</v>
      </c>
      <c r="C117" s="42" t="s">
        <v>662</v>
      </c>
      <c r="D117" s="42" t="s">
        <v>107</v>
      </c>
      <c r="E117" s="100" t="s">
        <v>641</v>
      </c>
      <c r="F117" s="226" t="s">
        <v>608</v>
      </c>
      <c r="G117" s="227"/>
      <c r="H117" s="101"/>
      <c r="I117" s="20"/>
      <c r="J117" s="101"/>
      <c r="K117" s="101"/>
      <c r="L117" s="20"/>
      <c r="M117" s="101"/>
      <c r="N117" s="101"/>
      <c r="O117" s="20"/>
      <c r="P117" s="101"/>
      <c r="Q117" s="181"/>
      <c r="R117" s="183"/>
      <c r="S117" s="100"/>
      <c r="T117" s="102"/>
      <c r="U117" s="102"/>
      <c r="V117" s="184"/>
      <c r="W117" s="113"/>
      <c r="X117" s="113"/>
    </row>
    <row r="118" spans="2:24" ht="48.95" customHeight="1">
      <c r="B118" s="147" t="str">
        <f t="shared" si="2"/>
        <v>1-110</v>
      </c>
      <c r="C118" s="42" t="s">
        <v>140</v>
      </c>
      <c r="D118" s="100" t="s">
        <v>82</v>
      </c>
      <c r="E118" s="100" t="s">
        <v>642</v>
      </c>
      <c r="F118" s="226" t="s">
        <v>644</v>
      </c>
      <c r="G118" s="227"/>
      <c r="H118" s="101"/>
      <c r="I118" s="20"/>
      <c r="J118" s="101"/>
      <c r="K118" s="101"/>
      <c r="L118" s="20"/>
      <c r="M118" s="101"/>
      <c r="N118" s="101"/>
      <c r="O118" s="20"/>
      <c r="P118" s="101"/>
      <c r="Q118" s="181"/>
      <c r="R118" s="183"/>
      <c r="S118" s="100"/>
      <c r="T118" s="102"/>
      <c r="U118" s="102"/>
      <c r="V118" s="184"/>
      <c r="W118" s="160"/>
      <c r="X118" s="160"/>
    </row>
    <row r="119" spans="2:24" ht="48.95" customHeight="1">
      <c r="B119" s="147" t="str">
        <f t="shared" si="2"/>
        <v>1-111</v>
      </c>
      <c r="C119" s="42" t="s">
        <v>140</v>
      </c>
      <c r="D119" s="42" t="s">
        <v>379</v>
      </c>
      <c r="E119" s="42" t="s">
        <v>381</v>
      </c>
      <c r="F119" s="226" t="s">
        <v>487</v>
      </c>
      <c r="G119" s="227"/>
      <c r="H119" s="101"/>
      <c r="I119" s="20"/>
      <c r="J119" s="101"/>
      <c r="K119" s="101"/>
      <c r="L119" s="20"/>
      <c r="M119" s="101"/>
      <c r="N119" s="101"/>
      <c r="O119" s="20"/>
      <c r="P119" s="101"/>
      <c r="Q119" s="179"/>
      <c r="R119" s="183"/>
      <c r="S119" s="100"/>
      <c r="T119" s="102"/>
      <c r="U119" s="102"/>
      <c r="V119" s="184"/>
      <c r="W119" s="131"/>
      <c r="X119" s="131"/>
    </row>
    <row r="120" spans="2:24" ht="48.95" customHeight="1">
      <c r="B120" s="147" t="str">
        <f t="shared" si="2"/>
        <v>1-112</v>
      </c>
      <c r="C120" s="42" t="s">
        <v>663</v>
      </c>
      <c r="D120" s="42" t="s">
        <v>107</v>
      </c>
      <c r="E120" s="100" t="s">
        <v>641</v>
      </c>
      <c r="F120" s="226" t="s">
        <v>608</v>
      </c>
      <c r="G120" s="227"/>
      <c r="H120" s="101"/>
      <c r="I120" s="20"/>
      <c r="J120" s="101"/>
      <c r="K120" s="101"/>
      <c r="L120" s="20"/>
      <c r="M120" s="101"/>
      <c r="N120" s="101"/>
      <c r="O120" s="20"/>
      <c r="P120" s="101"/>
      <c r="Q120" s="181"/>
      <c r="R120" s="183"/>
      <c r="S120" s="100"/>
      <c r="T120" s="102"/>
      <c r="U120" s="102"/>
      <c r="V120" s="184"/>
      <c r="W120" s="133"/>
      <c r="X120" s="133"/>
    </row>
    <row r="121" spans="2:24" ht="48.95" customHeight="1">
      <c r="B121" s="147" t="str">
        <f t="shared" si="2"/>
        <v>1-113</v>
      </c>
      <c r="C121" s="42" t="s">
        <v>140</v>
      </c>
      <c r="D121" s="100" t="s">
        <v>82</v>
      </c>
      <c r="E121" s="100" t="s">
        <v>642</v>
      </c>
      <c r="F121" s="226" t="s">
        <v>644</v>
      </c>
      <c r="G121" s="227"/>
      <c r="H121" s="101"/>
      <c r="I121" s="20"/>
      <c r="J121" s="101"/>
      <c r="K121" s="101"/>
      <c r="L121" s="20"/>
      <c r="M121" s="101"/>
      <c r="N121" s="101"/>
      <c r="O121" s="20"/>
      <c r="P121" s="101"/>
      <c r="Q121" s="181"/>
      <c r="R121" s="183"/>
      <c r="S121" s="100"/>
      <c r="T121" s="102"/>
      <c r="U121" s="102"/>
      <c r="V121" s="184"/>
      <c r="W121" s="160"/>
      <c r="X121" s="160"/>
    </row>
    <row r="122" spans="2:24" ht="48.95" customHeight="1">
      <c r="B122" s="147" t="str">
        <f t="shared" si="2"/>
        <v>1-114</v>
      </c>
      <c r="C122" s="42" t="s">
        <v>140</v>
      </c>
      <c r="D122" s="42" t="s">
        <v>379</v>
      </c>
      <c r="E122" s="42" t="s">
        <v>381</v>
      </c>
      <c r="F122" s="226" t="s">
        <v>487</v>
      </c>
      <c r="G122" s="227"/>
      <c r="H122" s="101"/>
      <c r="I122" s="20"/>
      <c r="J122" s="101"/>
      <c r="K122" s="101"/>
      <c r="L122" s="20"/>
      <c r="M122" s="101"/>
      <c r="N122" s="101"/>
      <c r="O122" s="20"/>
      <c r="P122" s="101"/>
      <c r="Q122" s="179"/>
      <c r="R122" s="183"/>
      <c r="S122" s="100"/>
      <c r="T122" s="102"/>
      <c r="U122" s="102"/>
      <c r="V122" s="184"/>
      <c r="W122" s="133"/>
      <c r="X122" s="133"/>
    </row>
    <row r="123" spans="2:24" ht="48.95" customHeight="1">
      <c r="B123" s="147" t="str">
        <f t="shared" si="2"/>
        <v>1-115</v>
      </c>
      <c r="C123" s="42" t="s">
        <v>664</v>
      </c>
      <c r="D123" s="42" t="s">
        <v>107</v>
      </c>
      <c r="E123" s="100" t="s">
        <v>641</v>
      </c>
      <c r="F123" s="226" t="s">
        <v>608</v>
      </c>
      <c r="G123" s="227"/>
      <c r="H123" s="101"/>
      <c r="I123" s="20"/>
      <c r="J123" s="101"/>
      <c r="K123" s="101"/>
      <c r="L123" s="20"/>
      <c r="M123" s="101"/>
      <c r="N123" s="101"/>
      <c r="O123" s="20"/>
      <c r="P123" s="101"/>
      <c r="Q123" s="181"/>
      <c r="R123" s="101"/>
      <c r="S123" s="100"/>
      <c r="T123" s="102"/>
      <c r="U123" s="102"/>
      <c r="V123" s="184"/>
      <c r="W123" s="113"/>
      <c r="X123" s="113"/>
    </row>
    <row r="124" spans="2:24" ht="48.95" customHeight="1">
      <c r="B124" s="147" t="str">
        <f t="shared" si="2"/>
        <v>1-116</v>
      </c>
      <c r="C124" s="100" t="s">
        <v>647</v>
      </c>
      <c r="D124" s="100" t="s">
        <v>82</v>
      </c>
      <c r="E124" s="100" t="s">
        <v>642</v>
      </c>
      <c r="F124" s="226" t="s">
        <v>643</v>
      </c>
      <c r="G124" s="227"/>
      <c r="H124" s="101"/>
      <c r="I124" s="20"/>
      <c r="J124" s="101"/>
      <c r="K124" s="101"/>
      <c r="L124" s="20"/>
      <c r="M124" s="101"/>
      <c r="N124" s="101"/>
      <c r="O124" s="20"/>
      <c r="P124" s="101"/>
      <c r="Q124" s="181"/>
      <c r="R124" s="101"/>
      <c r="S124" s="100"/>
      <c r="T124" s="102"/>
      <c r="U124" s="102"/>
      <c r="V124" s="184"/>
      <c r="W124" s="160"/>
      <c r="X124" s="160"/>
    </row>
    <row r="125" spans="2:24" ht="48.95" customHeight="1">
      <c r="B125" s="147" t="str">
        <f t="shared" si="2"/>
        <v>1-117</v>
      </c>
      <c r="C125" s="100" t="s">
        <v>647</v>
      </c>
      <c r="D125" s="42" t="s">
        <v>610</v>
      </c>
      <c r="E125" s="42" t="s">
        <v>173</v>
      </c>
      <c r="F125" s="226" t="s">
        <v>253</v>
      </c>
      <c r="G125" s="227"/>
      <c r="H125" s="101"/>
      <c r="I125" s="20"/>
      <c r="J125" s="101"/>
      <c r="K125" s="101"/>
      <c r="L125" s="20"/>
      <c r="M125" s="101"/>
      <c r="N125" s="101"/>
      <c r="O125" s="20"/>
      <c r="P125" s="101"/>
      <c r="Q125" s="181"/>
      <c r="R125" s="101"/>
      <c r="S125" s="100"/>
      <c r="T125" s="102"/>
      <c r="U125" s="102"/>
      <c r="V125" s="184"/>
      <c r="W125" s="131"/>
      <c r="X125" s="131"/>
    </row>
    <row r="126" spans="2:24" ht="48.95" customHeight="1">
      <c r="B126" s="147" t="str">
        <f t="shared" si="2"/>
        <v>1-118</v>
      </c>
      <c r="C126" s="42" t="s">
        <v>665</v>
      </c>
      <c r="D126" s="42" t="s">
        <v>107</v>
      </c>
      <c r="E126" s="100" t="s">
        <v>641</v>
      </c>
      <c r="F126" s="226" t="s">
        <v>608</v>
      </c>
      <c r="G126" s="227"/>
      <c r="H126" s="101"/>
      <c r="I126" s="20"/>
      <c r="J126" s="101"/>
      <c r="K126" s="101"/>
      <c r="L126" s="20"/>
      <c r="M126" s="101"/>
      <c r="N126" s="101"/>
      <c r="O126" s="20"/>
      <c r="P126" s="101"/>
      <c r="Q126" s="181"/>
      <c r="R126" s="101"/>
      <c r="S126" s="100"/>
      <c r="T126" s="102"/>
      <c r="U126" s="102"/>
      <c r="V126" s="184"/>
      <c r="W126" s="131"/>
      <c r="X126" s="131"/>
    </row>
    <row r="127" spans="2:24" ht="48.95" customHeight="1">
      <c r="B127" s="147" t="str">
        <f t="shared" si="2"/>
        <v>1-119</v>
      </c>
      <c r="C127" s="100" t="s">
        <v>647</v>
      </c>
      <c r="D127" s="100" t="s">
        <v>82</v>
      </c>
      <c r="E127" s="100" t="s">
        <v>642</v>
      </c>
      <c r="F127" s="226" t="s">
        <v>643</v>
      </c>
      <c r="G127" s="227"/>
      <c r="H127" s="101"/>
      <c r="I127" s="20"/>
      <c r="J127" s="101"/>
      <c r="K127" s="101"/>
      <c r="L127" s="20"/>
      <c r="M127" s="101"/>
      <c r="N127" s="101"/>
      <c r="O127" s="20"/>
      <c r="P127" s="101"/>
      <c r="Q127" s="181"/>
      <c r="R127" s="101"/>
      <c r="S127" s="100"/>
      <c r="T127" s="102"/>
      <c r="U127" s="102"/>
      <c r="V127" s="184"/>
      <c r="W127" s="160"/>
      <c r="X127" s="160"/>
    </row>
    <row r="128" spans="2:24" ht="48.95" customHeight="1">
      <c r="B128" s="147" t="str">
        <f t="shared" si="2"/>
        <v>1-120</v>
      </c>
      <c r="C128" s="100" t="s">
        <v>647</v>
      </c>
      <c r="D128" s="42" t="s">
        <v>610</v>
      </c>
      <c r="E128" s="42" t="s">
        <v>174</v>
      </c>
      <c r="F128" s="226" t="s">
        <v>253</v>
      </c>
      <c r="G128" s="227"/>
      <c r="H128" s="101"/>
      <c r="I128" s="20"/>
      <c r="J128" s="101"/>
      <c r="K128" s="101"/>
      <c r="L128" s="20"/>
      <c r="M128" s="101"/>
      <c r="N128" s="101"/>
      <c r="O128" s="20"/>
      <c r="P128" s="101"/>
      <c r="Q128" s="181"/>
      <c r="R128" s="101"/>
      <c r="S128" s="100"/>
      <c r="T128" s="102"/>
      <c r="U128" s="102"/>
      <c r="V128" s="184"/>
      <c r="W128" s="131"/>
      <c r="X128" s="131"/>
    </row>
    <row r="129" spans="2:24" ht="49.5" customHeight="1">
      <c r="B129" s="147" t="str">
        <f t="shared" si="2"/>
        <v>1-121</v>
      </c>
      <c r="C129" s="42" t="s">
        <v>666</v>
      </c>
      <c r="D129" s="42" t="s">
        <v>107</v>
      </c>
      <c r="E129" s="100" t="s">
        <v>641</v>
      </c>
      <c r="F129" s="226" t="s">
        <v>608</v>
      </c>
      <c r="G129" s="227"/>
      <c r="H129" s="101"/>
      <c r="I129" s="20"/>
      <c r="J129" s="101"/>
      <c r="K129" s="101"/>
      <c r="L129" s="20"/>
      <c r="M129" s="101"/>
      <c r="N129" s="101"/>
      <c r="O129" s="20"/>
      <c r="P129" s="101"/>
      <c r="Q129" s="181"/>
      <c r="R129" s="101"/>
      <c r="S129" s="100"/>
      <c r="T129" s="102"/>
      <c r="U129" s="102"/>
      <c r="V129" s="184"/>
      <c r="W129" s="131"/>
      <c r="X129" s="131"/>
    </row>
    <row r="130" spans="2:24" ht="49.5" customHeight="1">
      <c r="B130" s="147" t="str">
        <f t="shared" si="2"/>
        <v>1-122</v>
      </c>
      <c r="C130" s="100" t="s">
        <v>647</v>
      </c>
      <c r="D130" s="100" t="s">
        <v>82</v>
      </c>
      <c r="E130" s="100" t="s">
        <v>642</v>
      </c>
      <c r="F130" s="226" t="s">
        <v>643</v>
      </c>
      <c r="G130" s="227"/>
      <c r="H130" s="101"/>
      <c r="I130" s="20"/>
      <c r="J130" s="101"/>
      <c r="K130" s="101"/>
      <c r="L130" s="20"/>
      <c r="M130" s="101"/>
      <c r="N130" s="101"/>
      <c r="O130" s="20"/>
      <c r="P130" s="101"/>
      <c r="Q130" s="181"/>
      <c r="R130" s="101"/>
      <c r="S130" s="100"/>
      <c r="T130" s="102"/>
      <c r="U130" s="102"/>
      <c r="V130" s="184"/>
      <c r="W130" s="160"/>
      <c r="X130" s="160"/>
    </row>
    <row r="131" spans="2:24" ht="48.95" customHeight="1">
      <c r="B131" s="147" t="str">
        <f t="shared" si="2"/>
        <v>1-123</v>
      </c>
      <c r="C131" s="100" t="s">
        <v>647</v>
      </c>
      <c r="D131" s="42" t="s">
        <v>610</v>
      </c>
      <c r="E131" s="42" t="s">
        <v>175</v>
      </c>
      <c r="F131" s="226" t="s">
        <v>253</v>
      </c>
      <c r="G131" s="227"/>
      <c r="H131" s="101"/>
      <c r="I131" s="20"/>
      <c r="J131" s="101"/>
      <c r="K131" s="101"/>
      <c r="L131" s="20"/>
      <c r="M131" s="101"/>
      <c r="N131" s="101"/>
      <c r="O131" s="20"/>
      <c r="P131" s="101"/>
      <c r="Q131" s="181"/>
      <c r="R131" s="101"/>
      <c r="S131" s="100"/>
      <c r="T131" s="102"/>
      <c r="U131" s="102"/>
      <c r="V131" s="184"/>
      <c r="W131" s="131"/>
      <c r="X131" s="131"/>
    </row>
    <row r="132" spans="2:24" ht="48.95" customHeight="1">
      <c r="B132" s="147" t="str">
        <f t="shared" si="2"/>
        <v>1-124</v>
      </c>
      <c r="C132" s="42" t="s">
        <v>667</v>
      </c>
      <c r="D132" s="42" t="s">
        <v>107</v>
      </c>
      <c r="E132" s="100" t="s">
        <v>641</v>
      </c>
      <c r="F132" s="226" t="s">
        <v>608</v>
      </c>
      <c r="G132" s="227"/>
      <c r="H132" s="101"/>
      <c r="I132" s="20"/>
      <c r="J132" s="101"/>
      <c r="K132" s="101"/>
      <c r="L132" s="20"/>
      <c r="M132" s="101"/>
      <c r="N132" s="101"/>
      <c r="O132" s="20"/>
      <c r="P132" s="101"/>
      <c r="Q132" s="181"/>
      <c r="R132" s="101"/>
      <c r="S132" s="100"/>
      <c r="T132" s="102"/>
      <c r="U132" s="102"/>
      <c r="V132" s="184"/>
      <c r="W132" s="131"/>
      <c r="X132" s="131"/>
    </row>
    <row r="133" spans="2:24" ht="48.95" customHeight="1">
      <c r="B133" s="147" t="str">
        <f t="shared" si="2"/>
        <v>1-125</v>
      </c>
      <c r="C133" s="100" t="s">
        <v>647</v>
      </c>
      <c r="D133" s="100" t="s">
        <v>82</v>
      </c>
      <c r="E133" s="100" t="s">
        <v>642</v>
      </c>
      <c r="F133" s="226" t="s">
        <v>643</v>
      </c>
      <c r="G133" s="227"/>
      <c r="H133" s="101"/>
      <c r="I133" s="20"/>
      <c r="J133" s="101"/>
      <c r="K133" s="101"/>
      <c r="L133" s="20"/>
      <c r="M133" s="101"/>
      <c r="N133" s="101"/>
      <c r="O133" s="20"/>
      <c r="P133" s="101"/>
      <c r="Q133" s="181"/>
      <c r="R133" s="101"/>
      <c r="S133" s="100"/>
      <c r="T133" s="102"/>
      <c r="U133" s="102"/>
      <c r="V133" s="184"/>
      <c r="W133" s="160"/>
      <c r="X133" s="160"/>
    </row>
    <row r="134" spans="2:24" ht="48.95" customHeight="1">
      <c r="B134" s="147" t="str">
        <f t="shared" si="2"/>
        <v>1-126</v>
      </c>
      <c r="C134" s="100" t="s">
        <v>647</v>
      </c>
      <c r="D134" s="42" t="s">
        <v>610</v>
      </c>
      <c r="E134" s="42" t="s">
        <v>176</v>
      </c>
      <c r="F134" s="226" t="s">
        <v>253</v>
      </c>
      <c r="G134" s="227"/>
      <c r="H134" s="101"/>
      <c r="I134" s="20"/>
      <c r="J134" s="101"/>
      <c r="K134" s="101"/>
      <c r="L134" s="20"/>
      <c r="M134" s="101"/>
      <c r="N134" s="101"/>
      <c r="O134" s="20"/>
      <c r="P134" s="101"/>
      <c r="Q134" s="181"/>
      <c r="R134" s="101"/>
      <c r="S134" s="100"/>
      <c r="T134" s="102"/>
      <c r="U134" s="102"/>
      <c r="V134" s="184"/>
      <c r="W134" s="131"/>
      <c r="X134" s="131"/>
    </row>
    <row r="135" spans="2:24" ht="48.95" customHeight="1">
      <c r="B135" s="147" t="str">
        <f t="shared" si="2"/>
        <v>1-127</v>
      </c>
      <c r="C135" s="42" t="s">
        <v>668</v>
      </c>
      <c r="D135" s="42" t="s">
        <v>107</v>
      </c>
      <c r="E135" s="100" t="s">
        <v>641</v>
      </c>
      <c r="F135" s="226" t="s">
        <v>608</v>
      </c>
      <c r="G135" s="227"/>
      <c r="H135" s="101"/>
      <c r="I135" s="20"/>
      <c r="J135" s="101"/>
      <c r="K135" s="101"/>
      <c r="L135" s="20"/>
      <c r="M135" s="101"/>
      <c r="N135" s="101"/>
      <c r="O135" s="20"/>
      <c r="P135" s="101"/>
      <c r="Q135" s="181"/>
      <c r="R135" s="101"/>
      <c r="S135" s="100"/>
      <c r="T135" s="102"/>
      <c r="U135" s="102"/>
      <c r="V135" s="184"/>
      <c r="W135" s="131"/>
      <c r="X135" s="131"/>
    </row>
    <row r="136" spans="2:24" ht="48.95" customHeight="1">
      <c r="B136" s="147" t="str">
        <f t="shared" si="2"/>
        <v>1-128</v>
      </c>
      <c r="C136" s="100" t="s">
        <v>647</v>
      </c>
      <c r="D136" s="100" t="s">
        <v>82</v>
      </c>
      <c r="E136" s="100" t="s">
        <v>642</v>
      </c>
      <c r="F136" s="226" t="s">
        <v>643</v>
      </c>
      <c r="G136" s="227"/>
      <c r="H136" s="101"/>
      <c r="I136" s="20"/>
      <c r="J136" s="101"/>
      <c r="K136" s="101"/>
      <c r="L136" s="20"/>
      <c r="M136" s="101"/>
      <c r="N136" s="101"/>
      <c r="O136" s="20"/>
      <c r="P136" s="101"/>
      <c r="Q136" s="181"/>
      <c r="R136" s="101"/>
      <c r="S136" s="100"/>
      <c r="T136" s="102"/>
      <c r="U136" s="102"/>
      <c r="V136" s="184"/>
      <c r="W136" s="160"/>
      <c r="X136" s="160"/>
    </row>
    <row r="137" spans="2:24" ht="48.95" customHeight="1">
      <c r="B137" s="147" t="str">
        <f t="shared" si="2"/>
        <v>1-129</v>
      </c>
      <c r="C137" s="100" t="s">
        <v>647</v>
      </c>
      <c r="D137" s="42" t="s">
        <v>610</v>
      </c>
      <c r="E137" s="42" t="s">
        <v>177</v>
      </c>
      <c r="F137" s="226" t="s">
        <v>253</v>
      </c>
      <c r="G137" s="227"/>
      <c r="H137" s="101"/>
      <c r="I137" s="20"/>
      <c r="J137" s="101"/>
      <c r="K137" s="101"/>
      <c r="L137" s="20"/>
      <c r="M137" s="101"/>
      <c r="N137" s="101"/>
      <c r="O137" s="20"/>
      <c r="P137" s="101"/>
      <c r="Q137" s="181"/>
      <c r="R137" s="101"/>
      <c r="S137" s="100"/>
      <c r="T137" s="102"/>
      <c r="U137" s="102"/>
      <c r="V137" s="184"/>
      <c r="W137" s="131"/>
      <c r="X137" s="131"/>
    </row>
    <row r="138" spans="2:24" ht="48.95" customHeight="1">
      <c r="B138" s="147" t="str">
        <f t="shared" si="2"/>
        <v>1-130</v>
      </c>
      <c r="C138" s="42" t="s">
        <v>669</v>
      </c>
      <c r="D138" s="42" t="s">
        <v>107</v>
      </c>
      <c r="E138" s="100" t="s">
        <v>641</v>
      </c>
      <c r="F138" s="226" t="s">
        <v>608</v>
      </c>
      <c r="G138" s="227"/>
      <c r="H138" s="101"/>
      <c r="I138" s="20"/>
      <c r="J138" s="101"/>
      <c r="K138" s="101"/>
      <c r="L138" s="20"/>
      <c r="M138" s="101"/>
      <c r="N138" s="101"/>
      <c r="O138" s="20"/>
      <c r="P138" s="101"/>
      <c r="Q138" s="181"/>
      <c r="R138" s="101"/>
      <c r="S138" s="100"/>
      <c r="T138" s="102"/>
      <c r="U138" s="102"/>
      <c r="V138" s="184"/>
      <c r="W138" s="116"/>
      <c r="X138" s="116"/>
    </row>
    <row r="139" spans="2:24" ht="48.95" customHeight="1">
      <c r="B139" s="147" t="str">
        <f t="shared" si="2"/>
        <v>1-131</v>
      </c>
      <c r="C139" s="100" t="s">
        <v>647</v>
      </c>
      <c r="D139" s="100" t="s">
        <v>82</v>
      </c>
      <c r="E139" s="100" t="s">
        <v>642</v>
      </c>
      <c r="F139" s="226" t="s">
        <v>643</v>
      </c>
      <c r="G139" s="227"/>
      <c r="H139" s="101"/>
      <c r="I139" s="20"/>
      <c r="J139" s="101"/>
      <c r="K139" s="101"/>
      <c r="L139" s="20"/>
      <c r="M139" s="101"/>
      <c r="N139" s="101"/>
      <c r="O139" s="20"/>
      <c r="P139" s="101"/>
      <c r="Q139" s="181"/>
      <c r="R139" s="101"/>
      <c r="S139" s="100"/>
      <c r="T139" s="102"/>
      <c r="U139" s="102"/>
      <c r="V139" s="184"/>
      <c r="W139" s="160"/>
      <c r="X139" s="160"/>
    </row>
    <row r="140" spans="2:24" ht="48.95" customHeight="1">
      <c r="B140" s="147" t="str">
        <f t="shared" si="2"/>
        <v>1-132</v>
      </c>
      <c r="C140" s="100" t="s">
        <v>647</v>
      </c>
      <c r="D140" s="42" t="s">
        <v>610</v>
      </c>
      <c r="E140" s="42" t="s">
        <v>178</v>
      </c>
      <c r="F140" s="226" t="s">
        <v>253</v>
      </c>
      <c r="G140" s="227"/>
      <c r="H140" s="101"/>
      <c r="I140" s="20"/>
      <c r="J140" s="101"/>
      <c r="K140" s="101"/>
      <c r="L140" s="20"/>
      <c r="M140" s="101"/>
      <c r="N140" s="101"/>
      <c r="O140" s="20"/>
      <c r="P140" s="101"/>
      <c r="Q140" s="181"/>
      <c r="R140" s="101"/>
      <c r="S140" s="100"/>
      <c r="T140" s="102"/>
      <c r="U140" s="102"/>
      <c r="V140" s="184"/>
      <c r="W140" s="131"/>
      <c r="X140" s="131"/>
    </row>
    <row r="141" spans="2:24" ht="48.95" customHeight="1">
      <c r="B141" s="147" t="str">
        <f t="shared" si="2"/>
        <v>1-133</v>
      </c>
      <c r="C141" s="42" t="s">
        <v>670</v>
      </c>
      <c r="D141" s="42" t="s">
        <v>107</v>
      </c>
      <c r="E141" s="100" t="s">
        <v>641</v>
      </c>
      <c r="F141" s="226" t="s">
        <v>608</v>
      </c>
      <c r="G141" s="227"/>
      <c r="H141" s="101"/>
      <c r="I141" s="20"/>
      <c r="J141" s="101"/>
      <c r="K141" s="101"/>
      <c r="L141" s="20"/>
      <c r="M141" s="101"/>
      <c r="N141" s="101"/>
      <c r="O141" s="20"/>
      <c r="P141" s="101"/>
      <c r="Q141" s="181"/>
      <c r="R141" s="101"/>
      <c r="S141" s="100"/>
      <c r="T141" s="102"/>
      <c r="U141" s="102"/>
      <c r="V141" s="184"/>
      <c r="W141" s="116"/>
      <c r="X141" s="116"/>
    </row>
    <row r="142" spans="2:24" ht="48.95" customHeight="1">
      <c r="B142" s="147" t="str">
        <f t="shared" si="2"/>
        <v>1-134</v>
      </c>
      <c r="C142" s="100" t="s">
        <v>647</v>
      </c>
      <c r="D142" s="100" t="s">
        <v>82</v>
      </c>
      <c r="E142" s="100" t="s">
        <v>642</v>
      </c>
      <c r="F142" s="226" t="s">
        <v>643</v>
      </c>
      <c r="G142" s="227"/>
      <c r="H142" s="101"/>
      <c r="I142" s="20"/>
      <c r="J142" s="101"/>
      <c r="K142" s="101"/>
      <c r="L142" s="20"/>
      <c r="M142" s="101"/>
      <c r="N142" s="101"/>
      <c r="O142" s="20"/>
      <c r="P142" s="101"/>
      <c r="Q142" s="181"/>
      <c r="R142" s="101"/>
      <c r="S142" s="100"/>
      <c r="T142" s="102"/>
      <c r="U142" s="102"/>
      <c r="V142" s="184"/>
      <c r="W142" s="160"/>
      <c r="X142" s="160"/>
    </row>
    <row r="143" spans="2:24" ht="48.95" customHeight="1">
      <c r="B143" s="147" t="str">
        <f t="shared" si="2"/>
        <v>1-135</v>
      </c>
      <c r="C143" s="100" t="s">
        <v>647</v>
      </c>
      <c r="D143" s="42" t="s">
        <v>610</v>
      </c>
      <c r="E143" s="42" t="s">
        <v>179</v>
      </c>
      <c r="F143" s="226" t="s">
        <v>253</v>
      </c>
      <c r="G143" s="227"/>
      <c r="H143" s="101"/>
      <c r="I143" s="20"/>
      <c r="J143" s="101"/>
      <c r="K143" s="101"/>
      <c r="L143" s="20"/>
      <c r="M143" s="101"/>
      <c r="N143" s="101"/>
      <c r="O143" s="20"/>
      <c r="P143" s="101"/>
      <c r="Q143" s="181"/>
      <c r="R143" s="101"/>
      <c r="S143" s="100"/>
      <c r="T143" s="102"/>
      <c r="U143" s="102"/>
      <c r="V143" s="184"/>
      <c r="W143" s="131"/>
      <c r="X143" s="131"/>
    </row>
    <row r="144" spans="2:24" ht="48.95" customHeight="1">
      <c r="B144" s="147" t="str">
        <f t="shared" si="2"/>
        <v>1-136</v>
      </c>
      <c r="C144" s="42" t="s">
        <v>671</v>
      </c>
      <c r="D144" s="42" t="s">
        <v>107</v>
      </c>
      <c r="E144" s="100" t="s">
        <v>641</v>
      </c>
      <c r="F144" s="226" t="s">
        <v>608</v>
      </c>
      <c r="G144" s="227"/>
      <c r="H144" s="101"/>
      <c r="I144" s="20"/>
      <c r="J144" s="101"/>
      <c r="K144" s="101"/>
      <c r="L144" s="20"/>
      <c r="M144" s="101"/>
      <c r="N144" s="101"/>
      <c r="O144" s="20"/>
      <c r="P144" s="101"/>
      <c r="Q144" s="181"/>
      <c r="R144" s="101"/>
      <c r="S144" s="100"/>
      <c r="T144" s="102"/>
      <c r="U144" s="102"/>
      <c r="V144" s="184"/>
      <c r="W144" s="131"/>
      <c r="X144" s="131"/>
    </row>
    <row r="145" spans="2:24" ht="48.95" customHeight="1">
      <c r="B145" s="147" t="str">
        <f t="shared" si="2"/>
        <v>1-137</v>
      </c>
      <c r="C145" s="100" t="s">
        <v>647</v>
      </c>
      <c r="D145" s="100" t="s">
        <v>82</v>
      </c>
      <c r="E145" s="100" t="s">
        <v>642</v>
      </c>
      <c r="F145" s="226" t="s">
        <v>643</v>
      </c>
      <c r="G145" s="227"/>
      <c r="H145" s="101"/>
      <c r="I145" s="20"/>
      <c r="J145" s="101"/>
      <c r="K145" s="101"/>
      <c r="L145" s="20"/>
      <c r="M145" s="101"/>
      <c r="N145" s="101"/>
      <c r="O145" s="20"/>
      <c r="P145" s="101"/>
      <c r="Q145" s="181"/>
      <c r="R145" s="101"/>
      <c r="S145" s="100"/>
      <c r="T145" s="102"/>
      <c r="U145" s="102"/>
      <c r="V145" s="184"/>
      <c r="W145" s="160"/>
      <c r="X145" s="160"/>
    </row>
    <row r="146" spans="2:24" ht="45" customHeight="1">
      <c r="B146" s="147" t="str">
        <f t="shared" si="2"/>
        <v>1-138</v>
      </c>
      <c r="C146" s="100" t="s">
        <v>647</v>
      </c>
      <c r="D146" s="42" t="s">
        <v>610</v>
      </c>
      <c r="E146" s="42" t="s">
        <v>254</v>
      </c>
      <c r="F146" s="226" t="s">
        <v>253</v>
      </c>
      <c r="G146" s="227"/>
      <c r="H146" s="101"/>
      <c r="I146" s="20"/>
      <c r="J146" s="101"/>
      <c r="K146" s="101"/>
      <c r="L146" s="20"/>
      <c r="M146" s="101"/>
      <c r="N146" s="101"/>
      <c r="O146" s="20"/>
      <c r="P146" s="101"/>
      <c r="Q146" s="181"/>
      <c r="R146" s="101"/>
      <c r="S146" s="100"/>
      <c r="T146" s="102"/>
      <c r="U146" s="102"/>
      <c r="V146" s="184"/>
    </row>
    <row r="147" spans="2:24" ht="45" customHeight="1">
      <c r="B147" s="147" t="str">
        <f t="shared" si="2"/>
        <v>1-139</v>
      </c>
      <c r="C147" s="100" t="s">
        <v>647</v>
      </c>
      <c r="D147" s="42" t="s">
        <v>618</v>
      </c>
      <c r="E147" s="42" t="s">
        <v>255</v>
      </c>
      <c r="F147" s="226" t="s">
        <v>257</v>
      </c>
      <c r="G147" s="227"/>
      <c r="H147" s="101"/>
      <c r="I147" s="20"/>
      <c r="J147" s="101"/>
      <c r="K147" s="101"/>
      <c r="L147" s="20"/>
      <c r="M147" s="101"/>
      <c r="N147" s="101"/>
      <c r="O147" s="20"/>
      <c r="P147" s="101"/>
      <c r="Q147" s="179"/>
      <c r="R147" s="101"/>
      <c r="S147" s="100"/>
      <c r="T147" s="102"/>
      <c r="U147" s="102"/>
      <c r="V147" s="184"/>
    </row>
    <row r="148" spans="2:24" ht="35.450000000000003" customHeight="1">
      <c r="B148" s="147" t="str">
        <f t="shared" si="2"/>
        <v>1-140</v>
      </c>
      <c r="C148" s="100" t="s">
        <v>647</v>
      </c>
      <c r="D148" s="42" t="s">
        <v>623</v>
      </c>
      <c r="E148" s="42" t="s">
        <v>258</v>
      </c>
      <c r="F148" s="226" t="s">
        <v>212</v>
      </c>
      <c r="G148" s="227"/>
      <c r="H148" s="101"/>
      <c r="I148" s="20"/>
      <c r="J148" s="101"/>
      <c r="K148" s="101"/>
      <c r="L148" s="20"/>
      <c r="M148" s="101"/>
      <c r="N148" s="101"/>
      <c r="O148" s="20"/>
      <c r="P148" s="101"/>
      <c r="Q148" s="181"/>
      <c r="R148" s="101"/>
      <c r="S148" s="100"/>
      <c r="T148" s="102"/>
      <c r="U148" s="102"/>
      <c r="V148" s="98"/>
    </row>
    <row r="149" spans="2:24" ht="35.450000000000003" customHeight="1">
      <c r="B149" s="147" t="str">
        <f t="shared" si="2"/>
        <v>1-141</v>
      </c>
      <c r="C149" s="100" t="s">
        <v>647</v>
      </c>
      <c r="D149" s="42" t="s">
        <v>82</v>
      </c>
      <c r="E149" s="42" t="s">
        <v>256</v>
      </c>
      <c r="F149" s="226" t="s">
        <v>105</v>
      </c>
      <c r="G149" s="227"/>
      <c r="H149" s="101"/>
      <c r="I149" s="20"/>
      <c r="J149" s="101"/>
      <c r="K149" s="101"/>
      <c r="L149" s="20"/>
      <c r="M149" s="101"/>
      <c r="N149" s="101"/>
      <c r="O149" s="20"/>
      <c r="P149" s="101"/>
      <c r="Q149" s="181"/>
      <c r="R149" s="101"/>
      <c r="S149" s="100"/>
      <c r="T149" s="102"/>
      <c r="U149" s="102"/>
      <c r="V149" s="98"/>
    </row>
    <row r="150" spans="2:24" ht="35.450000000000003" customHeight="1">
      <c r="B150" s="147" t="str">
        <f t="shared" si="2"/>
        <v>1-142</v>
      </c>
      <c r="C150" s="100" t="s">
        <v>647</v>
      </c>
      <c r="D150" s="42" t="s">
        <v>82</v>
      </c>
      <c r="E150" s="42" t="s">
        <v>82</v>
      </c>
      <c r="F150" s="226" t="s">
        <v>260</v>
      </c>
      <c r="G150" s="227"/>
      <c r="H150" s="101"/>
      <c r="I150" s="20"/>
      <c r="J150" s="101"/>
      <c r="K150" s="101"/>
      <c r="L150" s="20"/>
      <c r="M150" s="101"/>
      <c r="N150" s="101"/>
      <c r="O150" s="20"/>
      <c r="P150" s="101"/>
      <c r="Q150" s="181"/>
      <c r="R150" s="101"/>
      <c r="S150" s="100"/>
      <c r="T150" s="102"/>
      <c r="U150" s="102"/>
      <c r="V150" s="98"/>
    </row>
    <row r="151" spans="2:24" ht="35.450000000000003" customHeight="1">
      <c r="B151" s="147" t="str">
        <f t="shared" si="2"/>
        <v>1-143</v>
      </c>
      <c r="C151" s="100" t="s">
        <v>647</v>
      </c>
      <c r="D151" s="42" t="s">
        <v>621</v>
      </c>
      <c r="E151" s="42" t="s">
        <v>256</v>
      </c>
      <c r="F151" s="226" t="s">
        <v>104</v>
      </c>
      <c r="G151" s="227"/>
      <c r="H151" s="101"/>
      <c r="I151" s="20"/>
      <c r="J151" s="101"/>
      <c r="K151" s="101"/>
      <c r="L151" s="20"/>
      <c r="M151" s="101"/>
      <c r="N151" s="101"/>
      <c r="O151" s="20"/>
      <c r="P151" s="101"/>
      <c r="Q151" s="181"/>
      <c r="R151" s="101"/>
      <c r="S151" s="100"/>
      <c r="T151" s="102"/>
      <c r="U151" s="102"/>
      <c r="V151" s="98"/>
    </row>
    <row r="152" spans="2:24" ht="48.95" customHeight="1">
      <c r="B152" s="147" t="str">
        <f t="shared" si="2"/>
        <v>1-144</v>
      </c>
      <c r="C152" s="42" t="s">
        <v>672</v>
      </c>
      <c r="D152" s="42" t="s">
        <v>107</v>
      </c>
      <c r="E152" s="18" t="s">
        <v>841</v>
      </c>
      <c r="F152" s="226" t="s">
        <v>259</v>
      </c>
      <c r="G152" s="227"/>
      <c r="H152" s="101"/>
      <c r="I152" s="20"/>
      <c r="J152" s="101"/>
      <c r="K152" s="101"/>
      <c r="L152" s="20"/>
      <c r="M152" s="101"/>
      <c r="N152" s="101"/>
      <c r="O152" s="20"/>
      <c r="P152" s="101"/>
      <c r="Q152" s="179"/>
      <c r="R152" s="101"/>
      <c r="S152" s="100"/>
      <c r="T152" s="102"/>
      <c r="U152" s="102"/>
      <c r="V152" s="184"/>
      <c r="W152" s="116"/>
      <c r="X152" s="116"/>
    </row>
    <row r="153" spans="2:24" ht="48.95" customHeight="1">
      <c r="B153" s="147" t="str">
        <f t="shared" si="2"/>
        <v>1-145</v>
      </c>
      <c r="C153" s="100" t="s">
        <v>647</v>
      </c>
      <c r="D153" s="42" t="s">
        <v>82</v>
      </c>
      <c r="E153" s="42" t="s">
        <v>82</v>
      </c>
      <c r="F153" s="226" t="s">
        <v>117</v>
      </c>
      <c r="G153" s="227"/>
      <c r="H153" s="101"/>
      <c r="I153" s="20"/>
      <c r="J153" s="101"/>
      <c r="K153" s="101"/>
      <c r="L153" s="20"/>
      <c r="M153" s="101"/>
      <c r="N153" s="101"/>
      <c r="O153" s="20"/>
      <c r="P153" s="101"/>
      <c r="Q153" s="179"/>
      <c r="R153" s="101"/>
      <c r="S153" s="100"/>
      <c r="T153" s="102"/>
      <c r="U153" s="102"/>
      <c r="V153" s="184"/>
      <c r="W153" s="131"/>
      <c r="X153" s="131"/>
    </row>
    <row r="154" spans="2:24" ht="48.95" customHeight="1">
      <c r="B154" s="147" t="str">
        <f t="shared" si="2"/>
        <v>1-146</v>
      </c>
      <c r="C154" s="100" t="s">
        <v>647</v>
      </c>
      <c r="D154" s="100" t="s">
        <v>82</v>
      </c>
      <c r="E154" s="42" t="s">
        <v>844</v>
      </c>
      <c r="F154" s="226" t="s">
        <v>645</v>
      </c>
      <c r="G154" s="227"/>
      <c r="H154" s="101"/>
      <c r="I154" s="20"/>
      <c r="J154" s="101"/>
      <c r="K154" s="101"/>
      <c r="L154" s="20"/>
      <c r="M154" s="101"/>
      <c r="N154" s="101"/>
      <c r="O154" s="20"/>
      <c r="P154" s="101"/>
      <c r="Q154" s="181"/>
      <c r="R154" s="101"/>
      <c r="S154" s="100"/>
      <c r="T154" s="102"/>
      <c r="U154" s="102"/>
      <c r="V154" s="184"/>
      <c r="W154" s="160"/>
      <c r="X154" s="160"/>
    </row>
    <row r="155" spans="2:24" ht="48.95" customHeight="1">
      <c r="B155" s="147" t="str">
        <f t="shared" si="2"/>
        <v>1-147</v>
      </c>
      <c r="C155" s="42" t="s">
        <v>673</v>
      </c>
      <c r="D155" s="42" t="s">
        <v>107</v>
      </c>
      <c r="E155" s="100" t="s">
        <v>641</v>
      </c>
      <c r="F155" s="226" t="s">
        <v>608</v>
      </c>
      <c r="G155" s="227"/>
      <c r="H155" s="101"/>
      <c r="I155" s="20"/>
      <c r="J155" s="101"/>
      <c r="K155" s="101"/>
      <c r="L155" s="20"/>
      <c r="M155" s="101"/>
      <c r="N155" s="101"/>
      <c r="O155" s="20"/>
      <c r="P155" s="101"/>
      <c r="Q155" s="181"/>
      <c r="R155" s="101"/>
      <c r="S155" s="100"/>
      <c r="T155" s="102"/>
      <c r="U155" s="102"/>
      <c r="V155" s="184"/>
      <c r="W155" s="116"/>
      <c r="X155" s="116"/>
    </row>
    <row r="156" spans="2:24" ht="48.95" customHeight="1">
      <c r="B156" s="147" t="str">
        <f t="shared" si="2"/>
        <v>1-148</v>
      </c>
      <c r="C156" s="100" t="s">
        <v>647</v>
      </c>
      <c r="D156" s="100" t="s">
        <v>82</v>
      </c>
      <c r="E156" s="100" t="s">
        <v>642</v>
      </c>
      <c r="F156" s="226" t="s">
        <v>643</v>
      </c>
      <c r="G156" s="227"/>
      <c r="H156" s="101"/>
      <c r="I156" s="20"/>
      <c r="J156" s="101"/>
      <c r="K156" s="101"/>
      <c r="L156" s="20"/>
      <c r="M156" s="101"/>
      <c r="N156" s="101"/>
      <c r="O156" s="20"/>
      <c r="P156" s="101"/>
      <c r="Q156" s="181"/>
      <c r="R156" s="101"/>
      <c r="S156" s="100"/>
      <c r="T156" s="102"/>
      <c r="U156" s="102"/>
      <c r="V156" s="184"/>
      <c r="W156" s="160"/>
      <c r="X156" s="160"/>
    </row>
    <row r="157" spans="2:24" ht="48.95" customHeight="1">
      <c r="B157" s="147" t="str">
        <f t="shared" si="2"/>
        <v>1-149</v>
      </c>
      <c r="C157" s="100" t="s">
        <v>647</v>
      </c>
      <c r="D157" s="42" t="s">
        <v>610</v>
      </c>
      <c r="E157" s="42" t="s">
        <v>181</v>
      </c>
      <c r="F157" s="226" t="s">
        <v>253</v>
      </c>
      <c r="G157" s="227"/>
      <c r="H157" s="101"/>
      <c r="I157" s="20"/>
      <c r="J157" s="101"/>
      <c r="K157" s="101"/>
      <c r="L157" s="20"/>
      <c r="M157" s="101"/>
      <c r="N157" s="101"/>
      <c r="O157" s="20"/>
      <c r="P157" s="101"/>
      <c r="Q157" s="181"/>
      <c r="R157" s="101"/>
      <c r="S157" s="100"/>
      <c r="T157" s="102"/>
      <c r="U157" s="102"/>
      <c r="V157" s="184"/>
      <c r="W157" s="131"/>
      <c r="X157" s="131"/>
    </row>
    <row r="158" spans="2:24" ht="48.95" customHeight="1">
      <c r="B158" s="147" t="str">
        <f t="shared" si="2"/>
        <v>1-150</v>
      </c>
      <c r="C158" s="42" t="s">
        <v>674</v>
      </c>
      <c r="D158" s="42" t="s">
        <v>107</v>
      </c>
      <c r="E158" s="100" t="s">
        <v>641</v>
      </c>
      <c r="F158" s="226" t="s">
        <v>608</v>
      </c>
      <c r="G158" s="227"/>
      <c r="H158" s="101"/>
      <c r="I158" s="20"/>
      <c r="J158" s="101"/>
      <c r="K158" s="101"/>
      <c r="L158" s="20"/>
      <c r="M158" s="101"/>
      <c r="N158" s="101"/>
      <c r="O158" s="20"/>
      <c r="P158" s="101"/>
      <c r="Q158" s="181"/>
      <c r="R158" s="101"/>
      <c r="S158" s="100"/>
      <c r="T158" s="102"/>
      <c r="U158" s="102"/>
      <c r="V158" s="184"/>
      <c r="W158" s="116"/>
      <c r="X158" s="116"/>
    </row>
    <row r="159" spans="2:24" ht="48.95" customHeight="1">
      <c r="B159" s="147" t="str">
        <f t="shared" si="2"/>
        <v>1-151</v>
      </c>
      <c r="C159" s="100" t="s">
        <v>647</v>
      </c>
      <c r="D159" s="100" t="s">
        <v>82</v>
      </c>
      <c r="E159" s="100" t="s">
        <v>642</v>
      </c>
      <c r="F159" s="226" t="s">
        <v>643</v>
      </c>
      <c r="G159" s="227"/>
      <c r="H159" s="101"/>
      <c r="I159" s="20"/>
      <c r="J159" s="101"/>
      <c r="K159" s="101"/>
      <c r="L159" s="20"/>
      <c r="M159" s="101"/>
      <c r="N159" s="101"/>
      <c r="O159" s="20"/>
      <c r="P159" s="101"/>
      <c r="Q159" s="181"/>
      <c r="R159" s="101"/>
      <c r="S159" s="100"/>
      <c r="T159" s="102"/>
      <c r="U159" s="102"/>
      <c r="V159" s="184"/>
      <c r="W159" s="160"/>
      <c r="X159" s="160"/>
    </row>
    <row r="160" spans="2:24" ht="48.95" customHeight="1">
      <c r="B160" s="147" t="str">
        <f t="shared" si="2"/>
        <v>1-152</v>
      </c>
      <c r="C160" s="100" t="s">
        <v>647</v>
      </c>
      <c r="D160" s="42" t="s">
        <v>610</v>
      </c>
      <c r="E160" s="42" t="s">
        <v>182</v>
      </c>
      <c r="F160" s="226" t="s">
        <v>253</v>
      </c>
      <c r="G160" s="227"/>
      <c r="H160" s="101"/>
      <c r="I160" s="20"/>
      <c r="J160" s="101"/>
      <c r="K160" s="101"/>
      <c r="L160" s="20"/>
      <c r="M160" s="101"/>
      <c r="N160" s="101"/>
      <c r="O160" s="20"/>
      <c r="P160" s="101"/>
      <c r="Q160" s="181"/>
      <c r="R160" s="101"/>
      <c r="S160" s="100"/>
      <c r="T160" s="102"/>
      <c r="U160" s="102"/>
      <c r="V160" s="184"/>
      <c r="W160" s="131"/>
      <c r="X160" s="131"/>
    </row>
    <row r="161" spans="2:24" ht="48.95" customHeight="1">
      <c r="B161" s="147" t="str">
        <f t="shared" si="2"/>
        <v>1-153</v>
      </c>
      <c r="C161" s="42" t="s">
        <v>675</v>
      </c>
      <c r="D161" s="42" t="s">
        <v>107</v>
      </c>
      <c r="E161" s="100" t="s">
        <v>641</v>
      </c>
      <c r="F161" s="226" t="s">
        <v>608</v>
      </c>
      <c r="G161" s="227"/>
      <c r="H161" s="101"/>
      <c r="I161" s="20"/>
      <c r="J161" s="101"/>
      <c r="K161" s="101"/>
      <c r="L161" s="20"/>
      <c r="M161" s="101"/>
      <c r="N161" s="101"/>
      <c r="O161" s="20"/>
      <c r="P161" s="101"/>
      <c r="Q161" s="181"/>
      <c r="R161" s="101"/>
      <c r="S161" s="100"/>
      <c r="T161" s="102"/>
      <c r="U161" s="102"/>
      <c r="V161" s="184"/>
      <c r="W161" s="116"/>
      <c r="X161" s="116"/>
    </row>
    <row r="162" spans="2:24" ht="48.95" customHeight="1">
      <c r="B162" s="147" t="str">
        <f t="shared" si="2"/>
        <v>1-154</v>
      </c>
      <c r="C162" s="100" t="s">
        <v>647</v>
      </c>
      <c r="D162" s="100" t="s">
        <v>82</v>
      </c>
      <c r="E162" s="100" t="s">
        <v>642</v>
      </c>
      <c r="F162" s="226" t="s">
        <v>643</v>
      </c>
      <c r="G162" s="227"/>
      <c r="H162" s="101"/>
      <c r="I162" s="20"/>
      <c r="J162" s="101"/>
      <c r="K162" s="101"/>
      <c r="L162" s="20"/>
      <c r="M162" s="101"/>
      <c r="N162" s="101"/>
      <c r="O162" s="20"/>
      <c r="P162" s="101"/>
      <c r="Q162" s="181"/>
      <c r="R162" s="101"/>
      <c r="S162" s="100"/>
      <c r="T162" s="102"/>
      <c r="U162" s="102"/>
      <c r="V162" s="184"/>
      <c r="W162" s="160"/>
      <c r="X162" s="160"/>
    </row>
    <row r="163" spans="2:24" ht="48.95" customHeight="1">
      <c r="B163" s="147" t="str">
        <f t="shared" si="2"/>
        <v>1-155</v>
      </c>
      <c r="C163" s="100" t="s">
        <v>647</v>
      </c>
      <c r="D163" s="42" t="s">
        <v>610</v>
      </c>
      <c r="E163" s="42" t="s">
        <v>183</v>
      </c>
      <c r="F163" s="226" t="s">
        <v>253</v>
      </c>
      <c r="G163" s="227"/>
      <c r="H163" s="101"/>
      <c r="I163" s="20"/>
      <c r="J163" s="101"/>
      <c r="K163" s="101"/>
      <c r="L163" s="20"/>
      <c r="M163" s="101"/>
      <c r="N163" s="101"/>
      <c r="O163" s="20"/>
      <c r="P163" s="101"/>
      <c r="Q163" s="181"/>
      <c r="R163" s="101"/>
      <c r="S163" s="100"/>
      <c r="T163" s="102"/>
      <c r="U163" s="102"/>
      <c r="V163" s="184"/>
      <c r="W163" s="131"/>
      <c r="X163" s="131"/>
    </row>
    <row r="164" spans="2:24" ht="48.95" customHeight="1">
      <c r="B164" s="147" t="str">
        <f t="shared" si="2"/>
        <v>1-156</v>
      </c>
      <c r="C164" s="42" t="s">
        <v>676</v>
      </c>
      <c r="D164" s="42" t="s">
        <v>107</v>
      </c>
      <c r="E164" s="100" t="s">
        <v>641</v>
      </c>
      <c r="F164" s="226" t="s">
        <v>608</v>
      </c>
      <c r="G164" s="227"/>
      <c r="H164" s="101"/>
      <c r="I164" s="20"/>
      <c r="J164" s="101"/>
      <c r="K164" s="101"/>
      <c r="L164" s="20"/>
      <c r="M164" s="101"/>
      <c r="N164" s="101"/>
      <c r="O164" s="20"/>
      <c r="P164" s="101"/>
      <c r="Q164" s="181"/>
      <c r="R164" s="101"/>
      <c r="S164" s="100"/>
      <c r="T164" s="102"/>
      <c r="U164" s="102"/>
      <c r="V164" s="184"/>
      <c r="W164" s="116"/>
      <c r="X164" s="116"/>
    </row>
    <row r="165" spans="2:24" ht="48.95" customHeight="1">
      <c r="B165" s="147" t="str">
        <f t="shared" si="2"/>
        <v>1-157</v>
      </c>
      <c r="C165" s="100" t="s">
        <v>647</v>
      </c>
      <c r="D165" s="100" t="s">
        <v>82</v>
      </c>
      <c r="E165" s="100" t="s">
        <v>642</v>
      </c>
      <c r="F165" s="226" t="s">
        <v>643</v>
      </c>
      <c r="G165" s="227"/>
      <c r="H165" s="101"/>
      <c r="I165" s="20"/>
      <c r="J165" s="101"/>
      <c r="K165" s="101"/>
      <c r="L165" s="20"/>
      <c r="M165" s="101"/>
      <c r="N165" s="101"/>
      <c r="O165" s="20"/>
      <c r="P165" s="101"/>
      <c r="Q165" s="181"/>
      <c r="R165" s="101"/>
      <c r="S165" s="100"/>
      <c r="T165" s="102"/>
      <c r="U165" s="102"/>
      <c r="V165" s="184"/>
      <c r="W165" s="160"/>
      <c r="X165" s="160"/>
    </row>
    <row r="166" spans="2:24" ht="48.95" customHeight="1">
      <c r="B166" s="147" t="str">
        <f t="shared" si="2"/>
        <v>1-158</v>
      </c>
      <c r="C166" s="100" t="s">
        <v>647</v>
      </c>
      <c r="D166" s="42" t="s">
        <v>610</v>
      </c>
      <c r="E166" s="42" t="s">
        <v>184</v>
      </c>
      <c r="F166" s="226" t="s">
        <v>253</v>
      </c>
      <c r="G166" s="227"/>
      <c r="H166" s="101"/>
      <c r="I166" s="20"/>
      <c r="J166" s="101"/>
      <c r="K166" s="101"/>
      <c r="L166" s="20"/>
      <c r="M166" s="101"/>
      <c r="N166" s="101"/>
      <c r="O166" s="20"/>
      <c r="P166" s="101"/>
      <c r="Q166" s="181"/>
      <c r="R166" s="101"/>
      <c r="S166" s="100"/>
      <c r="T166" s="102"/>
      <c r="U166" s="102"/>
      <c r="V166" s="184"/>
      <c r="W166" s="131"/>
      <c r="X166" s="131"/>
    </row>
    <row r="167" spans="2:24" ht="48.95" customHeight="1">
      <c r="B167" s="147" t="str">
        <f t="shared" ref="B167:B227" si="3">"1-"&amp;ROW()-8</f>
        <v>1-159</v>
      </c>
      <c r="C167" s="42" t="s">
        <v>677</v>
      </c>
      <c r="D167" s="42" t="s">
        <v>107</v>
      </c>
      <c r="E167" s="100" t="s">
        <v>641</v>
      </c>
      <c r="F167" s="226" t="s">
        <v>608</v>
      </c>
      <c r="G167" s="227"/>
      <c r="H167" s="101"/>
      <c r="I167" s="20"/>
      <c r="J167" s="101"/>
      <c r="K167" s="101"/>
      <c r="L167" s="20"/>
      <c r="M167" s="101"/>
      <c r="N167" s="101"/>
      <c r="O167" s="20"/>
      <c r="P167" s="101"/>
      <c r="Q167" s="181"/>
      <c r="R167" s="101"/>
      <c r="S167" s="100"/>
      <c r="T167" s="102"/>
      <c r="U167" s="102"/>
      <c r="V167" s="184"/>
      <c r="W167" s="116"/>
      <c r="X167" s="116"/>
    </row>
    <row r="168" spans="2:24" ht="48.95" customHeight="1">
      <c r="B168" s="147" t="str">
        <f t="shared" si="3"/>
        <v>1-160</v>
      </c>
      <c r="C168" s="100" t="s">
        <v>647</v>
      </c>
      <c r="D168" s="100" t="s">
        <v>82</v>
      </c>
      <c r="E168" s="100" t="s">
        <v>642</v>
      </c>
      <c r="F168" s="226" t="s">
        <v>643</v>
      </c>
      <c r="G168" s="227"/>
      <c r="H168" s="101"/>
      <c r="I168" s="20"/>
      <c r="J168" s="101"/>
      <c r="K168" s="101"/>
      <c r="L168" s="20"/>
      <c r="M168" s="101"/>
      <c r="N168" s="101"/>
      <c r="O168" s="20"/>
      <c r="P168" s="101"/>
      <c r="Q168" s="181"/>
      <c r="R168" s="101"/>
      <c r="S168" s="100"/>
      <c r="T168" s="102"/>
      <c r="U168" s="102"/>
      <c r="V168" s="184"/>
      <c r="W168" s="160"/>
      <c r="X168" s="160"/>
    </row>
    <row r="169" spans="2:24" ht="48.95" customHeight="1">
      <c r="B169" s="147" t="str">
        <f t="shared" si="3"/>
        <v>1-161</v>
      </c>
      <c r="C169" s="100" t="s">
        <v>647</v>
      </c>
      <c r="D169" s="42" t="s">
        <v>610</v>
      </c>
      <c r="E169" s="42" t="s">
        <v>185</v>
      </c>
      <c r="F169" s="226" t="s">
        <v>253</v>
      </c>
      <c r="G169" s="227"/>
      <c r="H169" s="101"/>
      <c r="I169" s="20"/>
      <c r="J169" s="101"/>
      <c r="K169" s="101"/>
      <c r="L169" s="20"/>
      <c r="M169" s="101"/>
      <c r="N169" s="101"/>
      <c r="O169" s="20"/>
      <c r="P169" s="101"/>
      <c r="Q169" s="181"/>
      <c r="R169" s="101"/>
      <c r="S169" s="100"/>
      <c r="T169" s="102"/>
      <c r="U169" s="102"/>
      <c r="V169" s="184"/>
      <c r="W169" s="131"/>
      <c r="X169" s="131"/>
    </row>
    <row r="170" spans="2:24" ht="48.95" customHeight="1">
      <c r="B170" s="147" t="str">
        <f t="shared" si="3"/>
        <v>1-162</v>
      </c>
      <c r="C170" s="42" t="s">
        <v>678</v>
      </c>
      <c r="D170" s="42" t="s">
        <v>107</v>
      </c>
      <c r="E170" s="100" t="s">
        <v>641</v>
      </c>
      <c r="F170" s="226" t="s">
        <v>608</v>
      </c>
      <c r="G170" s="227"/>
      <c r="H170" s="101"/>
      <c r="I170" s="20"/>
      <c r="J170" s="101"/>
      <c r="K170" s="101"/>
      <c r="L170" s="20"/>
      <c r="M170" s="101"/>
      <c r="N170" s="101"/>
      <c r="O170" s="20"/>
      <c r="P170" s="101"/>
      <c r="Q170" s="181"/>
      <c r="R170" s="101"/>
      <c r="S170" s="100"/>
      <c r="T170" s="102"/>
      <c r="U170" s="102"/>
      <c r="V170" s="184"/>
      <c r="W170" s="116"/>
      <c r="X170" s="116"/>
    </row>
    <row r="171" spans="2:24" ht="48.95" customHeight="1">
      <c r="B171" s="147" t="str">
        <f t="shared" si="3"/>
        <v>1-163</v>
      </c>
      <c r="C171" s="100" t="s">
        <v>647</v>
      </c>
      <c r="D171" s="100" t="s">
        <v>82</v>
      </c>
      <c r="E171" s="100" t="s">
        <v>642</v>
      </c>
      <c r="F171" s="226" t="s">
        <v>643</v>
      </c>
      <c r="G171" s="227"/>
      <c r="H171" s="101"/>
      <c r="I171" s="20"/>
      <c r="J171" s="101"/>
      <c r="K171" s="101"/>
      <c r="L171" s="20"/>
      <c r="M171" s="101"/>
      <c r="N171" s="101"/>
      <c r="O171" s="20"/>
      <c r="P171" s="101"/>
      <c r="Q171" s="181"/>
      <c r="R171" s="101"/>
      <c r="S171" s="100"/>
      <c r="T171" s="102"/>
      <c r="U171" s="102"/>
      <c r="V171" s="184"/>
      <c r="W171" s="160"/>
      <c r="X171" s="160"/>
    </row>
    <row r="172" spans="2:24" ht="48.95" customHeight="1">
      <c r="B172" s="147" t="str">
        <f t="shared" si="3"/>
        <v>1-164</v>
      </c>
      <c r="C172" s="100" t="s">
        <v>647</v>
      </c>
      <c r="D172" s="42" t="s">
        <v>610</v>
      </c>
      <c r="E172" s="42" t="s">
        <v>186</v>
      </c>
      <c r="F172" s="226" t="s">
        <v>253</v>
      </c>
      <c r="G172" s="227"/>
      <c r="H172" s="101"/>
      <c r="I172" s="20"/>
      <c r="J172" s="101"/>
      <c r="K172" s="101"/>
      <c r="L172" s="20"/>
      <c r="M172" s="101"/>
      <c r="N172" s="101"/>
      <c r="O172" s="20"/>
      <c r="P172" s="101"/>
      <c r="Q172" s="179"/>
      <c r="R172" s="101"/>
      <c r="S172" s="100"/>
      <c r="T172" s="102"/>
      <c r="U172" s="102"/>
      <c r="V172" s="184"/>
      <c r="W172" s="131"/>
      <c r="X172" s="131"/>
    </row>
    <row r="173" spans="2:24" ht="48.95" customHeight="1">
      <c r="B173" s="147" t="str">
        <f t="shared" si="3"/>
        <v>1-165</v>
      </c>
      <c r="C173" s="42" t="s">
        <v>679</v>
      </c>
      <c r="D173" s="42" t="s">
        <v>107</v>
      </c>
      <c r="E173" s="100" t="s">
        <v>641</v>
      </c>
      <c r="F173" s="226" t="s">
        <v>608</v>
      </c>
      <c r="G173" s="227"/>
      <c r="H173" s="101"/>
      <c r="I173" s="20"/>
      <c r="J173" s="101"/>
      <c r="K173" s="101"/>
      <c r="L173" s="20"/>
      <c r="M173" s="101"/>
      <c r="N173" s="101"/>
      <c r="O173" s="20"/>
      <c r="P173" s="101"/>
      <c r="Q173" s="181"/>
      <c r="R173" s="101"/>
      <c r="S173" s="100"/>
      <c r="T173" s="102"/>
      <c r="U173" s="102"/>
      <c r="V173" s="184"/>
      <c r="W173" s="126"/>
      <c r="X173" s="126"/>
    </row>
    <row r="174" spans="2:24" ht="48.95" customHeight="1">
      <c r="B174" s="147" t="str">
        <f t="shared" si="3"/>
        <v>1-166</v>
      </c>
      <c r="C174" s="100" t="s">
        <v>647</v>
      </c>
      <c r="D174" s="100" t="s">
        <v>82</v>
      </c>
      <c r="E174" s="100" t="s">
        <v>642</v>
      </c>
      <c r="F174" s="226" t="s">
        <v>643</v>
      </c>
      <c r="G174" s="227"/>
      <c r="H174" s="101"/>
      <c r="I174" s="20"/>
      <c r="J174" s="101"/>
      <c r="K174" s="101"/>
      <c r="L174" s="20"/>
      <c r="M174" s="101"/>
      <c r="N174" s="101"/>
      <c r="O174" s="20"/>
      <c r="P174" s="101"/>
      <c r="Q174" s="181"/>
      <c r="R174" s="101"/>
      <c r="S174" s="100"/>
      <c r="T174" s="102"/>
      <c r="U174" s="102"/>
      <c r="V174" s="184"/>
      <c r="W174" s="160"/>
      <c r="X174" s="160"/>
    </row>
    <row r="175" spans="2:24" ht="48.95" customHeight="1">
      <c r="B175" s="147" t="str">
        <f t="shared" si="3"/>
        <v>1-167</v>
      </c>
      <c r="C175" s="100" t="s">
        <v>647</v>
      </c>
      <c r="D175" s="42" t="s">
        <v>610</v>
      </c>
      <c r="E175" s="42" t="s">
        <v>187</v>
      </c>
      <c r="F175" s="226" t="s">
        <v>253</v>
      </c>
      <c r="G175" s="227"/>
      <c r="H175" s="101"/>
      <c r="I175" s="20"/>
      <c r="J175" s="101"/>
      <c r="K175" s="101"/>
      <c r="L175" s="20"/>
      <c r="M175" s="101"/>
      <c r="N175" s="101"/>
      <c r="O175" s="20"/>
      <c r="P175" s="101"/>
      <c r="Q175" s="179"/>
      <c r="R175" s="101"/>
      <c r="S175" s="100"/>
      <c r="T175" s="102"/>
      <c r="U175" s="102"/>
      <c r="V175" s="184"/>
      <c r="W175" s="131"/>
      <c r="X175" s="131"/>
    </row>
    <row r="176" spans="2:24" ht="48.95" customHeight="1">
      <c r="B176" s="147" t="str">
        <f t="shared" si="3"/>
        <v>1-168</v>
      </c>
      <c r="C176" s="42" t="s">
        <v>680</v>
      </c>
      <c r="D176" s="42" t="s">
        <v>107</v>
      </c>
      <c r="E176" s="100" t="s">
        <v>641</v>
      </c>
      <c r="F176" s="226" t="s">
        <v>608</v>
      </c>
      <c r="G176" s="227"/>
      <c r="H176" s="101"/>
      <c r="I176" s="20"/>
      <c r="J176" s="101"/>
      <c r="K176" s="101"/>
      <c r="L176" s="20"/>
      <c r="M176" s="101"/>
      <c r="N176" s="101"/>
      <c r="O176" s="20"/>
      <c r="P176" s="101"/>
      <c r="Q176" s="181"/>
      <c r="R176" s="101"/>
      <c r="S176" s="100"/>
      <c r="T176" s="102"/>
      <c r="U176" s="102"/>
      <c r="V176" s="184"/>
      <c r="W176" s="126"/>
      <c r="X176" s="126"/>
    </row>
    <row r="177" spans="2:24" ht="48.95" customHeight="1">
      <c r="B177" s="147" t="str">
        <f t="shared" si="3"/>
        <v>1-169</v>
      </c>
      <c r="C177" s="100" t="s">
        <v>647</v>
      </c>
      <c r="D177" s="100" t="s">
        <v>82</v>
      </c>
      <c r="E177" s="100" t="s">
        <v>642</v>
      </c>
      <c r="F177" s="226" t="s">
        <v>643</v>
      </c>
      <c r="G177" s="227"/>
      <c r="H177" s="101"/>
      <c r="I177" s="20"/>
      <c r="J177" s="101"/>
      <c r="K177" s="101"/>
      <c r="L177" s="20"/>
      <c r="M177" s="101"/>
      <c r="N177" s="101"/>
      <c r="O177" s="20"/>
      <c r="P177" s="101"/>
      <c r="Q177" s="181"/>
      <c r="R177" s="101"/>
      <c r="S177" s="100"/>
      <c r="T177" s="102"/>
      <c r="U177" s="102"/>
      <c r="V177" s="184"/>
      <c r="W177" s="160"/>
      <c r="X177" s="160"/>
    </row>
    <row r="178" spans="2:24" ht="48.95" customHeight="1">
      <c r="B178" s="147" t="str">
        <f t="shared" si="3"/>
        <v>1-170</v>
      </c>
      <c r="C178" s="100" t="s">
        <v>647</v>
      </c>
      <c r="D178" s="42" t="s">
        <v>610</v>
      </c>
      <c r="E178" s="42" t="s">
        <v>188</v>
      </c>
      <c r="F178" s="226" t="s">
        <v>253</v>
      </c>
      <c r="G178" s="227"/>
      <c r="H178" s="101"/>
      <c r="I178" s="20"/>
      <c r="J178" s="101"/>
      <c r="K178" s="101"/>
      <c r="L178" s="20"/>
      <c r="M178" s="101"/>
      <c r="N178" s="101"/>
      <c r="O178" s="20"/>
      <c r="P178" s="101"/>
      <c r="Q178" s="179"/>
      <c r="R178" s="101"/>
      <c r="S178" s="100"/>
      <c r="T178" s="102"/>
      <c r="U178" s="102"/>
      <c r="V178" s="184"/>
      <c r="W178" s="131"/>
      <c r="X178" s="131"/>
    </row>
    <row r="179" spans="2:24" ht="48.95" customHeight="1">
      <c r="B179" s="147" t="str">
        <f t="shared" si="3"/>
        <v>1-171</v>
      </c>
      <c r="C179" s="42" t="s">
        <v>681</v>
      </c>
      <c r="D179" s="42" t="s">
        <v>107</v>
      </c>
      <c r="E179" s="100" t="s">
        <v>641</v>
      </c>
      <c r="F179" s="226" t="s">
        <v>608</v>
      </c>
      <c r="G179" s="227"/>
      <c r="H179" s="101"/>
      <c r="I179" s="20"/>
      <c r="J179" s="101"/>
      <c r="K179" s="101"/>
      <c r="L179" s="20"/>
      <c r="M179" s="101"/>
      <c r="N179" s="101"/>
      <c r="O179" s="20"/>
      <c r="P179" s="101"/>
      <c r="Q179" s="181"/>
      <c r="R179" s="101"/>
      <c r="S179" s="100"/>
      <c r="T179" s="102"/>
      <c r="U179" s="102"/>
      <c r="V179" s="184"/>
      <c r="W179" s="131"/>
      <c r="X179" s="131"/>
    </row>
    <row r="180" spans="2:24" ht="48.95" customHeight="1">
      <c r="B180" s="147" t="str">
        <f t="shared" si="3"/>
        <v>1-172</v>
      </c>
      <c r="C180" s="100" t="s">
        <v>647</v>
      </c>
      <c r="D180" s="100" t="s">
        <v>82</v>
      </c>
      <c r="E180" s="100" t="s">
        <v>642</v>
      </c>
      <c r="F180" s="226" t="s">
        <v>644</v>
      </c>
      <c r="G180" s="227"/>
      <c r="H180" s="101"/>
      <c r="I180" s="20"/>
      <c r="J180" s="101"/>
      <c r="K180" s="101"/>
      <c r="L180" s="20"/>
      <c r="M180" s="101"/>
      <c r="N180" s="101"/>
      <c r="O180" s="20"/>
      <c r="P180" s="101"/>
      <c r="Q180" s="181"/>
      <c r="R180" s="101"/>
      <c r="S180" s="100"/>
      <c r="T180" s="102"/>
      <c r="U180" s="102"/>
      <c r="V180" s="184"/>
      <c r="W180" s="160"/>
      <c r="X180" s="160"/>
    </row>
    <row r="181" spans="2:24" ht="48.95" customHeight="1">
      <c r="B181" s="147" t="str">
        <f t="shared" si="3"/>
        <v>1-173</v>
      </c>
      <c r="C181" s="100" t="s">
        <v>647</v>
      </c>
      <c r="D181" s="42" t="s">
        <v>380</v>
      </c>
      <c r="E181" s="42" t="s">
        <v>381</v>
      </c>
      <c r="F181" s="226" t="s">
        <v>487</v>
      </c>
      <c r="G181" s="227"/>
      <c r="H181" s="101"/>
      <c r="I181" s="20"/>
      <c r="J181" s="101"/>
      <c r="K181" s="101"/>
      <c r="L181" s="20"/>
      <c r="M181" s="101"/>
      <c r="N181" s="101"/>
      <c r="O181" s="20"/>
      <c r="P181" s="101"/>
      <c r="Q181" s="179"/>
      <c r="R181" s="101"/>
      <c r="S181" s="100"/>
      <c r="T181" s="102"/>
      <c r="U181" s="102"/>
      <c r="V181" s="184"/>
      <c r="W181" s="131"/>
      <c r="X181" s="131"/>
    </row>
    <row r="182" spans="2:24" ht="48.95" customHeight="1">
      <c r="B182" s="147" t="str">
        <f t="shared" si="3"/>
        <v>1-174</v>
      </c>
      <c r="C182" s="42" t="s">
        <v>682</v>
      </c>
      <c r="D182" s="42" t="s">
        <v>107</v>
      </c>
      <c r="E182" s="100" t="s">
        <v>641</v>
      </c>
      <c r="F182" s="226" t="s">
        <v>608</v>
      </c>
      <c r="G182" s="227"/>
      <c r="H182" s="101"/>
      <c r="I182" s="20"/>
      <c r="J182" s="101"/>
      <c r="K182" s="101"/>
      <c r="L182" s="20"/>
      <c r="M182" s="101"/>
      <c r="N182" s="101"/>
      <c r="O182" s="20"/>
      <c r="P182" s="101"/>
      <c r="Q182" s="181"/>
      <c r="R182" s="101"/>
      <c r="S182" s="100"/>
      <c r="T182" s="102"/>
      <c r="U182" s="102"/>
      <c r="V182" s="184"/>
      <c r="W182" s="126"/>
      <c r="X182" s="126"/>
    </row>
    <row r="183" spans="2:24" ht="48.95" customHeight="1">
      <c r="B183" s="147" t="str">
        <f t="shared" si="3"/>
        <v>1-175</v>
      </c>
      <c r="C183" s="100" t="s">
        <v>647</v>
      </c>
      <c r="D183" s="100" t="s">
        <v>82</v>
      </c>
      <c r="E183" s="100" t="s">
        <v>642</v>
      </c>
      <c r="F183" s="226" t="s">
        <v>190</v>
      </c>
      <c r="G183" s="227"/>
      <c r="H183" s="101"/>
      <c r="I183" s="20"/>
      <c r="J183" s="101"/>
      <c r="K183" s="101"/>
      <c r="L183" s="20"/>
      <c r="M183" s="101"/>
      <c r="N183" s="101"/>
      <c r="O183" s="20"/>
      <c r="P183" s="101"/>
      <c r="Q183" s="181"/>
      <c r="R183" s="101"/>
      <c r="S183" s="100"/>
      <c r="T183" s="102"/>
      <c r="U183" s="102"/>
      <c r="V183" s="184"/>
      <c r="W183" s="160"/>
      <c r="X183" s="160"/>
    </row>
    <row r="184" spans="2:24" ht="48.95" customHeight="1">
      <c r="B184" s="147" t="str">
        <f t="shared" si="3"/>
        <v>1-176</v>
      </c>
      <c r="C184" s="100" t="s">
        <v>647</v>
      </c>
      <c r="D184" s="42" t="s">
        <v>610</v>
      </c>
      <c r="E184" s="42" t="s">
        <v>189</v>
      </c>
      <c r="F184" s="226" t="s">
        <v>253</v>
      </c>
      <c r="G184" s="227"/>
      <c r="H184" s="101"/>
      <c r="I184" s="20"/>
      <c r="J184" s="101"/>
      <c r="K184" s="101"/>
      <c r="L184" s="20"/>
      <c r="M184" s="101"/>
      <c r="N184" s="101"/>
      <c r="O184" s="20"/>
      <c r="P184" s="101"/>
      <c r="Q184" s="181"/>
      <c r="R184" s="101"/>
      <c r="S184" s="100"/>
      <c r="T184" s="102"/>
      <c r="U184" s="102"/>
      <c r="V184" s="184"/>
      <c r="W184" s="131"/>
      <c r="X184" s="131"/>
    </row>
    <row r="185" spans="2:24" ht="48.95" customHeight="1">
      <c r="B185" s="147" t="str">
        <f t="shared" si="3"/>
        <v>1-177</v>
      </c>
      <c r="C185" s="42" t="s">
        <v>103</v>
      </c>
      <c r="D185" s="42" t="s">
        <v>633</v>
      </c>
      <c r="E185" s="42" t="s">
        <v>412</v>
      </c>
      <c r="F185" s="226" t="s">
        <v>292</v>
      </c>
      <c r="G185" s="227"/>
      <c r="H185" s="101"/>
      <c r="I185" s="20"/>
      <c r="J185" s="101"/>
      <c r="K185" s="101"/>
      <c r="L185" s="20"/>
      <c r="M185" s="101"/>
      <c r="N185" s="101"/>
      <c r="O185" s="20"/>
      <c r="P185" s="101"/>
      <c r="Q185" s="179"/>
      <c r="R185" s="101"/>
      <c r="S185" s="100"/>
      <c r="T185" s="102"/>
      <c r="U185" s="102"/>
      <c r="V185" s="184"/>
      <c r="W185" s="116"/>
      <c r="X185" s="116"/>
    </row>
    <row r="186" spans="2:24" ht="48.95" customHeight="1">
      <c r="B186" s="147" t="str">
        <f t="shared" si="3"/>
        <v>1-178</v>
      </c>
      <c r="C186" s="100" t="s">
        <v>82</v>
      </c>
      <c r="D186" s="42" t="s">
        <v>612</v>
      </c>
      <c r="E186" s="42" t="s">
        <v>110</v>
      </c>
      <c r="F186" s="226" t="s">
        <v>101</v>
      </c>
      <c r="G186" s="227"/>
      <c r="H186" s="101"/>
      <c r="I186" s="20"/>
      <c r="J186" s="101"/>
      <c r="K186" s="101"/>
      <c r="L186" s="20"/>
      <c r="M186" s="101"/>
      <c r="N186" s="101"/>
      <c r="O186" s="20"/>
      <c r="P186" s="101"/>
      <c r="Q186" s="179"/>
      <c r="R186" s="101"/>
      <c r="S186" s="100"/>
      <c r="T186" s="102"/>
      <c r="U186" s="102"/>
      <c r="V186" s="184"/>
      <c r="W186" s="115"/>
      <c r="X186" s="115"/>
    </row>
    <row r="187" spans="2:24" ht="41.25" customHeight="1">
      <c r="B187" s="147" t="str">
        <f t="shared" si="3"/>
        <v>1-179</v>
      </c>
      <c r="C187" s="100" t="s">
        <v>82</v>
      </c>
      <c r="D187" s="42" t="s">
        <v>116</v>
      </c>
      <c r="E187" s="42" t="s">
        <v>110</v>
      </c>
      <c r="F187" s="226" t="s">
        <v>101</v>
      </c>
      <c r="G187" s="227"/>
      <c r="H187" s="101"/>
      <c r="I187" s="20"/>
      <c r="J187" s="101"/>
      <c r="K187" s="101"/>
      <c r="L187" s="20"/>
      <c r="M187" s="101"/>
      <c r="N187" s="101"/>
      <c r="O187" s="20"/>
      <c r="P187" s="101"/>
      <c r="Q187" s="179"/>
      <c r="R187" s="101"/>
      <c r="S187" s="100"/>
      <c r="T187" s="102"/>
      <c r="U187" s="102"/>
      <c r="V187" s="184"/>
    </row>
    <row r="188" spans="2:24" ht="41.25" customHeight="1">
      <c r="B188" s="147" t="str">
        <f t="shared" si="3"/>
        <v>1-180</v>
      </c>
      <c r="C188" s="100" t="s">
        <v>82</v>
      </c>
      <c r="D188" s="42" t="s">
        <v>82</v>
      </c>
      <c r="E188" s="42" t="s">
        <v>145</v>
      </c>
      <c r="F188" s="226" t="s">
        <v>111</v>
      </c>
      <c r="G188" s="227"/>
      <c r="H188" s="101"/>
      <c r="I188" s="20"/>
      <c r="J188" s="101"/>
      <c r="K188" s="101"/>
      <c r="L188" s="20"/>
      <c r="M188" s="101"/>
      <c r="N188" s="101"/>
      <c r="O188" s="20"/>
      <c r="P188" s="101"/>
      <c r="Q188" s="179"/>
      <c r="R188" s="101"/>
      <c r="S188" s="100"/>
      <c r="T188" s="102"/>
      <c r="U188" s="102"/>
      <c r="V188" s="184"/>
    </row>
    <row r="189" spans="2:24" ht="41.25" customHeight="1">
      <c r="B189" s="147" t="str">
        <f t="shared" si="3"/>
        <v>1-181</v>
      </c>
      <c r="C189" s="100" t="s">
        <v>82</v>
      </c>
      <c r="D189" s="42" t="s">
        <v>82</v>
      </c>
      <c r="E189" s="42" t="s">
        <v>112</v>
      </c>
      <c r="F189" s="226" t="s">
        <v>117</v>
      </c>
      <c r="G189" s="227"/>
      <c r="H189" s="101"/>
      <c r="I189" s="20"/>
      <c r="J189" s="101"/>
      <c r="K189" s="101"/>
      <c r="L189" s="20"/>
      <c r="M189" s="101"/>
      <c r="N189" s="101"/>
      <c r="O189" s="20"/>
      <c r="P189" s="101"/>
      <c r="Q189" s="179"/>
      <c r="R189" s="101"/>
      <c r="S189" s="100"/>
      <c r="T189" s="102"/>
      <c r="U189" s="102"/>
      <c r="V189" s="184"/>
    </row>
    <row r="190" spans="2:24" ht="41.25" customHeight="1">
      <c r="B190" s="147" t="str">
        <f t="shared" si="3"/>
        <v>1-182</v>
      </c>
      <c r="C190" s="100" t="s">
        <v>82</v>
      </c>
      <c r="D190" s="42" t="s">
        <v>82</v>
      </c>
      <c r="E190" s="42" t="s">
        <v>113</v>
      </c>
      <c r="F190" s="226" t="s">
        <v>117</v>
      </c>
      <c r="G190" s="227"/>
      <c r="H190" s="101"/>
      <c r="I190" s="20"/>
      <c r="J190" s="101"/>
      <c r="K190" s="101"/>
      <c r="L190" s="20"/>
      <c r="M190" s="101"/>
      <c r="N190" s="101"/>
      <c r="O190" s="20"/>
      <c r="P190" s="101"/>
      <c r="Q190" s="179"/>
      <c r="R190" s="101"/>
      <c r="S190" s="100"/>
      <c r="T190" s="102"/>
      <c r="U190" s="102"/>
      <c r="V190" s="184"/>
    </row>
    <row r="191" spans="2:24" ht="41.25" customHeight="1">
      <c r="B191" s="147" t="str">
        <f t="shared" si="3"/>
        <v>1-183</v>
      </c>
      <c r="C191" s="100" t="s">
        <v>82</v>
      </c>
      <c r="D191" s="42" t="s">
        <v>82</v>
      </c>
      <c r="E191" s="42" t="s">
        <v>114</v>
      </c>
      <c r="F191" s="226" t="s">
        <v>117</v>
      </c>
      <c r="G191" s="227"/>
      <c r="H191" s="101"/>
      <c r="I191" s="20"/>
      <c r="J191" s="101"/>
      <c r="K191" s="101"/>
      <c r="L191" s="20"/>
      <c r="M191" s="101"/>
      <c r="N191" s="101"/>
      <c r="O191" s="20"/>
      <c r="P191" s="101"/>
      <c r="Q191" s="179"/>
      <c r="R191" s="101"/>
      <c r="S191" s="100"/>
      <c r="T191" s="102"/>
      <c r="U191" s="102"/>
      <c r="V191" s="184"/>
    </row>
    <row r="192" spans="2:24" ht="48.95" customHeight="1">
      <c r="B192" s="147" t="str">
        <f t="shared" si="3"/>
        <v>1-184</v>
      </c>
      <c r="C192" s="100" t="s">
        <v>82</v>
      </c>
      <c r="D192" s="42" t="s">
        <v>82</v>
      </c>
      <c r="E192" s="42" t="s">
        <v>115</v>
      </c>
      <c r="F192" s="226" t="s">
        <v>118</v>
      </c>
      <c r="G192" s="227"/>
      <c r="H192" s="101"/>
      <c r="I192" s="20"/>
      <c r="J192" s="101"/>
      <c r="K192" s="101"/>
      <c r="L192" s="20"/>
      <c r="M192" s="101"/>
      <c r="N192" s="101"/>
      <c r="O192" s="20"/>
      <c r="P192" s="101"/>
      <c r="Q192" s="179"/>
      <c r="R192" s="101"/>
      <c r="S192" s="100"/>
      <c r="T192" s="102"/>
      <c r="U192" s="102"/>
      <c r="V192" s="184"/>
      <c r="W192" s="131"/>
      <c r="X192" s="131"/>
    </row>
    <row r="193" spans="2:24" ht="41.25" customHeight="1">
      <c r="B193" s="147" t="str">
        <f t="shared" si="3"/>
        <v>1-185</v>
      </c>
      <c r="C193" s="100" t="s">
        <v>82</v>
      </c>
      <c r="D193" s="42" t="s">
        <v>82</v>
      </c>
      <c r="E193" s="42" t="s">
        <v>147</v>
      </c>
      <c r="F193" s="226" t="s">
        <v>121</v>
      </c>
      <c r="G193" s="227"/>
      <c r="H193" s="101"/>
      <c r="I193" s="20"/>
      <c r="J193" s="101"/>
      <c r="K193" s="101"/>
      <c r="L193" s="20"/>
      <c r="M193" s="101"/>
      <c r="N193" s="101"/>
      <c r="O193" s="20"/>
      <c r="P193" s="101"/>
      <c r="Q193" s="179"/>
      <c r="R193" s="101"/>
      <c r="S193" s="100"/>
      <c r="T193" s="102"/>
      <c r="U193" s="102"/>
      <c r="V193" s="184"/>
    </row>
    <row r="194" spans="2:24" ht="41.25" customHeight="1">
      <c r="B194" s="147" t="str">
        <f t="shared" si="3"/>
        <v>1-186</v>
      </c>
      <c r="C194" s="100" t="s">
        <v>82</v>
      </c>
      <c r="D194" s="42" t="s">
        <v>634</v>
      </c>
      <c r="E194" s="42" t="s">
        <v>145</v>
      </c>
      <c r="F194" s="226" t="s">
        <v>825</v>
      </c>
      <c r="G194" s="227"/>
      <c r="H194" s="101"/>
      <c r="I194" s="20"/>
      <c r="J194" s="101"/>
      <c r="K194" s="101"/>
      <c r="L194" s="20"/>
      <c r="M194" s="101"/>
      <c r="N194" s="101"/>
      <c r="O194" s="20"/>
      <c r="P194" s="101"/>
      <c r="Q194" s="181"/>
      <c r="R194" s="101"/>
      <c r="S194" s="100"/>
      <c r="T194" s="102"/>
      <c r="U194" s="102"/>
      <c r="V194" s="184"/>
    </row>
    <row r="195" spans="2:24" ht="41.25" customHeight="1">
      <c r="B195" s="147" t="str">
        <f t="shared" si="3"/>
        <v>1-187</v>
      </c>
      <c r="C195" s="100" t="s">
        <v>82</v>
      </c>
      <c r="D195" s="42" t="s">
        <v>82</v>
      </c>
      <c r="E195" s="42" t="s">
        <v>112</v>
      </c>
      <c r="F195" s="226" t="s">
        <v>117</v>
      </c>
      <c r="G195" s="227"/>
      <c r="H195" s="101"/>
      <c r="I195" s="20"/>
      <c r="J195" s="101"/>
      <c r="K195" s="101"/>
      <c r="L195" s="20"/>
      <c r="M195" s="101"/>
      <c r="N195" s="101"/>
      <c r="O195" s="20"/>
      <c r="P195" s="101"/>
      <c r="Q195" s="181"/>
      <c r="R195" s="101"/>
      <c r="S195" s="100"/>
      <c r="T195" s="102"/>
      <c r="U195" s="102"/>
      <c r="V195" s="184"/>
    </row>
    <row r="196" spans="2:24" ht="41.25" customHeight="1">
      <c r="B196" s="147" t="str">
        <f t="shared" si="3"/>
        <v>1-188</v>
      </c>
      <c r="C196" s="100" t="s">
        <v>82</v>
      </c>
      <c r="D196" s="42" t="s">
        <v>82</v>
      </c>
      <c r="E196" s="42" t="s">
        <v>113</v>
      </c>
      <c r="F196" s="226" t="s">
        <v>117</v>
      </c>
      <c r="G196" s="227"/>
      <c r="H196" s="101"/>
      <c r="I196" s="20"/>
      <c r="J196" s="101"/>
      <c r="K196" s="101"/>
      <c r="L196" s="20"/>
      <c r="M196" s="101"/>
      <c r="N196" s="101"/>
      <c r="O196" s="20"/>
      <c r="P196" s="101"/>
      <c r="Q196" s="181"/>
      <c r="R196" s="101"/>
      <c r="S196" s="100"/>
      <c r="T196" s="102"/>
      <c r="U196" s="102"/>
      <c r="V196" s="184"/>
    </row>
    <row r="197" spans="2:24" ht="41.25" customHeight="1">
      <c r="B197" s="147" t="str">
        <f t="shared" si="3"/>
        <v>1-189</v>
      </c>
      <c r="C197" s="100" t="s">
        <v>82</v>
      </c>
      <c r="D197" s="42" t="s">
        <v>82</v>
      </c>
      <c r="E197" s="42" t="s">
        <v>122</v>
      </c>
      <c r="F197" s="226" t="s">
        <v>109</v>
      </c>
      <c r="G197" s="227"/>
      <c r="H197" s="101"/>
      <c r="I197" s="20"/>
      <c r="J197" s="101"/>
      <c r="K197" s="101"/>
      <c r="L197" s="20"/>
      <c r="M197" s="101"/>
      <c r="N197" s="101"/>
      <c r="O197" s="20"/>
      <c r="P197" s="101"/>
      <c r="Q197" s="181"/>
      <c r="R197" s="101"/>
      <c r="S197" s="100"/>
      <c r="T197" s="102"/>
      <c r="U197" s="102"/>
      <c r="V197" s="184"/>
    </row>
    <row r="198" spans="2:24" ht="41.25" customHeight="1">
      <c r="B198" s="147" t="str">
        <f t="shared" si="3"/>
        <v>1-190</v>
      </c>
      <c r="C198" s="100" t="s">
        <v>140</v>
      </c>
      <c r="D198" s="42" t="s">
        <v>82</v>
      </c>
      <c r="E198" s="42" t="s">
        <v>114</v>
      </c>
      <c r="F198" s="226" t="s">
        <v>117</v>
      </c>
      <c r="G198" s="227"/>
      <c r="H198" s="101"/>
      <c r="I198" s="20"/>
      <c r="J198" s="101"/>
      <c r="K198" s="101"/>
      <c r="L198" s="20"/>
      <c r="M198" s="101"/>
      <c r="N198" s="101"/>
      <c r="O198" s="20"/>
      <c r="P198" s="101"/>
      <c r="Q198" s="181"/>
      <c r="R198" s="101"/>
      <c r="S198" s="100"/>
      <c r="T198" s="102"/>
      <c r="U198" s="102"/>
      <c r="V198" s="184"/>
    </row>
    <row r="199" spans="2:24" ht="48.95" customHeight="1">
      <c r="B199" s="147" t="str">
        <f t="shared" si="3"/>
        <v>1-191</v>
      </c>
      <c r="C199" s="100" t="s">
        <v>82</v>
      </c>
      <c r="D199" s="42" t="s">
        <v>82</v>
      </c>
      <c r="E199" s="42" t="s">
        <v>115</v>
      </c>
      <c r="F199" s="226" t="s">
        <v>118</v>
      </c>
      <c r="G199" s="227"/>
      <c r="H199" s="101"/>
      <c r="I199" s="20"/>
      <c r="J199" s="101"/>
      <c r="K199" s="101"/>
      <c r="L199" s="20"/>
      <c r="M199" s="101"/>
      <c r="N199" s="101"/>
      <c r="O199" s="20"/>
      <c r="P199" s="101"/>
      <c r="Q199" s="181"/>
      <c r="R199" s="101"/>
      <c r="S199" s="100"/>
      <c r="T199" s="102"/>
      <c r="U199" s="102"/>
      <c r="V199" s="184"/>
      <c r="W199" s="131"/>
      <c r="X199" s="131"/>
    </row>
    <row r="200" spans="2:24" ht="41.25" customHeight="1">
      <c r="B200" s="147" t="str">
        <f t="shared" si="3"/>
        <v>1-192</v>
      </c>
      <c r="C200" s="100" t="s">
        <v>82</v>
      </c>
      <c r="D200" s="42" t="s">
        <v>82</v>
      </c>
      <c r="E200" s="42" t="s">
        <v>147</v>
      </c>
      <c r="F200" s="226" t="s">
        <v>121</v>
      </c>
      <c r="G200" s="227"/>
      <c r="H200" s="101"/>
      <c r="I200" s="20"/>
      <c r="J200" s="101"/>
      <c r="K200" s="101"/>
      <c r="L200" s="20"/>
      <c r="M200" s="101"/>
      <c r="N200" s="101"/>
      <c r="O200" s="20"/>
      <c r="P200" s="101"/>
      <c r="Q200" s="181"/>
      <c r="R200" s="101"/>
      <c r="S200" s="100"/>
      <c r="T200" s="102"/>
      <c r="U200" s="102"/>
      <c r="V200" s="184"/>
    </row>
    <row r="201" spans="2:24" ht="41.25" customHeight="1">
      <c r="B201" s="147" t="str">
        <f t="shared" si="3"/>
        <v>1-193</v>
      </c>
      <c r="C201" s="100" t="s">
        <v>82</v>
      </c>
      <c r="D201" s="42" t="s">
        <v>635</v>
      </c>
      <c r="E201" s="42" t="s">
        <v>145</v>
      </c>
      <c r="F201" s="226" t="s">
        <v>148</v>
      </c>
      <c r="G201" s="227"/>
      <c r="H201" s="101"/>
      <c r="I201" s="20"/>
      <c r="J201" s="101"/>
      <c r="K201" s="101"/>
      <c r="L201" s="20"/>
      <c r="M201" s="101"/>
      <c r="N201" s="101"/>
      <c r="O201" s="20"/>
      <c r="P201" s="101"/>
      <c r="Q201" s="181"/>
      <c r="R201" s="101"/>
      <c r="S201" s="100"/>
      <c r="T201" s="102"/>
      <c r="U201" s="102"/>
      <c r="V201" s="184"/>
    </row>
    <row r="202" spans="2:24" ht="41.25" customHeight="1">
      <c r="B202" s="147" t="str">
        <f t="shared" si="3"/>
        <v>1-194</v>
      </c>
      <c r="C202" s="100" t="s">
        <v>82</v>
      </c>
      <c r="D202" s="42" t="s">
        <v>82</v>
      </c>
      <c r="E202" s="42" t="s">
        <v>112</v>
      </c>
      <c r="F202" s="226" t="s">
        <v>117</v>
      </c>
      <c r="G202" s="227"/>
      <c r="H202" s="101"/>
      <c r="I202" s="20"/>
      <c r="J202" s="101"/>
      <c r="K202" s="101"/>
      <c r="L202" s="20"/>
      <c r="M202" s="101"/>
      <c r="N202" s="101"/>
      <c r="O202" s="20"/>
      <c r="P202" s="101"/>
      <c r="Q202" s="181"/>
      <c r="R202" s="101"/>
      <c r="S202" s="100"/>
      <c r="T202" s="102"/>
      <c r="U202" s="102"/>
      <c r="V202" s="184"/>
    </row>
    <row r="203" spans="2:24" ht="41.25" customHeight="1">
      <c r="B203" s="147" t="str">
        <f t="shared" si="3"/>
        <v>1-195</v>
      </c>
      <c r="C203" s="100" t="s">
        <v>82</v>
      </c>
      <c r="D203" s="42" t="s">
        <v>82</v>
      </c>
      <c r="E203" s="42" t="s">
        <v>113</v>
      </c>
      <c r="F203" s="226" t="s">
        <v>117</v>
      </c>
      <c r="G203" s="227"/>
      <c r="H203" s="101"/>
      <c r="I203" s="20"/>
      <c r="J203" s="101"/>
      <c r="K203" s="101"/>
      <c r="L203" s="20"/>
      <c r="M203" s="101"/>
      <c r="N203" s="101"/>
      <c r="O203" s="20"/>
      <c r="P203" s="101"/>
      <c r="Q203" s="181"/>
      <c r="R203" s="101"/>
      <c r="S203" s="100"/>
      <c r="T203" s="102"/>
      <c r="U203" s="102"/>
      <c r="V203" s="184"/>
    </row>
    <row r="204" spans="2:24" ht="41.25" customHeight="1">
      <c r="B204" s="147" t="str">
        <f t="shared" si="3"/>
        <v>1-196</v>
      </c>
      <c r="C204" s="100" t="s">
        <v>82</v>
      </c>
      <c r="D204" s="42" t="s">
        <v>82</v>
      </c>
      <c r="E204" s="42" t="s">
        <v>122</v>
      </c>
      <c r="F204" s="226" t="s">
        <v>405</v>
      </c>
      <c r="G204" s="227"/>
      <c r="H204" s="101"/>
      <c r="I204" s="20"/>
      <c r="J204" s="101"/>
      <c r="K204" s="101"/>
      <c r="L204" s="20"/>
      <c r="M204" s="101"/>
      <c r="N204" s="101"/>
      <c r="O204" s="20"/>
      <c r="P204" s="101"/>
      <c r="Q204" s="181"/>
      <c r="R204" s="101"/>
      <c r="S204" s="100"/>
      <c r="T204" s="102"/>
      <c r="U204" s="102"/>
      <c r="V204" s="184"/>
    </row>
    <row r="205" spans="2:24" ht="41.25" customHeight="1">
      <c r="B205" s="147" t="str">
        <f t="shared" si="3"/>
        <v>1-197</v>
      </c>
      <c r="C205" s="100" t="s">
        <v>82</v>
      </c>
      <c r="D205" s="42" t="s">
        <v>82</v>
      </c>
      <c r="E205" s="42" t="s">
        <v>114</v>
      </c>
      <c r="F205" s="226" t="s">
        <v>119</v>
      </c>
      <c r="G205" s="227"/>
      <c r="H205" s="101"/>
      <c r="I205" s="20"/>
      <c r="J205" s="101"/>
      <c r="K205" s="101"/>
      <c r="L205" s="20"/>
      <c r="M205" s="101"/>
      <c r="N205" s="101"/>
      <c r="O205" s="20"/>
      <c r="P205" s="101"/>
      <c r="Q205" s="181"/>
      <c r="R205" s="101"/>
      <c r="S205" s="100"/>
      <c r="T205" s="102"/>
      <c r="U205" s="102"/>
      <c r="V205" s="184"/>
    </row>
    <row r="206" spans="2:24" ht="38.450000000000003" customHeight="1">
      <c r="B206" s="147" t="str">
        <f t="shared" si="3"/>
        <v>1-198</v>
      </c>
      <c r="C206" s="100" t="s">
        <v>82</v>
      </c>
      <c r="D206" s="42" t="s">
        <v>82</v>
      </c>
      <c r="E206" s="42" t="s">
        <v>406</v>
      </c>
      <c r="F206" s="226" t="s">
        <v>407</v>
      </c>
      <c r="G206" s="227"/>
      <c r="H206" s="101"/>
      <c r="I206" s="20"/>
      <c r="J206" s="101"/>
      <c r="K206" s="101"/>
      <c r="L206" s="20"/>
      <c r="M206" s="101"/>
      <c r="N206" s="101"/>
      <c r="O206" s="20"/>
      <c r="P206" s="101"/>
      <c r="Q206" s="181"/>
      <c r="R206" s="101"/>
      <c r="S206" s="100"/>
      <c r="T206" s="102"/>
      <c r="U206" s="102"/>
      <c r="V206" s="184"/>
    </row>
    <row r="207" spans="2:24" ht="41.25" customHeight="1">
      <c r="B207" s="147" t="str">
        <f t="shared" si="3"/>
        <v>1-199</v>
      </c>
      <c r="C207" s="100" t="s">
        <v>82</v>
      </c>
      <c r="D207" s="42" t="s">
        <v>82</v>
      </c>
      <c r="E207" s="42" t="s">
        <v>115</v>
      </c>
      <c r="F207" s="226" t="s">
        <v>293</v>
      </c>
      <c r="G207" s="227"/>
      <c r="H207" s="101"/>
      <c r="I207" s="20"/>
      <c r="J207" s="101"/>
      <c r="K207" s="101"/>
      <c r="L207" s="20"/>
      <c r="M207" s="101"/>
      <c r="N207" s="101"/>
      <c r="O207" s="20"/>
      <c r="P207" s="101"/>
      <c r="Q207" s="181"/>
      <c r="R207" s="101"/>
      <c r="S207" s="100"/>
      <c r="T207" s="102"/>
      <c r="U207" s="102"/>
      <c r="V207" s="184"/>
    </row>
    <row r="208" spans="2:24" ht="41.25" customHeight="1">
      <c r="B208" s="147" t="str">
        <f t="shared" si="3"/>
        <v>1-200</v>
      </c>
      <c r="C208" s="100" t="s">
        <v>82</v>
      </c>
      <c r="D208" s="42" t="s">
        <v>82</v>
      </c>
      <c r="E208" s="42" t="s">
        <v>147</v>
      </c>
      <c r="F208" s="226" t="s">
        <v>120</v>
      </c>
      <c r="G208" s="227"/>
      <c r="H208" s="101"/>
      <c r="I208" s="20"/>
      <c r="J208" s="101"/>
      <c r="K208" s="101"/>
      <c r="L208" s="20"/>
      <c r="M208" s="101"/>
      <c r="N208" s="101"/>
      <c r="O208" s="20"/>
      <c r="P208" s="101"/>
      <c r="Q208" s="181"/>
      <c r="R208" s="101"/>
      <c r="S208" s="100"/>
      <c r="T208" s="102"/>
      <c r="U208" s="102"/>
      <c r="V208" s="184"/>
    </row>
    <row r="209" spans="2:22" ht="41.25" customHeight="1">
      <c r="B209" s="147" t="str">
        <f t="shared" si="3"/>
        <v>1-201</v>
      </c>
      <c r="C209" s="100" t="s">
        <v>82</v>
      </c>
      <c r="D209" s="42" t="s">
        <v>636</v>
      </c>
      <c r="E209" s="42" t="s">
        <v>145</v>
      </c>
      <c r="F209" s="226" t="s">
        <v>148</v>
      </c>
      <c r="G209" s="227"/>
      <c r="H209" s="101"/>
      <c r="I209" s="20"/>
      <c r="J209" s="101"/>
      <c r="K209" s="101"/>
      <c r="L209" s="20"/>
      <c r="M209" s="101"/>
      <c r="N209" s="101"/>
      <c r="O209" s="20"/>
      <c r="P209" s="101"/>
      <c r="Q209" s="181"/>
      <c r="R209" s="101"/>
      <c r="S209" s="100"/>
      <c r="T209" s="102"/>
      <c r="U209" s="102"/>
      <c r="V209" s="184"/>
    </row>
    <row r="210" spans="2:22" ht="41.25" customHeight="1">
      <c r="B210" s="147" t="str">
        <f t="shared" si="3"/>
        <v>1-202</v>
      </c>
      <c r="C210" s="100" t="s">
        <v>82</v>
      </c>
      <c r="D210" s="42" t="s">
        <v>82</v>
      </c>
      <c r="E210" s="42" t="s">
        <v>112</v>
      </c>
      <c r="F210" s="226" t="s">
        <v>117</v>
      </c>
      <c r="G210" s="227"/>
      <c r="H210" s="101"/>
      <c r="I210" s="20"/>
      <c r="J210" s="101"/>
      <c r="K210" s="101"/>
      <c r="L210" s="20"/>
      <c r="M210" s="101"/>
      <c r="N210" s="101"/>
      <c r="O210" s="20"/>
      <c r="P210" s="101"/>
      <c r="Q210" s="181"/>
      <c r="R210" s="101"/>
      <c r="S210" s="100"/>
      <c r="T210" s="102"/>
      <c r="U210" s="102"/>
      <c r="V210" s="184"/>
    </row>
    <row r="211" spans="2:22" ht="41.25" customHeight="1">
      <c r="B211" s="147" t="str">
        <f t="shared" si="3"/>
        <v>1-203</v>
      </c>
      <c r="C211" s="100" t="s">
        <v>82</v>
      </c>
      <c r="D211" s="42" t="s">
        <v>82</v>
      </c>
      <c r="E211" s="42" t="s">
        <v>113</v>
      </c>
      <c r="F211" s="226" t="s">
        <v>119</v>
      </c>
      <c r="G211" s="227"/>
      <c r="H211" s="101"/>
      <c r="I211" s="20"/>
      <c r="J211" s="101"/>
      <c r="K211" s="101"/>
      <c r="L211" s="20"/>
      <c r="M211" s="101"/>
      <c r="N211" s="101"/>
      <c r="O211" s="20"/>
      <c r="P211" s="101"/>
      <c r="Q211" s="181"/>
      <c r="R211" s="101"/>
      <c r="S211" s="100"/>
      <c r="T211" s="102"/>
      <c r="U211" s="102"/>
      <c r="V211" s="184"/>
    </row>
    <row r="212" spans="2:22" ht="41.25" customHeight="1">
      <c r="B212" s="147" t="str">
        <f t="shared" si="3"/>
        <v>1-204</v>
      </c>
      <c r="C212" s="100" t="s">
        <v>82</v>
      </c>
      <c r="D212" s="42" t="s">
        <v>82</v>
      </c>
      <c r="E212" s="42" t="s">
        <v>122</v>
      </c>
      <c r="F212" s="226" t="s">
        <v>405</v>
      </c>
      <c r="G212" s="227"/>
      <c r="H212" s="101"/>
      <c r="I212" s="20"/>
      <c r="J212" s="101"/>
      <c r="K212" s="101"/>
      <c r="L212" s="20"/>
      <c r="M212" s="101"/>
      <c r="N212" s="101"/>
      <c r="O212" s="20"/>
      <c r="P212" s="101"/>
      <c r="Q212" s="181"/>
      <c r="R212" s="101"/>
      <c r="S212" s="100"/>
      <c r="T212" s="102"/>
      <c r="U212" s="102"/>
      <c r="V212" s="184"/>
    </row>
    <row r="213" spans="2:22" ht="41.25" customHeight="1">
      <c r="B213" s="147" t="str">
        <f t="shared" si="3"/>
        <v>1-205</v>
      </c>
      <c r="C213" s="100" t="s">
        <v>82</v>
      </c>
      <c r="D213" s="42" t="s">
        <v>82</v>
      </c>
      <c r="E213" s="42" t="s">
        <v>114</v>
      </c>
      <c r="F213" s="226" t="s">
        <v>119</v>
      </c>
      <c r="G213" s="227"/>
      <c r="H213" s="101"/>
      <c r="I213" s="20"/>
      <c r="J213" s="101"/>
      <c r="K213" s="101"/>
      <c r="L213" s="20"/>
      <c r="M213" s="101"/>
      <c r="N213" s="101"/>
      <c r="O213" s="20"/>
      <c r="P213" s="101"/>
      <c r="Q213" s="181"/>
      <c r="R213" s="101"/>
      <c r="S213" s="100"/>
      <c r="T213" s="102"/>
      <c r="U213" s="102"/>
      <c r="V213" s="184"/>
    </row>
    <row r="214" spans="2:22" ht="41.25" customHeight="1">
      <c r="B214" s="147" t="str">
        <f t="shared" si="3"/>
        <v>1-206</v>
      </c>
      <c r="C214" s="100" t="s">
        <v>82</v>
      </c>
      <c r="D214" s="42" t="s">
        <v>82</v>
      </c>
      <c r="E214" s="42" t="s">
        <v>115</v>
      </c>
      <c r="F214" s="226" t="s">
        <v>294</v>
      </c>
      <c r="G214" s="227"/>
      <c r="H214" s="101"/>
      <c r="I214" s="20"/>
      <c r="J214" s="101"/>
      <c r="K214" s="101"/>
      <c r="L214" s="20"/>
      <c r="M214" s="101"/>
      <c r="N214" s="101"/>
      <c r="O214" s="20"/>
      <c r="P214" s="101"/>
      <c r="Q214" s="181"/>
      <c r="R214" s="101"/>
      <c r="S214" s="100"/>
      <c r="T214" s="102"/>
      <c r="U214" s="102"/>
      <c r="V214" s="184"/>
    </row>
    <row r="215" spans="2:22" ht="38.450000000000003" customHeight="1">
      <c r="B215" s="147" t="str">
        <f t="shared" si="3"/>
        <v>1-207</v>
      </c>
      <c r="C215" s="100" t="s">
        <v>408</v>
      </c>
      <c r="D215" s="42" t="s">
        <v>409</v>
      </c>
      <c r="E215" s="42" t="s">
        <v>409</v>
      </c>
      <c r="F215" s="226" t="s">
        <v>410</v>
      </c>
      <c r="G215" s="227"/>
      <c r="H215" s="101"/>
      <c r="I215" s="20"/>
      <c r="J215" s="101"/>
      <c r="K215" s="101"/>
      <c r="L215" s="20"/>
      <c r="M215" s="101"/>
      <c r="N215" s="101"/>
      <c r="O215" s="20"/>
      <c r="P215" s="101"/>
      <c r="Q215" s="179"/>
      <c r="R215" s="101"/>
      <c r="S215" s="100"/>
      <c r="T215" s="102"/>
      <c r="U215" s="102"/>
      <c r="V215" s="184"/>
    </row>
    <row r="216" spans="2:22" ht="41.25" customHeight="1">
      <c r="B216" s="147" t="str">
        <f t="shared" si="3"/>
        <v>1-208</v>
      </c>
      <c r="C216" s="100" t="s">
        <v>82</v>
      </c>
      <c r="D216" s="42" t="s">
        <v>82</v>
      </c>
      <c r="E216" s="42" t="s">
        <v>147</v>
      </c>
      <c r="F216" s="226" t="s">
        <v>120</v>
      </c>
      <c r="G216" s="227"/>
      <c r="H216" s="101"/>
      <c r="I216" s="20"/>
      <c r="J216" s="101"/>
      <c r="K216" s="101"/>
      <c r="L216" s="20"/>
      <c r="M216" s="101"/>
      <c r="N216" s="101"/>
      <c r="O216" s="20"/>
      <c r="P216" s="101"/>
      <c r="Q216" s="181"/>
      <c r="R216" s="101"/>
      <c r="S216" s="100"/>
      <c r="T216" s="102"/>
      <c r="U216" s="102"/>
      <c r="V216" s="184"/>
    </row>
    <row r="217" spans="2:22" ht="41.25" customHeight="1">
      <c r="B217" s="147" t="str">
        <f t="shared" si="3"/>
        <v>1-209</v>
      </c>
      <c r="C217" s="100" t="s">
        <v>637</v>
      </c>
      <c r="D217" s="42" t="s">
        <v>197</v>
      </c>
      <c r="E217" s="42" t="s">
        <v>413</v>
      </c>
      <c r="F217" s="226" t="s">
        <v>292</v>
      </c>
      <c r="G217" s="227"/>
      <c r="H217" s="101"/>
      <c r="I217" s="20"/>
      <c r="J217" s="101"/>
      <c r="K217" s="101"/>
      <c r="L217" s="20"/>
      <c r="M217" s="101"/>
      <c r="N217" s="101"/>
      <c r="O217" s="20"/>
      <c r="P217" s="101"/>
      <c r="Q217" s="179"/>
      <c r="R217" s="101"/>
      <c r="S217" s="100"/>
      <c r="T217" s="102"/>
      <c r="U217" s="102"/>
      <c r="V217" s="184"/>
    </row>
    <row r="218" spans="2:22" ht="41.25" customHeight="1">
      <c r="B218" s="147" t="str">
        <f t="shared" si="3"/>
        <v>1-210</v>
      </c>
      <c r="C218" s="100" t="s">
        <v>82</v>
      </c>
      <c r="D218" s="42" t="s">
        <v>82</v>
      </c>
      <c r="E218" s="42" t="s">
        <v>145</v>
      </c>
      <c r="F218" s="226" t="s">
        <v>148</v>
      </c>
      <c r="G218" s="227"/>
      <c r="H218" s="101"/>
      <c r="I218" s="20"/>
      <c r="J218" s="101"/>
      <c r="K218" s="101"/>
      <c r="L218" s="20"/>
      <c r="M218" s="101"/>
      <c r="N218" s="101"/>
      <c r="O218" s="20"/>
      <c r="P218" s="101"/>
      <c r="Q218" s="181"/>
      <c r="R218" s="101"/>
      <c r="S218" s="100"/>
      <c r="T218" s="102"/>
      <c r="U218" s="102"/>
      <c r="V218" s="184"/>
    </row>
    <row r="219" spans="2:22" ht="41.25" customHeight="1">
      <c r="B219" s="147" t="str">
        <f t="shared" si="3"/>
        <v>1-211</v>
      </c>
      <c r="C219" s="100" t="s">
        <v>82</v>
      </c>
      <c r="D219" s="42" t="s">
        <v>82</v>
      </c>
      <c r="E219" s="42" t="s">
        <v>124</v>
      </c>
      <c r="F219" s="226" t="s">
        <v>119</v>
      </c>
      <c r="G219" s="227"/>
      <c r="H219" s="101"/>
      <c r="I219" s="20"/>
      <c r="J219" s="101"/>
      <c r="K219" s="101"/>
      <c r="L219" s="20"/>
      <c r="M219" s="101"/>
      <c r="N219" s="101"/>
      <c r="O219" s="20"/>
      <c r="P219" s="101"/>
      <c r="Q219" s="181"/>
      <c r="R219" s="101"/>
      <c r="S219" s="100"/>
      <c r="T219" s="102"/>
      <c r="U219" s="102"/>
      <c r="V219" s="184"/>
    </row>
    <row r="220" spans="2:22" ht="41.25" customHeight="1">
      <c r="B220" s="147" t="str">
        <f t="shared" si="3"/>
        <v>1-212</v>
      </c>
      <c r="C220" s="100" t="s">
        <v>82</v>
      </c>
      <c r="D220" s="42" t="s">
        <v>82</v>
      </c>
      <c r="E220" s="42" t="s">
        <v>123</v>
      </c>
      <c r="F220" s="226" t="s">
        <v>119</v>
      </c>
      <c r="G220" s="227"/>
      <c r="H220" s="101"/>
      <c r="I220" s="20"/>
      <c r="J220" s="101"/>
      <c r="K220" s="101"/>
      <c r="L220" s="20"/>
      <c r="M220" s="101"/>
      <c r="N220" s="101"/>
      <c r="O220" s="20"/>
      <c r="P220" s="101"/>
      <c r="Q220" s="181"/>
      <c r="R220" s="101"/>
      <c r="S220" s="100"/>
      <c r="T220" s="102"/>
      <c r="U220" s="102"/>
      <c r="V220" s="184"/>
    </row>
    <row r="221" spans="2:22" ht="41.25" customHeight="1">
      <c r="B221" s="147" t="str">
        <f t="shared" si="3"/>
        <v>1-213</v>
      </c>
      <c r="C221" s="100" t="s">
        <v>82</v>
      </c>
      <c r="D221" s="42" t="s">
        <v>82</v>
      </c>
      <c r="E221" s="42" t="s">
        <v>122</v>
      </c>
      <c r="F221" s="226" t="s">
        <v>126</v>
      </c>
      <c r="G221" s="227"/>
      <c r="H221" s="101"/>
      <c r="I221" s="20"/>
      <c r="J221" s="101"/>
      <c r="K221" s="101"/>
      <c r="L221" s="20"/>
      <c r="M221" s="101"/>
      <c r="N221" s="101"/>
      <c r="O221" s="20"/>
      <c r="P221" s="101"/>
      <c r="Q221" s="181"/>
      <c r="R221" s="101"/>
      <c r="S221" s="100"/>
      <c r="T221" s="102"/>
      <c r="U221" s="102"/>
      <c r="V221" s="184"/>
    </row>
    <row r="222" spans="2:22" ht="41.25" customHeight="1">
      <c r="B222" s="147" t="str">
        <f t="shared" si="3"/>
        <v>1-214</v>
      </c>
      <c r="C222" s="100" t="s">
        <v>82</v>
      </c>
      <c r="D222" s="42" t="s">
        <v>82</v>
      </c>
      <c r="E222" s="42" t="s">
        <v>114</v>
      </c>
      <c r="F222" s="226" t="s">
        <v>119</v>
      </c>
      <c r="G222" s="227"/>
      <c r="H222" s="101"/>
      <c r="I222" s="20"/>
      <c r="J222" s="101"/>
      <c r="K222" s="101"/>
      <c r="L222" s="20"/>
      <c r="M222" s="101"/>
      <c r="N222" s="101"/>
      <c r="O222" s="20"/>
      <c r="P222" s="101"/>
      <c r="Q222" s="181"/>
      <c r="R222" s="101"/>
      <c r="S222" s="100"/>
      <c r="T222" s="102"/>
      <c r="U222" s="102"/>
      <c r="V222" s="184"/>
    </row>
    <row r="223" spans="2:22" ht="41.25" customHeight="1">
      <c r="B223" s="147" t="str">
        <f t="shared" si="3"/>
        <v>1-215</v>
      </c>
      <c r="C223" s="100" t="s">
        <v>82</v>
      </c>
      <c r="D223" s="42" t="s">
        <v>82</v>
      </c>
      <c r="E223" s="42" t="s">
        <v>115</v>
      </c>
      <c r="F223" s="226" t="s">
        <v>295</v>
      </c>
      <c r="G223" s="227"/>
      <c r="H223" s="101"/>
      <c r="I223" s="20"/>
      <c r="J223" s="101"/>
      <c r="K223" s="101"/>
      <c r="L223" s="20"/>
      <c r="M223" s="101"/>
      <c r="N223" s="101"/>
      <c r="O223" s="20"/>
      <c r="P223" s="101"/>
      <c r="Q223" s="181"/>
      <c r="R223" s="101"/>
      <c r="S223" s="100"/>
      <c r="T223" s="102"/>
      <c r="U223" s="102"/>
      <c r="V223" s="184"/>
    </row>
    <row r="224" spans="2:22" ht="41.25" customHeight="1">
      <c r="B224" s="147" t="str">
        <f t="shared" si="3"/>
        <v>1-216</v>
      </c>
      <c r="C224" s="100" t="s">
        <v>82</v>
      </c>
      <c r="D224" s="42" t="s">
        <v>82</v>
      </c>
      <c r="E224" s="42" t="s">
        <v>147</v>
      </c>
      <c r="F224" s="226" t="s">
        <v>120</v>
      </c>
      <c r="G224" s="227"/>
      <c r="H224" s="101"/>
      <c r="I224" s="20"/>
      <c r="J224" s="101"/>
      <c r="K224" s="101"/>
      <c r="L224" s="20"/>
      <c r="M224" s="101"/>
      <c r="N224" s="101"/>
      <c r="O224" s="20"/>
      <c r="P224" s="101"/>
      <c r="Q224" s="181"/>
      <c r="R224" s="101"/>
      <c r="S224" s="100"/>
      <c r="T224" s="102"/>
      <c r="U224" s="102"/>
      <c r="V224" s="184"/>
    </row>
    <row r="225" spans="2:22" ht="41.25" customHeight="1">
      <c r="B225" s="147" t="str">
        <f t="shared" si="3"/>
        <v>1-217</v>
      </c>
      <c r="C225" s="42" t="s">
        <v>638</v>
      </c>
      <c r="D225" s="42" t="s">
        <v>197</v>
      </c>
      <c r="E225" s="42" t="s">
        <v>414</v>
      </c>
      <c r="F225" s="226" t="s">
        <v>292</v>
      </c>
      <c r="G225" s="227"/>
      <c r="H225" s="101"/>
      <c r="I225" s="20"/>
      <c r="J225" s="101"/>
      <c r="K225" s="101"/>
      <c r="L225" s="20"/>
      <c r="M225" s="101"/>
      <c r="N225" s="101"/>
      <c r="O225" s="20"/>
      <c r="P225" s="101"/>
      <c r="Q225" s="179"/>
      <c r="R225" s="101"/>
      <c r="S225" s="100"/>
      <c r="T225" s="102"/>
      <c r="U225" s="102"/>
      <c r="V225" s="184"/>
    </row>
    <row r="226" spans="2:22" ht="41.25" customHeight="1">
      <c r="B226" s="147" t="str">
        <f t="shared" si="3"/>
        <v>1-218</v>
      </c>
      <c r="C226" s="100" t="s">
        <v>82</v>
      </c>
      <c r="D226" s="42" t="s">
        <v>82</v>
      </c>
      <c r="E226" s="42" t="s">
        <v>145</v>
      </c>
      <c r="F226" s="226" t="s">
        <v>148</v>
      </c>
      <c r="G226" s="227"/>
      <c r="H226" s="101"/>
      <c r="I226" s="20"/>
      <c r="J226" s="101"/>
      <c r="K226" s="101"/>
      <c r="L226" s="20"/>
      <c r="M226" s="101"/>
      <c r="N226" s="101"/>
      <c r="O226" s="20"/>
      <c r="P226" s="101"/>
      <c r="Q226" s="181"/>
      <c r="R226" s="101"/>
      <c r="S226" s="100"/>
      <c r="T226" s="102"/>
      <c r="U226" s="102"/>
      <c r="V226" s="184"/>
    </row>
    <row r="227" spans="2:22" ht="41.25" customHeight="1">
      <c r="B227" s="147" t="str">
        <f t="shared" si="3"/>
        <v>1-219</v>
      </c>
      <c r="C227" s="100" t="s">
        <v>82</v>
      </c>
      <c r="D227" s="42" t="s">
        <v>82</v>
      </c>
      <c r="E227" s="42" t="s">
        <v>124</v>
      </c>
      <c r="F227" s="226" t="s">
        <v>117</v>
      </c>
      <c r="G227" s="227"/>
      <c r="H227" s="101"/>
      <c r="I227" s="20"/>
      <c r="J227" s="101"/>
      <c r="K227" s="101"/>
      <c r="L227" s="20"/>
      <c r="M227" s="101"/>
      <c r="N227" s="101"/>
      <c r="O227" s="20"/>
      <c r="P227" s="101"/>
      <c r="Q227" s="181"/>
      <c r="R227" s="101"/>
      <c r="S227" s="100"/>
      <c r="T227" s="102"/>
      <c r="U227" s="102"/>
      <c r="V227" s="184"/>
    </row>
    <row r="228" spans="2:22" ht="41.25" customHeight="1">
      <c r="B228" s="147" t="str">
        <f t="shared" ref="B228:B251" si="4">"1-"&amp;ROW()-8</f>
        <v>1-220</v>
      </c>
      <c r="C228" s="100" t="s">
        <v>82</v>
      </c>
      <c r="D228" s="42" t="s">
        <v>82</v>
      </c>
      <c r="E228" s="42" t="s">
        <v>123</v>
      </c>
      <c r="F228" s="226" t="s">
        <v>119</v>
      </c>
      <c r="G228" s="227"/>
      <c r="H228" s="101"/>
      <c r="I228" s="20"/>
      <c r="J228" s="101"/>
      <c r="K228" s="101"/>
      <c r="L228" s="20"/>
      <c r="M228" s="101"/>
      <c r="N228" s="101"/>
      <c r="O228" s="20"/>
      <c r="P228" s="101"/>
      <c r="Q228" s="181"/>
      <c r="R228" s="101"/>
      <c r="S228" s="100"/>
      <c r="T228" s="102"/>
      <c r="U228" s="102"/>
      <c r="V228" s="184"/>
    </row>
    <row r="229" spans="2:22" ht="41.25" customHeight="1">
      <c r="B229" s="147" t="str">
        <f t="shared" si="4"/>
        <v>1-221</v>
      </c>
      <c r="C229" s="100" t="s">
        <v>82</v>
      </c>
      <c r="D229" s="42" t="s">
        <v>82</v>
      </c>
      <c r="E229" s="42" t="s">
        <v>122</v>
      </c>
      <c r="F229" s="226" t="s">
        <v>125</v>
      </c>
      <c r="G229" s="227"/>
      <c r="H229" s="101"/>
      <c r="I229" s="20"/>
      <c r="J229" s="101"/>
      <c r="K229" s="101"/>
      <c r="L229" s="20"/>
      <c r="M229" s="101"/>
      <c r="N229" s="101"/>
      <c r="O229" s="20"/>
      <c r="P229" s="101"/>
      <c r="Q229" s="181"/>
      <c r="R229" s="101"/>
      <c r="S229" s="100"/>
      <c r="T229" s="102"/>
      <c r="U229" s="102"/>
      <c r="V229" s="184"/>
    </row>
    <row r="230" spans="2:22" ht="41.25" customHeight="1">
      <c r="B230" s="147" t="str">
        <f t="shared" si="4"/>
        <v>1-222</v>
      </c>
      <c r="C230" s="100" t="s">
        <v>82</v>
      </c>
      <c r="D230" s="42" t="s">
        <v>82</v>
      </c>
      <c r="E230" s="42" t="s">
        <v>114</v>
      </c>
      <c r="F230" s="226" t="s">
        <v>119</v>
      </c>
      <c r="G230" s="227"/>
      <c r="H230" s="101"/>
      <c r="I230" s="20"/>
      <c r="J230" s="101"/>
      <c r="K230" s="101"/>
      <c r="L230" s="20"/>
      <c r="M230" s="101"/>
      <c r="N230" s="101"/>
      <c r="O230" s="20"/>
      <c r="P230" s="101"/>
      <c r="Q230" s="181"/>
      <c r="R230" s="101"/>
      <c r="S230" s="100"/>
      <c r="T230" s="102"/>
      <c r="U230" s="102"/>
      <c r="V230" s="184"/>
    </row>
    <row r="231" spans="2:22" ht="41.25" customHeight="1">
      <c r="B231" s="147" t="str">
        <f t="shared" si="4"/>
        <v>1-223</v>
      </c>
      <c r="C231" s="100" t="s">
        <v>82</v>
      </c>
      <c r="D231" s="42" t="s">
        <v>82</v>
      </c>
      <c r="E231" s="42" t="s">
        <v>115</v>
      </c>
      <c r="F231" s="226" t="s">
        <v>294</v>
      </c>
      <c r="G231" s="227"/>
      <c r="H231" s="101"/>
      <c r="I231" s="20"/>
      <c r="J231" s="101"/>
      <c r="K231" s="101"/>
      <c r="L231" s="20"/>
      <c r="M231" s="101"/>
      <c r="N231" s="101"/>
      <c r="O231" s="20"/>
      <c r="P231" s="101"/>
      <c r="Q231" s="181"/>
      <c r="R231" s="101"/>
      <c r="S231" s="100"/>
      <c r="T231" s="102"/>
      <c r="U231" s="102"/>
      <c r="V231" s="184"/>
    </row>
    <row r="232" spans="2:22" ht="41.25" customHeight="1">
      <c r="B232" s="147" t="str">
        <f t="shared" si="4"/>
        <v>1-224</v>
      </c>
      <c r="C232" s="100" t="s">
        <v>82</v>
      </c>
      <c r="D232" s="42" t="s">
        <v>82</v>
      </c>
      <c r="E232" s="42" t="s">
        <v>147</v>
      </c>
      <c r="F232" s="226" t="s">
        <v>120</v>
      </c>
      <c r="G232" s="227"/>
      <c r="H232" s="101"/>
      <c r="I232" s="20"/>
      <c r="J232" s="101"/>
      <c r="K232" s="101"/>
      <c r="L232" s="20"/>
      <c r="M232" s="101"/>
      <c r="N232" s="101"/>
      <c r="O232" s="20"/>
      <c r="P232" s="101"/>
      <c r="Q232" s="181"/>
      <c r="R232" s="101"/>
      <c r="S232" s="100"/>
      <c r="T232" s="102"/>
      <c r="U232" s="102"/>
      <c r="V232" s="184"/>
    </row>
    <row r="233" spans="2:22" ht="41.25" customHeight="1">
      <c r="B233" s="147" t="str">
        <f t="shared" si="4"/>
        <v>1-225</v>
      </c>
      <c r="C233" s="100" t="s">
        <v>640</v>
      </c>
      <c r="D233" s="42" t="s">
        <v>639</v>
      </c>
      <c r="E233" s="42" t="s">
        <v>415</v>
      </c>
      <c r="F233" s="226" t="s">
        <v>292</v>
      </c>
      <c r="G233" s="227"/>
      <c r="H233" s="101"/>
      <c r="I233" s="20"/>
      <c r="J233" s="101"/>
      <c r="K233" s="101"/>
      <c r="L233" s="20"/>
      <c r="M233" s="101"/>
      <c r="N233" s="101"/>
      <c r="O233" s="20"/>
      <c r="P233" s="101"/>
      <c r="Q233" s="179"/>
      <c r="R233" s="101"/>
      <c r="S233" s="100"/>
      <c r="T233" s="102"/>
      <c r="U233" s="102"/>
      <c r="V233" s="184"/>
    </row>
    <row r="234" spans="2:22" ht="41.25" customHeight="1">
      <c r="B234" s="147" t="str">
        <f t="shared" si="4"/>
        <v>1-226</v>
      </c>
      <c r="C234" s="100" t="s">
        <v>82</v>
      </c>
      <c r="D234" s="42" t="s">
        <v>82</v>
      </c>
      <c r="E234" s="42" t="s">
        <v>145</v>
      </c>
      <c r="F234" s="226" t="s">
        <v>148</v>
      </c>
      <c r="G234" s="227"/>
      <c r="H234" s="101"/>
      <c r="I234" s="20"/>
      <c r="J234" s="101"/>
      <c r="K234" s="101"/>
      <c r="L234" s="20"/>
      <c r="M234" s="101"/>
      <c r="N234" s="101"/>
      <c r="O234" s="20"/>
      <c r="P234" s="101"/>
      <c r="Q234" s="181"/>
      <c r="R234" s="101"/>
      <c r="S234" s="100"/>
      <c r="T234" s="102"/>
      <c r="U234" s="102"/>
      <c r="V234" s="184"/>
    </row>
    <row r="235" spans="2:22" ht="41.25" customHeight="1">
      <c r="B235" s="147" t="str">
        <f t="shared" si="4"/>
        <v>1-227</v>
      </c>
      <c r="C235" s="100" t="s">
        <v>82</v>
      </c>
      <c r="D235" s="42" t="s">
        <v>82</v>
      </c>
      <c r="E235" s="42" t="s">
        <v>124</v>
      </c>
      <c r="F235" s="226" t="s">
        <v>119</v>
      </c>
      <c r="G235" s="227"/>
      <c r="H235" s="101"/>
      <c r="I235" s="20"/>
      <c r="J235" s="101"/>
      <c r="K235" s="101"/>
      <c r="L235" s="20"/>
      <c r="M235" s="101"/>
      <c r="N235" s="101"/>
      <c r="O235" s="20"/>
      <c r="P235" s="101"/>
      <c r="Q235" s="181"/>
      <c r="R235" s="101"/>
      <c r="S235" s="100"/>
      <c r="T235" s="102"/>
      <c r="U235" s="102"/>
      <c r="V235" s="184"/>
    </row>
    <row r="236" spans="2:22" ht="41.25" customHeight="1">
      <c r="B236" s="147" t="str">
        <f t="shared" si="4"/>
        <v>1-228</v>
      </c>
      <c r="C236" s="100" t="s">
        <v>82</v>
      </c>
      <c r="D236" s="42" t="s">
        <v>82</v>
      </c>
      <c r="E236" s="42" t="s">
        <v>123</v>
      </c>
      <c r="F236" s="226" t="s">
        <v>117</v>
      </c>
      <c r="G236" s="227"/>
      <c r="H236" s="101"/>
      <c r="I236" s="20"/>
      <c r="J236" s="101"/>
      <c r="K236" s="101"/>
      <c r="L236" s="20"/>
      <c r="M236" s="101"/>
      <c r="N236" s="101"/>
      <c r="O236" s="20"/>
      <c r="P236" s="101"/>
      <c r="Q236" s="181"/>
      <c r="R236" s="101"/>
      <c r="S236" s="100"/>
      <c r="T236" s="102"/>
      <c r="U236" s="102"/>
      <c r="V236" s="184"/>
    </row>
    <row r="237" spans="2:22" ht="41.25" customHeight="1">
      <c r="B237" s="147" t="str">
        <f t="shared" si="4"/>
        <v>1-229</v>
      </c>
      <c r="C237" s="100" t="s">
        <v>82</v>
      </c>
      <c r="D237" s="42" t="s">
        <v>82</v>
      </c>
      <c r="E237" s="42" t="s">
        <v>122</v>
      </c>
      <c r="F237" s="226" t="s">
        <v>127</v>
      </c>
      <c r="G237" s="227"/>
      <c r="H237" s="101"/>
      <c r="I237" s="20"/>
      <c r="J237" s="101"/>
      <c r="K237" s="101"/>
      <c r="L237" s="20"/>
      <c r="M237" s="101"/>
      <c r="N237" s="101"/>
      <c r="O237" s="20"/>
      <c r="P237" s="101"/>
      <c r="Q237" s="181"/>
      <c r="R237" s="101"/>
      <c r="S237" s="100"/>
      <c r="T237" s="102"/>
      <c r="U237" s="102"/>
      <c r="V237" s="184"/>
    </row>
    <row r="238" spans="2:22" ht="41.25" customHeight="1">
      <c r="B238" s="147" t="str">
        <f t="shared" si="4"/>
        <v>1-230</v>
      </c>
      <c r="C238" s="100" t="s">
        <v>82</v>
      </c>
      <c r="D238" s="42" t="s">
        <v>82</v>
      </c>
      <c r="E238" s="42" t="s">
        <v>114</v>
      </c>
      <c r="F238" s="226" t="s">
        <v>119</v>
      </c>
      <c r="G238" s="227"/>
      <c r="H238" s="101"/>
      <c r="I238" s="20"/>
      <c r="J238" s="101"/>
      <c r="K238" s="101"/>
      <c r="L238" s="20"/>
      <c r="M238" s="101"/>
      <c r="N238" s="101"/>
      <c r="O238" s="20"/>
      <c r="P238" s="101"/>
      <c r="Q238" s="181"/>
      <c r="R238" s="101"/>
      <c r="S238" s="100"/>
      <c r="T238" s="102"/>
      <c r="U238" s="102"/>
      <c r="V238" s="184"/>
    </row>
    <row r="239" spans="2:22" ht="41.25" customHeight="1">
      <c r="B239" s="147" t="str">
        <f t="shared" si="4"/>
        <v>1-231</v>
      </c>
      <c r="C239" s="100" t="s">
        <v>82</v>
      </c>
      <c r="D239" s="42" t="s">
        <v>82</v>
      </c>
      <c r="E239" s="42" t="s">
        <v>115</v>
      </c>
      <c r="F239" s="226" t="s">
        <v>296</v>
      </c>
      <c r="G239" s="227"/>
      <c r="H239" s="101"/>
      <c r="I239" s="20"/>
      <c r="J239" s="101"/>
      <c r="K239" s="101"/>
      <c r="L239" s="20"/>
      <c r="M239" s="101"/>
      <c r="N239" s="101"/>
      <c r="O239" s="20"/>
      <c r="P239" s="101"/>
      <c r="Q239" s="181"/>
      <c r="R239" s="101"/>
      <c r="S239" s="100"/>
      <c r="T239" s="102"/>
      <c r="U239" s="102"/>
      <c r="V239" s="184"/>
    </row>
    <row r="240" spans="2:22" ht="41.25" customHeight="1">
      <c r="B240" s="147" t="str">
        <f t="shared" si="4"/>
        <v>1-232</v>
      </c>
      <c r="C240" s="100" t="s">
        <v>82</v>
      </c>
      <c r="D240" s="42" t="s">
        <v>82</v>
      </c>
      <c r="E240" s="42" t="s">
        <v>147</v>
      </c>
      <c r="F240" s="226" t="s">
        <v>120</v>
      </c>
      <c r="G240" s="227"/>
      <c r="H240" s="101"/>
      <c r="I240" s="20"/>
      <c r="J240" s="101"/>
      <c r="K240" s="101"/>
      <c r="L240" s="20"/>
      <c r="M240" s="101"/>
      <c r="N240" s="101"/>
      <c r="O240" s="20"/>
      <c r="P240" s="101"/>
      <c r="Q240" s="181"/>
      <c r="R240" s="101"/>
      <c r="S240" s="100"/>
      <c r="T240" s="102"/>
      <c r="U240" s="102"/>
      <c r="V240" s="184"/>
    </row>
    <row r="241" spans="2:22" ht="45" customHeight="1">
      <c r="B241" s="147" t="str">
        <f t="shared" si="4"/>
        <v>1-233</v>
      </c>
      <c r="C241" s="100" t="s">
        <v>139</v>
      </c>
      <c r="D241" s="42" t="s">
        <v>321</v>
      </c>
      <c r="E241" s="42" t="s">
        <v>320</v>
      </c>
      <c r="F241" s="226" t="s">
        <v>864</v>
      </c>
      <c r="G241" s="227"/>
      <c r="H241" s="101"/>
      <c r="I241" s="20"/>
      <c r="J241" s="101"/>
      <c r="K241" s="101"/>
      <c r="L241" s="20"/>
      <c r="M241" s="101"/>
      <c r="N241" s="101"/>
      <c r="O241" s="20"/>
      <c r="P241" s="101"/>
      <c r="Q241" s="179"/>
      <c r="R241" s="101"/>
      <c r="S241" s="100"/>
      <c r="T241" s="102"/>
      <c r="U241" s="102"/>
      <c r="V241" s="184"/>
    </row>
    <row r="242" spans="2:22" ht="45" customHeight="1">
      <c r="B242" s="147" t="str">
        <f t="shared" si="4"/>
        <v>1-234</v>
      </c>
      <c r="C242" s="100" t="s">
        <v>82</v>
      </c>
      <c r="D242" s="42" t="s">
        <v>297</v>
      </c>
      <c r="E242" s="42" t="s">
        <v>411</v>
      </c>
      <c r="F242" s="226" t="s">
        <v>480</v>
      </c>
      <c r="G242" s="227"/>
      <c r="H242" s="101"/>
      <c r="I242" s="20"/>
      <c r="J242" s="101"/>
      <c r="K242" s="101"/>
      <c r="L242" s="20"/>
      <c r="M242" s="101"/>
      <c r="N242" s="101"/>
      <c r="O242" s="20"/>
      <c r="P242" s="101"/>
      <c r="Q242" s="179"/>
      <c r="R242" s="101"/>
      <c r="S242" s="100"/>
      <c r="T242" s="102"/>
      <c r="U242" s="102"/>
      <c r="V242" s="184"/>
    </row>
    <row r="243" spans="2:22" ht="45" customHeight="1">
      <c r="B243" s="147" t="str">
        <f t="shared" si="4"/>
        <v>1-235</v>
      </c>
      <c r="C243" s="100" t="s">
        <v>100</v>
      </c>
      <c r="D243" s="42" t="s">
        <v>141</v>
      </c>
      <c r="E243" s="42" t="s">
        <v>110</v>
      </c>
      <c r="F243" s="226" t="s">
        <v>102</v>
      </c>
      <c r="G243" s="227"/>
      <c r="H243" s="179"/>
      <c r="I243" s="180"/>
      <c r="J243" s="180"/>
      <c r="K243" s="179"/>
      <c r="L243" s="180"/>
      <c r="M243" s="180"/>
      <c r="N243" s="179"/>
      <c r="O243" s="180"/>
      <c r="P243" s="180"/>
      <c r="Q243" s="179"/>
      <c r="R243" s="101"/>
      <c r="S243" s="100"/>
      <c r="T243" s="102"/>
      <c r="U243" s="102"/>
      <c r="V243" s="184"/>
    </row>
    <row r="244" spans="2:22" ht="45" customHeight="1">
      <c r="B244" s="147" t="str">
        <f t="shared" si="4"/>
        <v>1-236</v>
      </c>
      <c r="C244" s="100" t="s">
        <v>100</v>
      </c>
      <c r="D244" s="42" t="s">
        <v>142</v>
      </c>
      <c r="E244" s="42" t="s">
        <v>110</v>
      </c>
      <c r="F244" s="226" t="s">
        <v>102</v>
      </c>
      <c r="G244" s="227"/>
      <c r="H244" s="179"/>
      <c r="I244" s="180"/>
      <c r="J244" s="180"/>
      <c r="K244" s="179"/>
      <c r="L244" s="180"/>
      <c r="M244" s="180"/>
      <c r="N244" s="179"/>
      <c r="O244" s="180"/>
      <c r="P244" s="180"/>
      <c r="Q244" s="179"/>
      <c r="R244" s="101"/>
      <c r="S244" s="100"/>
      <c r="T244" s="102"/>
      <c r="U244" s="102"/>
      <c r="V244" s="184"/>
    </row>
    <row r="245" spans="2:22" ht="45" customHeight="1">
      <c r="B245" s="147" t="str">
        <f t="shared" si="4"/>
        <v>1-237</v>
      </c>
      <c r="C245" s="100" t="s">
        <v>100</v>
      </c>
      <c r="D245" s="42" t="s">
        <v>143</v>
      </c>
      <c r="E245" s="42" t="s">
        <v>110</v>
      </c>
      <c r="F245" s="226" t="s">
        <v>604</v>
      </c>
      <c r="G245" s="227"/>
      <c r="H245" s="101"/>
      <c r="I245" s="20"/>
      <c r="J245" s="101"/>
      <c r="K245" s="101"/>
      <c r="L245" s="20"/>
      <c r="M245" s="101"/>
      <c r="N245" s="101"/>
      <c r="O245" s="20"/>
      <c r="P245" s="101"/>
      <c r="Q245" s="101"/>
      <c r="R245" s="101"/>
      <c r="S245" s="100"/>
      <c r="T245" s="102"/>
      <c r="U245" s="102"/>
      <c r="V245" s="184"/>
    </row>
    <row r="246" spans="2:22" ht="117" customHeight="1">
      <c r="B246" s="147" t="str">
        <f t="shared" si="4"/>
        <v>1-238</v>
      </c>
      <c r="C246" s="18" t="s">
        <v>129</v>
      </c>
      <c r="D246" s="18" t="s">
        <v>130</v>
      </c>
      <c r="E246" s="42" t="s">
        <v>128</v>
      </c>
      <c r="F246" s="226" t="s">
        <v>131</v>
      </c>
      <c r="G246" s="227"/>
      <c r="H246" s="101"/>
      <c r="I246" s="20"/>
      <c r="J246" s="101"/>
      <c r="K246" s="101"/>
      <c r="L246" s="20"/>
      <c r="M246" s="101"/>
      <c r="N246" s="101"/>
      <c r="O246" s="20"/>
      <c r="P246" s="101"/>
      <c r="Q246" s="183"/>
      <c r="R246" s="122"/>
      <c r="S246" s="100"/>
      <c r="T246" s="102"/>
      <c r="U246" s="102"/>
      <c r="V246" s="184"/>
    </row>
    <row r="247" spans="2:22" ht="129" customHeight="1">
      <c r="B247" s="147" t="str">
        <f t="shared" si="4"/>
        <v>1-239</v>
      </c>
      <c r="C247" s="18" t="s">
        <v>140</v>
      </c>
      <c r="D247" s="18" t="s">
        <v>140</v>
      </c>
      <c r="E247" s="42" t="s">
        <v>128</v>
      </c>
      <c r="F247" s="226" t="s">
        <v>101</v>
      </c>
      <c r="G247" s="227"/>
      <c r="H247" s="101"/>
      <c r="I247" s="20"/>
      <c r="J247" s="101"/>
      <c r="K247" s="101"/>
      <c r="L247" s="20"/>
      <c r="M247" s="101"/>
      <c r="N247" s="101"/>
      <c r="O247" s="20"/>
      <c r="P247" s="101"/>
      <c r="Q247" s="183"/>
      <c r="R247" s="122"/>
      <c r="S247" s="100"/>
      <c r="T247" s="102"/>
      <c r="U247" s="102"/>
      <c r="V247" s="184"/>
    </row>
    <row r="248" spans="2:22" ht="111" customHeight="1">
      <c r="B248" s="147" t="str">
        <f t="shared" si="4"/>
        <v>1-240</v>
      </c>
      <c r="C248" s="18" t="s">
        <v>140</v>
      </c>
      <c r="D248" s="18" t="s">
        <v>150</v>
      </c>
      <c r="E248" s="42" t="s">
        <v>128</v>
      </c>
      <c r="F248" s="226" t="s">
        <v>151</v>
      </c>
      <c r="G248" s="227"/>
      <c r="H248" s="101"/>
      <c r="I248" s="20"/>
      <c r="J248" s="101"/>
      <c r="K248" s="101"/>
      <c r="L248" s="20"/>
      <c r="M248" s="101"/>
      <c r="N248" s="101"/>
      <c r="O248" s="20"/>
      <c r="P248" s="101"/>
      <c r="Q248" s="183"/>
      <c r="R248" s="122"/>
      <c r="S248" s="100"/>
      <c r="T248" s="102"/>
      <c r="U248" s="102"/>
      <c r="V248" s="184"/>
    </row>
    <row r="249" spans="2:22" ht="111" customHeight="1">
      <c r="B249" s="147" t="str">
        <f t="shared" si="4"/>
        <v>1-241</v>
      </c>
      <c r="C249" s="18" t="s">
        <v>140</v>
      </c>
      <c r="D249" s="18" t="s">
        <v>140</v>
      </c>
      <c r="E249" s="42" t="s">
        <v>128</v>
      </c>
      <c r="F249" s="226" t="s">
        <v>132</v>
      </c>
      <c r="G249" s="227"/>
      <c r="H249" s="101"/>
      <c r="I249" s="20"/>
      <c r="J249" s="101"/>
      <c r="K249" s="101"/>
      <c r="L249" s="20"/>
      <c r="M249" s="101"/>
      <c r="N249" s="101"/>
      <c r="O249" s="20"/>
      <c r="P249" s="101"/>
      <c r="Q249" s="183"/>
      <c r="R249" s="122"/>
      <c r="S249" s="100"/>
      <c r="T249" s="102"/>
      <c r="U249" s="102"/>
      <c r="V249" s="184"/>
    </row>
    <row r="250" spans="2:22" ht="102" customHeight="1">
      <c r="B250" s="147" t="str">
        <f t="shared" si="4"/>
        <v>1-242</v>
      </c>
      <c r="C250" s="18" t="s">
        <v>140</v>
      </c>
      <c r="D250" s="18" t="s">
        <v>152</v>
      </c>
      <c r="E250" s="42" t="s">
        <v>128</v>
      </c>
      <c r="F250" s="226" t="s">
        <v>153</v>
      </c>
      <c r="G250" s="227"/>
      <c r="H250" s="101"/>
      <c r="I250" s="20"/>
      <c r="J250" s="101"/>
      <c r="K250" s="101"/>
      <c r="L250" s="20"/>
      <c r="M250" s="101"/>
      <c r="N250" s="101"/>
      <c r="O250" s="20"/>
      <c r="P250" s="101"/>
      <c r="Q250" s="183"/>
      <c r="R250" s="122"/>
      <c r="S250" s="100"/>
      <c r="T250" s="102"/>
      <c r="U250" s="102"/>
      <c r="V250" s="184"/>
    </row>
    <row r="251" spans="2:22" ht="102" customHeight="1">
      <c r="B251" s="147" t="str">
        <f t="shared" si="4"/>
        <v>1-243</v>
      </c>
      <c r="C251" s="18" t="s">
        <v>140</v>
      </c>
      <c r="D251" s="18" t="s">
        <v>140</v>
      </c>
      <c r="E251" s="42" t="s">
        <v>128</v>
      </c>
      <c r="F251" s="226" t="s">
        <v>132</v>
      </c>
      <c r="G251" s="227"/>
      <c r="H251" s="101"/>
      <c r="I251" s="20"/>
      <c r="J251" s="101"/>
      <c r="K251" s="101"/>
      <c r="L251" s="20"/>
      <c r="M251" s="101"/>
      <c r="N251" s="101"/>
      <c r="O251" s="20"/>
      <c r="P251" s="101"/>
      <c r="Q251" s="183"/>
      <c r="R251" s="122"/>
      <c r="S251" s="100"/>
      <c r="T251" s="102"/>
      <c r="U251" s="102"/>
      <c r="V251" s="184"/>
    </row>
    <row r="252" spans="2:22" ht="34.5" customHeight="1">
      <c r="B252" s="147" t="str">
        <f t="shared" ref="B252" si="5">"1-"&amp;ROW()-8</f>
        <v>1-244</v>
      </c>
      <c r="C252" s="18" t="s">
        <v>488</v>
      </c>
      <c r="D252" s="18" t="s">
        <v>140</v>
      </c>
      <c r="E252" s="18" t="s">
        <v>489</v>
      </c>
      <c r="F252" s="226" t="s">
        <v>490</v>
      </c>
      <c r="G252" s="227"/>
      <c r="H252" s="101"/>
      <c r="I252" s="20"/>
      <c r="J252" s="101"/>
      <c r="K252" s="101"/>
      <c r="L252" s="20"/>
      <c r="M252" s="101"/>
      <c r="N252" s="101"/>
      <c r="O252" s="20"/>
      <c r="P252" s="101"/>
      <c r="Q252" s="101"/>
      <c r="R252" s="122"/>
      <c r="S252" s="100"/>
      <c r="T252" s="102"/>
      <c r="U252" s="102"/>
      <c r="V252" s="184"/>
    </row>
    <row r="253" spans="2:22" ht="34.5" customHeight="1">
      <c r="B253" s="147" t="str">
        <f>"1-"&amp;ROW()-8</f>
        <v>1-245</v>
      </c>
      <c r="C253" s="18" t="s">
        <v>133</v>
      </c>
      <c r="D253" s="18" t="s">
        <v>134</v>
      </c>
      <c r="E253" s="42" t="s">
        <v>484</v>
      </c>
      <c r="F253" s="226" t="s">
        <v>135</v>
      </c>
      <c r="G253" s="227"/>
      <c r="H253" s="101"/>
      <c r="I253" s="20"/>
      <c r="J253" s="101"/>
      <c r="K253" s="101"/>
      <c r="L253" s="20"/>
      <c r="M253" s="101"/>
      <c r="N253" s="101"/>
      <c r="O253" s="20"/>
      <c r="P253" s="101"/>
      <c r="Q253" s="183"/>
      <c r="R253" s="122"/>
      <c r="S253" s="100"/>
      <c r="T253" s="102"/>
      <c r="U253" s="102"/>
      <c r="V253" s="184"/>
    </row>
    <row r="254" spans="2:22" ht="34.5" customHeight="1">
      <c r="B254" s="147" t="str">
        <f>"1-"&amp;ROW()-8</f>
        <v>1-246</v>
      </c>
      <c r="C254" s="100" t="s">
        <v>100</v>
      </c>
      <c r="D254" s="18" t="s">
        <v>136</v>
      </c>
      <c r="E254" s="42" t="s">
        <v>485</v>
      </c>
      <c r="F254" s="226" t="s">
        <v>135</v>
      </c>
      <c r="G254" s="227"/>
      <c r="H254" s="101"/>
      <c r="I254" s="20"/>
      <c r="J254" s="101"/>
      <c r="K254" s="101"/>
      <c r="L254" s="20"/>
      <c r="M254" s="101"/>
      <c r="N254" s="101"/>
      <c r="O254" s="20"/>
      <c r="P254" s="101"/>
      <c r="Q254" s="183"/>
      <c r="R254" s="122"/>
      <c r="S254" s="100"/>
      <c r="T254" s="102"/>
      <c r="U254" s="102"/>
      <c r="V254" s="184"/>
    </row>
    <row r="255" spans="2:22" s="15" customFormat="1" ht="34.5" customHeight="1">
      <c r="B255" s="147" t="str">
        <f>"1-"&amp;ROW()-8</f>
        <v>1-247</v>
      </c>
      <c r="C255" s="100" t="s">
        <v>100</v>
      </c>
      <c r="D255" s="18" t="s">
        <v>137</v>
      </c>
      <c r="E255" s="42" t="s">
        <v>850</v>
      </c>
      <c r="F255" s="226" t="s">
        <v>851</v>
      </c>
      <c r="G255" s="227"/>
      <c r="H255" s="101"/>
      <c r="I255" s="20"/>
      <c r="J255" s="101"/>
      <c r="K255" s="101"/>
      <c r="L255" s="20"/>
      <c r="M255" s="101"/>
      <c r="N255" s="101"/>
      <c r="O255" s="20"/>
      <c r="P255" s="101"/>
      <c r="Q255" s="101"/>
      <c r="R255" s="122"/>
      <c r="S255" s="100"/>
      <c r="T255" s="102"/>
      <c r="U255" s="102"/>
      <c r="V255" s="184"/>
    </row>
    <row r="256" spans="2:22" ht="34.5" customHeight="1">
      <c r="B256" s="147" t="str">
        <f>"1-"&amp;ROW()-8</f>
        <v>1-248</v>
      </c>
      <c r="C256" s="100" t="s">
        <v>100</v>
      </c>
      <c r="D256" s="18" t="s">
        <v>848</v>
      </c>
      <c r="E256" s="42" t="s">
        <v>849</v>
      </c>
      <c r="F256" s="226" t="s">
        <v>138</v>
      </c>
      <c r="G256" s="227"/>
      <c r="H256" s="101"/>
      <c r="I256" s="20"/>
      <c r="J256" s="101"/>
      <c r="K256" s="101"/>
      <c r="L256" s="20"/>
      <c r="M256" s="101"/>
      <c r="N256" s="101"/>
      <c r="O256" s="20"/>
      <c r="P256" s="101"/>
      <c r="Q256" s="122"/>
      <c r="R256" s="122"/>
      <c r="S256" s="100"/>
      <c r="T256" s="102"/>
      <c r="U256" s="102"/>
      <c r="V256" s="184"/>
    </row>
    <row r="257" spans="2:22">
      <c r="H257" s="185"/>
      <c r="I257" s="185"/>
      <c r="J257" s="185"/>
      <c r="K257" s="185"/>
      <c r="L257" s="27"/>
      <c r="M257" s="15"/>
      <c r="N257" s="15"/>
      <c r="O257" s="15"/>
      <c r="P257" s="15"/>
      <c r="Q257" s="185"/>
      <c r="R257" s="15"/>
      <c r="S257" s="15"/>
      <c r="T257" s="15"/>
      <c r="U257" s="15"/>
      <c r="V257" s="98"/>
    </row>
    <row r="258" spans="2:22">
      <c r="B258" s="2" t="s">
        <v>271</v>
      </c>
      <c r="C258" s="99" t="s">
        <v>492</v>
      </c>
    </row>
    <row r="259" spans="2:22" ht="13.5" customHeight="1">
      <c r="B259" s="238" t="s">
        <v>4</v>
      </c>
      <c r="C259" s="240" t="s">
        <v>5</v>
      </c>
      <c r="D259" s="242" t="s">
        <v>79</v>
      </c>
      <c r="E259" s="242" t="s">
        <v>6</v>
      </c>
      <c r="F259" s="244" t="s">
        <v>7</v>
      </c>
      <c r="G259" s="245"/>
      <c r="H259" s="236" t="s">
        <v>90</v>
      </c>
      <c r="I259" s="236"/>
      <c r="J259" s="236"/>
      <c r="K259" s="236" t="s">
        <v>83</v>
      </c>
      <c r="L259" s="236"/>
      <c r="M259" s="236"/>
      <c r="N259" s="236" t="s">
        <v>84</v>
      </c>
      <c r="O259" s="236"/>
      <c r="P259" s="236"/>
      <c r="Q259" s="242" t="s">
        <v>824</v>
      </c>
      <c r="R259" s="242" t="s">
        <v>78</v>
      </c>
      <c r="S259" s="237" t="s">
        <v>14</v>
      </c>
      <c r="T259" s="237"/>
      <c r="U259" s="237"/>
    </row>
    <row r="260" spans="2:22">
      <c r="B260" s="239"/>
      <c r="C260" s="241"/>
      <c r="D260" s="243"/>
      <c r="E260" s="243"/>
      <c r="F260" s="246"/>
      <c r="G260" s="247"/>
      <c r="H260" s="125" t="s">
        <v>8</v>
      </c>
      <c r="I260" s="125" t="s">
        <v>9</v>
      </c>
      <c r="J260" s="125" t="s">
        <v>10</v>
      </c>
      <c r="K260" s="125" t="s">
        <v>8</v>
      </c>
      <c r="L260" s="125" t="s">
        <v>9</v>
      </c>
      <c r="M260" s="125" t="s">
        <v>10</v>
      </c>
      <c r="N260" s="125" t="s">
        <v>8</v>
      </c>
      <c r="O260" s="125" t="s">
        <v>9</v>
      </c>
      <c r="P260" s="125" t="s">
        <v>10</v>
      </c>
      <c r="Q260" s="241"/>
      <c r="R260" s="241"/>
      <c r="S260" s="93"/>
      <c r="T260" s="94"/>
      <c r="U260" s="95"/>
    </row>
    <row r="261" spans="2:22" ht="35.450000000000003" customHeight="1">
      <c r="B261" s="147" t="str">
        <f t="shared" ref="B261:B284" si="6">"2-"&amp;ROW()-267</f>
        <v>2--6</v>
      </c>
      <c r="C261" s="100" t="s">
        <v>194</v>
      </c>
      <c r="D261" s="42" t="s">
        <v>192</v>
      </c>
      <c r="E261" s="42" t="s">
        <v>62</v>
      </c>
      <c r="F261" s="226" t="s">
        <v>93</v>
      </c>
      <c r="G261" s="227"/>
      <c r="H261" s="120"/>
      <c r="I261" s="121"/>
      <c r="J261" s="101"/>
      <c r="K261" s="120"/>
      <c r="L261" s="121"/>
      <c r="M261" s="101"/>
      <c r="N261" s="120"/>
      <c r="O261" s="121"/>
      <c r="P261" s="101"/>
      <c r="Q261" s="101"/>
      <c r="R261" s="101"/>
      <c r="S261" s="100"/>
      <c r="T261" s="102"/>
      <c r="U261" s="102"/>
    </row>
    <row r="262" spans="2:22" ht="35.450000000000003" customHeight="1">
      <c r="B262" s="147" t="str">
        <f t="shared" si="6"/>
        <v>2--5</v>
      </c>
      <c r="C262" s="100" t="s">
        <v>82</v>
      </c>
      <c r="D262" s="42" t="s">
        <v>192</v>
      </c>
      <c r="E262" s="42" t="s">
        <v>110</v>
      </c>
      <c r="F262" s="226" t="s">
        <v>91</v>
      </c>
      <c r="G262" s="227"/>
      <c r="H262" s="120"/>
      <c r="I262" s="121"/>
      <c r="J262" s="101"/>
      <c r="K262" s="120"/>
      <c r="L262" s="121"/>
      <c r="M262" s="101"/>
      <c r="N262" s="120"/>
      <c r="O262" s="121"/>
      <c r="P262" s="101"/>
      <c r="Q262" s="101"/>
      <c r="R262" s="101"/>
      <c r="S262" s="100"/>
      <c r="T262" s="102"/>
      <c r="U262" s="102"/>
    </row>
    <row r="263" spans="2:22" ht="35.450000000000003" customHeight="1">
      <c r="B263" s="147" t="str">
        <f t="shared" si="6"/>
        <v>2--4</v>
      </c>
      <c r="C263" s="100" t="s">
        <v>199</v>
      </c>
      <c r="D263" s="42" t="s">
        <v>196</v>
      </c>
      <c r="E263" s="42" t="s">
        <v>203</v>
      </c>
      <c r="F263" s="226" t="s">
        <v>202</v>
      </c>
      <c r="G263" s="227"/>
      <c r="H263" s="120"/>
      <c r="I263" s="121"/>
      <c r="J263" s="101"/>
      <c r="K263" s="120"/>
      <c r="L263" s="121"/>
      <c r="M263" s="101"/>
      <c r="N263" s="120"/>
      <c r="O263" s="121"/>
      <c r="P263" s="101"/>
      <c r="Q263" s="101"/>
      <c r="R263" s="101"/>
      <c r="S263" s="100"/>
      <c r="T263" s="102"/>
      <c r="U263" s="102"/>
    </row>
    <row r="264" spans="2:22" ht="35.450000000000003" customHeight="1">
      <c r="B264" s="147" t="str">
        <f t="shared" si="6"/>
        <v>2--3</v>
      </c>
      <c r="C264" s="100" t="s">
        <v>82</v>
      </c>
      <c r="D264" s="42" t="s">
        <v>82</v>
      </c>
      <c r="E264" s="42" t="s">
        <v>204</v>
      </c>
      <c r="F264" s="123" t="s">
        <v>205</v>
      </c>
      <c r="G264" s="124"/>
      <c r="H264" s="120"/>
      <c r="I264" s="121"/>
      <c r="J264" s="101"/>
      <c r="K264" s="120"/>
      <c r="L264" s="121"/>
      <c r="M264" s="101"/>
      <c r="N264" s="120"/>
      <c r="O264" s="121"/>
      <c r="P264" s="101"/>
      <c r="Q264" s="170"/>
      <c r="R264" s="101"/>
      <c r="S264" s="100"/>
      <c r="T264" s="102"/>
      <c r="U264" s="102"/>
    </row>
    <row r="265" spans="2:22" ht="35.450000000000003" customHeight="1">
      <c r="B265" s="147" t="str">
        <f t="shared" si="6"/>
        <v>2--2</v>
      </c>
      <c r="C265" s="100" t="s">
        <v>82</v>
      </c>
      <c r="D265" s="42" t="s">
        <v>206</v>
      </c>
      <c r="E265" s="42" t="s">
        <v>195</v>
      </c>
      <c r="F265" s="226" t="s">
        <v>200</v>
      </c>
      <c r="G265" s="227"/>
      <c r="H265" s="120"/>
      <c r="I265" s="121"/>
      <c r="J265" s="101"/>
      <c r="K265" s="120"/>
      <c r="L265" s="121"/>
      <c r="M265" s="101"/>
      <c r="N265" s="120"/>
      <c r="O265" s="121"/>
      <c r="P265" s="101"/>
      <c r="Q265" s="170"/>
      <c r="R265" s="101"/>
      <c r="S265" s="100"/>
      <c r="T265" s="102"/>
      <c r="U265" s="102"/>
    </row>
    <row r="266" spans="2:22" ht="35.450000000000003" customHeight="1">
      <c r="B266" s="147" t="str">
        <f t="shared" si="6"/>
        <v>2--1</v>
      </c>
      <c r="C266" s="100" t="s">
        <v>82</v>
      </c>
      <c r="D266" s="42" t="s">
        <v>82</v>
      </c>
      <c r="E266" s="42" t="s">
        <v>201</v>
      </c>
      <c r="F266" s="226" t="s">
        <v>200</v>
      </c>
      <c r="G266" s="227"/>
      <c r="H266" s="120"/>
      <c r="I266" s="121"/>
      <c r="J266" s="101"/>
      <c r="K266" s="120"/>
      <c r="L266" s="121"/>
      <c r="M266" s="101"/>
      <c r="N266" s="120"/>
      <c r="O266" s="121"/>
      <c r="P266" s="101"/>
      <c r="Q266" s="170"/>
      <c r="R266" s="101"/>
      <c r="S266" s="100"/>
      <c r="T266" s="102"/>
      <c r="U266" s="102"/>
    </row>
    <row r="267" spans="2:22" ht="35.450000000000003" customHeight="1">
      <c r="B267" s="147" t="str">
        <f t="shared" si="6"/>
        <v>2-0</v>
      </c>
      <c r="C267" s="100" t="s">
        <v>82</v>
      </c>
      <c r="D267" s="42" t="s">
        <v>207</v>
      </c>
      <c r="E267" s="42" t="s">
        <v>195</v>
      </c>
      <c r="F267" s="226" t="s">
        <v>208</v>
      </c>
      <c r="G267" s="227"/>
      <c r="H267" s="120"/>
      <c r="I267" s="121"/>
      <c r="J267" s="101"/>
      <c r="K267" s="120"/>
      <c r="L267" s="121"/>
      <c r="M267" s="101"/>
      <c r="N267" s="120"/>
      <c r="O267" s="121"/>
      <c r="P267" s="101"/>
      <c r="Q267" s="170"/>
      <c r="R267" s="101"/>
      <c r="S267" s="100"/>
      <c r="T267" s="102"/>
      <c r="U267" s="102"/>
    </row>
    <row r="268" spans="2:22" ht="35.450000000000003" customHeight="1">
      <c r="B268" s="147" t="str">
        <f t="shared" si="6"/>
        <v>2-1</v>
      </c>
      <c r="C268" s="100" t="s">
        <v>82</v>
      </c>
      <c r="D268" s="42" t="s">
        <v>82</v>
      </c>
      <c r="E268" s="42" t="s">
        <v>201</v>
      </c>
      <c r="F268" s="226" t="s">
        <v>208</v>
      </c>
      <c r="G268" s="227"/>
      <c r="H268" s="120"/>
      <c r="I268" s="121"/>
      <c r="J268" s="101"/>
      <c r="K268" s="120"/>
      <c r="L268" s="121"/>
      <c r="M268" s="101"/>
      <c r="N268" s="120"/>
      <c r="O268" s="121"/>
      <c r="P268" s="101"/>
      <c r="Q268" s="170"/>
      <c r="R268" s="101"/>
      <c r="S268" s="100"/>
      <c r="T268" s="102"/>
      <c r="U268" s="102"/>
    </row>
    <row r="269" spans="2:22" ht="35.450000000000003" customHeight="1">
      <c r="B269" s="147" t="str">
        <f t="shared" si="6"/>
        <v>2-2</v>
      </c>
      <c r="C269" s="100" t="s">
        <v>195</v>
      </c>
      <c r="D269" s="42" t="s">
        <v>197</v>
      </c>
      <c r="E269" s="42" t="s">
        <v>209</v>
      </c>
      <c r="F269" s="226" t="s">
        <v>198</v>
      </c>
      <c r="G269" s="227"/>
      <c r="H269" s="120"/>
      <c r="I269" s="121"/>
      <c r="J269" s="101"/>
      <c r="K269" s="120"/>
      <c r="L269" s="121"/>
      <c r="M269" s="101"/>
      <c r="N269" s="120"/>
      <c r="O269" s="121"/>
      <c r="P269" s="101"/>
      <c r="Q269" s="170"/>
      <c r="R269" s="101"/>
      <c r="S269" s="100"/>
      <c r="T269" s="102"/>
      <c r="U269" s="102"/>
    </row>
    <row r="270" spans="2:22" ht="35.450000000000003" customHeight="1">
      <c r="B270" s="147" t="str">
        <f t="shared" si="6"/>
        <v>2-3</v>
      </c>
      <c r="C270" s="100" t="s">
        <v>82</v>
      </c>
      <c r="D270" s="42" t="s">
        <v>82</v>
      </c>
      <c r="E270" s="42" t="s">
        <v>195</v>
      </c>
      <c r="F270" s="226" t="s">
        <v>208</v>
      </c>
      <c r="G270" s="227"/>
      <c r="H270" s="120"/>
      <c r="I270" s="121"/>
      <c r="J270" s="101"/>
      <c r="K270" s="120"/>
      <c r="L270" s="121"/>
      <c r="M270" s="101"/>
      <c r="N270" s="120"/>
      <c r="O270" s="121"/>
      <c r="P270" s="101"/>
      <c r="Q270" s="170"/>
      <c r="R270" s="101"/>
      <c r="S270" s="100"/>
      <c r="T270" s="102"/>
      <c r="U270" s="102"/>
    </row>
    <row r="271" spans="2:22" ht="35.450000000000003" customHeight="1">
      <c r="B271" s="147" t="str">
        <f t="shared" si="6"/>
        <v>2-4</v>
      </c>
      <c r="C271" s="100" t="s">
        <v>82</v>
      </c>
      <c r="D271" s="42" t="s">
        <v>82</v>
      </c>
      <c r="E271" s="42" t="s">
        <v>201</v>
      </c>
      <c r="F271" s="226" t="s">
        <v>208</v>
      </c>
      <c r="G271" s="227"/>
      <c r="H271" s="120"/>
      <c r="I271" s="121"/>
      <c r="J271" s="101"/>
      <c r="K271" s="120"/>
      <c r="L271" s="121"/>
      <c r="M271" s="101"/>
      <c r="N271" s="120"/>
      <c r="O271" s="121"/>
      <c r="P271" s="101"/>
      <c r="Q271" s="170"/>
      <c r="R271" s="101"/>
      <c r="S271" s="100"/>
      <c r="T271" s="102"/>
      <c r="U271" s="102"/>
    </row>
    <row r="272" spans="2:22" ht="35.450000000000003" customHeight="1">
      <c r="B272" s="147" t="str">
        <f t="shared" si="6"/>
        <v>2-5</v>
      </c>
      <c r="C272" s="100" t="s">
        <v>201</v>
      </c>
      <c r="D272" s="42" t="s">
        <v>382</v>
      </c>
      <c r="E272" s="42" t="s">
        <v>491</v>
      </c>
      <c r="F272" s="226" t="s">
        <v>210</v>
      </c>
      <c r="G272" s="227"/>
      <c r="H272" s="120"/>
      <c r="I272" s="121"/>
      <c r="J272" s="101"/>
      <c r="K272" s="120"/>
      <c r="L272" s="121"/>
      <c r="M272" s="101"/>
      <c r="N272" s="120"/>
      <c r="O272" s="121"/>
      <c r="P272" s="101"/>
      <c r="Q272" s="170"/>
      <c r="R272" s="101"/>
      <c r="S272" s="100"/>
      <c r="T272" s="102"/>
      <c r="U272" s="102"/>
    </row>
    <row r="273" spans="1:22" ht="35.450000000000003" customHeight="1">
      <c r="B273" s="147" t="str">
        <f t="shared" si="6"/>
        <v>2-6</v>
      </c>
      <c r="C273" s="100" t="s">
        <v>82</v>
      </c>
      <c r="D273" s="42" t="s">
        <v>627</v>
      </c>
      <c r="E273" s="42" t="s">
        <v>211</v>
      </c>
      <c r="F273" s="226" t="s">
        <v>212</v>
      </c>
      <c r="G273" s="227"/>
      <c r="H273" s="120"/>
      <c r="I273" s="121"/>
      <c r="J273" s="101"/>
      <c r="K273" s="120"/>
      <c r="L273" s="121"/>
      <c r="M273" s="101"/>
      <c r="N273" s="120"/>
      <c r="O273" s="121"/>
      <c r="P273" s="101"/>
      <c r="Q273" s="101"/>
      <c r="R273" s="101"/>
      <c r="S273" s="100"/>
      <c r="T273" s="102"/>
      <c r="U273" s="102"/>
    </row>
    <row r="274" spans="1:22" ht="35.450000000000003" customHeight="1">
      <c r="B274" s="147" t="str">
        <f t="shared" si="6"/>
        <v>2-7</v>
      </c>
      <c r="C274" s="100" t="s">
        <v>82</v>
      </c>
      <c r="D274" s="42" t="s">
        <v>82</v>
      </c>
      <c r="E274" s="42" t="s">
        <v>214</v>
      </c>
      <c r="F274" s="226" t="s">
        <v>215</v>
      </c>
      <c r="G274" s="227"/>
      <c r="H274" s="120"/>
      <c r="I274" s="121"/>
      <c r="J274" s="101"/>
      <c r="K274" s="120"/>
      <c r="L274" s="121"/>
      <c r="M274" s="101"/>
      <c r="N274" s="120"/>
      <c r="O274" s="121"/>
      <c r="P274" s="101"/>
      <c r="Q274" s="101"/>
      <c r="R274" s="101"/>
      <c r="S274" s="100"/>
      <c r="T274" s="102"/>
      <c r="U274" s="102"/>
    </row>
    <row r="275" spans="1:22" ht="35.450000000000003" customHeight="1">
      <c r="B275" s="147" t="str">
        <f t="shared" si="6"/>
        <v>2-8</v>
      </c>
      <c r="C275" s="100" t="s">
        <v>82</v>
      </c>
      <c r="D275" s="42" t="s">
        <v>82</v>
      </c>
      <c r="E275" s="42" t="s">
        <v>217</v>
      </c>
      <c r="F275" s="226" t="s">
        <v>216</v>
      </c>
      <c r="G275" s="227"/>
      <c r="H275" s="120"/>
      <c r="I275" s="121"/>
      <c r="J275" s="101"/>
      <c r="K275" s="120"/>
      <c r="L275" s="121"/>
      <c r="M275" s="101"/>
      <c r="N275" s="120"/>
      <c r="O275" s="121"/>
      <c r="P275" s="101"/>
      <c r="Q275" s="101"/>
      <c r="R275" s="101"/>
      <c r="S275" s="100"/>
      <c r="T275" s="102"/>
      <c r="U275" s="102"/>
    </row>
    <row r="276" spans="1:22" ht="35.450000000000003" customHeight="1">
      <c r="B276" s="147" t="str">
        <f t="shared" si="6"/>
        <v>2-9</v>
      </c>
      <c r="C276" s="100" t="s">
        <v>82</v>
      </c>
      <c r="D276" s="42" t="s">
        <v>82</v>
      </c>
      <c r="E276" s="42" t="s">
        <v>82</v>
      </c>
      <c r="F276" s="226" t="s">
        <v>826</v>
      </c>
      <c r="G276" s="227"/>
      <c r="H276" s="120"/>
      <c r="I276" s="121"/>
      <c r="J276" s="101"/>
      <c r="K276" s="120"/>
      <c r="L276" s="121"/>
      <c r="M276" s="101"/>
      <c r="N276" s="120"/>
      <c r="O276" s="121"/>
      <c r="P276" s="101"/>
      <c r="Q276" s="101"/>
      <c r="R276" s="101"/>
      <c r="S276" s="100"/>
      <c r="T276" s="102"/>
      <c r="U276" s="102"/>
    </row>
    <row r="277" spans="1:22" ht="35.450000000000003" customHeight="1">
      <c r="B277" s="147" t="str">
        <f t="shared" si="6"/>
        <v>2-10</v>
      </c>
      <c r="C277" s="100" t="s">
        <v>213</v>
      </c>
      <c r="D277" s="42" t="s">
        <v>197</v>
      </c>
      <c r="E277" s="42" t="s">
        <v>491</v>
      </c>
      <c r="F277" s="226" t="s">
        <v>210</v>
      </c>
      <c r="G277" s="227"/>
      <c r="H277" s="120"/>
      <c r="I277" s="121"/>
      <c r="J277" s="101"/>
      <c r="K277" s="120"/>
      <c r="L277" s="121"/>
      <c r="M277" s="101"/>
      <c r="N277" s="120"/>
      <c r="O277" s="121"/>
      <c r="P277" s="101"/>
      <c r="Q277" s="170"/>
      <c r="R277" s="101"/>
      <c r="S277" s="100"/>
      <c r="T277" s="102"/>
      <c r="U277" s="102"/>
    </row>
    <row r="278" spans="1:22" ht="35.450000000000003" customHeight="1">
      <c r="B278" s="147" t="str">
        <f t="shared" si="6"/>
        <v>2-11</v>
      </c>
      <c r="C278" s="100" t="s">
        <v>82</v>
      </c>
      <c r="D278" s="42" t="s">
        <v>627</v>
      </c>
      <c r="E278" s="42" t="s">
        <v>211</v>
      </c>
      <c r="F278" s="226" t="s">
        <v>493</v>
      </c>
      <c r="G278" s="227"/>
      <c r="H278" s="120"/>
      <c r="I278" s="121"/>
      <c r="J278" s="101"/>
      <c r="K278" s="120"/>
      <c r="L278" s="121"/>
      <c r="M278" s="101"/>
      <c r="N278" s="120"/>
      <c r="O278" s="121"/>
      <c r="P278" s="101"/>
      <c r="Q278" s="101"/>
      <c r="R278" s="101"/>
      <c r="S278" s="100"/>
      <c r="T278" s="102"/>
      <c r="U278" s="102"/>
    </row>
    <row r="279" spans="1:22" ht="34.5" customHeight="1">
      <c r="A279" s="15"/>
      <c r="B279" s="147" t="str">
        <f t="shared" si="6"/>
        <v>2-12</v>
      </c>
      <c r="C279" s="18" t="s">
        <v>129</v>
      </c>
      <c r="D279" s="18" t="s">
        <v>130</v>
      </c>
      <c r="E279" s="42" t="s">
        <v>128</v>
      </c>
      <c r="F279" s="228" t="s">
        <v>131</v>
      </c>
      <c r="G279" s="229"/>
      <c r="H279" s="120"/>
      <c r="I279" s="121"/>
      <c r="J279" s="101"/>
      <c r="K279" s="120"/>
      <c r="L279" s="121"/>
      <c r="M279" s="101"/>
      <c r="N279" s="120"/>
      <c r="O279" s="20"/>
      <c r="P279" s="101"/>
      <c r="Q279" s="101"/>
      <c r="R279" s="122"/>
      <c r="S279" s="114"/>
      <c r="T279" s="102"/>
      <c r="U279" s="102"/>
      <c r="V279" s="184"/>
    </row>
    <row r="280" spans="1:22" ht="34.5" customHeight="1">
      <c r="A280" s="15"/>
      <c r="B280" s="147" t="str">
        <f t="shared" si="6"/>
        <v>2-13</v>
      </c>
      <c r="C280" s="18" t="s">
        <v>140</v>
      </c>
      <c r="D280" s="18" t="s">
        <v>140</v>
      </c>
      <c r="E280" s="42" t="s">
        <v>128</v>
      </c>
      <c r="F280" s="228" t="s">
        <v>132</v>
      </c>
      <c r="G280" s="229"/>
      <c r="H280" s="120"/>
      <c r="I280" s="121"/>
      <c r="J280" s="101"/>
      <c r="K280" s="120"/>
      <c r="L280" s="121"/>
      <c r="M280" s="101"/>
      <c r="N280" s="120"/>
      <c r="O280" s="20"/>
      <c r="P280" s="101"/>
      <c r="Q280" s="101"/>
      <c r="R280" s="122"/>
      <c r="S280" s="114"/>
      <c r="T280" s="102"/>
      <c r="U280" s="102"/>
      <c r="V280" s="184"/>
    </row>
    <row r="281" spans="1:22" ht="34.5" customHeight="1">
      <c r="A281" s="15"/>
      <c r="B281" s="147" t="str">
        <f t="shared" si="6"/>
        <v>2-14</v>
      </c>
      <c r="C281" s="18" t="s">
        <v>140</v>
      </c>
      <c r="D281" s="18" t="s">
        <v>150</v>
      </c>
      <c r="E281" s="42" t="s">
        <v>128</v>
      </c>
      <c r="F281" s="228" t="s">
        <v>151</v>
      </c>
      <c r="G281" s="229"/>
      <c r="H281" s="120"/>
      <c r="I281" s="121"/>
      <c r="J281" s="101"/>
      <c r="K281" s="120"/>
      <c r="L281" s="121"/>
      <c r="M281" s="101"/>
      <c r="N281" s="120"/>
      <c r="O281" s="20"/>
      <c r="P281" s="101"/>
      <c r="Q281" s="101"/>
      <c r="R281" s="122"/>
      <c r="S281" s="114"/>
      <c r="T281" s="102"/>
      <c r="U281" s="102"/>
      <c r="V281" s="184"/>
    </row>
    <row r="282" spans="1:22" ht="34.5" customHeight="1">
      <c r="A282" s="15"/>
      <c r="B282" s="147" t="str">
        <f t="shared" si="6"/>
        <v>2-15</v>
      </c>
      <c r="C282" s="18" t="s">
        <v>140</v>
      </c>
      <c r="D282" s="18" t="s">
        <v>140</v>
      </c>
      <c r="E282" s="42" t="s">
        <v>128</v>
      </c>
      <c r="F282" s="228" t="s">
        <v>132</v>
      </c>
      <c r="G282" s="229"/>
      <c r="H282" s="120"/>
      <c r="I282" s="121"/>
      <c r="J282" s="101"/>
      <c r="K282" s="120"/>
      <c r="L282" s="121"/>
      <c r="M282" s="101"/>
      <c r="N282" s="120"/>
      <c r="O282" s="20"/>
      <c r="P282" s="101"/>
      <c r="Q282" s="101"/>
      <c r="R282" s="122"/>
      <c r="S282" s="114"/>
      <c r="T282" s="102"/>
      <c r="U282" s="102"/>
      <c r="V282" s="184"/>
    </row>
    <row r="283" spans="1:22" ht="34.5" customHeight="1">
      <c r="A283" s="15"/>
      <c r="B283" s="147" t="str">
        <f t="shared" si="6"/>
        <v>2-16</v>
      </c>
      <c r="C283" s="18" t="s">
        <v>140</v>
      </c>
      <c r="D283" s="18" t="s">
        <v>152</v>
      </c>
      <c r="E283" s="42" t="s">
        <v>128</v>
      </c>
      <c r="F283" s="228" t="s">
        <v>153</v>
      </c>
      <c r="G283" s="229"/>
      <c r="H283" s="120"/>
      <c r="I283" s="121"/>
      <c r="J283" s="101"/>
      <c r="K283" s="120"/>
      <c r="L283" s="121"/>
      <c r="M283" s="101"/>
      <c r="N283" s="120"/>
      <c r="O283" s="20"/>
      <c r="P283" s="101"/>
      <c r="Q283" s="101"/>
      <c r="R283" s="122"/>
      <c r="S283" s="114"/>
      <c r="T283" s="102"/>
      <c r="U283" s="102"/>
      <c r="V283" s="184"/>
    </row>
    <row r="284" spans="1:22" ht="34.5" customHeight="1">
      <c r="A284" s="15"/>
      <c r="B284" s="147" t="str">
        <f t="shared" si="6"/>
        <v>2-17</v>
      </c>
      <c r="C284" s="18" t="s">
        <v>140</v>
      </c>
      <c r="D284" s="18" t="s">
        <v>140</v>
      </c>
      <c r="E284" s="42" t="s">
        <v>128</v>
      </c>
      <c r="F284" s="228" t="s">
        <v>132</v>
      </c>
      <c r="G284" s="229"/>
      <c r="H284" s="120"/>
      <c r="I284" s="121"/>
      <c r="J284" s="101"/>
      <c r="K284" s="120"/>
      <c r="L284" s="121"/>
      <c r="M284" s="101"/>
      <c r="N284" s="120"/>
      <c r="O284" s="20"/>
      <c r="P284" s="101"/>
      <c r="Q284" s="101"/>
      <c r="R284" s="122"/>
      <c r="S284" s="114"/>
      <c r="T284" s="102"/>
      <c r="U284" s="102"/>
      <c r="V284" s="184"/>
    </row>
    <row r="286" spans="1:22">
      <c r="B286" s="2" t="s">
        <v>241</v>
      </c>
      <c r="C286" s="99" t="s">
        <v>231</v>
      </c>
    </row>
    <row r="287" spans="1:22">
      <c r="B287" s="238" t="s">
        <v>4</v>
      </c>
      <c r="C287" s="240" t="s">
        <v>5</v>
      </c>
      <c r="D287" s="242" t="s">
        <v>79</v>
      </c>
      <c r="E287" s="242" t="s">
        <v>6</v>
      </c>
      <c r="F287" s="244" t="s">
        <v>7</v>
      </c>
      <c r="G287" s="245"/>
      <c r="H287" s="236" t="s">
        <v>90</v>
      </c>
      <c r="I287" s="236"/>
      <c r="J287" s="236"/>
      <c r="K287" s="236" t="s">
        <v>83</v>
      </c>
      <c r="L287" s="236"/>
      <c r="M287" s="236"/>
      <c r="N287" s="236" t="s">
        <v>84</v>
      </c>
      <c r="O287" s="236"/>
      <c r="P287" s="236"/>
      <c r="Q287" s="242" t="s">
        <v>78</v>
      </c>
      <c r="R287" s="242" t="s">
        <v>78</v>
      </c>
      <c r="S287" s="237" t="s">
        <v>14</v>
      </c>
      <c r="T287" s="237"/>
      <c r="U287" s="237"/>
    </row>
    <row r="288" spans="1:22">
      <c r="B288" s="239"/>
      <c r="C288" s="241"/>
      <c r="D288" s="243"/>
      <c r="E288" s="243"/>
      <c r="F288" s="246"/>
      <c r="G288" s="247"/>
      <c r="H288" s="130" t="s">
        <v>8</v>
      </c>
      <c r="I288" s="130" t="s">
        <v>9</v>
      </c>
      <c r="J288" s="130" t="s">
        <v>10</v>
      </c>
      <c r="K288" s="130" t="s">
        <v>8</v>
      </c>
      <c r="L288" s="130" t="s">
        <v>9</v>
      </c>
      <c r="M288" s="130" t="s">
        <v>10</v>
      </c>
      <c r="N288" s="130" t="s">
        <v>8</v>
      </c>
      <c r="O288" s="130" t="s">
        <v>9</v>
      </c>
      <c r="P288" s="130" t="s">
        <v>10</v>
      </c>
      <c r="Q288" s="241"/>
      <c r="R288" s="241"/>
      <c r="S288" s="93"/>
      <c r="T288" s="94"/>
      <c r="U288" s="95"/>
    </row>
    <row r="289" spans="2:21" ht="35.450000000000003" customHeight="1">
      <c r="B289" s="147" t="str">
        <f t="shared" ref="B289:B320" si="7">"3-"&amp;ROW()-298</f>
        <v>3--9</v>
      </c>
      <c r="C289" s="100" t="s">
        <v>194</v>
      </c>
      <c r="D289" s="42" t="s">
        <v>100</v>
      </c>
      <c r="E289" s="42" t="s">
        <v>62</v>
      </c>
      <c r="F289" s="226" t="s">
        <v>93</v>
      </c>
      <c r="G289" s="227"/>
      <c r="H289" s="120"/>
      <c r="I289" s="121"/>
      <c r="J289" s="121"/>
      <c r="K289" s="120"/>
      <c r="L289" s="121"/>
      <c r="M289" s="121"/>
      <c r="N289" s="120"/>
      <c r="O289" s="121"/>
      <c r="P289" s="121"/>
      <c r="Q289" s="101"/>
      <c r="R289" s="101"/>
      <c r="S289" s="100"/>
      <c r="T289" s="102"/>
      <c r="U289" s="102"/>
    </row>
    <row r="290" spans="2:21" ht="35.450000000000003" customHeight="1">
      <c r="B290" s="147" t="str">
        <f t="shared" si="7"/>
        <v>3--8</v>
      </c>
      <c r="C290" s="100" t="s">
        <v>82</v>
      </c>
      <c r="D290" s="42" t="s">
        <v>100</v>
      </c>
      <c r="E290" s="42" t="s">
        <v>110</v>
      </c>
      <c r="F290" s="226" t="s">
        <v>91</v>
      </c>
      <c r="G290" s="227"/>
      <c r="H290" s="120"/>
      <c r="I290" s="121"/>
      <c r="J290" s="121"/>
      <c r="K290" s="120"/>
      <c r="L290" s="121"/>
      <c r="M290" s="121"/>
      <c r="N290" s="120"/>
      <c r="O290" s="121"/>
      <c r="P290" s="121"/>
      <c r="Q290" s="101"/>
      <c r="R290" s="101"/>
      <c r="S290" s="100"/>
      <c r="T290" s="102"/>
      <c r="U290" s="102"/>
    </row>
    <row r="291" spans="2:21" ht="35.450000000000003" customHeight="1">
      <c r="B291" s="147" t="str">
        <f t="shared" si="7"/>
        <v>3--7</v>
      </c>
      <c r="C291" s="100" t="s">
        <v>235</v>
      </c>
      <c r="D291" s="42" t="s">
        <v>82</v>
      </c>
      <c r="E291" s="42" t="s">
        <v>236</v>
      </c>
      <c r="F291" s="226" t="s">
        <v>234</v>
      </c>
      <c r="G291" s="227"/>
      <c r="H291" s="120"/>
      <c r="I291" s="121"/>
      <c r="J291" s="121"/>
      <c r="K291" s="120"/>
      <c r="L291" s="121"/>
      <c r="M291" s="121"/>
      <c r="N291" s="120"/>
      <c r="O291" s="121"/>
      <c r="P291" s="121"/>
      <c r="Q291" s="101"/>
      <c r="R291" s="101"/>
      <c r="S291" s="100"/>
      <c r="T291" s="102"/>
      <c r="U291" s="102"/>
    </row>
    <row r="292" spans="2:21" ht="35.450000000000003" customHeight="1">
      <c r="B292" s="147" t="str">
        <f t="shared" si="7"/>
        <v>3--6</v>
      </c>
      <c r="C292" s="100" t="s">
        <v>237</v>
      </c>
      <c r="D292" s="42" t="s">
        <v>82</v>
      </c>
      <c r="E292" s="42" t="s">
        <v>236</v>
      </c>
      <c r="F292" s="226" t="s">
        <v>238</v>
      </c>
      <c r="G292" s="227"/>
      <c r="H292" s="120"/>
      <c r="I292" s="121"/>
      <c r="J292" s="121"/>
      <c r="K292" s="120"/>
      <c r="L292" s="121"/>
      <c r="M292" s="121"/>
      <c r="N292" s="120"/>
      <c r="O292" s="121"/>
      <c r="P292" s="121"/>
      <c r="Q292" s="101"/>
      <c r="R292" s="101"/>
      <c r="S292" s="100"/>
      <c r="T292" s="102"/>
      <c r="U292" s="102"/>
    </row>
    <row r="293" spans="2:21" ht="35.450000000000003" customHeight="1">
      <c r="B293" s="147" t="str">
        <f t="shared" si="7"/>
        <v>3--5</v>
      </c>
      <c r="C293" s="100" t="s">
        <v>233</v>
      </c>
      <c r="D293" s="42" t="s">
        <v>82</v>
      </c>
      <c r="E293" s="42" t="s">
        <v>236</v>
      </c>
      <c r="F293" s="226" t="s">
        <v>242</v>
      </c>
      <c r="G293" s="227"/>
      <c r="H293" s="120"/>
      <c r="I293" s="121"/>
      <c r="J293" s="121"/>
      <c r="K293" s="120"/>
      <c r="L293" s="121"/>
      <c r="M293" s="121"/>
      <c r="N293" s="120"/>
      <c r="O293" s="121"/>
      <c r="P293" s="121"/>
      <c r="Q293" s="101"/>
      <c r="R293" s="101"/>
      <c r="S293" s="100"/>
      <c r="T293" s="102"/>
      <c r="U293" s="102"/>
    </row>
    <row r="294" spans="2:21" ht="35.450000000000003" customHeight="1">
      <c r="B294" s="147" t="str">
        <f t="shared" si="7"/>
        <v>3--4</v>
      </c>
      <c r="C294" s="100" t="s">
        <v>239</v>
      </c>
      <c r="D294" s="42" t="s">
        <v>240</v>
      </c>
      <c r="E294" s="42" t="s">
        <v>414</v>
      </c>
      <c r="F294" s="226" t="s">
        <v>191</v>
      </c>
      <c r="G294" s="227"/>
      <c r="H294" s="120"/>
      <c r="I294" s="121"/>
      <c r="J294" s="121"/>
      <c r="K294" s="120"/>
      <c r="L294" s="121"/>
      <c r="M294" s="121"/>
      <c r="N294" s="120"/>
      <c r="O294" s="121"/>
      <c r="P294" s="121"/>
      <c r="Q294" s="101"/>
      <c r="R294" s="101"/>
      <c r="S294" s="100"/>
      <c r="T294" s="102"/>
      <c r="U294" s="102"/>
    </row>
    <row r="295" spans="2:21" ht="35.450000000000003" customHeight="1">
      <c r="B295" s="163" t="str">
        <f t="shared" si="7"/>
        <v>3--3</v>
      </c>
      <c r="C295" s="100" t="s">
        <v>82</v>
      </c>
      <c r="D295" s="42" t="s">
        <v>628</v>
      </c>
      <c r="E295" s="42" t="s">
        <v>110</v>
      </c>
      <c r="F295" s="228" t="s">
        <v>102</v>
      </c>
      <c r="G295" s="229"/>
      <c r="H295" s="120"/>
      <c r="I295" s="121"/>
      <c r="J295" s="121"/>
      <c r="K295" s="120"/>
      <c r="L295" s="121"/>
      <c r="M295" s="121"/>
      <c r="N295" s="120"/>
      <c r="O295" s="121"/>
      <c r="P295" s="121"/>
      <c r="Q295" s="101"/>
      <c r="R295" s="101"/>
      <c r="S295" s="100"/>
      <c r="T295" s="102"/>
      <c r="U295" s="102"/>
    </row>
    <row r="296" spans="2:21" ht="35.450000000000003" customHeight="1">
      <c r="B296" s="163" t="str">
        <f t="shared" si="7"/>
        <v>3--2</v>
      </c>
      <c r="C296" s="100" t="s">
        <v>82</v>
      </c>
      <c r="D296" s="42" t="s">
        <v>116</v>
      </c>
      <c r="E296" s="42" t="s">
        <v>110</v>
      </c>
      <c r="F296" s="228" t="s">
        <v>102</v>
      </c>
      <c r="G296" s="229"/>
      <c r="H296" s="120"/>
      <c r="I296" s="121"/>
      <c r="J296" s="121"/>
      <c r="K296" s="120"/>
      <c r="L296" s="121"/>
      <c r="M296" s="121"/>
      <c r="N296" s="120"/>
      <c r="O296" s="121"/>
      <c r="P296" s="121"/>
      <c r="Q296" s="101"/>
      <c r="R296" s="101"/>
      <c r="S296" s="100"/>
      <c r="T296" s="102"/>
      <c r="U296" s="102"/>
    </row>
    <row r="297" spans="2:21" ht="35.450000000000003" customHeight="1">
      <c r="B297" s="163" t="str">
        <f t="shared" si="7"/>
        <v>3--1</v>
      </c>
      <c r="C297" s="100" t="s">
        <v>82</v>
      </c>
      <c r="D297" s="42" t="s">
        <v>629</v>
      </c>
      <c r="E297" s="42" t="s">
        <v>233</v>
      </c>
      <c r="F297" s="127" t="s">
        <v>249</v>
      </c>
      <c r="G297" s="128"/>
      <c r="H297" s="120"/>
      <c r="I297" s="121"/>
      <c r="J297" s="121"/>
      <c r="K297" s="120"/>
      <c r="L297" s="121"/>
      <c r="M297" s="121"/>
      <c r="N297" s="120"/>
      <c r="O297" s="121"/>
      <c r="P297" s="121"/>
      <c r="Q297" s="101"/>
      <c r="R297" s="101"/>
      <c r="S297" s="100"/>
      <c r="T297" s="102"/>
      <c r="U297" s="102"/>
    </row>
    <row r="298" spans="2:21" ht="35.450000000000003" customHeight="1">
      <c r="B298" s="163" t="str">
        <f t="shared" si="7"/>
        <v>3-0</v>
      </c>
      <c r="C298" s="100" t="s">
        <v>82</v>
      </c>
      <c r="D298" s="42" t="s">
        <v>248</v>
      </c>
      <c r="E298" s="42" t="s">
        <v>415</v>
      </c>
      <c r="F298" s="226" t="s">
        <v>99</v>
      </c>
      <c r="G298" s="227"/>
      <c r="H298" s="120"/>
      <c r="I298" s="121"/>
      <c r="J298" s="121"/>
      <c r="K298" s="120"/>
      <c r="L298" s="121"/>
      <c r="M298" s="121"/>
      <c r="N298" s="120"/>
      <c r="O298" s="121"/>
      <c r="P298" s="121"/>
      <c r="Q298" s="101"/>
      <c r="R298" s="101"/>
      <c r="S298" s="100"/>
      <c r="T298" s="102"/>
      <c r="U298" s="102"/>
    </row>
    <row r="299" spans="2:21" ht="35.450000000000003" customHeight="1">
      <c r="B299" s="163" t="str">
        <f t="shared" si="7"/>
        <v>3-1</v>
      </c>
      <c r="C299" s="100" t="s">
        <v>82</v>
      </c>
      <c r="D299" s="42" t="s">
        <v>628</v>
      </c>
      <c r="E299" s="42" t="s">
        <v>110</v>
      </c>
      <c r="F299" s="228" t="s">
        <v>102</v>
      </c>
      <c r="G299" s="229"/>
      <c r="H299" s="120"/>
      <c r="I299" s="121"/>
      <c r="J299" s="121"/>
      <c r="K299" s="120"/>
      <c r="L299" s="121"/>
      <c r="M299" s="121"/>
      <c r="N299" s="120"/>
      <c r="O299" s="121"/>
      <c r="P299" s="121"/>
      <c r="Q299" s="101"/>
      <c r="R299" s="101"/>
      <c r="S299" s="100"/>
      <c r="T299" s="102"/>
      <c r="U299" s="102"/>
    </row>
    <row r="300" spans="2:21" ht="35.450000000000003" customHeight="1">
      <c r="B300" s="163" t="str">
        <f t="shared" si="7"/>
        <v>3-2</v>
      </c>
      <c r="C300" s="100" t="s">
        <v>82</v>
      </c>
      <c r="D300" s="42" t="s">
        <v>116</v>
      </c>
      <c r="E300" s="42" t="s">
        <v>110</v>
      </c>
      <c r="F300" s="228" t="s">
        <v>102</v>
      </c>
      <c r="G300" s="229"/>
      <c r="H300" s="120"/>
      <c r="I300" s="121"/>
      <c r="J300" s="121"/>
      <c r="K300" s="120"/>
      <c r="L300" s="121"/>
      <c r="M300" s="121"/>
      <c r="N300" s="120"/>
      <c r="O300" s="121"/>
      <c r="P300" s="121"/>
      <c r="Q300" s="101"/>
      <c r="R300" s="101"/>
      <c r="S300" s="100"/>
      <c r="T300" s="102"/>
      <c r="U300" s="102"/>
    </row>
    <row r="301" spans="2:21" ht="35.450000000000003" customHeight="1">
      <c r="B301" s="163" t="str">
        <f t="shared" si="7"/>
        <v>3-3</v>
      </c>
      <c r="C301" s="100" t="s">
        <v>82</v>
      </c>
      <c r="D301" s="42" t="s">
        <v>629</v>
      </c>
      <c r="E301" s="42" t="s">
        <v>233</v>
      </c>
      <c r="F301" s="228" t="s">
        <v>249</v>
      </c>
      <c r="G301" s="229"/>
      <c r="H301" s="120"/>
      <c r="I301" s="121"/>
      <c r="J301" s="121"/>
      <c r="K301" s="120"/>
      <c r="L301" s="121"/>
      <c r="M301" s="121"/>
      <c r="N301" s="120"/>
      <c r="O301" s="121"/>
      <c r="P301" s="121"/>
      <c r="Q301" s="101"/>
      <c r="R301" s="101"/>
      <c r="S301" s="100"/>
      <c r="T301" s="102"/>
      <c r="U301" s="102"/>
    </row>
    <row r="302" spans="2:21" ht="35.450000000000003" customHeight="1">
      <c r="B302" s="163" t="str">
        <f t="shared" si="7"/>
        <v>3-4</v>
      </c>
      <c r="C302" s="100" t="s">
        <v>82</v>
      </c>
      <c r="D302" s="42" t="s">
        <v>82</v>
      </c>
      <c r="E302" s="42" t="s">
        <v>82</v>
      </c>
      <c r="F302" s="228" t="s">
        <v>250</v>
      </c>
      <c r="G302" s="229"/>
      <c r="H302" s="120"/>
      <c r="I302" s="121"/>
      <c r="J302" s="121"/>
      <c r="K302" s="120"/>
      <c r="L302" s="121"/>
      <c r="M302" s="121"/>
      <c r="N302" s="120"/>
      <c r="O302" s="121"/>
      <c r="P302" s="121"/>
      <c r="Q302" s="101"/>
      <c r="R302" s="101"/>
      <c r="S302" s="100"/>
      <c r="T302" s="102"/>
      <c r="U302" s="102"/>
    </row>
    <row r="303" spans="2:21" ht="35.450000000000003" customHeight="1">
      <c r="B303" s="163" t="str">
        <f t="shared" si="7"/>
        <v>3-5</v>
      </c>
      <c r="C303" s="100" t="s">
        <v>195</v>
      </c>
      <c r="D303" s="42" t="s">
        <v>82</v>
      </c>
      <c r="E303" s="42" t="s">
        <v>236</v>
      </c>
      <c r="F303" s="226" t="s">
        <v>117</v>
      </c>
      <c r="G303" s="227"/>
      <c r="H303" s="120"/>
      <c r="I303" s="121"/>
      <c r="J303" s="121"/>
      <c r="K303" s="120"/>
      <c r="L303" s="121"/>
      <c r="M303" s="121"/>
      <c r="N303" s="120"/>
      <c r="O303" s="121"/>
      <c r="P303" s="121"/>
      <c r="Q303" s="101"/>
      <c r="R303" s="101"/>
      <c r="S303" s="100"/>
      <c r="T303" s="102"/>
      <c r="U303" s="102"/>
    </row>
    <row r="304" spans="2:21" ht="35.450000000000003" customHeight="1">
      <c r="B304" s="163" t="str">
        <f t="shared" si="7"/>
        <v>3-6</v>
      </c>
      <c r="C304" s="100" t="s">
        <v>82</v>
      </c>
      <c r="D304" s="42" t="s">
        <v>197</v>
      </c>
      <c r="E304" s="42" t="s">
        <v>233</v>
      </c>
      <c r="F304" s="226" t="s">
        <v>198</v>
      </c>
      <c r="G304" s="227"/>
      <c r="H304" s="120"/>
      <c r="I304" s="121"/>
      <c r="J304" s="121"/>
      <c r="K304" s="120"/>
      <c r="L304" s="121"/>
      <c r="M304" s="121"/>
      <c r="N304" s="120"/>
      <c r="O304" s="121"/>
      <c r="P304" s="121"/>
      <c r="Q304" s="101"/>
      <c r="R304" s="101"/>
      <c r="S304" s="100"/>
      <c r="T304" s="102"/>
      <c r="U304" s="102"/>
    </row>
    <row r="305" spans="2:22" ht="35.450000000000003" customHeight="1">
      <c r="B305" s="163" t="str">
        <f t="shared" si="7"/>
        <v>3-7</v>
      </c>
      <c r="C305" s="100" t="s">
        <v>82</v>
      </c>
      <c r="D305" s="42" t="s">
        <v>82</v>
      </c>
      <c r="E305" s="42" t="s">
        <v>195</v>
      </c>
      <c r="F305" s="226" t="s">
        <v>117</v>
      </c>
      <c r="G305" s="227"/>
      <c r="H305" s="120"/>
      <c r="I305" s="121"/>
      <c r="J305" s="121"/>
      <c r="K305" s="120"/>
      <c r="L305" s="121"/>
      <c r="M305" s="121"/>
      <c r="N305" s="120"/>
      <c r="O305" s="121"/>
      <c r="P305" s="121"/>
      <c r="Q305" s="101"/>
      <c r="R305" s="101"/>
      <c r="S305" s="100"/>
      <c r="T305" s="102"/>
      <c r="U305" s="102"/>
    </row>
    <row r="306" spans="2:22" ht="35.450000000000003" customHeight="1">
      <c r="B306" s="147" t="str">
        <f t="shared" si="7"/>
        <v>3-8</v>
      </c>
      <c r="C306" s="100" t="s">
        <v>82</v>
      </c>
      <c r="D306" s="42" t="s">
        <v>82</v>
      </c>
      <c r="E306" s="42" t="s">
        <v>201</v>
      </c>
      <c r="F306" s="226" t="s">
        <v>117</v>
      </c>
      <c r="G306" s="227"/>
      <c r="H306" s="120"/>
      <c r="I306" s="121"/>
      <c r="J306" s="121"/>
      <c r="K306" s="120"/>
      <c r="L306" s="121"/>
      <c r="M306" s="121"/>
      <c r="N306" s="120"/>
      <c r="O306" s="121"/>
      <c r="P306" s="121"/>
      <c r="Q306" s="101"/>
      <c r="R306" s="101"/>
      <c r="S306" s="100"/>
      <c r="T306" s="102"/>
      <c r="U306" s="102"/>
    </row>
    <row r="307" spans="2:22" ht="35.450000000000003" customHeight="1">
      <c r="B307" s="147" t="str">
        <f t="shared" si="7"/>
        <v>3-9</v>
      </c>
      <c r="C307" s="100" t="s">
        <v>201</v>
      </c>
      <c r="D307" s="42" t="s">
        <v>382</v>
      </c>
      <c r="E307" s="42" t="s">
        <v>243</v>
      </c>
      <c r="F307" s="226" t="s">
        <v>210</v>
      </c>
      <c r="G307" s="227"/>
      <c r="H307" s="120"/>
      <c r="I307" s="121"/>
      <c r="J307" s="121"/>
      <c r="K307" s="120"/>
      <c r="L307" s="121"/>
      <c r="M307" s="121"/>
      <c r="N307" s="120"/>
      <c r="O307" s="121"/>
      <c r="P307" s="121"/>
      <c r="Q307" s="101"/>
      <c r="R307" s="101"/>
      <c r="S307" s="100"/>
      <c r="T307" s="102"/>
      <c r="U307" s="102"/>
    </row>
    <row r="308" spans="2:22" ht="35.450000000000003" customHeight="1">
      <c r="B308" s="147" t="str">
        <f t="shared" si="7"/>
        <v>3-10</v>
      </c>
      <c r="C308" s="100" t="s">
        <v>82</v>
      </c>
      <c r="D308" s="42" t="s">
        <v>627</v>
      </c>
      <c r="E308" s="42" t="s">
        <v>232</v>
      </c>
      <c r="F308" s="226" t="s">
        <v>212</v>
      </c>
      <c r="G308" s="227"/>
      <c r="H308" s="120"/>
      <c r="I308" s="121"/>
      <c r="J308" s="121"/>
      <c r="K308" s="120"/>
      <c r="L308" s="121"/>
      <c r="M308" s="121"/>
      <c r="N308" s="120"/>
      <c r="O308" s="121"/>
      <c r="P308" s="121"/>
      <c r="Q308" s="101"/>
      <c r="R308" s="101"/>
      <c r="S308" s="100"/>
      <c r="T308" s="102"/>
      <c r="U308" s="102"/>
    </row>
    <row r="309" spans="2:22" ht="35.450000000000003" customHeight="1">
      <c r="B309" s="147" t="str">
        <f t="shared" si="7"/>
        <v>3-11</v>
      </c>
      <c r="C309" s="100" t="s">
        <v>82</v>
      </c>
      <c r="D309" s="42" t="s">
        <v>82</v>
      </c>
      <c r="E309" s="42" t="s">
        <v>246</v>
      </c>
      <c r="F309" s="226" t="s">
        <v>104</v>
      </c>
      <c r="G309" s="227"/>
      <c r="H309" s="120"/>
      <c r="I309" s="121"/>
      <c r="J309" s="121"/>
      <c r="K309" s="120"/>
      <c r="L309" s="121"/>
      <c r="M309" s="121"/>
      <c r="N309" s="120"/>
      <c r="O309" s="121"/>
      <c r="P309" s="121"/>
      <c r="Q309" s="101"/>
      <c r="R309" s="101"/>
      <c r="S309" s="100"/>
      <c r="T309" s="102"/>
      <c r="U309" s="102"/>
    </row>
    <row r="310" spans="2:22" ht="35.450000000000003" customHeight="1">
      <c r="B310" s="147" t="str">
        <f t="shared" si="7"/>
        <v>3-12</v>
      </c>
      <c r="C310" s="100" t="s">
        <v>82</v>
      </c>
      <c r="D310" s="42" t="s">
        <v>82</v>
      </c>
      <c r="E310" s="42" t="s">
        <v>244</v>
      </c>
      <c r="F310" s="226" t="s">
        <v>216</v>
      </c>
      <c r="G310" s="227"/>
      <c r="H310" s="120"/>
      <c r="I310" s="121"/>
      <c r="J310" s="121"/>
      <c r="K310" s="120"/>
      <c r="L310" s="121"/>
      <c r="M310" s="121"/>
      <c r="N310" s="120"/>
      <c r="O310" s="121"/>
      <c r="P310" s="121"/>
      <c r="Q310" s="101"/>
      <c r="R310" s="101"/>
      <c r="S310" s="100"/>
      <c r="T310" s="102"/>
      <c r="U310" s="102"/>
    </row>
    <row r="311" spans="2:22" ht="35.450000000000003" customHeight="1">
      <c r="B311" s="147" t="str">
        <f t="shared" si="7"/>
        <v>3-13</v>
      </c>
      <c r="C311" s="100" t="s">
        <v>82</v>
      </c>
      <c r="D311" s="42" t="s">
        <v>82</v>
      </c>
      <c r="E311" s="42" t="s">
        <v>82</v>
      </c>
      <c r="F311" s="226" t="s">
        <v>247</v>
      </c>
      <c r="G311" s="227"/>
      <c r="H311" s="120"/>
      <c r="I311" s="121"/>
      <c r="J311" s="121"/>
      <c r="K311" s="120"/>
      <c r="L311" s="121"/>
      <c r="M311" s="121"/>
      <c r="N311" s="120"/>
      <c r="O311" s="121"/>
      <c r="P311" s="121"/>
      <c r="Q311" s="101"/>
      <c r="R311" s="101"/>
      <c r="S311" s="100"/>
      <c r="T311" s="102"/>
      <c r="U311" s="102"/>
    </row>
    <row r="312" spans="2:22" ht="35.450000000000003" customHeight="1">
      <c r="B312" s="147" t="str">
        <f t="shared" si="7"/>
        <v>3-14</v>
      </c>
      <c r="C312" s="100" t="s">
        <v>213</v>
      </c>
      <c r="D312" s="42" t="s">
        <v>197</v>
      </c>
      <c r="E312" s="42" t="s">
        <v>243</v>
      </c>
      <c r="F312" s="226" t="s">
        <v>210</v>
      </c>
      <c r="G312" s="227"/>
      <c r="H312" s="120"/>
      <c r="I312" s="121"/>
      <c r="J312" s="121"/>
      <c r="K312" s="120"/>
      <c r="L312" s="121"/>
      <c r="M312" s="121"/>
      <c r="N312" s="120"/>
      <c r="O312" s="121"/>
      <c r="P312" s="121"/>
      <c r="Q312" s="101"/>
      <c r="R312" s="101"/>
      <c r="S312" s="100"/>
      <c r="T312" s="102"/>
      <c r="U312" s="102"/>
    </row>
    <row r="313" spans="2:22" ht="35.450000000000003" customHeight="1">
      <c r="B313" s="147" t="str">
        <f t="shared" si="7"/>
        <v>3-15</v>
      </c>
      <c r="C313" s="100" t="s">
        <v>82</v>
      </c>
      <c r="D313" s="42" t="s">
        <v>627</v>
      </c>
      <c r="E313" s="42" t="s">
        <v>232</v>
      </c>
      <c r="F313" s="226" t="s">
        <v>245</v>
      </c>
      <c r="G313" s="227"/>
      <c r="H313" s="120"/>
      <c r="I313" s="121"/>
      <c r="J313" s="121"/>
      <c r="K313" s="120"/>
      <c r="L313" s="121"/>
      <c r="M313" s="121"/>
      <c r="N313" s="120"/>
      <c r="O313" s="121"/>
      <c r="P313" s="121"/>
      <c r="Q313" s="101"/>
      <c r="R313" s="101"/>
      <c r="S313" s="100"/>
      <c r="T313" s="102"/>
      <c r="U313" s="102"/>
    </row>
    <row r="314" spans="2:22" ht="34.5" customHeight="1">
      <c r="B314" s="147" t="str">
        <f t="shared" si="7"/>
        <v>3-16</v>
      </c>
      <c r="C314" s="18" t="s">
        <v>129</v>
      </c>
      <c r="D314" s="18" t="s">
        <v>130</v>
      </c>
      <c r="E314" s="42" t="s">
        <v>128</v>
      </c>
      <c r="F314" s="228" t="s">
        <v>131</v>
      </c>
      <c r="G314" s="229"/>
      <c r="H314" s="120"/>
      <c r="I314" s="121"/>
      <c r="J314" s="121"/>
      <c r="K314" s="120"/>
      <c r="L314" s="121"/>
      <c r="M314" s="121"/>
      <c r="N314" s="120"/>
      <c r="O314" s="121"/>
      <c r="P314" s="121"/>
      <c r="Q314" s="101"/>
      <c r="R314" s="101"/>
      <c r="S314" s="100"/>
      <c r="T314" s="102"/>
      <c r="U314" s="102"/>
      <c r="V314" s="184"/>
    </row>
    <row r="315" spans="2:22" ht="34.5" customHeight="1">
      <c r="B315" s="147" t="str">
        <f t="shared" si="7"/>
        <v>3-17</v>
      </c>
      <c r="C315" s="18" t="s">
        <v>140</v>
      </c>
      <c r="D315" s="18" t="s">
        <v>140</v>
      </c>
      <c r="E315" s="42" t="s">
        <v>128</v>
      </c>
      <c r="F315" s="228" t="s">
        <v>132</v>
      </c>
      <c r="G315" s="229"/>
      <c r="H315" s="120"/>
      <c r="I315" s="121"/>
      <c r="J315" s="121"/>
      <c r="K315" s="120"/>
      <c r="L315" s="121"/>
      <c r="M315" s="121"/>
      <c r="N315" s="120"/>
      <c r="O315" s="121"/>
      <c r="P315" s="121"/>
      <c r="Q315" s="101"/>
      <c r="R315" s="101"/>
      <c r="S315" s="100"/>
      <c r="T315" s="102"/>
      <c r="U315" s="102"/>
      <c r="V315" s="184"/>
    </row>
    <row r="316" spans="2:22" ht="34.5" customHeight="1">
      <c r="B316" s="147" t="str">
        <f t="shared" si="7"/>
        <v>3-18</v>
      </c>
      <c r="C316" s="18" t="s">
        <v>140</v>
      </c>
      <c r="D316" s="18" t="s">
        <v>150</v>
      </c>
      <c r="E316" s="42" t="s">
        <v>128</v>
      </c>
      <c r="F316" s="228" t="s">
        <v>151</v>
      </c>
      <c r="G316" s="229"/>
      <c r="H316" s="120"/>
      <c r="I316" s="121"/>
      <c r="J316" s="121"/>
      <c r="K316" s="120"/>
      <c r="L316" s="121"/>
      <c r="M316" s="121"/>
      <c r="N316" s="120"/>
      <c r="O316" s="121"/>
      <c r="P316" s="121"/>
      <c r="Q316" s="101"/>
      <c r="R316" s="101"/>
      <c r="S316" s="100"/>
      <c r="T316" s="102"/>
      <c r="U316" s="102"/>
      <c r="V316" s="184"/>
    </row>
    <row r="317" spans="2:22" ht="34.5" customHeight="1">
      <c r="B317" s="147" t="str">
        <f t="shared" si="7"/>
        <v>3-19</v>
      </c>
      <c r="C317" s="18" t="s">
        <v>140</v>
      </c>
      <c r="D317" s="18" t="s">
        <v>140</v>
      </c>
      <c r="E317" s="42" t="s">
        <v>128</v>
      </c>
      <c r="F317" s="228" t="s">
        <v>132</v>
      </c>
      <c r="G317" s="229"/>
      <c r="H317" s="120"/>
      <c r="I317" s="121"/>
      <c r="J317" s="121"/>
      <c r="K317" s="120"/>
      <c r="L317" s="121"/>
      <c r="M317" s="121"/>
      <c r="N317" s="120"/>
      <c r="O317" s="121"/>
      <c r="P317" s="121"/>
      <c r="Q317" s="101"/>
      <c r="R317" s="101"/>
      <c r="S317" s="100"/>
      <c r="T317" s="102"/>
      <c r="U317" s="102"/>
      <c r="V317" s="184"/>
    </row>
    <row r="318" spans="2:22" ht="34.5" customHeight="1">
      <c r="B318" s="147" t="str">
        <f t="shared" si="7"/>
        <v>3-20</v>
      </c>
      <c r="C318" s="18" t="s">
        <v>140</v>
      </c>
      <c r="D318" s="18" t="s">
        <v>152</v>
      </c>
      <c r="E318" s="42" t="s">
        <v>128</v>
      </c>
      <c r="F318" s="228" t="s">
        <v>153</v>
      </c>
      <c r="G318" s="229"/>
      <c r="H318" s="120"/>
      <c r="I318" s="121"/>
      <c r="J318" s="121"/>
      <c r="K318" s="120"/>
      <c r="L318" s="121"/>
      <c r="M318" s="121"/>
      <c r="N318" s="120"/>
      <c r="O318" s="121"/>
      <c r="P318" s="121"/>
      <c r="Q318" s="101"/>
      <c r="R318" s="101"/>
      <c r="S318" s="100"/>
      <c r="T318" s="102"/>
      <c r="U318" s="102"/>
      <c r="V318" s="184"/>
    </row>
    <row r="319" spans="2:22" ht="34.5" customHeight="1">
      <c r="B319" s="147" t="str">
        <f t="shared" si="7"/>
        <v>3-21</v>
      </c>
      <c r="C319" s="18" t="s">
        <v>140</v>
      </c>
      <c r="D319" s="18" t="s">
        <v>140</v>
      </c>
      <c r="E319" s="42" t="s">
        <v>128</v>
      </c>
      <c r="F319" s="228" t="s">
        <v>132</v>
      </c>
      <c r="G319" s="229"/>
      <c r="H319" s="120"/>
      <c r="I319" s="121"/>
      <c r="J319" s="121"/>
      <c r="K319" s="120"/>
      <c r="L319" s="121"/>
      <c r="M319" s="121"/>
      <c r="N319" s="120"/>
      <c r="O319" s="121"/>
      <c r="P319" s="121"/>
      <c r="Q319" s="101"/>
      <c r="R319" s="101"/>
      <c r="S319" s="100"/>
      <c r="T319" s="102"/>
      <c r="U319" s="102"/>
      <c r="V319" s="184"/>
    </row>
    <row r="320" spans="2:22" ht="34.5" customHeight="1">
      <c r="B320" s="163" t="str">
        <f t="shared" si="7"/>
        <v>3-22</v>
      </c>
      <c r="C320" s="18" t="s">
        <v>133</v>
      </c>
      <c r="D320" s="18" t="s">
        <v>848</v>
      </c>
      <c r="E320" s="42" t="s">
        <v>849</v>
      </c>
      <c r="F320" s="228" t="s">
        <v>138</v>
      </c>
      <c r="G320" s="229"/>
      <c r="H320" s="120"/>
      <c r="I320" s="121"/>
      <c r="J320" s="121"/>
      <c r="K320" s="120"/>
      <c r="L320" s="121"/>
      <c r="M320" s="121"/>
      <c r="N320" s="120"/>
      <c r="O320" s="121"/>
      <c r="P320" s="121"/>
      <c r="Q320" s="101"/>
      <c r="R320" s="101"/>
      <c r="S320" s="100"/>
      <c r="T320" s="102"/>
      <c r="U320" s="102"/>
      <c r="V320" s="184"/>
    </row>
    <row r="322" spans="2:21">
      <c r="B322" s="2" t="s">
        <v>262</v>
      </c>
      <c r="C322" s="99" t="s">
        <v>261</v>
      </c>
    </row>
    <row r="323" spans="2:21" ht="13.5" customHeight="1">
      <c r="B323" s="238" t="s">
        <v>4</v>
      </c>
      <c r="C323" s="240" t="s">
        <v>5</v>
      </c>
      <c r="D323" s="242" t="s">
        <v>79</v>
      </c>
      <c r="E323" s="242" t="s">
        <v>6</v>
      </c>
      <c r="F323" s="244" t="s">
        <v>7</v>
      </c>
      <c r="G323" s="245"/>
      <c r="H323" s="236" t="s">
        <v>90</v>
      </c>
      <c r="I323" s="236"/>
      <c r="J323" s="236"/>
      <c r="K323" s="236" t="s">
        <v>83</v>
      </c>
      <c r="L323" s="236"/>
      <c r="M323" s="236"/>
      <c r="N323" s="236" t="s">
        <v>84</v>
      </c>
      <c r="O323" s="236"/>
      <c r="P323" s="236"/>
      <c r="Q323" s="242" t="s">
        <v>824</v>
      </c>
      <c r="R323" s="242" t="s">
        <v>78</v>
      </c>
      <c r="S323" s="237" t="s">
        <v>14</v>
      </c>
      <c r="T323" s="237"/>
      <c r="U323" s="237"/>
    </row>
    <row r="324" spans="2:21">
      <c r="B324" s="239"/>
      <c r="C324" s="241"/>
      <c r="D324" s="243"/>
      <c r="E324" s="243"/>
      <c r="F324" s="246"/>
      <c r="G324" s="247"/>
      <c r="H324" s="130" t="s">
        <v>8</v>
      </c>
      <c r="I324" s="130" t="s">
        <v>9</v>
      </c>
      <c r="J324" s="130" t="s">
        <v>10</v>
      </c>
      <c r="K324" s="130" t="s">
        <v>8</v>
      </c>
      <c r="L324" s="130" t="s">
        <v>9</v>
      </c>
      <c r="M324" s="130" t="s">
        <v>10</v>
      </c>
      <c r="N324" s="130" t="s">
        <v>8</v>
      </c>
      <c r="O324" s="130" t="s">
        <v>9</v>
      </c>
      <c r="P324" s="130" t="s">
        <v>10</v>
      </c>
      <c r="Q324" s="241"/>
      <c r="R324" s="241"/>
      <c r="S324" s="93"/>
      <c r="T324" s="94"/>
      <c r="U324" s="95"/>
    </row>
    <row r="325" spans="2:21" ht="35.1" customHeight="1">
      <c r="B325" s="147" t="str">
        <f t="shared" ref="B325:B355" si="8">"4-"&amp;ROW()-336</f>
        <v>4--11</v>
      </c>
      <c r="C325" s="100" t="s">
        <v>194</v>
      </c>
      <c r="D325" s="42" t="s">
        <v>100</v>
      </c>
      <c r="E325" s="42" t="s">
        <v>62</v>
      </c>
      <c r="F325" s="226" t="s">
        <v>93</v>
      </c>
      <c r="G325" s="227"/>
      <c r="H325" s="120"/>
      <c r="I325" s="121"/>
      <c r="J325" s="121"/>
      <c r="K325" s="120"/>
      <c r="L325" s="121"/>
      <c r="M325" s="121"/>
      <c r="N325" s="120"/>
      <c r="O325" s="121"/>
      <c r="P325" s="121"/>
      <c r="Q325" s="101"/>
      <c r="R325" s="101"/>
      <c r="S325" s="100"/>
      <c r="T325" s="102"/>
      <c r="U325" s="102"/>
    </row>
    <row r="326" spans="2:21" ht="35.1" customHeight="1">
      <c r="B326" s="147" t="str">
        <f t="shared" si="8"/>
        <v>4--10</v>
      </c>
      <c r="C326" s="100" t="s">
        <v>82</v>
      </c>
      <c r="D326" s="42" t="s">
        <v>100</v>
      </c>
      <c r="E326" s="42" t="s">
        <v>110</v>
      </c>
      <c r="F326" s="226" t="s">
        <v>91</v>
      </c>
      <c r="G326" s="227"/>
      <c r="H326" s="120"/>
      <c r="I326" s="121"/>
      <c r="J326" s="121"/>
      <c r="K326" s="120"/>
      <c r="L326" s="121"/>
      <c r="M326" s="121"/>
      <c r="N326" s="120"/>
      <c r="O326" s="121"/>
      <c r="P326" s="121"/>
      <c r="Q326" s="101"/>
      <c r="R326" s="101"/>
      <c r="S326" s="100"/>
      <c r="T326" s="102"/>
      <c r="U326" s="102"/>
    </row>
    <row r="327" spans="2:21" ht="35.1" customHeight="1">
      <c r="B327" s="147" t="str">
        <f t="shared" si="8"/>
        <v>4--9</v>
      </c>
      <c r="C327" s="100" t="s">
        <v>235</v>
      </c>
      <c r="D327" s="42" t="s">
        <v>82</v>
      </c>
      <c r="E327" s="42" t="s">
        <v>236</v>
      </c>
      <c r="F327" s="226" t="s">
        <v>234</v>
      </c>
      <c r="G327" s="227"/>
      <c r="H327" s="120"/>
      <c r="I327" s="121"/>
      <c r="J327" s="121"/>
      <c r="K327" s="120"/>
      <c r="L327" s="121"/>
      <c r="M327" s="121"/>
      <c r="N327" s="120"/>
      <c r="O327" s="121"/>
      <c r="P327" s="121"/>
      <c r="Q327" s="101"/>
      <c r="R327" s="101"/>
      <c r="S327" s="100"/>
      <c r="T327" s="102"/>
      <c r="U327" s="102"/>
    </row>
    <row r="328" spans="2:21" ht="35.1" customHeight="1">
      <c r="B328" s="147" t="str">
        <f t="shared" si="8"/>
        <v>4--8</v>
      </c>
      <c r="C328" s="100" t="s">
        <v>263</v>
      </c>
      <c r="D328" s="42" t="s">
        <v>82</v>
      </c>
      <c r="E328" s="42" t="s">
        <v>236</v>
      </c>
      <c r="F328" s="226" t="s">
        <v>238</v>
      </c>
      <c r="G328" s="227"/>
      <c r="H328" s="120"/>
      <c r="I328" s="121"/>
      <c r="J328" s="121"/>
      <c r="K328" s="120"/>
      <c r="L328" s="121"/>
      <c r="M328" s="121"/>
      <c r="N328" s="120"/>
      <c r="O328" s="121"/>
      <c r="P328" s="121"/>
      <c r="Q328" s="101"/>
      <c r="R328" s="101"/>
      <c r="S328" s="100"/>
      <c r="T328" s="102"/>
      <c r="U328" s="102"/>
    </row>
    <row r="329" spans="2:21" ht="35.1" customHeight="1">
      <c r="B329" s="147" t="str">
        <f t="shared" si="8"/>
        <v>4--7</v>
      </c>
      <c r="C329" s="100" t="s">
        <v>264</v>
      </c>
      <c r="D329" s="42" t="s">
        <v>82</v>
      </c>
      <c r="E329" s="42" t="s">
        <v>236</v>
      </c>
      <c r="F329" s="226" t="s">
        <v>242</v>
      </c>
      <c r="G329" s="227"/>
      <c r="H329" s="120"/>
      <c r="I329" s="121"/>
      <c r="J329" s="121"/>
      <c r="K329" s="120"/>
      <c r="L329" s="121"/>
      <c r="M329" s="121"/>
      <c r="N329" s="120"/>
      <c r="O329" s="121"/>
      <c r="P329" s="121"/>
      <c r="Q329" s="101"/>
      <c r="R329" s="101"/>
      <c r="S329" s="100"/>
      <c r="T329" s="102"/>
      <c r="U329" s="102"/>
    </row>
    <row r="330" spans="2:21" ht="35.1" customHeight="1">
      <c r="B330" s="147" t="str">
        <f t="shared" si="8"/>
        <v>4--6</v>
      </c>
      <c r="C330" s="100" t="s">
        <v>239</v>
      </c>
      <c r="D330" s="42" t="s">
        <v>265</v>
      </c>
      <c r="E330" s="42" t="s">
        <v>411</v>
      </c>
      <c r="F330" s="226" t="s">
        <v>605</v>
      </c>
      <c r="G330" s="227"/>
      <c r="H330" s="120"/>
      <c r="I330" s="121"/>
      <c r="J330" s="121"/>
      <c r="K330" s="120"/>
      <c r="L330" s="121"/>
      <c r="M330" s="121"/>
      <c r="N330" s="120"/>
      <c r="O330" s="121"/>
      <c r="P330" s="121"/>
      <c r="Q330" s="101"/>
      <c r="R330" s="101"/>
      <c r="S330" s="100"/>
      <c r="T330" s="102"/>
      <c r="U330" s="102"/>
    </row>
    <row r="331" spans="2:21" ht="35.1" customHeight="1">
      <c r="B331" s="163" t="str">
        <f t="shared" si="8"/>
        <v>4--5</v>
      </c>
      <c r="C331" s="100" t="s">
        <v>82</v>
      </c>
      <c r="D331" s="42" t="s">
        <v>628</v>
      </c>
      <c r="E331" s="42" t="s">
        <v>110</v>
      </c>
      <c r="F331" s="228" t="s">
        <v>102</v>
      </c>
      <c r="G331" s="229"/>
      <c r="H331" s="120"/>
      <c r="I331" s="121"/>
      <c r="J331" s="121"/>
      <c r="K331" s="120"/>
      <c r="L331" s="121"/>
      <c r="M331" s="121"/>
      <c r="N331" s="120"/>
      <c r="O331" s="121"/>
      <c r="P331" s="121"/>
      <c r="Q331" s="101"/>
      <c r="R331" s="101"/>
      <c r="S331" s="100"/>
      <c r="T331" s="102"/>
      <c r="U331" s="102"/>
    </row>
    <row r="332" spans="2:21" ht="35.1" customHeight="1">
      <c r="B332" s="163" t="str">
        <f t="shared" si="8"/>
        <v>4--4</v>
      </c>
      <c r="C332" s="100" t="s">
        <v>82</v>
      </c>
      <c r="D332" s="42" t="s">
        <v>116</v>
      </c>
      <c r="E332" s="42" t="s">
        <v>110</v>
      </c>
      <c r="F332" s="228" t="s">
        <v>102</v>
      </c>
      <c r="G332" s="229"/>
      <c r="H332" s="120"/>
      <c r="I332" s="121"/>
      <c r="J332" s="121"/>
      <c r="K332" s="120"/>
      <c r="L332" s="121"/>
      <c r="M332" s="121"/>
      <c r="N332" s="120"/>
      <c r="O332" s="121"/>
      <c r="P332" s="121"/>
      <c r="Q332" s="101"/>
      <c r="R332" s="101"/>
      <c r="S332" s="100"/>
      <c r="T332" s="102"/>
      <c r="U332" s="102"/>
    </row>
    <row r="333" spans="2:21" ht="51.75" customHeight="1">
      <c r="B333" s="163" t="str">
        <f t="shared" si="8"/>
        <v>4--3</v>
      </c>
      <c r="C333" s="100" t="s">
        <v>82</v>
      </c>
      <c r="D333" s="42" t="s">
        <v>629</v>
      </c>
      <c r="E333" s="42" t="s">
        <v>264</v>
      </c>
      <c r="F333" s="127" t="s">
        <v>249</v>
      </c>
      <c r="G333" s="128"/>
      <c r="H333" s="120"/>
      <c r="I333" s="121"/>
      <c r="J333" s="121"/>
      <c r="K333" s="120"/>
      <c r="L333" s="121"/>
      <c r="M333" s="121"/>
      <c r="N333" s="120"/>
      <c r="O333" s="121"/>
      <c r="P333" s="121"/>
      <c r="Q333" s="101"/>
      <c r="R333" s="101"/>
      <c r="S333" s="100"/>
      <c r="T333" s="102"/>
      <c r="U333" s="102"/>
    </row>
    <row r="334" spans="2:21" ht="34.5" customHeight="1">
      <c r="B334" s="163" t="str">
        <f t="shared" si="8"/>
        <v>4--2</v>
      </c>
      <c r="C334" s="100" t="s">
        <v>82</v>
      </c>
      <c r="D334" s="42" t="s">
        <v>266</v>
      </c>
      <c r="E334" s="42" t="s">
        <v>412</v>
      </c>
      <c r="F334" s="226" t="s">
        <v>834</v>
      </c>
      <c r="G334" s="227"/>
      <c r="H334" s="120"/>
      <c r="I334" s="121"/>
      <c r="J334" s="121"/>
      <c r="K334" s="120"/>
      <c r="L334" s="121"/>
      <c r="M334" s="121"/>
      <c r="N334" s="120"/>
      <c r="O334" s="121"/>
      <c r="P334" s="121"/>
      <c r="Q334" s="101"/>
      <c r="R334" s="101"/>
      <c r="S334" s="100"/>
      <c r="T334" s="102"/>
      <c r="U334" s="102"/>
    </row>
    <row r="335" spans="2:21" ht="35.1" customHeight="1">
      <c r="B335" s="163" t="str">
        <f t="shared" si="8"/>
        <v>4--1</v>
      </c>
      <c r="C335" s="100" t="s">
        <v>82</v>
      </c>
      <c r="D335" s="42" t="s">
        <v>628</v>
      </c>
      <c r="E335" s="42" t="s">
        <v>110</v>
      </c>
      <c r="F335" s="228" t="s">
        <v>102</v>
      </c>
      <c r="G335" s="229"/>
      <c r="H335" s="120"/>
      <c r="I335" s="121"/>
      <c r="J335" s="121"/>
      <c r="K335" s="120"/>
      <c r="L335" s="121"/>
      <c r="M335" s="121"/>
      <c r="N335" s="120"/>
      <c r="O335" s="121"/>
      <c r="P335" s="121"/>
      <c r="Q335" s="101"/>
      <c r="R335" s="101"/>
      <c r="S335" s="100"/>
      <c r="T335" s="102"/>
      <c r="U335" s="102"/>
    </row>
    <row r="336" spans="2:21" ht="35.1" customHeight="1">
      <c r="B336" s="163" t="str">
        <f t="shared" si="8"/>
        <v>4-0</v>
      </c>
      <c r="C336" s="100" t="s">
        <v>82</v>
      </c>
      <c r="D336" s="42" t="s">
        <v>116</v>
      </c>
      <c r="E336" s="42" t="s">
        <v>110</v>
      </c>
      <c r="F336" s="228" t="s">
        <v>102</v>
      </c>
      <c r="G336" s="229"/>
      <c r="H336" s="120"/>
      <c r="I336" s="121"/>
      <c r="J336" s="121"/>
      <c r="K336" s="120"/>
      <c r="L336" s="121"/>
      <c r="M336" s="121"/>
      <c r="N336" s="120"/>
      <c r="O336" s="121"/>
      <c r="P336" s="121"/>
      <c r="Q336" s="101"/>
      <c r="R336" s="101"/>
      <c r="S336" s="100"/>
      <c r="T336" s="102"/>
      <c r="U336" s="102"/>
    </row>
    <row r="337" spans="2:21" ht="35.1" customHeight="1">
      <c r="B337" s="147" t="str">
        <f t="shared" si="8"/>
        <v>4-1</v>
      </c>
      <c r="C337" s="100" t="s">
        <v>82</v>
      </c>
      <c r="D337" s="42" t="s">
        <v>629</v>
      </c>
      <c r="E337" s="42" t="s">
        <v>264</v>
      </c>
      <c r="F337" s="127" t="s">
        <v>249</v>
      </c>
      <c r="G337" s="128"/>
      <c r="H337" s="120"/>
      <c r="I337" s="121"/>
      <c r="J337" s="121"/>
      <c r="K337" s="120"/>
      <c r="L337" s="121"/>
      <c r="M337" s="121"/>
      <c r="N337" s="120"/>
      <c r="O337" s="121"/>
      <c r="P337" s="121"/>
      <c r="Q337" s="101"/>
      <c r="R337" s="101"/>
      <c r="S337" s="100"/>
      <c r="T337" s="102"/>
      <c r="U337" s="102"/>
    </row>
    <row r="338" spans="2:21" ht="35.1" customHeight="1">
      <c r="B338" s="147" t="str">
        <f t="shared" si="8"/>
        <v>4-2</v>
      </c>
      <c r="C338" s="100" t="s">
        <v>82</v>
      </c>
      <c r="D338" s="42" t="s">
        <v>82</v>
      </c>
      <c r="E338" s="42" t="s">
        <v>82</v>
      </c>
      <c r="F338" s="127" t="s">
        <v>250</v>
      </c>
      <c r="G338" s="128"/>
      <c r="H338" s="120"/>
      <c r="I338" s="121"/>
      <c r="J338" s="121"/>
      <c r="K338" s="120"/>
      <c r="L338" s="121"/>
      <c r="M338" s="121"/>
      <c r="N338" s="120"/>
      <c r="O338" s="121"/>
      <c r="P338" s="121"/>
      <c r="Q338" s="101"/>
      <c r="R338" s="101"/>
      <c r="S338" s="100"/>
      <c r="T338" s="102"/>
      <c r="U338" s="102"/>
    </row>
    <row r="339" spans="2:21" ht="35.1" customHeight="1">
      <c r="B339" s="147" t="str">
        <f t="shared" si="8"/>
        <v>4-3</v>
      </c>
      <c r="C339" s="100" t="s">
        <v>195</v>
      </c>
      <c r="D339" s="42" t="s">
        <v>82</v>
      </c>
      <c r="E339" s="42" t="s">
        <v>236</v>
      </c>
      <c r="F339" s="226" t="s">
        <v>117</v>
      </c>
      <c r="G339" s="227"/>
      <c r="H339" s="120"/>
      <c r="I339" s="121"/>
      <c r="J339" s="121"/>
      <c r="K339" s="120"/>
      <c r="L339" s="121"/>
      <c r="M339" s="121"/>
      <c r="N339" s="120"/>
      <c r="O339" s="121"/>
      <c r="P339" s="121"/>
      <c r="Q339" s="101"/>
      <c r="R339" s="101"/>
      <c r="S339" s="100"/>
      <c r="T339" s="102"/>
      <c r="U339" s="102"/>
    </row>
    <row r="340" spans="2:21" ht="35.1" customHeight="1">
      <c r="B340" s="147" t="str">
        <f t="shared" si="8"/>
        <v>4-4</v>
      </c>
      <c r="C340" s="100" t="s">
        <v>82</v>
      </c>
      <c r="D340" s="42" t="s">
        <v>197</v>
      </c>
      <c r="E340" s="42" t="s">
        <v>264</v>
      </c>
      <c r="F340" s="226" t="s">
        <v>198</v>
      </c>
      <c r="G340" s="227"/>
      <c r="H340" s="120"/>
      <c r="I340" s="121"/>
      <c r="J340" s="121"/>
      <c r="K340" s="120"/>
      <c r="L340" s="121"/>
      <c r="M340" s="121"/>
      <c r="N340" s="120"/>
      <c r="O340" s="121"/>
      <c r="P340" s="121"/>
      <c r="Q340" s="101"/>
      <c r="R340" s="101"/>
      <c r="S340" s="100"/>
      <c r="T340" s="102"/>
      <c r="U340" s="102"/>
    </row>
    <row r="341" spans="2:21" ht="35.1" customHeight="1">
      <c r="B341" s="147" t="str">
        <f t="shared" si="8"/>
        <v>4-5</v>
      </c>
      <c r="C341" s="100" t="s">
        <v>82</v>
      </c>
      <c r="D341" s="42" t="s">
        <v>82</v>
      </c>
      <c r="E341" s="42" t="s">
        <v>195</v>
      </c>
      <c r="F341" s="226" t="s">
        <v>117</v>
      </c>
      <c r="G341" s="227"/>
      <c r="H341" s="120"/>
      <c r="I341" s="121"/>
      <c r="J341" s="121"/>
      <c r="K341" s="120"/>
      <c r="L341" s="121"/>
      <c r="M341" s="121"/>
      <c r="N341" s="120"/>
      <c r="O341" s="121"/>
      <c r="P341" s="121"/>
      <c r="Q341" s="101"/>
      <c r="R341" s="101"/>
      <c r="S341" s="100"/>
      <c r="T341" s="102"/>
      <c r="U341" s="102"/>
    </row>
    <row r="342" spans="2:21" ht="35.1" customHeight="1">
      <c r="B342" s="147" t="str">
        <f t="shared" si="8"/>
        <v>4-6</v>
      </c>
      <c r="C342" s="100" t="s">
        <v>82</v>
      </c>
      <c r="D342" s="42" t="s">
        <v>82</v>
      </c>
      <c r="E342" s="42" t="s">
        <v>201</v>
      </c>
      <c r="F342" s="226" t="s">
        <v>117</v>
      </c>
      <c r="G342" s="227"/>
      <c r="H342" s="120"/>
      <c r="I342" s="121"/>
      <c r="J342" s="121"/>
      <c r="K342" s="120"/>
      <c r="L342" s="121"/>
      <c r="M342" s="121"/>
      <c r="N342" s="120"/>
      <c r="O342" s="121"/>
      <c r="P342" s="121"/>
      <c r="Q342" s="101"/>
      <c r="R342" s="101"/>
      <c r="S342" s="100"/>
      <c r="T342" s="102"/>
      <c r="U342" s="102"/>
    </row>
    <row r="343" spans="2:21" ht="35.450000000000003" customHeight="1">
      <c r="B343" s="147" t="str">
        <f t="shared" si="8"/>
        <v>4-7</v>
      </c>
      <c r="C343" s="100" t="s">
        <v>201</v>
      </c>
      <c r="D343" s="42" t="s">
        <v>382</v>
      </c>
      <c r="E343" s="42" t="s">
        <v>270</v>
      </c>
      <c r="F343" s="226" t="s">
        <v>210</v>
      </c>
      <c r="G343" s="227"/>
      <c r="H343" s="120"/>
      <c r="I343" s="121"/>
      <c r="J343" s="121"/>
      <c r="K343" s="120"/>
      <c r="L343" s="121"/>
      <c r="M343" s="121"/>
      <c r="N343" s="120"/>
      <c r="O343" s="121"/>
      <c r="P343" s="121"/>
      <c r="Q343" s="101"/>
      <c r="R343" s="101"/>
      <c r="S343" s="100"/>
      <c r="T343" s="102"/>
      <c r="U343" s="102"/>
    </row>
    <row r="344" spans="2:21" ht="35.1" customHeight="1">
      <c r="B344" s="147" t="str">
        <f t="shared" si="8"/>
        <v>4-8</v>
      </c>
      <c r="C344" s="100" t="s">
        <v>82</v>
      </c>
      <c r="D344" s="42" t="s">
        <v>627</v>
      </c>
      <c r="E344" s="42" t="s">
        <v>258</v>
      </c>
      <c r="F344" s="226" t="s">
        <v>212</v>
      </c>
      <c r="G344" s="227"/>
      <c r="H344" s="120"/>
      <c r="I344" s="121"/>
      <c r="J344" s="121"/>
      <c r="K344" s="120"/>
      <c r="L344" s="121"/>
      <c r="M344" s="121"/>
      <c r="N344" s="120"/>
      <c r="O344" s="121"/>
      <c r="P344" s="121"/>
      <c r="Q344" s="101"/>
      <c r="R344" s="101"/>
      <c r="S344" s="100"/>
      <c r="T344" s="102"/>
      <c r="U344" s="102"/>
    </row>
    <row r="345" spans="2:21" ht="35.1" customHeight="1">
      <c r="B345" s="147" t="str">
        <f t="shared" si="8"/>
        <v>4-9</v>
      </c>
      <c r="C345" s="100" t="s">
        <v>82</v>
      </c>
      <c r="D345" s="42" t="s">
        <v>82</v>
      </c>
      <c r="E345" s="42" t="s">
        <v>267</v>
      </c>
      <c r="F345" s="226" t="s">
        <v>216</v>
      </c>
      <c r="G345" s="227"/>
      <c r="H345" s="120"/>
      <c r="I345" s="121"/>
      <c r="J345" s="121"/>
      <c r="K345" s="120"/>
      <c r="L345" s="121"/>
      <c r="M345" s="121"/>
      <c r="N345" s="120"/>
      <c r="O345" s="121"/>
      <c r="P345" s="121"/>
      <c r="Q345" s="101"/>
      <c r="R345" s="101"/>
      <c r="S345" s="100"/>
      <c r="T345" s="102"/>
      <c r="U345" s="102"/>
    </row>
    <row r="346" spans="2:21" ht="35.1" customHeight="1">
      <c r="B346" s="147" t="str">
        <f t="shared" si="8"/>
        <v>4-10</v>
      </c>
      <c r="C346" s="100" t="s">
        <v>82</v>
      </c>
      <c r="D346" s="42" t="s">
        <v>82</v>
      </c>
      <c r="E346" s="42" t="s">
        <v>82</v>
      </c>
      <c r="F346" s="226" t="s">
        <v>268</v>
      </c>
      <c r="G346" s="227"/>
      <c r="H346" s="120"/>
      <c r="I346" s="121"/>
      <c r="J346" s="121"/>
      <c r="K346" s="120"/>
      <c r="L346" s="121"/>
      <c r="M346" s="121"/>
      <c r="N346" s="120"/>
      <c r="O346" s="121"/>
      <c r="P346" s="121"/>
      <c r="Q346" s="101"/>
      <c r="R346" s="101"/>
      <c r="S346" s="100"/>
      <c r="T346" s="102"/>
      <c r="U346" s="102"/>
    </row>
    <row r="347" spans="2:21" ht="35.1" customHeight="1">
      <c r="B347" s="147" t="str">
        <f t="shared" si="8"/>
        <v>4-11</v>
      </c>
      <c r="C347" s="100" t="s">
        <v>213</v>
      </c>
      <c r="D347" s="42" t="s">
        <v>197</v>
      </c>
      <c r="E347" s="42" t="s">
        <v>270</v>
      </c>
      <c r="F347" s="226" t="s">
        <v>210</v>
      </c>
      <c r="G347" s="227"/>
      <c r="H347" s="120"/>
      <c r="I347" s="121"/>
      <c r="J347" s="121"/>
      <c r="K347" s="120"/>
      <c r="L347" s="121"/>
      <c r="M347" s="121"/>
      <c r="N347" s="120"/>
      <c r="O347" s="121"/>
      <c r="P347" s="121"/>
      <c r="Q347" s="101"/>
      <c r="R347" s="101"/>
      <c r="S347" s="100"/>
      <c r="T347" s="102"/>
      <c r="U347" s="102"/>
    </row>
    <row r="348" spans="2:21" ht="35.1" customHeight="1">
      <c r="B348" s="147" t="str">
        <f t="shared" si="8"/>
        <v>4-12</v>
      </c>
      <c r="C348" s="100" t="s">
        <v>82</v>
      </c>
      <c r="D348" s="42" t="s">
        <v>627</v>
      </c>
      <c r="E348" s="42" t="s">
        <v>258</v>
      </c>
      <c r="F348" s="226" t="s">
        <v>269</v>
      </c>
      <c r="G348" s="227"/>
      <c r="H348" s="120"/>
      <c r="I348" s="121"/>
      <c r="J348" s="121"/>
      <c r="K348" s="120"/>
      <c r="L348" s="121"/>
      <c r="M348" s="121"/>
      <c r="N348" s="120"/>
      <c r="O348" s="121"/>
      <c r="P348" s="121"/>
      <c r="Q348" s="101"/>
      <c r="R348" s="101"/>
      <c r="S348" s="100"/>
      <c r="T348" s="102"/>
      <c r="U348" s="102"/>
    </row>
    <row r="349" spans="2:21" ht="35.1" customHeight="1">
      <c r="B349" s="147" t="str">
        <f t="shared" si="8"/>
        <v>4-13</v>
      </c>
      <c r="C349" s="18" t="s">
        <v>129</v>
      </c>
      <c r="D349" s="18" t="s">
        <v>130</v>
      </c>
      <c r="E349" s="42" t="s">
        <v>128</v>
      </c>
      <c r="F349" s="228" t="s">
        <v>131</v>
      </c>
      <c r="G349" s="229"/>
      <c r="H349" s="120"/>
      <c r="I349" s="121"/>
      <c r="J349" s="121"/>
      <c r="K349" s="120"/>
      <c r="L349" s="121"/>
      <c r="M349" s="121"/>
      <c r="N349" s="120"/>
      <c r="O349" s="121"/>
      <c r="P349" s="121"/>
      <c r="Q349" s="101"/>
      <c r="R349" s="101"/>
      <c r="S349" s="100"/>
      <c r="T349" s="102"/>
      <c r="U349" s="102"/>
    </row>
    <row r="350" spans="2:21" ht="35.1" customHeight="1">
      <c r="B350" s="147" t="str">
        <f t="shared" si="8"/>
        <v>4-14</v>
      </c>
      <c r="C350" s="18" t="s">
        <v>140</v>
      </c>
      <c r="D350" s="18" t="s">
        <v>140</v>
      </c>
      <c r="E350" s="42" t="s">
        <v>128</v>
      </c>
      <c r="F350" s="228" t="s">
        <v>132</v>
      </c>
      <c r="G350" s="229"/>
      <c r="H350" s="120"/>
      <c r="I350" s="121"/>
      <c r="J350" s="121"/>
      <c r="K350" s="120"/>
      <c r="L350" s="121"/>
      <c r="M350" s="121"/>
      <c r="N350" s="120"/>
      <c r="O350" s="121"/>
      <c r="P350" s="121"/>
      <c r="Q350" s="101"/>
      <c r="R350" s="101"/>
      <c r="S350" s="100"/>
      <c r="T350" s="102"/>
      <c r="U350" s="102"/>
    </row>
    <row r="351" spans="2:21" ht="35.1" customHeight="1">
      <c r="B351" s="147" t="str">
        <f t="shared" si="8"/>
        <v>4-15</v>
      </c>
      <c r="C351" s="18" t="s">
        <v>140</v>
      </c>
      <c r="D351" s="18" t="s">
        <v>150</v>
      </c>
      <c r="E351" s="42" t="s">
        <v>128</v>
      </c>
      <c r="F351" s="228" t="s">
        <v>151</v>
      </c>
      <c r="G351" s="229"/>
      <c r="H351" s="120"/>
      <c r="I351" s="121"/>
      <c r="J351" s="121"/>
      <c r="K351" s="120"/>
      <c r="L351" s="121"/>
      <c r="M351" s="121"/>
      <c r="N351" s="120"/>
      <c r="O351" s="121"/>
      <c r="P351" s="121"/>
      <c r="Q351" s="101"/>
      <c r="R351" s="101"/>
      <c r="S351" s="100"/>
      <c r="T351" s="102"/>
      <c r="U351" s="102"/>
    </row>
    <row r="352" spans="2:21" ht="35.1" customHeight="1">
      <c r="B352" s="147" t="str">
        <f t="shared" si="8"/>
        <v>4-16</v>
      </c>
      <c r="C352" s="18" t="s">
        <v>140</v>
      </c>
      <c r="D352" s="18" t="s">
        <v>140</v>
      </c>
      <c r="E352" s="42" t="s">
        <v>128</v>
      </c>
      <c r="F352" s="228" t="s">
        <v>132</v>
      </c>
      <c r="G352" s="229"/>
      <c r="H352" s="120"/>
      <c r="I352" s="121"/>
      <c r="J352" s="121"/>
      <c r="K352" s="120"/>
      <c r="L352" s="121"/>
      <c r="M352" s="121"/>
      <c r="N352" s="120"/>
      <c r="O352" s="121"/>
      <c r="P352" s="121"/>
      <c r="Q352" s="101"/>
      <c r="R352" s="101"/>
      <c r="S352" s="100"/>
      <c r="T352" s="102"/>
      <c r="U352" s="102"/>
    </row>
    <row r="353" spans="2:22" ht="35.1" customHeight="1">
      <c r="B353" s="147" t="str">
        <f t="shared" si="8"/>
        <v>4-17</v>
      </c>
      <c r="C353" s="18" t="s">
        <v>140</v>
      </c>
      <c r="D353" s="18" t="s">
        <v>152</v>
      </c>
      <c r="E353" s="42" t="s">
        <v>128</v>
      </c>
      <c r="F353" s="228" t="s">
        <v>153</v>
      </c>
      <c r="G353" s="229"/>
      <c r="H353" s="120"/>
      <c r="I353" s="121"/>
      <c r="J353" s="121"/>
      <c r="K353" s="120"/>
      <c r="L353" s="121"/>
      <c r="M353" s="121"/>
      <c r="N353" s="120"/>
      <c r="O353" s="121"/>
      <c r="P353" s="121"/>
      <c r="Q353" s="101"/>
      <c r="R353" s="101"/>
      <c r="S353" s="100"/>
      <c r="T353" s="102"/>
      <c r="U353" s="102"/>
    </row>
    <row r="354" spans="2:22" ht="35.1" customHeight="1">
      <c r="B354" s="147" t="str">
        <f t="shared" si="8"/>
        <v>4-18</v>
      </c>
      <c r="C354" s="18" t="s">
        <v>140</v>
      </c>
      <c r="D354" s="18" t="s">
        <v>140</v>
      </c>
      <c r="E354" s="42" t="s">
        <v>128</v>
      </c>
      <c r="F354" s="228" t="s">
        <v>132</v>
      </c>
      <c r="G354" s="229"/>
      <c r="H354" s="120"/>
      <c r="I354" s="121"/>
      <c r="J354" s="121"/>
      <c r="K354" s="120"/>
      <c r="L354" s="121"/>
      <c r="M354" s="121"/>
      <c r="N354" s="120"/>
      <c r="O354" s="121"/>
      <c r="P354" s="121"/>
      <c r="Q354" s="101"/>
      <c r="R354" s="101"/>
      <c r="S354" s="100"/>
      <c r="T354" s="102"/>
      <c r="U354" s="102"/>
    </row>
    <row r="355" spans="2:22" ht="34.5" customHeight="1">
      <c r="B355" s="163" t="str">
        <f t="shared" si="8"/>
        <v>4-19</v>
      </c>
      <c r="C355" s="18" t="s">
        <v>133</v>
      </c>
      <c r="D355" s="18" t="s">
        <v>848</v>
      </c>
      <c r="E355" s="42" t="s">
        <v>849</v>
      </c>
      <c r="F355" s="228" t="s">
        <v>138</v>
      </c>
      <c r="G355" s="229"/>
      <c r="H355" s="120"/>
      <c r="I355" s="121"/>
      <c r="J355" s="121"/>
      <c r="K355" s="120"/>
      <c r="L355" s="121"/>
      <c r="M355" s="121"/>
      <c r="N355" s="120"/>
      <c r="O355" s="121"/>
      <c r="P355" s="121"/>
      <c r="Q355" s="101"/>
      <c r="R355" s="101"/>
      <c r="S355" s="100"/>
      <c r="T355" s="102"/>
      <c r="U355" s="102"/>
      <c r="V355" s="184"/>
    </row>
    <row r="358" spans="2:22">
      <c r="B358" s="2" t="s">
        <v>351</v>
      </c>
      <c r="C358" s="99" t="s">
        <v>352</v>
      </c>
    </row>
    <row r="359" spans="2:22">
      <c r="B359" s="238" t="s">
        <v>4</v>
      </c>
      <c r="C359" s="240" t="s">
        <v>5</v>
      </c>
      <c r="D359" s="242" t="s">
        <v>79</v>
      </c>
      <c r="E359" s="242" t="s">
        <v>6</v>
      </c>
      <c r="F359" s="244" t="s">
        <v>7</v>
      </c>
      <c r="G359" s="245"/>
      <c r="H359" s="236" t="s">
        <v>90</v>
      </c>
      <c r="I359" s="236"/>
      <c r="J359" s="236"/>
      <c r="K359" s="236" t="s">
        <v>83</v>
      </c>
      <c r="L359" s="236"/>
      <c r="M359" s="236"/>
      <c r="N359" s="236" t="s">
        <v>84</v>
      </c>
      <c r="O359" s="236"/>
      <c r="P359" s="236"/>
      <c r="Q359" s="242" t="s">
        <v>827</v>
      </c>
      <c r="R359" s="242" t="s">
        <v>78</v>
      </c>
      <c r="S359" s="237" t="s">
        <v>14</v>
      </c>
      <c r="T359" s="237"/>
      <c r="U359" s="237"/>
    </row>
    <row r="360" spans="2:22">
      <c r="B360" s="239"/>
      <c r="C360" s="241"/>
      <c r="D360" s="243"/>
      <c r="E360" s="243"/>
      <c r="F360" s="246"/>
      <c r="G360" s="247"/>
      <c r="H360" s="130" t="s">
        <v>8</v>
      </c>
      <c r="I360" s="130" t="s">
        <v>9</v>
      </c>
      <c r="J360" s="130" t="s">
        <v>10</v>
      </c>
      <c r="K360" s="130" t="s">
        <v>8</v>
      </c>
      <c r="L360" s="130" t="s">
        <v>9</v>
      </c>
      <c r="M360" s="130" t="s">
        <v>10</v>
      </c>
      <c r="N360" s="130" t="s">
        <v>8</v>
      </c>
      <c r="O360" s="130" t="s">
        <v>9</v>
      </c>
      <c r="P360" s="130" t="s">
        <v>10</v>
      </c>
      <c r="Q360" s="241"/>
      <c r="R360" s="241"/>
      <c r="S360" s="93"/>
      <c r="T360" s="94"/>
      <c r="U360" s="95"/>
    </row>
    <row r="361" spans="2:22" ht="36" customHeight="1">
      <c r="B361" s="147" t="str">
        <f t="shared" ref="B361:B392" si="9">"5-"&amp;ROW()-374</f>
        <v>5--13</v>
      </c>
      <c r="C361" s="100" t="s">
        <v>194</v>
      </c>
      <c r="D361" s="42" t="s">
        <v>100</v>
      </c>
      <c r="E361" s="42" t="s">
        <v>384</v>
      </c>
      <c r="F361" s="226" t="s">
        <v>360</v>
      </c>
      <c r="G361" s="227"/>
      <c r="H361" s="120"/>
      <c r="I361" s="121"/>
      <c r="J361" s="121"/>
      <c r="K361" s="120"/>
      <c r="L361" s="121"/>
      <c r="M361" s="121"/>
      <c r="N361" s="120"/>
      <c r="O361" s="121"/>
      <c r="P361" s="121"/>
      <c r="Q361" s="101"/>
      <c r="R361" s="101"/>
      <c r="S361" s="100"/>
      <c r="T361" s="102"/>
      <c r="U361" s="35"/>
    </row>
    <row r="362" spans="2:22" ht="35.1" customHeight="1">
      <c r="B362" s="163" t="str">
        <f t="shared" si="9"/>
        <v>5--12</v>
      </c>
      <c r="C362" s="100" t="s">
        <v>82</v>
      </c>
      <c r="D362" s="42" t="s">
        <v>628</v>
      </c>
      <c r="E362" s="42" t="s">
        <v>110</v>
      </c>
      <c r="F362" s="228" t="s">
        <v>102</v>
      </c>
      <c r="G362" s="229"/>
      <c r="H362" s="120"/>
      <c r="I362" s="121"/>
      <c r="J362" s="121"/>
      <c r="K362" s="120"/>
      <c r="L362" s="121"/>
      <c r="M362" s="121"/>
      <c r="N362" s="120"/>
      <c r="O362" s="121"/>
      <c r="P362" s="121"/>
      <c r="Q362" s="101"/>
      <c r="R362" s="101"/>
      <c r="S362" s="100"/>
      <c r="T362" s="102"/>
      <c r="U362" s="102"/>
    </row>
    <row r="363" spans="2:22" ht="35.1" customHeight="1">
      <c r="B363" s="163" t="str">
        <f t="shared" si="9"/>
        <v>5--11</v>
      </c>
      <c r="C363" s="100" t="s">
        <v>82</v>
      </c>
      <c r="D363" s="42" t="s">
        <v>116</v>
      </c>
      <c r="E363" s="42" t="s">
        <v>110</v>
      </c>
      <c r="F363" s="228" t="s">
        <v>102</v>
      </c>
      <c r="G363" s="229"/>
      <c r="H363" s="120"/>
      <c r="I363" s="121"/>
      <c r="J363" s="121"/>
      <c r="K363" s="120"/>
      <c r="L363" s="121"/>
      <c r="M363" s="121"/>
      <c r="N363" s="120"/>
      <c r="O363" s="121"/>
      <c r="P363" s="121"/>
      <c r="Q363" s="101"/>
      <c r="R363" s="101"/>
      <c r="S363" s="100"/>
      <c r="T363" s="102"/>
      <c r="U363" s="102"/>
    </row>
    <row r="364" spans="2:22" ht="35.1" customHeight="1">
      <c r="B364" s="147" t="str">
        <f t="shared" si="9"/>
        <v>5--10</v>
      </c>
      <c r="C364" s="100" t="s">
        <v>82</v>
      </c>
      <c r="D364" s="42" t="s">
        <v>629</v>
      </c>
      <c r="E364" s="42" t="s">
        <v>62</v>
      </c>
      <c r="F364" s="226" t="s">
        <v>93</v>
      </c>
      <c r="G364" s="227"/>
      <c r="H364" s="120"/>
      <c r="I364" s="121"/>
      <c r="J364" s="121"/>
      <c r="K364" s="120"/>
      <c r="L364" s="121"/>
      <c r="M364" s="121"/>
      <c r="N364" s="120"/>
      <c r="O364" s="121"/>
      <c r="P364" s="121"/>
      <c r="Q364" s="101"/>
      <c r="R364" s="101"/>
      <c r="S364" s="100"/>
      <c r="T364" s="102"/>
      <c r="U364" s="102"/>
    </row>
    <row r="365" spans="2:22" ht="30.6" customHeight="1">
      <c r="B365" s="147" t="str">
        <f t="shared" si="9"/>
        <v>5--9</v>
      </c>
      <c r="C365" s="100" t="s">
        <v>82</v>
      </c>
      <c r="D365" s="42" t="s">
        <v>100</v>
      </c>
      <c r="E365" s="42" t="s">
        <v>110</v>
      </c>
      <c r="F365" s="226" t="s">
        <v>91</v>
      </c>
      <c r="G365" s="227"/>
      <c r="H365" s="120"/>
      <c r="I365" s="121"/>
      <c r="J365" s="121"/>
      <c r="K365" s="120"/>
      <c r="L365" s="121"/>
      <c r="M365" s="121"/>
      <c r="N365" s="120"/>
      <c r="O365" s="121"/>
      <c r="P365" s="121"/>
      <c r="Q365" s="101"/>
      <c r="R365" s="101"/>
      <c r="S365" s="100"/>
      <c r="T365" s="102"/>
      <c r="U365" s="102"/>
    </row>
    <row r="366" spans="2:22">
      <c r="B366" s="147" t="str">
        <f t="shared" si="9"/>
        <v>5--8</v>
      </c>
      <c r="C366" s="100" t="s">
        <v>82</v>
      </c>
      <c r="D366" s="42" t="s">
        <v>167</v>
      </c>
      <c r="E366" s="42" t="s">
        <v>236</v>
      </c>
      <c r="F366" s="226" t="s">
        <v>353</v>
      </c>
      <c r="G366" s="227"/>
      <c r="H366" s="120"/>
      <c r="I366" s="121"/>
      <c r="J366" s="121"/>
      <c r="K366" s="120"/>
      <c r="L366" s="121"/>
      <c r="M366" s="121"/>
      <c r="N366" s="120"/>
      <c r="O366" s="121"/>
      <c r="P366" s="121"/>
      <c r="Q366" s="101"/>
      <c r="R366" s="101"/>
      <c r="S366" s="100"/>
      <c r="T366" s="102"/>
      <c r="U366" s="102"/>
    </row>
    <row r="367" spans="2:22" ht="41.25" customHeight="1">
      <c r="B367" s="147" t="str">
        <f t="shared" si="9"/>
        <v>5--7</v>
      </c>
      <c r="C367" s="100" t="s">
        <v>82</v>
      </c>
      <c r="D367" s="42" t="s">
        <v>630</v>
      </c>
      <c r="E367" s="42" t="s">
        <v>354</v>
      </c>
      <c r="F367" s="226" t="s">
        <v>355</v>
      </c>
      <c r="G367" s="227"/>
      <c r="H367" s="120"/>
      <c r="I367" s="121"/>
      <c r="J367" s="121"/>
      <c r="K367" s="120"/>
      <c r="L367" s="121"/>
      <c r="M367" s="121"/>
      <c r="N367" s="120"/>
      <c r="O367" s="121"/>
      <c r="P367" s="121"/>
      <c r="Q367" s="101"/>
      <c r="R367" s="101"/>
      <c r="S367" s="100"/>
      <c r="T367" s="102"/>
      <c r="U367" s="102"/>
      <c r="V367" s="184"/>
    </row>
    <row r="368" spans="2:22" ht="41.25" customHeight="1">
      <c r="B368" s="147" t="str">
        <f t="shared" si="9"/>
        <v>5--6</v>
      </c>
      <c r="C368" s="100" t="s">
        <v>82</v>
      </c>
      <c r="D368" s="42" t="s">
        <v>82</v>
      </c>
      <c r="E368" s="42" t="s">
        <v>112</v>
      </c>
      <c r="F368" s="226" t="s">
        <v>117</v>
      </c>
      <c r="G368" s="227"/>
      <c r="H368" s="120"/>
      <c r="I368" s="121"/>
      <c r="J368" s="121"/>
      <c r="K368" s="120"/>
      <c r="L368" s="121"/>
      <c r="M368" s="121"/>
      <c r="N368" s="120"/>
      <c r="O368" s="121"/>
      <c r="P368" s="121"/>
      <c r="Q368" s="101"/>
      <c r="R368" s="101"/>
      <c r="S368" s="100"/>
      <c r="T368" s="102"/>
      <c r="U368" s="102"/>
      <c r="V368" s="184"/>
    </row>
    <row r="369" spans="2:22" ht="41.25" customHeight="1">
      <c r="B369" s="147" t="str">
        <f t="shared" si="9"/>
        <v>5--5</v>
      </c>
      <c r="C369" s="100" t="s">
        <v>82</v>
      </c>
      <c r="D369" s="42" t="s">
        <v>82</v>
      </c>
      <c r="E369" s="42" t="s">
        <v>113</v>
      </c>
      <c r="F369" s="226" t="s">
        <v>117</v>
      </c>
      <c r="G369" s="227"/>
      <c r="H369" s="120"/>
      <c r="I369" s="121"/>
      <c r="J369" s="121"/>
      <c r="K369" s="120"/>
      <c r="L369" s="121"/>
      <c r="M369" s="121"/>
      <c r="N369" s="120"/>
      <c r="O369" s="121"/>
      <c r="P369" s="121"/>
      <c r="Q369" s="101"/>
      <c r="R369" s="101"/>
      <c r="S369" s="100"/>
      <c r="T369" s="102"/>
      <c r="U369" s="102"/>
      <c r="V369" s="184"/>
    </row>
    <row r="370" spans="2:22" ht="41.25" customHeight="1">
      <c r="B370" s="147" t="str">
        <f t="shared" si="9"/>
        <v>5--4</v>
      </c>
      <c r="C370" s="100" t="s">
        <v>82</v>
      </c>
      <c r="D370" s="42" t="s">
        <v>82</v>
      </c>
      <c r="E370" s="42" t="s">
        <v>122</v>
      </c>
      <c r="F370" s="226" t="s">
        <v>125</v>
      </c>
      <c r="G370" s="227"/>
      <c r="H370" s="120"/>
      <c r="I370" s="121"/>
      <c r="J370" s="121"/>
      <c r="K370" s="120"/>
      <c r="L370" s="121"/>
      <c r="M370" s="121"/>
      <c r="N370" s="120"/>
      <c r="O370" s="121"/>
      <c r="P370" s="121"/>
      <c r="Q370" s="101"/>
      <c r="R370" s="101"/>
      <c r="S370" s="100"/>
      <c r="T370" s="102"/>
      <c r="U370" s="102"/>
      <c r="V370" s="184"/>
    </row>
    <row r="371" spans="2:22" ht="41.25" customHeight="1">
      <c r="B371" s="147" t="str">
        <f t="shared" si="9"/>
        <v>5--3</v>
      </c>
      <c r="C371" s="100" t="s">
        <v>82</v>
      </c>
      <c r="D371" s="42" t="s">
        <v>82</v>
      </c>
      <c r="E371" s="42" t="s">
        <v>114</v>
      </c>
      <c r="F371" s="226" t="s">
        <v>119</v>
      </c>
      <c r="G371" s="227"/>
      <c r="H371" s="120"/>
      <c r="I371" s="121"/>
      <c r="J371" s="121"/>
      <c r="K371" s="120"/>
      <c r="L371" s="121"/>
      <c r="M371" s="121"/>
      <c r="N371" s="120"/>
      <c r="O371" s="121"/>
      <c r="P371" s="121"/>
      <c r="Q371" s="101"/>
      <c r="R371" s="101"/>
      <c r="S371" s="100"/>
      <c r="T371" s="102"/>
      <c r="U371" s="102"/>
      <c r="V371" s="184"/>
    </row>
    <row r="372" spans="2:22" ht="41.25" customHeight="1">
      <c r="B372" s="147" t="str">
        <f t="shared" si="9"/>
        <v>5--2</v>
      </c>
      <c r="C372" s="100" t="s">
        <v>82</v>
      </c>
      <c r="D372" s="42" t="s">
        <v>82</v>
      </c>
      <c r="E372" s="42" t="s">
        <v>115</v>
      </c>
      <c r="F372" s="226" t="s">
        <v>356</v>
      </c>
      <c r="G372" s="227"/>
      <c r="H372" s="120"/>
      <c r="I372" s="121"/>
      <c r="J372" s="121"/>
      <c r="K372" s="120"/>
      <c r="L372" s="121"/>
      <c r="M372" s="121"/>
      <c r="N372" s="120"/>
      <c r="O372" s="121"/>
      <c r="P372" s="121"/>
      <c r="Q372" s="101"/>
      <c r="R372" s="101"/>
      <c r="S372" s="100"/>
      <c r="T372" s="102"/>
      <c r="U372" s="102"/>
      <c r="V372" s="184"/>
    </row>
    <row r="373" spans="2:22" ht="41.25" customHeight="1">
      <c r="B373" s="147" t="str">
        <f t="shared" si="9"/>
        <v>5--1</v>
      </c>
      <c r="C373" s="100" t="s">
        <v>82</v>
      </c>
      <c r="D373" s="42" t="s">
        <v>82</v>
      </c>
      <c r="E373" s="42" t="s">
        <v>357</v>
      </c>
      <c r="F373" s="226" t="s">
        <v>120</v>
      </c>
      <c r="G373" s="227"/>
      <c r="H373" s="120"/>
      <c r="I373" s="121"/>
      <c r="J373" s="121"/>
      <c r="K373" s="120"/>
      <c r="L373" s="121"/>
      <c r="M373" s="121"/>
      <c r="N373" s="120"/>
      <c r="O373" s="121"/>
      <c r="P373" s="121"/>
      <c r="Q373" s="101"/>
      <c r="R373" s="101"/>
      <c r="S373" s="100"/>
      <c r="T373" s="102"/>
      <c r="U373" s="102"/>
      <c r="V373" s="184"/>
    </row>
    <row r="374" spans="2:22" ht="41.25" customHeight="1">
      <c r="B374" s="147" t="str">
        <f t="shared" si="9"/>
        <v>5-0</v>
      </c>
      <c r="C374" s="100" t="s">
        <v>82</v>
      </c>
      <c r="D374" s="42" t="s">
        <v>631</v>
      </c>
      <c r="E374" s="42" t="s">
        <v>354</v>
      </c>
      <c r="F374" s="226" t="s">
        <v>355</v>
      </c>
      <c r="G374" s="227"/>
      <c r="H374" s="120"/>
      <c r="I374" s="121"/>
      <c r="J374" s="121"/>
      <c r="K374" s="120"/>
      <c r="L374" s="121"/>
      <c r="M374" s="121"/>
      <c r="N374" s="120"/>
      <c r="O374" s="121"/>
      <c r="P374" s="121"/>
      <c r="Q374" s="101"/>
      <c r="R374" s="101"/>
      <c r="S374" s="100"/>
      <c r="T374" s="102"/>
      <c r="U374" s="102"/>
      <c r="V374" s="184"/>
    </row>
    <row r="375" spans="2:22" ht="41.25" customHeight="1">
      <c r="B375" s="147" t="str">
        <f t="shared" si="9"/>
        <v>5-1</v>
      </c>
      <c r="C375" s="100" t="s">
        <v>82</v>
      </c>
      <c r="D375" s="42" t="s">
        <v>82</v>
      </c>
      <c r="E375" s="42" t="s">
        <v>112</v>
      </c>
      <c r="F375" s="226" t="s">
        <v>117</v>
      </c>
      <c r="G375" s="227"/>
      <c r="H375" s="120"/>
      <c r="I375" s="121"/>
      <c r="J375" s="121"/>
      <c r="K375" s="120"/>
      <c r="L375" s="121"/>
      <c r="M375" s="121"/>
      <c r="N375" s="120"/>
      <c r="O375" s="121"/>
      <c r="P375" s="121"/>
      <c r="Q375" s="101"/>
      <c r="R375" s="101"/>
      <c r="S375" s="100"/>
      <c r="T375" s="102"/>
      <c r="U375" s="102"/>
      <c r="V375" s="184"/>
    </row>
    <row r="376" spans="2:22" ht="41.25" customHeight="1">
      <c r="B376" s="147" t="str">
        <f t="shared" si="9"/>
        <v>5-2</v>
      </c>
      <c r="C376" s="100" t="s">
        <v>82</v>
      </c>
      <c r="D376" s="42" t="s">
        <v>82</v>
      </c>
      <c r="E376" s="42" t="s">
        <v>113</v>
      </c>
      <c r="F376" s="226" t="s">
        <v>119</v>
      </c>
      <c r="G376" s="227"/>
      <c r="H376" s="120"/>
      <c r="I376" s="121"/>
      <c r="J376" s="121"/>
      <c r="K376" s="120"/>
      <c r="L376" s="121"/>
      <c r="M376" s="121"/>
      <c r="N376" s="120"/>
      <c r="O376" s="121"/>
      <c r="P376" s="121"/>
      <c r="Q376" s="101"/>
      <c r="R376" s="101"/>
      <c r="S376" s="100"/>
      <c r="T376" s="102"/>
      <c r="U376" s="102"/>
      <c r="V376" s="184"/>
    </row>
    <row r="377" spans="2:22" ht="41.25" customHeight="1">
      <c r="B377" s="147" t="str">
        <f t="shared" si="9"/>
        <v>5-3</v>
      </c>
      <c r="C377" s="100" t="s">
        <v>82</v>
      </c>
      <c r="D377" s="42" t="s">
        <v>82</v>
      </c>
      <c r="E377" s="42" t="s">
        <v>122</v>
      </c>
      <c r="F377" s="226" t="s">
        <v>125</v>
      </c>
      <c r="G377" s="227"/>
      <c r="H377" s="120"/>
      <c r="I377" s="121"/>
      <c r="J377" s="121"/>
      <c r="K377" s="120"/>
      <c r="L377" s="121"/>
      <c r="M377" s="121"/>
      <c r="N377" s="120"/>
      <c r="O377" s="121"/>
      <c r="P377" s="121"/>
      <c r="Q377" s="101"/>
      <c r="R377" s="101"/>
      <c r="S377" s="100"/>
      <c r="T377" s="102"/>
      <c r="U377" s="102"/>
      <c r="V377" s="184"/>
    </row>
    <row r="378" spans="2:22" ht="41.25" customHeight="1">
      <c r="B378" s="147" t="str">
        <f t="shared" si="9"/>
        <v>5-4</v>
      </c>
      <c r="C378" s="100" t="s">
        <v>82</v>
      </c>
      <c r="D378" s="42" t="s">
        <v>82</v>
      </c>
      <c r="E378" s="42" t="s">
        <v>114</v>
      </c>
      <c r="F378" s="226" t="s">
        <v>119</v>
      </c>
      <c r="G378" s="227"/>
      <c r="H378" s="120"/>
      <c r="I378" s="121"/>
      <c r="J378" s="121"/>
      <c r="K378" s="120"/>
      <c r="L378" s="121"/>
      <c r="M378" s="121"/>
      <c r="N378" s="120"/>
      <c r="O378" s="121"/>
      <c r="P378" s="121"/>
      <c r="Q378" s="101"/>
      <c r="R378" s="101"/>
      <c r="S378" s="100"/>
      <c r="T378" s="102"/>
      <c r="U378" s="102"/>
      <c r="V378" s="184"/>
    </row>
    <row r="379" spans="2:22" ht="41.25" customHeight="1">
      <c r="B379" s="147" t="str">
        <f t="shared" si="9"/>
        <v>5-5</v>
      </c>
      <c r="C379" s="100" t="s">
        <v>82</v>
      </c>
      <c r="D379" s="42" t="s">
        <v>82</v>
      </c>
      <c r="E379" s="42" t="s">
        <v>115</v>
      </c>
      <c r="F379" s="226" t="s">
        <v>358</v>
      </c>
      <c r="G379" s="227"/>
      <c r="H379" s="120"/>
      <c r="I379" s="121"/>
      <c r="J379" s="121"/>
      <c r="K379" s="120"/>
      <c r="L379" s="121"/>
      <c r="M379" s="121"/>
      <c r="N379" s="120"/>
      <c r="O379" s="121"/>
      <c r="P379" s="121"/>
      <c r="Q379" s="101"/>
      <c r="R379" s="101"/>
      <c r="S379" s="100"/>
      <c r="T379" s="102"/>
      <c r="U379" s="102"/>
      <c r="V379" s="184"/>
    </row>
    <row r="380" spans="2:22" ht="41.25" customHeight="1">
      <c r="B380" s="147" t="str">
        <f t="shared" si="9"/>
        <v>5-6</v>
      </c>
      <c r="C380" s="100" t="s">
        <v>82</v>
      </c>
      <c r="D380" s="42" t="s">
        <v>82</v>
      </c>
      <c r="E380" s="42" t="s">
        <v>357</v>
      </c>
      <c r="F380" s="226" t="s">
        <v>120</v>
      </c>
      <c r="G380" s="227"/>
      <c r="H380" s="120"/>
      <c r="I380" s="121"/>
      <c r="J380" s="121"/>
      <c r="K380" s="120"/>
      <c r="L380" s="121"/>
      <c r="M380" s="121"/>
      <c r="N380" s="120"/>
      <c r="O380" s="121"/>
      <c r="P380" s="121"/>
      <c r="Q380" s="101"/>
      <c r="R380" s="101"/>
      <c r="S380" s="100"/>
      <c r="T380" s="102"/>
      <c r="U380" s="102"/>
      <c r="V380" s="184"/>
    </row>
    <row r="381" spans="2:22" ht="41.25" customHeight="1">
      <c r="B381" s="147" t="str">
        <f t="shared" si="9"/>
        <v>5-7</v>
      </c>
      <c r="C381" s="100" t="s">
        <v>82</v>
      </c>
      <c r="D381" s="42" t="s">
        <v>632</v>
      </c>
      <c r="E381" s="42" t="s">
        <v>354</v>
      </c>
      <c r="F381" s="226" t="s">
        <v>355</v>
      </c>
      <c r="G381" s="227"/>
      <c r="H381" s="120"/>
      <c r="I381" s="121"/>
      <c r="J381" s="121"/>
      <c r="K381" s="120"/>
      <c r="L381" s="121"/>
      <c r="M381" s="121"/>
      <c r="N381" s="120"/>
      <c r="O381" s="121"/>
      <c r="P381" s="121"/>
      <c r="Q381" s="101"/>
      <c r="R381" s="101"/>
      <c r="S381" s="100"/>
      <c r="T381" s="102"/>
      <c r="U381" s="102"/>
      <c r="V381" s="184"/>
    </row>
    <row r="382" spans="2:22" ht="41.25" customHeight="1">
      <c r="B382" s="147" t="str">
        <f t="shared" si="9"/>
        <v>5-8</v>
      </c>
      <c r="C382" s="100" t="s">
        <v>82</v>
      </c>
      <c r="D382" s="42" t="s">
        <v>82</v>
      </c>
      <c r="E382" s="42" t="s">
        <v>112</v>
      </c>
      <c r="F382" s="226" t="s">
        <v>117</v>
      </c>
      <c r="G382" s="227"/>
      <c r="H382" s="120"/>
      <c r="I382" s="121"/>
      <c r="J382" s="121"/>
      <c r="K382" s="120"/>
      <c r="L382" s="121"/>
      <c r="M382" s="121"/>
      <c r="N382" s="120"/>
      <c r="O382" s="121"/>
      <c r="P382" s="121"/>
      <c r="Q382" s="101"/>
      <c r="R382" s="101"/>
      <c r="S382" s="100"/>
      <c r="T382" s="102"/>
      <c r="U382" s="102"/>
      <c r="V382" s="184"/>
    </row>
    <row r="383" spans="2:22" ht="41.25" customHeight="1">
      <c r="B383" s="147" t="str">
        <f t="shared" si="9"/>
        <v>5-9</v>
      </c>
      <c r="C383" s="100" t="s">
        <v>82</v>
      </c>
      <c r="D383" s="42" t="s">
        <v>82</v>
      </c>
      <c r="E383" s="42" t="s">
        <v>113</v>
      </c>
      <c r="F383" s="226" t="s">
        <v>119</v>
      </c>
      <c r="G383" s="227"/>
      <c r="H383" s="120"/>
      <c r="I383" s="121"/>
      <c r="J383" s="121"/>
      <c r="K383" s="120"/>
      <c r="L383" s="121"/>
      <c r="M383" s="121"/>
      <c r="N383" s="120"/>
      <c r="O383" s="121"/>
      <c r="P383" s="121"/>
      <c r="Q383" s="101"/>
      <c r="R383" s="101"/>
      <c r="S383" s="100"/>
      <c r="T383" s="102"/>
      <c r="U383" s="102"/>
      <c r="V383" s="184"/>
    </row>
    <row r="384" spans="2:22" ht="41.25" customHeight="1">
      <c r="B384" s="147" t="str">
        <f t="shared" si="9"/>
        <v>5-10</v>
      </c>
      <c r="C384" s="100" t="s">
        <v>82</v>
      </c>
      <c r="D384" s="42" t="s">
        <v>82</v>
      </c>
      <c r="E384" s="42" t="s">
        <v>122</v>
      </c>
      <c r="F384" s="226" t="s">
        <v>125</v>
      </c>
      <c r="G384" s="227"/>
      <c r="H384" s="120"/>
      <c r="I384" s="121"/>
      <c r="J384" s="121"/>
      <c r="K384" s="120"/>
      <c r="L384" s="121"/>
      <c r="M384" s="121"/>
      <c r="N384" s="120"/>
      <c r="O384" s="121"/>
      <c r="P384" s="121"/>
      <c r="Q384" s="101"/>
      <c r="R384" s="101"/>
      <c r="S384" s="100"/>
      <c r="T384" s="102"/>
      <c r="U384" s="102"/>
      <c r="V384" s="184"/>
    </row>
    <row r="385" spans="2:22" ht="41.25" customHeight="1">
      <c r="B385" s="147" t="str">
        <f t="shared" si="9"/>
        <v>5-11</v>
      </c>
      <c r="C385" s="100" t="s">
        <v>82</v>
      </c>
      <c r="D385" s="42" t="s">
        <v>82</v>
      </c>
      <c r="E385" s="42" t="s">
        <v>114</v>
      </c>
      <c r="F385" s="226" t="s">
        <v>119</v>
      </c>
      <c r="G385" s="227"/>
      <c r="H385" s="120"/>
      <c r="I385" s="121"/>
      <c r="J385" s="121"/>
      <c r="K385" s="120"/>
      <c r="L385" s="121"/>
      <c r="M385" s="121"/>
      <c r="N385" s="120"/>
      <c r="O385" s="121"/>
      <c r="P385" s="121"/>
      <c r="Q385" s="101"/>
      <c r="R385" s="101"/>
      <c r="S385" s="100"/>
      <c r="T385" s="102"/>
      <c r="U385" s="102"/>
      <c r="V385" s="184"/>
    </row>
    <row r="386" spans="2:22" ht="41.25" customHeight="1">
      <c r="B386" s="147" t="str">
        <f t="shared" si="9"/>
        <v>5-12</v>
      </c>
      <c r="C386" s="100" t="s">
        <v>82</v>
      </c>
      <c r="D386" s="42" t="s">
        <v>82</v>
      </c>
      <c r="E386" s="42" t="s">
        <v>115</v>
      </c>
      <c r="F386" s="226" t="s">
        <v>359</v>
      </c>
      <c r="G386" s="227"/>
      <c r="H386" s="120"/>
      <c r="I386" s="121"/>
      <c r="J386" s="121"/>
      <c r="K386" s="120"/>
      <c r="L386" s="121"/>
      <c r="M386" s="121"/>
      <c r="N386" s="120"/>
      <c r="O386" s="121"/>
      <c r="P386" s="121"/>
      <c r="Q386" s="101"/>
      <c r="R386" s="101"/>
      <c r="S386" s="100"/>
      <c r="T386" s="102"/>
      <c r="U386" s="102"/>
      <c r="V386" s="184"/>
    </row>
    <row r="387" spans="2:22" ht="41.25" customHeight="1">
      <c r="B387" s="147" t="str">
        <f t="shared" si="9"/>
        <v>5-13</v>
      </c>
      <c r="C387" s="100" t="s">
        <v>82</v>
      </c>
      <c r="D387" s="42" t="s">
        <v>82</v>
      </c>
      <c r="E387" s="42" t="s">
        <v>357</v>
      </c>
      <c r="F387" s="226" t="s">
        <v>120</v>
      </c>
      <c r="G387" s="227"/>
      <c r="H387" s="120"/>
      <c r="I387" s="121"/>
      <c r="J387" s="121"/>
      <c r="K387" s="120"/>
      <c r="L387" s="121"/>
      <c r="M387" s="121"/>
      <c r="N387" s="120"/>
      <c r="O387" s="121"/>
      <c r="P387" s="121"/>
      <c r="Q387" s="101"/>
      <c r="R387" s="101"/>
      <c r="S387" s="100"/>
      <c r="T387" s="102"/>
      <c r="U387" s="102"/>
      <c r="V387" s="184"/>
    </row>
    <row r="388" spans="2:22" ht="41.25" customHeight="1">
      <c r="B388" s="147" t="str">
        <f t="shared" si="9"/>
        <v>5-14</v>
      </c>
      <c r="C388" s="100" t="s">
        <v>106</v>
      </c>
      <c r="D388" s="42" t="s">
        <v>624</v>
      </c>
      <c r="E388" s="42" t="s">
        <v>413</v>
      </c>
      <c r="F388" s="226" t="s">
        <v>360</v>
      </c>
      <c r="G388" s="227"/>
      <c r="H388" s="120"/>
      <c r="I388" s="121"/>
      <c r="J388" s="121"/>
      <c r="K388" s="120"/>
      <c r="L388" s="121"/>
      <c r="M388" s="121"/>
      <c r="N388" s="120"/>
      <c r="O388" s="121"/>
      <c r="P388" s="121"/>
      <c r="Q388" s="101"/>
      <c r="R388" s="101"/>
      <c r="S388" s="100"/>
      <c r="T388" s="102"/>
      <c r="U388" s="102"/>
      <c r="V388" s="184"/>
    </row>
    <row r="389" spans="2:22" ht="41.25" customHeight="1">
      <c r="B389" s="147" t="str">
        <f t="shared" si="9"/>
        <v>5-15</v>
      </c>
      <c r="C389" s="100" t="s">
        <v>82</v>
      </c>
      <c r="D389" s="42" t="s">
        <v>82</v>
      </c>
      <c r="E389" s="42" t="s">
        <v>354</v>
      </c>
      <c r="F389" s="226" t="s">
        <v>355</v>
      </c>
      <c r="G389" s="227"/>
      <c r="H389" s="120"/>
      <c r="I389" s="121"/>
      <c r="J389" s="121"/>
      <c r="K389" s="120"/>
      <c r="L389" s="121"/>
      <c r="M389" s="121"/>
      <c r="N389" s="120"/>
      <c r="O389" s="121"/>
      <c r="P389" s="121"/>
      <c r="Q389" s="101"/>
      <c r="R389" s="101"/>
      <c r="S389" s="100"/>
      <c r="T389" s="102"/>
      <c r="U389" s="102"/>
      <c r="V389" s="184"/>
    </row>
    <row r="390" spans="2:22" ht="41.25" customHeight="1">
      <c r="B390" s="147" t="str">
        <f t="shared" si="9"/>
        <v>5-16</v>
      </c>
      <c r="C390" s="100" t="s">
        <v>82</v>
      </c>
      <c r="D390" s="42" t="s">
        <v>82</v>
      </c>
      <c r="E390" s="42" t="s">
        <v>112</v>
      </c>
      <c r="F390" s="226" t="s">
        <v>119</v>
      </c>
      <c r="G390" s="227"/>
      <c r="H390" s="120"/>
      <c r="I390" s="121"/>
      <c r="J390" s="121"/>
      <c r="K390" s="120"/>
      <c r="L390" s="121"/>
      <c r="M390" s="121"/>
      <c r="N390" s="120"/>
      <c r="O390" s="121"/>
      <c r="P390" s="121"/>
      <c r="Q390" s="101"/>
      <c r="R390" s="101"/>
      <c r="S390" s="100"/>
      <c r="T390" s="102"/>
      <c r="U390" s="102"/>
      <c r="V390" s="184"/>
    </row>
    <row r="391" spans="2:22" ht="41.25" customHeight="1">
      <c r="B391" s="147" t="str">
        <f t="shared" si="9"/>
        <v>5-17</v>
      </c>
      <c r="C391" s="100" t="s">
        <v>82</v>
      </c>
      <c r="D391" s="42" t="s">
        <v>82</v>
      </c>
      <c r="E391" s="42" t="s">
        <v>113</v>
      </c>
      <c r="F391" s="226" t="s">
        <v>119</v>
      </c>
      <c r="G391" s="227"/>
      <c r="H391" s="120"/>
      <c r="I391" s="121"/>
      <c r="J391" s="121"/>
      <c r="K391" s="120"/>
      <c r="L391" s="121"/>
      <c r="M391" s="121"/>
      <c r="N391" s="120"/>
      <c r="O391" s="121"/>
      <c r="P391" s="121"/>
      <c r="Q391" s="101"/>
      <c r="R391" s="101"/>
      <c r="S391" s="100"/>
      <c r="T391" s="102"/>
      <c r="U391" s="102"/>
      <c r="V391" s="184"/>
    </row>
    <row r="392" spans="2:22" ht="41.25" customHeight="1">
      <c r="B392" s="147" t="str">
        <f t="shared" si="9"/>
        <v>5-18</v>
      </c>
      <c r="C392" s="100" t="s">
        <v>82</v>
      </c>
      <c r="D392" s="42" t="s">
        <v>82</v>
      </c>
      <c r="E392" s="42" t="s">
        <v>122</v>
      </c>
      <c r="F392" s="226" t="s">
        <v>126</v>
      </c>
      <c r="G392" s="227"/>
      <c r="H392" s="120"/>
      <c r="I392" s="121"/>
      <c r="J392" s="121"/>
      <c r="K392" s="120"/>
      <c r="L392" s="121"/>
      <c r="M392" s="121"/>
      <c r="N392" s="120"/>
      <c r="O392" s="121"/>
      <c r="P392" s="121"/>
      <c r="Q392" s="101"/>
      <c r="R392" s="101"/>
      <c r="S392" s="100"/>
      <c r="T392" s="102"/>
      <c r="U392" s="102"/>
      <c r="V392" s="184"/>
    </row>
    <row r="393" spans="2:22" ht="41.25" customHeight="1">
      <c r="B393" s="147" t="str">
        <f t="shared" ref="B393:B420" si="10">"5-"&amp;ROW()-374</f>
        <v>5-19</v>
      </c>
      <c r="C393" s="100" t="s">
        <v>82</v>
      </c>
      <c r="D393" s="42" t="s">
        <v>82</v>
      </c>
      <c r="E393" s="42" t="s">
        <v>114</v>
      </c>
      <c r="F393" s="226" t="s">
        <v>119</v>
      </c>
      <c r="G393" s="227"/>
      <c r="H393" s="120"/>
      <c r="I393" s="121"/>
      <c r="J393" s="121"/>
      <c r="K393" s="120"/>
      <c r="L393" s="121"/>
      <c r="M393" s="121"/>
      <c r="N393" s="120"/>
      <c r="O393" s="121"/>
      <c r="P393" s="121"/>
      <c r="Q393" s="101"/>
      <c r="R393" s="101"/>
      <c r="S393" s="100"/>
      <c r="T393" s="102"/>
      <c r="U393" s="102"/>
      <c r="V393" s="184"/>
    </row>
    <row r="394" spans="2:22" ht="41.25" customHeight="1">
      <c r="B394" s="147" t="str">
        <f t="shared" si="10"/>
        <v>5-20</v>
      </c>
      <c r="C394" s="100" t="s">
        <v>82</v>
      </c>
      <c r="D394" s="42" t="s">
        <v>82</v>
      </c>
      <c r="E394" s="42" t="s">
        <v>115</v>
      </c>
      <c r="F394" s="226" t="s">
        <v>361</v>
      </c>
      <c r="G394" s="227"/>
      <c r="H394" s="120"/>
      <c r="I394" s="121"/>
      <c r="J394" s="121"/>
      <c r="K394" s="120"/>
      <c r="L394" s="121"/>
      <c r="M394" s="121"/>
      <c r="N394" s="120"/>
      <c r="O394" s="121"/>
      <c r="P394" s="121"/>
      <c r="Q394" s="101"/>
      <c r="R394" s="101"/>
      <c r="S394" s="100"/>
      <c r="T394" s="102"/>
      <c r="U394" s="102"/>
      <c r="V394" s="184"/>
    </row>
    <row r="395" spans="2:22" ht="41.25" customHeight="1">
      <c r="B395" s="147" t="str">
        <f t="shared" si="10"/>
        <v>5-21</v>
      </c>
      <c r="C395" s="100" t="s">
        <v>82</v>
      </c>
      <c r="D395" s="42" t="s">
        <v>82</v>
      </c>
      <c r="E395" s="42" t="s">
        <v>357</v>
      </c>
      <c r="F395" s="226" t="s">
        <v>120</v>
      </c>
      <c r="G395" s="227"/>
      <c r="H395" s="120"/>
      <c r="I395" s="121"/>
      <c r="J395" s="121"/>
      <c r="K395" s="120"/>
      <c r="L395" s="121"/>
      <c r="M395" s="121"/>
      <c r="N395" s="120"/>
      <c r="O395" s="121"/>
      <c r="P395" s="121"/>
      <c r="Q395" s="101"/>
      <c r="R395" s="101"/>
      <c r="S395" s="100"/>
      <c r="T395" s="102"/>
      <c r="U395" s="102"/>
      <c r="V395" s="184"/>
    </row>
    <row r="396" spans="2:22" ht="41.25" customHeight="1">
      <c r="B396" s="147" t="str">
        <f t="shared" si="10"/>
        <v>5-22</v>
      </c>
      <c r="C396" s="100" t="s">
        <v>82</v>
      </c>
      <c r="D396" s="42" t="s">
        <v>625</v>
      </c>
      <c r="E396" s="42" t="s">
        <v>414</v>
      </c>
      <c r="F396" s="226" t="s">
        <v>360</v>
      </c>
      <c r="G396" s="227"/>
      <c r="H396" s="120"/>
      <c r="I396" s="121"/>
      <c r="J396" s="121"/>
      <c r="K396" s="120"/>
      <c r="L396" s="121"/>
      <c r="M396" s="121"/>
      <c r="N396" s="120"/>
      <c r="O396" s="121"/>
      <c r="P396" s="121"/>
      <c r="Q396" s="101"/>
      <c r="R396" s="101"/>
      <c r="S396" s="100"/>
      <c r="T396" s="102"/>
      <c r="U396" s="102"/>
      <c r="V396" s="184"/>
    </row>
    <row r="397" spans="2:22" ht="41.25" customHeight="1">
      <c r="B397" s="147" t="str">
        <f t="shared" si="10"/>
        <v>5-23</v>
      </c>
      <c r="C397" s="100" t="s">
        <v>82</v>
      </c>
      <c r="D397" s="42" t="s">
        <v>82</v>
      </c>
      <c r="E397" s="42" t="s">
        <v>354</v>
      </c>
      <c r="F397" s="226" t="s">
        <v>355</v>
      </c>
      <c r="G397" s="227"/>
      <c r="H397" s="120"/>
      <c r="I397" s="121"/>
      <c r="J397" s="121"/>
      <c r="K397" s="120"/>
      <c r="L397" s="121"/>
      <c r="M397" s="121"/>
      <c r="N397" s="120"/>
      <c r="O397" s="121"/>
      <c r="P397" s="121"/>
      <c r="Q397" s="101"/>
      <c r="R397" s="101"/>
      <c r="S397" s="100"/>
      <c r="T397" s="102"/>
      <c r="U397" s="102"/>
      <c r="V397" s="184"/>
    </row>
    <row r="398" spans="2:22" ht="41.25" customHeight="1">
      <c r="B398" s="147" t="str">
        <f t="shared" si="10"/>
        <v>5-24</v>
      </c>
      <c r="C398" s="100" t="s">
        <v>82</v>
      </c>
      <c r="D398" s="42" t="s">
        <v>82</v>
      </c>
      <c r="E398" s="42" t="s">
        <v>112</v>
      </c>
      <c r="F398" s="226" t="s">
        <v>117</v>
      </c>
      <c r="G398" s="227"/>
      <c r="H398" s="120"/>
      <c r="I398" s="121"/>
      <c r="J398" s="121"/>
      <c r="K398" s="120"/>
      <c r="L398" s="121"/>
      <c r="M398" s="121"/>
      <c r="N398" s="120"/>
      <c r="O398" s="121"/>
      <c r="P398" s="121"/>
      <c r="Q398" s="101"/>
      <c r="R398" s="101"/>
      <c r="S398" s="100"/>
      <c r="T398" s="102"/>
      <c r="U398" s="102"/>
      <c r="V398" s="184"/>
    </row>
    <row r="399" spans="2:22" ht="41.25" customHeight="1">
      <c r="B399" s="147" t="str">
        <f t="shared" si="10"/>
        <v>5-25</v>
      </c>
      <c r="C399" s="100" t="s">
        <v>82</v>
      </c>
      <c r="D399" s="42" t="s">
        <v>82</v>
      </c>
      <c r="E399" s="42" t="s">
        <v>113</v>
      </c>
      <c r="F399" s="226" t="s">
        <v>119</v>
      </c>
      <c r="G399" s="227"/>
      <c r="H399" s="120"/>
      <c r="I399" s="121"/>
      <c r="J399" s="121"/>
      <c r="K399" s="120"/>
      <c r="L399" s="121"/>
      <c r="M399" s="121"/>
      <c r="N399" s="120"/>
      <c r="O399" s="121"/>
      <c r="P399" s="121"/>
      <c r="Q399" s="101"/>
      <c r="R399" s="101"/>
      <c r="S399" s="100"/>
      <c r="T399" s="102"/>
      <c r="U399" s="102"/>
      <c r="V399" s="184"/>
    </row>
    <row r="400" spans="2:22" ht="41.25" customHeight="1">
      <c r="B400" s="147" t="str">
        <f t="shared" si="10"/>
        <v>5-26</v>
      </c>
      <c r="C400" s="100" t="s">
        <v>82</v>
      </c>
      <c r="D400" s="42" t="s">
        <v>82</v>
      </c>
      <c r="E400" s="42" t="s">
        <v>122</v>
      </c>
      <c r="F400" s="226" t="s">
        <v>125</v>
      </c>
      <c r="G400" s="227"/>
      <c r="H400" s="120"/>
      <c r="I400" s="121"/>
      <c r="J400" s="121"/>
      <c r="K400" s="120"/>
      <c r="L400" s="121"/>
      <c r="M400" s="121"/>
      <c r="N400" s="120"/>
      <c r="O400" s="121"/>
      <c r="P400" s="121"/>
      <c r="Q400" s="101"/>
      <c r="R400" s="101"/>
      <c r="S400" s="100"/>
      <c r="T400" s="102"/>
      <c r="U400" s="102"/>
      <c r="V400" s="184"/>
    </row>
    <row r="401" spans="2:22" ht="41.25" customHeight="1">
      <c r="B401" s="147" t="str">
        <f t="shared" si="10"/>
        <v>5-27</v>
      </c>
      <c r="C401" s="100" t="s">
        <v>82</v>
      </c>
      <c r="D401" s="42" t="s">
        <v>82</v>
      </c>
      <c r="E401" s="42" t="s">
        <v>114</v>
      </c>
      <c r="F401" s="226" t="s">
        <v>119</v>
      </c>
      <c r="G401" s="227"/>
      <c r="H401" s="120"/>
      <c r="I401" s="121"/>
      <c r="J401" s="121"/>
      <c r="K401" s="120"/>
      <c r="L401" s="121"/>
      <c r="M401" s="121"/>
      <c r="N401" s="120"/>
      <c r="O401" s="121"/>
      <c r="P401" s="121"/>
      <c r="Q401" s="101"/>
      <c r="R401" s="101"/>
      <c r="S401" s="100"/>
      <c r="T401" s="102"/>
      <c r="U401" s="102"/>
      <c r="V401" s="184"/>
    </row>
    <row r="402" spans="2:22" ht="41.25" customHeight="1">
      <c r="B402" s="147" t="str">
        <f t="shared" si="10"/>
        <v>5-28</v>
      </c>
      <c r="C402" s="100" t="s">
        <v>82</v>
      </c>
      <c r="D402" s="42" t="s">
        <v>82</v>
      </c>
      <c r="E402" s="42" t="s">
        <v>115</v>
      </c>
      <c r="F402" s="226" t="s">
        <v>359</v>
      </c>
      <c r="G402" s="227"/>
      <c r="H402" s="120"/>
      <c r="I402" s="121"/>
      <c r="J402" s="121"/>
      <c r="K402" s="120"/>
      <c r="L402" s="121"/>
      <c r="M402" s="121"/>
      <c r="N402" s="120"/>
      <c r="O402" s="121"/>
      <c r="P402" s="121"/>
      <c r="Q402" s="101"/>
      <c r="R402" s="101"/>
      <c r="S402" s="100"/>
      <c r="T402" s="102"/>
      <c r="U402" s="102"/>
      <c r="V402" s="184"/>
    </row>
    <row r="403" spans="2:22" ht="41.25" customHeight="1">
      <c r="B403" s="147" t="str">
        <f t="shared" si="10"/>
        <v>5-29</v>
      </c>
      <c r="C403" s="100" t="s">
        <v>82</v>
      </c>
      <c r="D403" s="42" t="s">
        <v>82</v>
      </c>
      <c r="E403" s="42" t="s">
        <v>357</v>
      </c>
      <c r="F403" s="226" t="s">
        <v>120</v>
      </c>
      <c r="G403" s="227"/>
      <c r="H403" s="120"/>
      <c r="I403" s="121"/>
      <c r="J403" s="121"/>
      <c r="K403" s="120"/>
      <c r="L403" s="121"/>
      <c r="M403" s="121"/>
      <c r="N403" s="120"/>
      <c r="O403" s="121"/>
      <c r="P403" s="121"/>
      <c r="Q403" s="101"/>
      <c r="R403" s="101"/>
      <c r="S403" s="100"/>
      <c r="T403" s="102"/>
      <c r="U403" s="102"/>
      <c r="V403" s="184"/>
    </row>
    <row r="404" spans="2:22" ht="41.25" customHeight="1">
      <c r="B404" s="147" t="str">
        <f t="shared" si="10"/>
        <v>5-30</v>
      </c>
      <c r="C404" s="100" t="s">
        <v>82</v>
      </c>
      <c r="D404" s="42" t="s">
        <v>626</v>
      </c>
      <c r="E404" s="42" t="s">
        <v>415</v>
      </c>
      <c r="F404" s="226" t="s">
        <v>360</v>
      </c>
      <c r="G404" s="227"/>
      <c r="H404" s="120"/>
      <c r="I404" s="121"/>
      <c r="J404" s="121"/>
      <c r="K404" s="120"/>
      <c r="L404" s="121"/>
      <c r="M404" s="121"/>
      <c r="N404" s="120"/>
      <c r="O404" s="121"/>
      <c r="P404" s="121"/>
      <c r="Q404" s="101"/>
      <c r="R404" s="101"/>
      <c r="S404" s="100"/>
      <c r="T404" s="102"/>
      <c r="U404" s="102"/>
      <c r="V404" s="184"/>
    </row>
    <row r="405" spans="2:22" ht="41.25" customHeight="1">
      <c r="B405" s="147" t="str">
        <f t="shared" si="10"/>
        <v>5-31</v>
      </c>
      <c r="C405" s="100" t="s">
        <v>82</v>
      </c>
      <c r="D405" s="42" t="s">
        <v>82</v>
      </c>
      <c r="E405" s="42" t="s">
        <v>354</v>
      </c>
      <c r="F405" s="226" t="s">
        <v>355</v>
      </c>
      <c r="G405" s="227"/>
      <c r="H405" s="120"/>
      <c r="I405" s="121"/>
      <c r="J405" s="121"/>
      <c r="K405" s="120"/>
      <c r="L405" s="121"/>
      <c r="M405" s="121"/>
      <c r="N405" s="120"/>
      <c r="O405" s="121"/>
      <c r="P405" s="121"/>
      <c r="Q405" s="101"/>
      <c r="R405" s="101"/>
      <c r="S405" s="100"/>
      <c r="T405" s="102"/>
      <c r="U405" s="102"/>
      <c r="V405" s="184"/>
    </row>
    <row r="406" spans="2:22" ht="41.25" customHeight="1">
      <c r="B406" s="147" t="str">
        <f t="shared" si="10"/>
        <v>5-32</v>
      </c>
      <c r="C406" s="100" t="s">
        <v>82</v>
      </c>
      <c r="D406" s="42" t="s">
        <v>82</v>
      </c>
      <c r="E406" s="42" t="s">
        <v>112</v>
      </c>
      <c r="F406" s="226" t="s">
        <v>119</v>
      </c>
      <c r="G406" s="227"/>
      <c r="H406" s="120"/>
      <c r="I406" s="121"/>
      <c r="J406" s="121"/>
      <c r="K406" s="120"/>
      <c r="L406" s="121"/>
      <c r="M406" s="121"/>
      <c r="N406" s="120"/>
      <c r="O406" s="121"/>
      <c r="P406" s="121"/>
      <c r="Q406" s="101"/>
      <c r="R406" s="101"/>
      <c r="S406" s="100"/>
      <c r="T406" s="102"/>
      <c r="U406" s="102"/>
      <c r="V406" s="184"/>
    </row>
    <row r="407" spans="2:22" ht="41.25" customHeight="1">
      <c r="B407" s="147" t="str">
        <f t="shared" si="10"/>
        <v>5-33</v>
      </c>
      <c r="C407" s="100" t="s">
        <v>82</v>
      </c>
      <c r="D407" s="42" t="s">
        <v>82</v>
      </c>
      <c r="E407" s="42" t="s">
        <v>113</v>
      </c>
      <c r="F407" s="226" t="s">
        <v>117</v>
      </c>
      <c r="G407" s="227"/>
      <c r="H407" s="120"/>
      <c r="I407" s="121"/>
      <c r="J407" s="121"/>
      <c r="K407" s="120"/>
      <c r="L407" s="121"/>
      <c r="M407" s="121"/>
      <c r="N407" s="120"/>
      <c r="O407" s="121"/>
      <c r="P407" s="121"/>
      <c r="Q407" s="101"/>
      <c r="R407" s="101"/>
      <c r="S407" s="100"/>
      <c r="T407" s="102"/>
      <c r="U407" s="102"/>
      <c r="V407" s="184"/>
    </row>
    <row r="408" spans="2:22" ht="41.25" customHeight="1">
      <c r="B408" s="147" t="str">
        <f t="shared" si="10"/>
        <v>5-34</v>
      </c>
      <c r="C408" s="100" t="s">
        <v>82</v>
      </c>
      <c r="D408" s="42" t="s">
        <v>82</v>
      </c>
      <c r="E408" s="42" t="s">
        <v>122</v>
      </c>
      <c r="F408" s="226" t="s">
        <v>127</v>
      </c>
      <c r="G408" s="227"/>
      <c r="H408" s="120"/>
      <c r="I408" s="121"/>
      <c r="J408" s="121"/>
      <c r="K408" s="120"/>
      <c r="L408" s="121"/>
      <c r="M408" s="121"/>
      <c r="N408" s="120"/>
      <c r="O408" s="121"/>
      <c r="P408" s="121"/>
      <c r="Q408" s="101"/>
      <c r="R408" s="101"/>
      <c r="S408" s="100"/>
      <c r="T408" s="102"/>
      <c r="U408" s="102"/>
      <c r="V408" s="184"/>
    </row>
    <row r="409" spans="2:22" ht="41.25" customHeight="1">
      <c r="B409" s="147" t="str">
        <f t="shared" si="10"/>
        <v>5-35</v>
      </c>
      <c r="C409" s="100" t="s">
        <v>82</v>
      </c>
      <c r="D409" s="42" t="s">
        <v>82</v>
      </c>
      <c r="E409" s="42" t="s">
        <v>114</v>
      </c>
      <c r="F409" s="226" t="s">
        <v>119</v>
      </c>
      <c r="G409" s="227"/>
      <c r="H409" s="120"/>
      <c r="I409" s="121"/>
      <c r="J409" s="121"/>
      <c r="K409" s="120"/>
      <c r="L409" s="121"/>
      <c r="M409" s="121"/>
      <c r="N409" s="120"/>
      <c r="O409" s="121"/>
      <c r="P409" s="121"/>
      <c r="Q409" s="101"/>
      <c r="R409" s="101"/>
      <c r="S409" s="100"/>
      <c r="T409" s="102"/>
      <c r="U409" s="102"/>
      <c r="V409" s="184"/>
    </row>
    <row r="410" spans="2:22" ht="41.25" customHeight="1">
      <c r="B410" s="147" t="str">
        <f t="shared" si="10"/>
        <v>5-36</v>
      </c>
      <c r="C410" s="100" t="s">
        <v>82</v>
      </c>
      <c r="D410" s="42" t="s">
        <v>82</v>
      </c>
      <c r="E410" s="42" t="s">
        <v>115</v>
      </c>
      <c r="F410" s="226" t="s">
        <v>362</v>
      </c>
      <c r="G410" s="227"/>
      <c r="H410" s="120"/>
      <c r="I410" s="121"/>
      <c r="J410" s="121"/>
      <c r="K410" s="120"/>
      <c r="L410" s="121"/>
      <c r="M410" s="121"/>
      <c r="N410" s="120"/>
      <c r="O410" s="121"/>
      <c r="P410" s="121"/>
      <c r="Q410" s="101"/>
      <c r="R410" s="101"/>
      <c r="S410" s="100"/>
      <c r="T410" s="102"/>
      <c r="U410" s="102"/>
      <c r="V410" s="184"/>
    </row>
    <row r="411" spans="2:22" ht="41.25" customHeight="1">
      <c r="B411" s="147" t="str">
        <f t="shared" si="10"/>
        <v>5-37</v>
      </c>
      <c r="C411" s="100" t="s">
        <v>82</v>
      </c>
      <c r="D411" s="42" t="s">
        <v>82</v>
      </c>
      <c r="E411" s="42" t="s">
        <v>357</v>
      </c>
      <c r="F411" s="226" t="s">
        <v>120</v>
      </c>
      <c r="G411" s="227"/>
      <c r="H411" s="120"/>
      <c r="I411" s="121"/>
      <c r="J411" s="121"/>
      <c r="K411" s="120"/>
      <c r="L411" s="121"/>
      <c r="M411" s="121"/>
      <c r="N411" s="120"/>
      <c r="O411" s="121"/>
      <c r="P411" s="121"/>
      <c r="Q411" s="101"/>
      <c r="R411" s="101"/>
      <c r="S411" s="100"/>
      <c r="T411" s="102"/>
      <c r="U411" s="102"/>
      <c r="V411" s="184"/>
    </row>
    <row r="412" spans="2:22" ht="30.6" customHeight="1">
      <c r="B412" s="147" t="str">
        <f t="shared" si="10"/>
        <v>5-38</v>
      </c>
      <c r="C412" s="100" t="s">
        <v>363</v>
      </c>
      <c r="D412" s="42" t="s">
        <v>197</v>
      </c>
      <c r="E412" s="42" t="s">
        <v>833</v>
      </c>
      <c r="F412" s="226" t="s">
        <v>843</v>
      </c>
      <c r="G412" s="227"/>
      <c r="H412" s="120"/>
      <c r="I412" s="121"/>
      <c r="J412" s="121"/>
      <c r="K412" s="120"/>
      <c r="L412" s="121"/>
      <c r="M412" s="121"/>
      <c r="N412" s="120"/>
      <c r="O412" s="121"/>
      <c r="P412" s="121"/>
      <c r="Q412" s="101"/>
      <c r="R412" s="101"/>
      <c r="S412" s="100"/>
      <c r="T412" s="102"/>
      <c r="U412" s="102"/>
    </row>
    <row r="413" spans="2:22" ht="30.6" customHeight="1">
      <c r="B413" s="147" t="str">
        <f t="shared" si="10"/>
        <v>5-39</v>
      </c>
      <c r="C413" s="100"/>
      <c r="D413" s="42"/>
      <c r="E413" s="42" t="s">
        <v>364</v>
      </c>
      <c r="F413" s="226" t="s">
        <v>365</v>
      </c>
      <c r="G413" s="227"/>
      <c r="H413" s="120"/>
      <c r="I413" s="121"/>
      <c r="J413" s="121"/>
      <c r="K413" s="120"/>
      <c r="L413" s="121"/>
      <c r="M413" s="121"/>
      <c r="N413" s="120"/>
      <c r="O413" s="121"/>
      <c r="P413" s="121"/>
      <c r="Q413" s="101"/>
      <c r="R413" s="101"/>
      <c r="S413" s="100"/>
      <c r="T413" s="102"/>
      <c r="U413" s="102"/>
    </row>
    <row r="414" spans="2:22" ht="60" customHeight="1">
      <c r="B414" s="147" t="str">
        <f t="shared" si="10"/>
        <v>5-40</v>
      </c>
      <c r="C414" s="100"/>
      <c r="D414" s="42"/>
      <c r="E414" s="42"/>
      <c r="F414" s="226" t="s">
        <v>366</v>
      </c>
      <c r="G414" s="227"/>
      <c r="H414" s="120"/>
      <c r="I414" s="121"/>
      <c r="J414" s="121"/>
      <c r="K414" s="120"/>
      <c r="L414" s="121"/>
      <c r="M414" s="121"/>
      <c r="N414" s="120"/>
      <c r="O414" s="121"/>
      <c r="P414" s="121"/>
      <c r="Q414" s="101"/>
      <c r="R414" s="101"/>
      <c r="S414" s="100"/>
      <c r="T414" s="102"/>
      <c r="U414" s="102"/>
    </row>
    <row r="415" spans="2:22" ht="30.6" customHeight="1">
      <c r="B415" s="147" t="str">
        <f t="shared" si="10"/>
        <v>5-41</v>
      </c>
      <c r="C415" s="18" t="s">
        <v>129</v>
      </c>
      <c r="D415" s="18" t="s">
        <v>130</v>
      </c>
      <c r="E415" s="42" t="s">
        <v>128</v>
      </c>
      <c r="F415" s="228" t="s">
        <v>131</v>
      </c>
      <c r="G415" s="229"/>
      <c r="H415" s="120"/>
      <c r="I415" s="121"/>
      <c r="J415" s="121"/>
      <c r="K415" s="120"/>
      <c r="L415" s="121"/>
      <c r="M415" s="121"/>
      <c r="N415" s="120"/>
      <c r="O415" s="121"/>
      <c r="P415" s="121"/>
      <c r="Q415" s="101"/>
      <c r="R415" s="101"/>
      <c r="S415" s="100"/>
      <c r="T415" s="102"/>
      <c r="U415" s="102"/>
    </row>
    <row r="416" spans="2:22" ht="30.6" customHeight="1">
      <c r="B416" s="147" t="str">
        <f t="shared" si="10"/>
        <v>5-42</v>
      </c>
      <c r="C416" s="18" t="s">
        <v>140</v>
      </c>
      <c r="D416" s="18" t="s">
        <v>140</v>
      </c>
      <c r="E416" s="42" t="s">
        <v>128</v>
      </c>
      <c r="F416" s="228" t="s">
        <v>132</v>
      </c>
      <c r="G416" s="229"/>
      <c r="H416" s="120"/>
      <c r="I416" s="121"/>
      <c r="J416" s="121"/>
      <c r="K416" s="120"/>
      <c r="L416" s="121"/>
      <c r="M416" s="121"/>
      <c r="N416" s="120"/>
      <c r="O416" s="121"/>
      <c r="P416" s="121"/>
      <c r="Q416" s="101"/>
      <c r="R416" s="101"/>
      <c r="S416" s="100"/>
      <c r="T416" s="102"/>
      <c r="U416" s="102"/>
    </row>
    <row r="417" spans="2:21" ht="30.6" customHeight="1">
      <c r="B417" s="147" t="str">
        <f t="shared" si="10"/>
        <v>5-43</v>
      </c>
      <c r="C417" s="18" t="s">
        <v>140</v>
      </c>
      <c r="D417" s="18" t="s">
        <v>150</v>
      </c>
      <c r="E417" s="42" t="s">
        <v>128</v>
      </c>
      <c r="F417" s="228" t="s">
        <v>151</v>
      </c>
      <c r="G417" s="229"/>
      <c r="H417" s="120"/>
      <c r="I417" s="121"/>
      <c r="J417" s="121"/>
      <c r="K417" s="120"/>
      <c r="L417" s="121"/>
      <c r="M417" s="121"/>
      <c r="N417" s="120"/>
      <c r="O417" s="121"/>
      <c r="P417" s="121"/>
      <c r="Q417" s="101"/>
      <c r="R417" s="101"/>
      <c r="S417" s="100"/>
      <c r="T417" s="102"/>
      <c r="U417" s="102"/>
    </row>
    <row r="418" spans="2:21" ht="30.6" customHeight="1">
      <c r="B418" s="147" t="str">
        <f t="shared" si="10"/>
        <v>5-44</v>
      </c>
      <c r="C418" s="18" t="s">
        <v>140</v>
      </c>
      <c r="D418" s="18" t="s">
        <v>140</v>
      </c>
      <c r="E418" s="42" t="s">
        <v>128</v>
      </c>
      <c r="F418" s="228" t="s">
        <v>132</v>
      </c>
      <c r="G418" s="229"/>
      <c r="H418" s="120"/>
      <c r="I418" s="121"/>
      <c r="J418" s="121"/>
      <c r="K418" s="120"/>
      <c r="L418" s="121"/>
      <c r="M418" s="121"/>
      <c r="N418" s="120"/>
      <c r="O418" s="121"/>
      <c r="P418" s="121"/>
      <c r="Q418" s="101"/>
      <c r="R418" s="101"/>
      <c r="S418" s="100"/>
      <c r="T418" s="102"/>
      <c r="U418" s="102"/>
    </row>
    <row r="419" spans="2:21" ht="30.6" customHeight="1">
      <c r="B419" s="147" t="str">
        <f t="shared" si="10"/>
        <v>5-45</v>
      </c>
      <c r="C419" s="18" t="s">
        <v>140</v>
      </c>
      <c r="D419" s="18" t="s">
        <v>152</v>
      </c>
      <c r="E419" s="42" t="s">
        <v>128</v>
      </c>
      <c r="F419" s="228" t="s">
        <v>153</v>
      </c>
      <c r="G419" s="229"/>
      <c r="H419" s="120"/>
      <c r="I419" s="121"/>
      <c r="J419" s="121"/>
      <c r="K419" s="120"/>
      <c r="L419" s="121"/>
      <c r="M419" s="121"/>
      <c r="N419" s="120"/>
      <c r="O419" s="121"/>
      <c r="P419" s="121"/>
      <c r="Q419" s="101"/>
      <c r="R419" s="101"/>
      <c r="S419" s="100"/>
      <c r="T419" s="102"/>
      <c r="U419" s="102"/>
    </row>
    <row r="420" spans="2:21" ht="30.6" customHeight="1">
      <c r="B420" s="147" t="str">
        <f t="shared" si="10"/>
        <v>5-46</v>
      </c>
      <c r="C420" s="18" t="s">
        <v>140</v>
      </c>
      <c r="D420" s="18" t="s">
        <v>140</v>
      </c>
      <c r="E420" s="42" t="s">
        <v>128</v>
      </c>
      <c r="F420" s="228" t="s">
        <v>132</v>
      </c>
      <c r="G420" s="229"/>
      <c r="H420" s="120"/>
      <c r="I420" s="121"/>
      <c r="J420" s="121"/>
      <c r="K420" s="120"/>
      <c r="L420" s="121"/>
      <c r="M420" s="121"/>
      <c r="N420" s="120"/>
      <c r="O420" s="121"/>
      <c r="P420" s="121"/>
      <c r="Q420" s="101"/>
      <c r="R420" s="101"/>
      <c r="S420" s="100"/>
      <c r="T420" s="102"/>
      <c r="U420" s="102"/>
    </row>
  </sheetData>
  <autoFilter ref="B7:U256">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449">
    <mergeCell ref="F412:G412"/>
    <mergeCell ref="R7:R8"/>
    <mergeCell ref="R259:R260"/>
    <mergeCell ref="R287:R288"/>
    <mergeCell ref="R323:R324"/>
    <mergeCell ref="R359:R360"/>
    <mergeCell ref="F252:G252"/>
    <mergeCell ref="F320:G320"/>
    <mergeCell ref="F377:G377"/>
    <mergeCell ref="F378:G378"/>
    <mergeCell ref="F373:G373"/>
    <mergeCell ref="F374:G374"/>
    <mergeCell ref="F375:G375"/>
    <mergeCell ref="F379:G379"/>
    <mergeCell ref="F380:G380"/>
    <mergeCell ref="F388:G388"/>
    <mergeCell ref="F389:G389"/>
    <mergeCell ref="F390:G390"/>
    <mergeCell ref="F391:G391"/>
    <mergeCell ref="F392:G392"/>
    <mergeCell ref="F393:G393"/>
    <mergeCell ref="F394:G394"/>
    <mergeCell ref="H359:J359"/>
    <mergeCell ref="K359:M359"/>
    <mergeCell ref="N359:P359"/>
    <mergeCell ref="Q359:Q360"/>
    <mergeCell ref="S359:U359"/>
    <mergeCell ref="F361:G361"/>
    <mergeCell ref="F372:G372"/>
    <mergeCell ref="F349:G349"/>
    <mergeCell ref="F350:G350"/>
    <mergeCell ref="F351:G351"/>
    <mergeCell ref="F352:G352"/>
    <mergeCell ref="F353:G353"/>
    <mergeCell ref="F354:G354"/>
    <mergeCell ref="F355:G355"/>
    <mergeCell ref="F362:G362"/>
    <mergeCell ref="F363:G363"/>
    <mergeCell ref="F364:G364"/>
    <mergeCell ref="B359:B360"/>
    <mergeCell ref="C359:C360"/>
    <mergeCell ref="D359:D360"/>
    <mergeCell ref="E359:E360"/>
    <mergeCell ref="F359:G360"/>
    <mergeCell ref="F368:G368"/>
    <mergeCell ref="F369:G369"/>
    <mergeCell ref="F370:G370"/>
    <mergeCell ref="F371:G371"/>
    <mergeCell ref="F365:G365"/>
    <mergeCell ref="F366:G366"/>
    <mergeCell ref="F367:G367"/>
    <mergeCell ref="F401:G401"/>
    <mergeCell ref="F402:G402"/>
    <mergeCell ref="F403:G403"/>
    <mergeCell ref="F404:G404"/>
    <mergeCell ref="F405:G405"/>
    <mergeCell ref="F406:G406"/>
    <mergeCell ref="F407:G407"/>
    <mergeCell ref="F408:G408"/>
    <mergeCell ref="F409:G409"/>
    <mergeCell ref="F415:G415"/>
    <mergeCell ref="F416:G416"/>
    <mergeCell ref="F417:G417"/>
    <mergeCell ref="F418:G418"/>
    <mergeCell ref="F419:G419"/>
    <mergeCell ref="F420:G420"/>
    <mergeCell ref="F376:G376"/>
    <mergeCell ref="F397:G397"/>
    <mergeCell ref="F398:G398"/>
    <mergeCell ref="F399:G399"/>
    <mergeCell ref="F400:G400"/>
    <mergeCell ref="F381:G381"/>
    <mergeCell ref="F382:G382"/>
    <mergeCell ref="F383:G383"/>
    <mergeCell ref="F384:G384"/>
    <mergeCell ref="F385:G385"/>
    <mergeCell ref="F386:G386"/>
    <mergeCell ref="F387:G387"/>
    <mergeCell ref="F395:G395"/>
    <mergeCell ref="F396:G396"/>
    <mergeCell ref="F410:G410"/>
    <mergeCell ref="F413:G413"/>
    <mergeCell ref="F414:G414"/>
    <mergeCell ref="F411:G411"/>
    <mergeCell ref="F348:G348"/>
    <mergeCell ref="F329:G329"/>
    <mergeCell ref="F330:G330"/>
    <mergeCell ref="F331:G331"/>
    <mergeCell ref="F332:G332"/>
    <mergeCell ref="F334:G334"/>
    <mergeCell ref="F335:G335"/>
    <mergeCell ref="F336:G336"/>
    <mergeCell ref="F339:G339"/>
    <mergeCell ref="F340:G340"/>
    <mergeCell ref="F343:G343"/>
    <mergeCell ref="F341:G341"/>
    <mergeCell ref="F342:G342"/>
    <mergeCell ref="F344:G344"/>
    <mergeCell ref="F345:G345"/>
    <mergeCell ref="F346:G346"/>
    <mergeCell ref="F305:G305"/>
    <mergeCell ref="F306:G306"/>
    <mergeCell ref="F308:G308"/>
    <mergeCell ref="F309:G309"/>
    <mergeCell ref="F310:G310"/>
    <mergeCell ref="F311:G311"/>
    <mergeCell ref="F307:G307"/>
    <mergeCell ref="F328:G328"/>
    <mergeCell ref="F347:G347"/>
    <mergeCell ref="H323:J323"/>
    <mergeCell ref="K323:M323"/>
    <mergeCell ref="N323:P323"/>
    <mergeCell ref="Q323:Q324"/>
    <mergeCell ref="S323:U323"/>
    <mergeCell ref="F325:G325"/>
    <mergeCell ref="F326:G326"/>
    <mergeCell ref="F327:G327"/>
    <mergeCell ref="F312:G312"/>
    <mergeCell ref="B323:B324"/>
    <mergeCell ref="C323:C324"/>
    <mergeCell ref="D323:D324"/>
    <mergeCell ref="E323:E324"/>
    <mergeCell ref="F323:G324"/>
    <mergeCell ref="F313:G313"/>
    <mergeCell ref="F314:G314"/>
    <mergeCell ref="F315:G315"/>
    <mergeCell ref="F316:G316"/>
    <mergeCell ref="F317:G317"/>
    <mergeCell ref="F318:G318"/>
    <mergeCell ref="F319:G319"/>
    <mergeCell ref="B287:B288"/>
    <mergeCell ref="C287:C288"/>
    <mergeCell ref="D287:D288"/>
    <mergeCell ref="E287:E288"/>
    <mergeCell ref="F287:G288"/>
    <mergeCell ref="H287:J287"/>
    <mergeCell ref="K287:M287"/>
    <mergeCell ref="N287:P287"/>
    <mergeCell ref="F77:G77"/>
    <mergeCell ref="F80:G80"/>
    <mergeCell ref="F83:G83"/>
    <mergeCell ref="F86:G86"/>
    <mergeCell ref="F89:G89"/>
    <mergeCell ref="F137:G137"/>
    <mergeCell ref="F138:G138"/>
    <mergeCell ref="F140:G140"/>
    <mergeCell ref="F92:G92"/>
    <mergeCell ref="F125:G125"/>
    <mergeCell ref="F132:G132"/>
    <mergeCell ref="F134:G134"/>
    <mergeCell ref="F135:G135"/>
    <mergeCell ref="F95:G95"/>
    <mergeCell ref="F98:G98"/>
    <mergeCell ref="F101:G101"/>
    <mergeCell ref="S287:U287"/>
    <mergeCell ref="F289:G289"/>
    <mergeCell ref="F290:G290"/>
    <mergeCell ref="F291:G291"/>
    <mergeCell ref="F69:G69"/>
    <mergeCell ref="F76:G76"/>
    <mergeCell ref="F300:G300"/>
    <mergeCell ref="F304:G304"/>
    <mergeCell ref="F292:G292"/>
    <mergeCell ref="F303:G303"/>
    <mergeCell ref="F294:G294"/>
    <mergeCell ref="F295:G295"/>
    <mergeCell ref="F296:G296"/>
    <mergeCell ref="F293:G293"/>
    <mergeCell ref="F298:G298"/>
    <mergeCell ref="F160:G160"/>
    <mergeCell ref="F163:G163"/>
    <mergeCell ref="F166:G166"/>
    <mergeCell ref="F111:G111"/>
    <mergeCell ref="F147:G147"/>
    <mergeCell ref="F148:G148"/>
    <mergeCell ref="F151:G151"/>
    <mergeCell ref="F149:G149"/>
    <mergeCell ref="F299:G299"/>
    <mergeCell ref="Q287:Q288"/>
    <mergeCell ref="F150:G150"/>
    <mergeCell ref="F154:G154"/>
    <mergeCell ref="F156:G156"/>
    <mergeCell ref="F159:G159"/>
    <mergeCell ref="F143:G143"/>
    <mergeCell ref="F153:G153"/>
    <mergeCell ref="F157:G157"/>
    <mergeCell ref="F127:G127"/>
    <mergeCell ref="F130:G130"/>
    <mergeCell ref="F133:G133"/>
    <mergeCell ref="F253:G253"/>
    <mergeCell ref="F254:G254"/>
    <mergeCell ref="F255:G255"/>
    <mergeCell ref="F235:G235"/>
    <mergeCell ref="F236:G236"/>
    <mergeCell ref="K259:M259"/>
    <mergeCell ref="N259:P259"/>
    <mergeCell ref="Q259:Q260"/>
    <mergeCell ref="F234:G234"/>
    <mergeCell ref="F237:G237"/>
    <mergeCell ref="F247:G247"/>
    <mergeCell ref="F246:G246"/>
    <mergeCell ref="F136:G136"/>
    <mergeCell ref="S7:U7"/>
    <mergeCell ref="Q7:Q8"/>
    <mergeCell ref="K7:M7"/>
    <mergeCell ref="N7:P7"/>
    <mergeCell ref="H7:J7"/>
    <mergeCell ref="F40:G40"/>
    <mergeCell ref="F42:G42"/>
    <mergeCell ref="F28:G28"/>
    <mergeCell ref="F29:G29"/>
    <mergeCell ref="F30:G30"/>
    <mergeCell ref="F31:G31"/>
    <mergeCell ref="F32:G32"/>
    <mergeCell ref="F33:G33"/>
    <mergeCell ref="F15:G15"/>
    <mergeCell ref="F16:G16"/>
    <mergeCell ref="F17:G17"/>
    <mergeCell ref="F18:G18"/>
    <mergeCell ref="F34:G34"/>
    <mergeCell ref="F35:G35"/>
    <mergeCell ref="F36:G36"/>
    <mergeCell ref="F37:G37"/>
    <mergeCell ref="F38:G38"/>
    <mergeCell ref="F19:G19"/>
    <mergeCell ref="F20:G20"/>
    <mergeCell ref="F27:G27"/>
    <mergeCell ref="F244:G244"/>
    <mergeCell ref="F188:G188"/>
    <mergeCell ref="F189:G189"/>
    <mergeCell ref="F191:G191"/>
    <mergeCell ref="F114:G114"/>
    <mergeCell ref="F190:G190"/>
    <mergeCell ref="F217:G217"/>
    <mergeCell ref="F225:G225"/>
    <mergeCell ref="F213:G213"/>
    <mergeCell ref="F216:G216"/>
    <mergeCell ref="F215:G215"/>
    <mergeCell ref="F47:G47"/>
    <mergeCell ref="F87:G87"/>
    <mergeCell ref="F93:G93"/>
    <mergeCell ref="F99:G99"/>
    <mergeCell ref="F105:G105"/>
    <mergeCell ref="F90:G90"/>
    <mergeCell ref="F91:G91"/>
    <mergeCell ref="F94:G94"/>
    <mergeCell ref="F88:G88"/>
    <mergeCell ref="F238:G238"/>
    <mergeCell ref="F241:G241"/>
    <mergeCell ref="F239:G239"/>
    <mergeCell ref="F12:G12"/>
    <mergeCell ref="F13:G13"/>
    <mergeCell ref="F14:G14"/>
    <mergeCell ref="F21:G21"/>
    <mergeCell ref="F22:G22"/>
    <mergeCell ref="F23:G23"/>
    <mergeCell ref="F24:G24"/>
    <mergeCell ref="F25:G25"/>
    <mergeCell ref="F26:G26"/>
    <mergeCell ref="F171:G171"/>
    <mergeCell ref="S259:U259"/>
    <mergeCell ref="F240:G240"/>
    <mergeCell ref="F243:G243"/>
    <mergeCell ref="B7:B8"/>
    <mergeCell ref="C7:C8"/>
    <mergeCell ref="E7:E8"/>
    <mergeCell ref="F7:G8"/>
    <mergeCell ref="D7:D8"/>
    <mergeCell ref="F9:G9"/>
    <mergeCell ref="F11:G11"/>
    <mergeCell ref="F10:G10"/>
    <mergeCell ref="B259:B260"/>
    <mergeCell ref="C259:C260"/>
    <mergeCell ref="D259:D260"/>
    <mergeCell ref="E259:E260"/>
    <mergeCell ref="F259:G260"/>
    <mergeCell ref="F53:G53"/>
    <mergeCell ref="F54:G54"/>
    <mergeCell ref="F55:G55"/>
    <mergeCell ref="F192:G192"/>
    <mergeCell ref="F256:G256"/>
    <mergeCell ref="F233:G233"/>
    <mergeCell ref="F245:G245"/>
    <mergeCell ref="F115:G115"/>
    <mergeCell ref="F139:G139"/>
    <mergeCell ref="F142:G142"/>
    <mergeCell ref="F145:G145"/>
    <mergeCell ref="F162:G162"/>
    <mergeCell ref="F165:G165"/>
    <mergeCell ref="F198:G198"/>
    <mergeCell ref="F206:G206"/>
    <mergeCell ref="F201:G201"/>
    <mergeCell ref="F202:G202"/>
    <mergeCell ref="F187:G187"/>
    <mergeCell ref="F169:G169"/>
    <mergeCell ref="F172:G172"/>
    <mergeCell ref="F175:G175"/>
    <mergeCell ref="F173:G173"/>
    <mergeCell ref="F178:G178"/>
    <mergeCell ref="F196:G196"/>
    <mergeCell ref="F200:G200"/>
    <mergeCell ref="F194:G194"/>
    <mergeCell ref="F205:G205"/>
    <mergeCell ref="F144:G144"/>
    <mergeCell ref="F146:G146"/>
    <mergeCell ref="F164:G164"/>
    <mergeCell ref="F168:G168"/>
    <mergeCell ref="F181:G181"/>
    <mergeCell ref="F96:G96"/>
    <mergeCell ref="F102:G102"/>
    <mergeCell ref="F108:G108"/>
    <mergeCell ref="F117:G117"/>
    <mergeCell ref="F128:G128"/>
    <mergeCell ref="F123:G123"/>
    <mergeCell ref="F110:G110"/>
    <mergeCell ref="F113:G113"/>
    <mergeCell ref="F116:G116"/>
    <mergeCell ref="F119:G119"/>
    <mergeCell ref="F120:G120"/>
    <mergeCell ref="F97:G97"/>
    <mergeCell ref="F100:G100"/>
    <mergeCell ref="F103:G103"/>
    <mergeCell ref="F106:G106"/>
    <mergeCell ref="F109:G109"/>
    <mergeCell ref="F121:G121"/>
    <mergeCell ref="F126:G126"/>
    <mergeCell ref="F118:G118"/>
    <mergeCell ref="F124:G124"/>
    <mergeCell ref="F112:G112"/>
    <mergeCell ref="F104:G104"/>
    <mergeCell ref="F107:G107"/>
    <mergeCell ref="H259:J259"/>
    <mergeCell ref="F272:G272"/>
    <mergeCell ref="F263:G263"/>
    <mergeCell ref="F265:G265"/>
    <mergeCell ref="F261:G261"/>
    <mergeCell ref="F262:G262"/>
    <mergeCell ref="F199:G199"/>
    <mergeCell ref="F197:G197"/>
    <mergeCell ref="F203:G203"/>
    <mergeCell ref="F204:G204"/>
    <mergeCell ref="F207:G207"/>
    <mergeCell ref="F208:G208"/>
    <mergeCell ref="F227:G227"/>
    <mergeCell ref="F228:G228"/>
    <mergeCell ref="F212:G212"/>
    <mergeCell ref="F209:G209"/>
    <mergeCell ref="F211:G211"/>
    <mergeCell ref="F214:G214"/>
    <mergeCell ref="F210:G210"/>
    <mergeCell ref="F226:G226"/>
    <mergeCell ref="F218:G218"/>
    <mergeCell ref="F242:G242"/>
    <mergeCell ref="F281:G281"/>
    <mergeCell ref="F282:G282"/>
    <mergeCell ref="F283:G283"/>
    <mergeCell ref="F219:G219"/>
    <mergeCell ref="F220:G220"/>
    <mergeCell ref="F221:G221"/>
    <mergeCell ref="F274:G274"/>
    <mergeCell ref="F277:G277"/>
    <mergeCell ref="F273:G273"/>
    <mergeCell ref="F222:G222"/>
    <mergeCell ref="F223:G223"/>
    <mergeCell ref="F224:G224"/>
    <mergeCell ref="F248:G248"/>
    <mergeCell ref="F249:G249"/>
    <mergeCell ref="F250:G250"/>
    <mergeCell ref="F251:G251"/>
    <mergeCell ref="F229:G229"/>
    <mergeCell ref="F230:G230"/>
    <mergeCell ref="F266:G266"/>
    <mergeCell ref="F269:G269"/>
    <mergeCell ref="F270:G270"/>
    <mergeCell ref="F271:G271"/>
    <mergeCell ref="F267:G267"/>
    <mergeCell ref="F268:G268"/>
    <mergeCell ref="F52:G52"/>
    <mergeCell ref="F84:G84"/>
    <mergeCell ref="F74:G74"/>
    <mergeCell ref="F186:G186"/>
    <mergeCell ref="F231:G231"/>
    <mergeCell ref="F232:G232"/>
    <mergeCell ref="F278:G278"/>
    <mergeCell ref="F279:G279"/>
    <mergeCell ref="F280:G280"/>
    <mergeCell ref="F185:G185"/>
    <mergeCell ref="F193:G193"/>
    <mergeCell ref="F195:G195"/>
    <mergeCell ref="F155:G155"/>
    <mergeCell ref="F158:G158"/>
    <mergeCell ref="F161:G161"/>
    <mergeCell ref="F174:G174"/>
    <mergeCell ref="F177:G177"/>
    <mergeCell ref="F180:G180"/>
    <mergeCell ref="F183:G183"/>
    <mergeCell ref="F167:G167"/>
    <mergeCell ref="F170:G170"/>
    <mergeCell ref="F176:G176"/>
    <mergeCell ref="F182:G182"/>
    <mergeCell ref="F179:G179"/>
    <mergeCell ref="R28:R33"/>
    <mergeCell ref="Q34:Q39"/>
    <mergeCell ref="R34:R39"/>
    <mergeCell ref="Q28:Q33"/>
    <mergeCell ref="F122:G122"/>
    <mergeCell ref="F184:G184"/>
    <mergeCell ref="F41:G41"/>
    <mergeCell ref="F44:G44"/>
    <mergeCell ref="F57:G57"/>
    <mergeCell ref="F66:G66"/>
    <mergeCell ref="F75:G75"/>
    <mergeCell ref="F79:G79"/>
    <mergeCell ref="F39:G39"/>
    <mergeCell ref="F72:G72"/>
    <mergeCell ref="F73:G73"/>
    <mergeCell ref="F78:G78"/>
    <mergeCell ref="F81:G81"/>
    <mergeCell ref="F129:G129"/>
    <mergeCell ref="F82:G82"/>
    <mergeCell ref="F85:G85"/>
    <mergeCell ref="F45:G45"/>
    <mergeCell ref="F46:G46"/>
    <mergeCell ref="F63:G63"/>
    <mergeCell ref="F64:G64"/>
    <mergeCell ref="F131:G131"/>
    <mergeCell ref="F141:G141"/>
    <mergeCell ref="F152:G152"/>
    <mergeCell ref="F56:G56"/>
    <mergeCell ref="F60:G60"/>
    <mergeCell ref="F65:G65"/>
    <mergeCell ref="F301:G301"/>
    <mergeCell ref="F302:G302"/>
    <mergeCell ref="F43:G43"/>
    <mergeCell ref="F284:G284"/>
    <mergeCell ref="F275:G275"/>
    <mergeCell ref="F276:G276"/>
    <mergeCell ref="F67:G67"/>
    <mergeCell ref="F70:G70"/>
    <mergeCell ref="F71:G71"/>
    <mergeCell ref="F48:G48"/>
    <mergeCell ref="F50:G50"/>
    <mergeCell ref="F49:G49"/>
    <mergeCell ref="F59:G59"/>
    <mergeCell ref="F62:G62"/>
    <mergeCell ref="F68:G68"/>
    <mergeCell ref="F58:G58"/>
    <mergeCell ref="F61:G61"/>
    <mergeCell ref="F51:G51"/>
  </mergeCells>
  <phoneticPr fontId="28"/>
  <conditionalFormatting sqref="J215">
    <cfRule type="timePeriod" dxfId="32" priority="33" timePeriod="lastWeek">
      <formula>AND(TODAY()-ROUNDDOWN(J215,0)&gt;=(WEEKDAY(TODAY())),TODAY()-ROUNDDOWN(J215,0)&lt;(WEEKDAY(TODAY())+7))</formula>
    </cfRule>
  </conditionalFormatting>
  <conditionalFormatting sqref="J218">
    <cfRule type="timePeriod" dxfId="31" priority="32" timePeriod="lastWeek">
      <formula>AND(TODAY()-ROUNDDOWN(J218,0)&gt;=(WEEKDAY(TODAY())),TODAY()-ROUNDDOWN(J218,0)&lt;(WEEKDAY(TODAY())+7))</formula>
    </cfRule>
  </conditionalFormatting>
  <conditionalFormatting sqref="J219:J221">
    <cfRule type="timePeriod" dxfId="30" priority="31" timePeriod="lastWeek">
      <formula>AND(TODAY()-ROUNDDOWN(J219,0)&gt;=(WEEKDAY(TODAY())),TODAY()-ROUNDDOWN(J219,0)&lt;(WEEKDAY(TODAY())+7))</formula>
    </cfRule>
  </conditionalFormatting>
  <conditionalFormatting sqref="J222">
    <cfRule type="timePeriod" dxfId="29" priority="30" timePeriod="lastWeek">
      <formula>AND(TODAY()-ROUNDDOWN(J222,0)&gt;=(WEEKDAY(TODAY())),TODAY()-ROUNDDOWN(J222,0)&lt;(WEEKDAY(TODAY())+7))</formula>
    </cfRule>
  </conditionalFormatting>
  <conditionalFormatting sqref="J223">
    <cfRule type="timePeriod" dxfId="28" priority="29" timePeriod="lastWeek">
      <formula>AND(TODAY()-ROUNDDOWN(J223,0)&gt;=(WEEKDAY(TODAY())),TODAY()-ROUNDDOWN(J223,0)&lt;(WEEKDAY(TODAY())+7))</formula>
    </cfRule>
  </conditionalFormatting>
  <conditionalFormatting sqref="J224">
    <cfRule type="timePeriod" dxfId="27" priority="28" timePeriod="lastWeek">
      <formula>AND(TODAY()-ROUNDDOWN(J224,0)&gt;=(WEEKDAY(TODAY())),TODAY()-ROUNDDOWN(J224,0)&lt;(WEEKDAY(TODAY())+7))</formula>
    </cfRule>
  </conditionalFormatting>
  <conditionalFormatting sqref="J226:J231">
    <cfRule type="timePeriod" dxfId="26" priority="27" timePeriod="lastWeek">
      <formula>AND(TODAY()-ROUNDDOWN(J226,0)&gt;=(WEEKDAY(TODAY())),TODAY()-ROUNDDOWN(J226,0)&lt;(WEEKDAY(TODAY())+7))</formula>
    </cfRule>
  </conditionalFormatting>
  <conditionalFormatting sqref="J232">
    <cfRule type="timePeriod" dxfId="25" priority="26" timePeriod="lastWeek">
      <formula>AND(TODAY()-ROUNDDOWN(J232,0)&gt;=(WEEKDAY(TODAY())),TODAY()-ROUNDDOWN(J232,0)&lt;(WEEKDAY(TODAY())+7))</formula>
    </cfRule>
  </conditionalFormatting>
  <conditionalFormatting sqref="J234:J239">
    <cfRule type="timePeriod" dxfId="24" priority="25" timePeriod="lastWeek">
      <formula>AND(TODAY()-ROUNDDOWN(J234,0)&gt;=(WEEKDAY(TODAY())),TODAY()-ROUNDDOWN(J234,0)&lt;(WEEKDAY(TODAY())+7))</formula>
    </cfRule>
  </conditionalFormatting>
  <conditionalFormatting sqref="J240">
    <cfRule type="timePeriod" dxfId="23" priority="24" timePeriod="lastWeek">
      <formula>AND(TODAY()-ROUNDDOWN(J240,0)&gt;=(WEEKDAY(TODAY())),TODAY()-ROUNDDOWN(J240,0)&lt;(WEEKDAY(TODAY())+7))</formula>
    </cfRule>
  </conditionalFormatting>
  <conditionalFormatting sqref="J245">
    <cfRule type="timePeriod" dxfId="22" priority="23" timePeriod="lastWeek">
      <formula>AND(TODAY()-ROUNDDOWN(J245,0)&gt;=(WEEKDAY(TODAY())),TODAY()-ROUNDDOWN(J245,0)&lt;(WEEKDAY(TODAY())+7))</formula>
    </cfRule>
  </conditionalFormatting>
  <conditionalFormatting sqref="M226:M232">
    <cfRule type="timePeriod" dxfId="21" priority="22" timePeriod="lastWeek">
      <formula>AND(TODAY()-ROUNDDOWN(M226,0)&gt;=(WEEKDAY(TODAY())),TODAY()-ROUNDDOWN(M226,0)&lt;(WEEKDAY(TODAY())+7))</formula>
    </cfRule>
  </conditionalFormatting>
  <conditionalFormatting sqref="M234:M236">
    <cfRule type="timePeriod" dxfId="20" priority="21" timePeriod="lastWeek">
      <formula>AND(TODAY()-ROUNDDOWN(M234,0)&gt;=(WEEKDAY(TODAY())),TODAY()-ROUNDDOWN(M234,0)&lt;(WEEKDAY(TODAY())+7))</formula>
    </cfRule>
  </conditionalFormatting>
  <conditionalFormatting sqref="M237">
    <cfRule type="timePeriod" dxfId="19" priority="20" timePeriod="lastWeek">
      <formula>AND(TODAY()-ROUNDDOWN(M237,0)&gt;=(WEEKDAY(TODAY())),TODAY()-ROUNDDOWN(M237,0)&lt;(WEEKDAY(TODAY())+7))</formula>
    </cfRule>
  </conditionalFormatting>
  <conditionalFormatting sqref="M238">
    <cfRule type="timePeriod" dxfId="18" priority="19" timePeriod="lastWeek">
      <formula>AND(TODAY()-ROUNDDOWN(M238,0)&gt;=(WEEKDAY(TODAY())),TODAY()-ROUNDDOWN(M238,0)&lt;(WEEKDAY(TODAY())+7))</formula>
    </cfRule>
  </conditionalFormatting>
  <conditionalFormatting sqref="M239">
    <cfRule type="timePeriod" dxfId="17" priority="18" timePeriod="lastWeek">
      <formula>AND(TODAY()-ROUNDDOWN(M239,0)&gt;=(WEEKDAY(TODAY())),TODAY()-ROUNDDOWN(M239,0)&lt;(WEEKDAY(TODAY())+7))</formula>
    </cfRule>
  </conditionalFormatting>
  <conditionalFormatting sqref="M240">
    <cfRule type="timePeriod" dxfId="16" priority="17" timePeriod="lastWeek">
      <formula>AND(TODAY()-ROUNDDOWN(M240,0)&gt;=(WEEKDAY(TODAY())),TODAY()-ROUNDDOWN(M240,0)&lt;(WEEKDAY(TODAY())+7))</formula>
    </cfRule>
  </conditionalFormatting>
  <conditionalFormatting sqref="J241">
    <cfRule type="timePeriod" dxfId="15" priority="16" timePeriod="lastWeek">
      <formula>AND(TODAY()-ROUNDDOWN(J241,0)&gt;=(WEEKDAY(TODAY())),TODAY()-ROUNDDOWN(J241,0)&lt;(WEEKDAY(TODAY())+7))</formula>
    </cfRule>
  </conditionalFormatting>
  <conditionalFormatting sqref="M241">
    <cfRule type="timePeriod" dxfId="14" priority="15" timePeriod="lastWeek">
      <formula>AND(TODAY()-ROUNDDOWN(M241,0)&gt;=(WEEKDAY(TODAY())),TODAY()-ROUNDDOWN(M241,0)&lt;(WEEKDAY(TODAY())+7))</formula>
    </cfRule>
  </conditionalFormatting>
  <conditionalFormatting sqref="M245">
    <cfRule type="timePeriod" dxfId="13" priority="14" timePeriod="lastWeek">
      <formula>AND(TODAY()-ROUNDDOWN(M245,0)&gt;=(WEEKDAY(TODAY())),TODAY()-ROUNDDOWN(M245,0)&lt;(WEEKDAY(TODAY())+7))</formula>
    </cfRule>
  </conditionalFormatting>
  <conditionalFormatting sqref="P245">
    <cfRule type="timePeriod" dxfId="12" priority="13" timePeriod="lastWeek">
      <formula>AND(TODAY()-ROUNDDOWN(P245,0)&gt;=(WEEKDAY(TODAY())),TODAY()-ROUNDDOWN(P245,0)&lt;(WEEKDAY(TODAY())+7))</formula>
    </cfRule>
  </conditionalFormatting>
  <conditionalFormatting sqref="H9:P9 H12:P12 H15:P15 H18:P18 H21:P48 H245:P245 I252:J252 O252:P252 L252:M252 H253:P256 H51:P242">
    <cfRule type="cellIs" dxfId="11" priority="12" operator="equal">
      <formula>"NG"</formula>
    </cfRule>
  </conditionalFormatting>
  <conditionalFormatting sqref="H10:P11">
    <cfRule type="cellIs" dxfId="6" priority="7" operator="equal">
      <formula>"NG"</formula>
    </cfRule>
  </conditionalFormatting>
  <conditionalFormatting sqref="H13:P14">
    <cfRule type="cellIs" dxfId="5" priority="6" operator="equal">
      <formula>"NG"</formula>
    </cfRule>
  </conditionalFormatting>
  <conditionalFormatting sqref="H16:P17">
    <cfRule type="cellIs" dxfId="4" priority="5" operator="equal">
      <formula>"NG"</formula>
    </cfRule>
  </conditionalFormatting>
  <conditionalFormatting sqref="H19:P20">
    <cfRule type="cellIs" dxfId="3" priority="4" operator="equal">
      <formula>"NG"</formula>
    </cfRule>
  </conditionalFormatting>
  <conditionalFormatting sqref="H49:P50">
    <cfRule type="cellIs" dxfId="2" priority="3" operator="equal">
      <formula>"NG"</formula>
    </cfRule>
  </conditionalFormatting>
  <conditionalFormatting sqref="H243:P244">
    <cfRule type="cellIs" dxfId="1" priority="2" operator="equal">
      <formula>"NG"</formula>
    </cfRule>
  </conditionalFormatting>
  <dataValidations count="1">
    <dataValidation type="list" allowBlank="1" showInputMessage="1" showErrorMessage="1" sqref="N261:N284 K261:K284 H261:H284 H289:H320 K289:K320 N9:N256 N325:N355 H325:H355 N289:N320 K325:K355 H9:H256 K9:K256 K361:K420 N361:N420 H361:H420">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R51"/>
  <sheetViews>
    <sheetView workbookViewId="0">
      <pane xSplit="1" ySplit="5" topLeftCell="B6" activePane="bottomRight" state="frozen"/>
      <selection pane="topRight" activeCell="B1" sqref="B1"/>
      <selection pane="bottomLeft" activeCell="A6" sqref="A6"/>
      <selection pane="bottomRight"/>
    </sheetView>
  </sheetViews>
  <sheetFormatPr defaultRowHeight="13.5"/>
  <cols>
    <col min="1" max="1" width="2.25" customWidth="1"/>
    <col min="2" max="2" width="20.125" bestFit="1" customWidth="1"/>
    <col min="3" max="3" width="24.875" bestFit="1" customWidth="1"/>
    <col min="4" max="4" width="28.5" customWidth="1"/>
    <col min="5" max="5" width="42.375" customWidth="1"/>
    <col min="7" max="7" width="10.5" bestFit="1" customWidth="1"/>
    <col min="10" max="10" width="10.5" bestFit="1" customWidth="1"/>
    <col min="13" max="13" width="10.5" bestFit="1" customWidth="1"/>
  </cols>
  <sheetData>
    <row r="4" spans="2:18">
      <c r="B4" s="249" t="s">
        <v>317</v>
      </c>
      <c r="C4" s="248" t="s">
        <v>319</v>
      </c>
      <c r="D4" s="248"/>
      <c r="E4" s="248"/>
      <c r="F4" s="236" t="s">
        <v>90</v>
      </c>
      <c r="G4" s="236"/>
      <c r="H4" s="236"/>
      <c r="I4" s="236" t="s">
        <v>83</v>
      </c>
      <c r="J4" s="236"/>
      <c r="K4" s="236"/>
      <c r="L4" s="236" t="s">
        <v>84</v>
      </c>
      <c r="M4" s="236"/>
      <c r="N4" s="236"/>
      <c r="O4" s="250" t="s">
        <v>78</v>
      </c>
      <c r="P4" s="237" t="s">
        <v>14</v>
      </c>
      <c r="Q4" s="237"/>
      <c r="R4" s="237"/>
    </row>
    <row r="5" spans="2:18" ht="27">
      <c r="B5" s="249"/>
      <c r="C5" s="143" t="s">
        <v>318</v>
      </c>
      <c r="D5" s="144" t="s">
        <v>403</v>
      </c>
      <c r="E5" s="144" t="s">
        <v>404</v>
      </c>
      <c r="F5" s="130" t="s">
        <v>8</v>
      </c>
      <c r="G5" s="130" t="s">
        <v>9</v>
      </c>
      <c r="H5" s="130" t="s">
        <v>10</v>
      </c>
      <c r="I5" s="130" t="s">
        <v>8</v>
      </c>
      <c r="J5" s="130" t="s">
        <v>9</v>
      </c>
      <c r="K5" s="130" t="s">
        <v>10</v>
      </c>
      <c r="L5" s="130" t="s">
        <v>8</v>
      </c>
      <c r="M5" s="130" t="s">
        <v>9</v>
      </c>
      <c r="N5" s="130" t="s">
        <v>10</v>
      </c>
      <c r="O5" s="236"/>
      <c r="P5" s="129"/>
      <c r="Q5" s="129"/>
      <c r="R5" s="129"/>
    </row>
    <row r="6" spans="2:18">
      <c r="B6" s="109" t="s">
        <v>298</v>
      </c>
      <c r="C6" s="109"/>
      <c r="D6" s="109"/>
      <c r="E6" s="109"/>
      <c r="F6" s="102"/>
      <c r="G6" s="54"/>
      <c r="H6" s="102"/>
      <c r="I6" s="102"/>
      <c r="J6" s="54"/>
      <c r="K6" s="102"/>
      <c r="L6" s="102"/>
      <c r="M6" s="54"/>
      <c r="N6" s="102"/>
      <c r="O6" s="102"/>
      <c r="P6" s="100"/>
      <c r="Q6" s="102"/>
      <c r="R6" s="102"/>
    </row>
    <row r="7" spans="2:18">
      <c r="B7" s="109" t="s">
        <v>164</v>
      </c>
      <c r="C7" s="109"/>
      <c r="D7" s="166"/>
      <c r="E7" s="166"/>
      <c r="F7" s="102"/>
      <c r="G7" s="54"/>
      <c r="H7" s="102"/>
      <c r="I7" s="102"/>
      <c r="J7" s="54"/>
      <c r="K7" s="102"/>
      <c r="L7" s="102"/>
      <c r="M7" s="54"/>
      <c r="N7" s="102"/>
      <c r="O7" s="102"/>
      <c r="P7" s="100"/>
      <c r="Q7" s="102"/>
      <c r="R7" s="102"/>
    </row>
    <row r="8" spans="2:18">
      <c r="B8" s="109" t="s">
        <v>163</v>
      </c>
      <c r="C8" s="109"/>
      <c r="D8" s="166"/>
      <c r="E8" s="166"/>
      <c r="F8" s="102"/>
      <c r="G8" s="54"/>
      <c r="H8" s="102"/>
      <c r="I8" s="102"/>
      <c r="J8" s="54"/>
      <c r="K8" s="102"/>
      <c r="L8" s="102"/>
      <c r="M8" s="54"/>
      <c r="N8" s="102"/>
      <c r="O8" s="102"/>
      <c r="P8" s="100"/>
      <c r="Q8" s="102"/>
      <c r="R8" s="102"/>
    </row>
    <row r="9" spans="2:18">
      <c r="B9" s="109" t="s">
        <v>165</v>
      </c>
      <c r="C9" s="109"/>
      <c r="D9" s="166"/>
      <c r="E9" s="166"/>
      <c r="F9" s="102"/>
      <c r="G9" s="54"/>
      <c r="H9" s="102"/>
      <c r="I9" s="102"/>
      <c r="J9" s="54"/>
      <c r="K9" s="102"/>
      <c r="L9" s="102"/>
      <c r="M9" s="54"/>
      <c r="N9" s="102"/>
      <c r="O9" s="102"/>
      <c r="P9" s="100"/>
      <c r="Q9" s="102"/>
      <c r="R9" s="102"/>
    </row>
    <row r="10" spans="2:18">
      <c r="B10" s="109" t="s">
        <v>166</v>
      </c>
      <c r="C10" s="109"/>
      <c r="D10" s="166"/>
      <c r="E10" s="166"/>
      <c r="F10" s="102"/>
      <c r="G10" s="54"/>
      <c r="H10" s="102"/>
      <c r="I10" s="102"/>
      <c r="J10" s="54"/>
      <c r="K10" s="102"/>
      <c r="L10" s="102"/>
      <c r="M10" s="54"/>
      <c r="N10" s="102"/>
      <c r="O10" s="102"/>
      <c r="P10" s="100"/>
      <c r="Q10" s="102"/>
      <c r="R10" s="102"/>
    </row>
    <row r="11" spans="2:18">
      <c r="B11" s="109" t="s">
        <v>167</v>
      </c>
      <c r="C11" s="109"/>
      <c r="D11" s="166"/>
      <c r="E11" s="166"/>
      <c r="F11" s="102"/>
      <c r="G11" s="54"/>
      <c r="H11" s="102"/>
      <c r="I11" s="102"/>
      <c r="J11" s="54"/>
      <c r="K11" s="102"/>
      <c r="L11" s="102"/>
      <c r="M11" s="54"/>
      <c r="N11" s="102"/>
      <c r="O11" s="102"/>
      <c r="P11" s="100"/>
      <c r="Q11" s="102"/>
      <c r="R11" s="102"/>
    </row>
    <row r="12" spans="2:18">
      <c r="B12" s="109" t="s">
        <v>154</v>
      </c>
      <c r="C12" s="109"/>
      <c r="D12" s="166"/>
      <c r="E12" s="166"/>
      <c r="F12" s="102"/>
      <c r="G12" s="54"/>
      <c r="H12" s="102"/>
      <c r="I12" s="102"/>
      <c r="J12" s="54"/>
      <c r="K12" s="102"/>
      <c r="L12" s="102"/>
      <c r="M12" s="54"/>
      <c r="N12" s="102"/>
      <c r="O12" s="102"/>
      <c r="P12" s="100"/>
      <c r="Q12" s="102"/>
      <c r="R12" s="102"/>
    </row>
    <row r="13" spans="2:18">
      <c r="B13" s="109" t="s">
        <v>299</v>
      </c>
      <c r="C13" s="109"/>
      <c r="D13" s="166"/>
      <c r="E13" s="166"/>
      <c r="F13" s="102"/>
      <c r="G13" s="54"/>
      <c r="H13" s="102"/>
      <c r="I13" s="102"/>
      <c r="J13" s="54"/>
      <c r="K13" s="102"/>
      <c r="L13" s="102"/>
      <c r="M13" s="54"/>
      <c r="N13" s="102"/>
      <c r="O13" s="102"/>
      <c r="P13" s="100"/>
      <c r="Q13" s="102"/>
      <c r="R13" s="102"/>
    </row>
    <row r="14" spans="2:18">
      <c r="B14" s="109" t="s">
        <v>155</v>
      </c>
      <c r="C14" s="109"/>
      <c r="D14" s="166"/>
      <c r="E14" s="166"/>
      <c r="F14" s="102"/>
      <c r="G14" s="54"/>
      <c r="H14" s="102"/>
      <c r="I14" s="102"/>
      <c r="J14" s="54"/>
      <c r="K14" s="102"/>
      <c r="L14" s="102"/>
      <c r="M14" s="54"/>
      <c r="N14" s="102"/>
      <c r="O14" s="102"/>
      <c r="P14" s="100"/>
      <c r="Q14" s="102"/>
      <c r="R14" s="102"/>
    </row>
    <row r="15" spans="2:18">
      <c r="B15" s="109" t="s">
        <v>156</v>
      </c>
      <c r="C15" s="109"/>
      <c r="D15" s="166"/>
      <c r="E15" s="166"/>
      <c r="F15" s="102"/>
      <c r="G15" s="54"/>
      <c r="H15" s="102"/>
      <c r="I15" s="102"/>
      <c r="J15" s="54"/>
      <c r="K15" s="102"/>
      <c r="L15" s="102"/>
      <c r="M15" s="54"/>
      <c r="N15" s="102"/>
      <c r="O15" s="102"/>
      <c r="P15" s="100"/>
      <c r="Q15" s="102"/>
      <c r="R15" s="102"/>
    </row>
    <row r="16" spans="2:18">
      <c r="B16" s="109" t="s">
        <v>300</v>
      </c>
      <c r="C16" s="109"/>
      <c r="D16" s="166"/>
      <c r="E16" s="166"/>
      <c r="F16" s="102"/>
      <c r="G16" s="54"/>
      <c r="H16" s="102"/>
      <c r="I16" s="102"/>
      <c r="J16" s="54"/>
      <c r="K16" s="102"/>
      <c r="L16" s="102"/>
      <c r="M16" s="54"/>
      <c r="N16" s="102"/>
      <c r="O16" s="102"/>
      <c r="P16" s="100"/>
      <c r="Q16" s="102"/>
      <c r="R16" s="102"/>
    </row>
    <row r="17" spans="2:18">
      <c r="B17" s="109" t="s">
        <v>157</v>
      </c>
      <c r="C17" s="109"/>
      <c r="D17" s="166"/>
      <c r="E17" s="166"/>
      <c r="F17" s="102"/>
      <c r="G17" s="54"/>
      <c r="H17" s="102"/>
      <c r="I17" s="102"/>
      <c r="J17" s="54"/>
      <c r="K17" s="102"/>
      <c r="L17" s="102"/>
      <c r="M17" s="54"/>
      <c r="N17" s="102"/>
      <c r="O17" s="102"/>
      <c r="P17" s="100"/>
      <c r="Q17" s="102"/>
      <c r="R17" s="102"/>
    </row>
    <row r="18" spans="2:18">
      <c r="B18" s="109" t="s">
        <v>301</v>
      </c>
      <c r="C18" s="109"/>
      <c r="D18" s="166"/>
      <c r="E18" s="166"/>
      <c r="F18" s="102"/>
      <c r="G18" s="54"/>
      <c r="H18" s="102"/>
      <c r="I18" s="102"/>
      <c r="J18" s="54"/>
      <c r="K18" s="102"/>
      <c r="L18" s="102"/>
      <c r="M18" s="54"/>
      <c r="N18" s="102"/>
      <c r="O18" s="102"/>
      <c r="P18" s="100"/>
      <c r="Q18" s="102"/>
      <c r="R18" s="102"/>
    </row>
    <row r="19" spans="2:18">
      <c r="B19" s="109" t="s">
        <v>302</v>
      </c>
      <c r="C19" s="109"/>
      <c r="D19" s="166"/>
      <c r="E19" s="166"/>
      <c r="F19" s="102"/>
      <c r="G19" s="54"/>
      <c r="H19" s="102"/>
      <c r="I19" s="102"/>
      <c r="J19" s="54"/>
      <c r="K19" s="102"/>
      <c r="L19" s="102"/>
      <c r="M19" s="54"/>
      <c r="N19" s="102"/>
      <c r="O19" s="102"/>
      <c r="P19" s="100"/>
      <c r="Q19" s="102"/>
      <c r="R19" s="102"/>
    </row>
    <row r="20" spans="2:18">
      <c r="B20" s="109" t="s">
        <v>159</v>
      </c>
      <c r="C20" s="109"/>
      <c r="D20" s="166"/>
      <c r="E20" s="166"/>
      <c r="F20" s="102"/>
      <c r="G20" s="54"/>
      <c r="H20" s="102"/>
      <c r="I20" s="102"/>
      <c r="J20" s="54"/>
      <c r="K20" s="102"/>
      <c r="L20" s="102"/>
      <c r="M20" s="54"/>
      <c r="N20" s="102"/>
      <c r="O20" s="102"/>
      <c r="P20" s="100"/>
      <c r="Q20" s="102"/>
      <c r="R20" s="102"/>
    </row>
    <row r="21" spans="2:18">
      <c r="B21" s="109" t="s">
        <v>169</v>
      </c>
      <c r="C21" s="109"/>
      <c r="D21" s="166"/>
      <c r="E21" s="166"/>
      <c r="F21" s="102"/>
      <c r="G21" s="54"/>
      <c r="H21" s="102"/>
      <c r="I21" s="102"/>
      <c r="J21" s="54"/>
      <c r="K21" s="102"/>
      <c r="L21" s="102"/>
      <c r="M21" s="54"/>
      <c r="N21" s="102"/>
      <c r="O21" s="102"/>
      <c r="P21" s="100"/>
      <c r="Q21" s="102"/>
      <c r="R21" s="102"/>
    </row>
    <row r="22" spans="2:18">
      <c r="B22" s="109" t="s">
        <v>170</v>
      </c>
      <c r="C22" s="109"/>
      <c r="D22" s="166"/>
      <c r="E22" s="166"/>
      <c r="F22" s="102"/>
      <c r="G22" s="54"/>
      <c r="H22" s="102"/>
      <c r="I22" s="102"/>
      <c r="J22" s="54"/>
      <c r="K22" s="102"/>
      <c r="L22" s="102"/>
      <c r="M22" s="54"/>
      <c r="N22" s="102"/>
      <c r="O22" s="102"/>
      <c r="P22" s="100"/>
      <c r="Q22" s="102"/>
      <c r="R22" s="102"/>
    </row>
    <row r="23" spans="2:18">
      <c r="B23" s="109" t="s">
        <v>171</v>
      </c>
      <c r="C23" s="109"/>
      <c r="D23" s="166"/>
      <c r="E23" s="166"/>
      <c r="F23" s="102"/>
      <c r="G23" s="54"/>
      <c r="H23" s="102"/>
      <c r="I23" s="102"/>
      <c r="J23" s="54"/>
      <c r="K23" s="102"/>
      <c r="L23" s="102"/>
      <c r="M23" s="54"/>
      <c r="N23" s="102"/>
      <c r="O23" s="102"/>
      <c r="P23" s="100"/>
      <c r="Q23" s="102"/>
      <c r="R23" s="102"/>
    </row>
    <row r="24" spans="2:18">
      <c r="B24" s="109" t="s">
        <v>172</v>
      </c>
      <c r="C24" s="109"/>
      <c r="D24" s="166"/>
      <c r="E24" s="166"/>
      <c r="F24" s="102"/>
      <c r="G24" s="54"/>
      <c r="H24" s="102"/>
      <c r="I24" s="102"/>
      <c r="J24" s="54"/>
      <c r="K24" s="102"/>
      <c r="L24" s="102"/>
      <c r="M24" s="54"/>
      <c r="N24" s="102"/>
      <c r="O24" s="102"/>
      <c r="P24" s="100"/>
      <c r="Q24" s="102"/>
      <c r="R24" s="102"/>
    </row>
    <row r="25" spans="2:18">
      <c r="B25" s="109" t="s">
        <v>303</v>
      </c>
      <c r="C25" s="109"/>
      <c r="D25" s="166"/>
      <c r="E25" s="166"/>
      <c r="F25" s="102"/>
      <c r="G25" s="54"/>
      <c r="H25" s="102"/>
      <c r="I25" s="102"/>
      <c r="J25" s="54"/>
      <c r="K25" s="102"/>
      <c r="L25" s="102"/>
      <c r="M25" s="54"/>
      <c r="N25" s="102"/>
      <c r="O25" s="102"/>
      <c r="P25" s="100"/>
      <c r="Q25" s="102"/>
      <c r="R25" s="102"/>
    </row>
    <row r="26" spans="2:18">
      <c r="B26" s="109" t="s">
        <v>173</v>
      </c>
      <c r="C26" s="109"/>
      <c r="D26" s="166"/>
      <c r="E26" s="166"/>
      <c r="F26" s="102"/>
      <c r="G26" s="54"/>
      <c r="H26" s="102"/>
      <c r="I26" s="102"/>
      <c r="J26" s="54"/>
      <c r="K26" s="102"/>
      <c r="L26" s="102"/>
      <c r="M26" s="54"/>
      <c r="N26" s="102"/>
      <c r="O26" s="102"/>
      <c r="P26" s="100"/>
      <c r="Q26" s="102"/>
      <c r="R26" s="102"/>
    </row>
    <row r="27" spans="2:18">
      <c r="B27" s="109" t="s">
        <v>174</v>
      </c>
      <c r="C27" s="109"/>
      <c r="D27" s="166"/>
      <c r="E27" s="166"/>
      <c r="F27" s="102"/>
      <c r="G27" s="54"/>
      <c r="H27" s="102"/>
      <c r="I27" s="102"/>
      <c r="J27" s="54"/>
      <c r="K27" s="102"/>
      <c r="L27" s="102"/>
      <c r="M27" s="54"/>
      <c r="N27" s="102"/>
      <c r="O27" s="102"/>
      <c r="P27" s="100"/>
      <c r="Q27" s="102"/>
      <c r="R27" s="102"/>
    </row>
    <row r="28" spans="2:18">
      <c r="B28" s="109" t="s">
        <v>175</v>
      </c>
      <c r="C28" s="109"/>
      <c r="D28" s="166"/>
      <c r="E28" s="166"/>
      <c r="F28" s="102"/>
      <c r="G28" s="54"/>
      <c r="H28" s="102"/>
      <c r="I28" s="102"/>
      <c r="J28" s="54"/>
      <c r="K28" s="102"/>
      <c r="L28" s="102"/>
      <c r="M28" s="54"/>
      <c r="N28" s="102"/>
      <c r="O28" s="102"/>
      <c r="P28" s="100"/>
      <c r="Q28" s="102"/>
      <c r="R28" s="102"/>
    </row>
    <row r="29" spans="2:18">
      <c r="B29" s="109" t="s">
        <v>176</v>
      </c>
      <c r="C29" s="109"/>
      <c r="D29" s="166"/>
      <c r="E29" s="166"/>
      <c r="F29" s="102"/>
      <c r="G29" s="54"/>
      <c r="H29" s="102"/>
      <c r="I29" s="102"/>
      <c r="J29" s="54"/>
      <c r="K29" s="102"/>
      <c r="L29" s="102"/>
      <c r="M29" s="54"/>
      <c r="N29" s="102"/>
      <c r="O29" s="102"/>
      <c r="P29" s="100"/>
      <c r="Q29" s="102"/>
      <c r="R29" s="102"/>
    </row>
    <row r="30" spans="2:18">
      <c r="B30" s="109" t="s">
        <v>177</v>
      </c>
      <c r="C30" s="109"/>
      <c r="D30" s="166"/>
      <c r="E30" s="166"/>
      <c r="F30" s="102"/>
      <c r="G30" s="54"/>
      <c r="H30" s="102"/>
      <c r="I30" s="102"/>
      <c r="J30" s="54"/>
      <c r="K30" s="102"/>
      <c r="L30" s="102"/>
      <c r="M30" s="54"/>
      <c r="N30" s="102"/>
      <c r="O30" s="102"/>
      <c r="P30" s="100"/>
      <c r="Q30" s="102"/>
      <c r="R30" s="102"/>
    </row>
    <row r="31" spans="2:18">
      <c r="B31" s="109" t="s">
        <v>304</v>
      </c>
      <c r="C31" s="109"/>
      <c r="D31" s="166"/>
      <c r="E31" s="166"/>
      <c r="F31" s="102"/>
      <c r="G31" s="54"/>
      <c r="H31" s="102"/>
      <c r="I31" s="102"/>
      <c r="J31" s="54"/>
      <c r="K31" s="102"/>
      <c r="L31" s="102"/>
      <c r="M31" s="54"/>
      <c r="N31" s="102"/>
      <c r="O31" s="102"/>
      <c r="P31" s="100"/>
      <c r="Q31" s="102"/>
      <c r="R31" s="102"/>
    </row>
    <row r="32" spans="2:18">
      <c r="B32" s="109" t="s">
        <v>305</v>
      </c>
      <c r="C32" s="109"/>
      <c r="D32" s="166"/>
      <c r="E32" s="166"/>
      <c r="F32" s="102"/>
      <c r="G32" s="54"/>
      <c r="H32" s="102"/>
      <c r="I32" s="102"/>
      <c r="J32" s="54"/>
      <c r="K32" s="102"/>
      <c r="L32" s="102"/>
      <c r="M32" s="54"/>
      <c r="N32" s="102"/>
      <c r="O32" s="102"/>
      <c r="P32" s="100"/>
      <c r="Q32" s="102"/>
      <c r="R32" s="102"/>
    </row>
    <row r="33" spans="2:18">
      <c r="B33" s="109" t="s">
        <v>306</v>
      </c>
      <c r="C33" s="109"/>
      <c r="D33" s="166"/>
      <c r="E33" s="166"/>
      <c r="F33" s="102"/>
      <c r="G33" s="54"/>
      <c r="H33" s="102"/>
      <c r="I33" s="102"/>
      <c r="J33" s="54"/>
      <c r="K33" s="102"/>
      <c r="L33" s="102"/>
      <c r="M33" s="54"/>
      <c r="N33" s="102"/>
      <c r="O33" s="102"/>
      <c r="P33" s="100"/>
      <c r="Q33" s="102"/>
      <c r="R33" s="102"/>
    </row>
    <row r="34" spans="2:18">
      <c r="B34" s="109" t="s">
        <v>182</v>
      </c>
      <c r="C34" s="109"/>
      <c r="D34" s="166"/>
      <c r="E34" s="166"/>
      <c r="F34" s="102"/>
      <c r="G34" s="54"/>
      <c r="H34" s="102"/>
      <c r="I34" s="102"/>
      <c r="J34" s="54"/>
      <c r="K34" s="102"/>
      <c r="L34" s="102"/>
      <c r="M34" s="54"/>
      <c r="N34" s="102"/>
      <c r="O34" s="102"/>
      <c r="P34" s="100"/>
      <c r="Q34" s="102"/>
      <c r="R34" s="102"/>
    </row>
    <row r="35" spans="2:18">
      <c r="B35" s="109" t="s">
        <v>307</v>
      </c>
      <c r="C35" s="109"/>
      <c r="D35" s="166"/>
      <c r="E35" s="166"/>
      <c r="F35" s="102"/>
      <c r="G35" s="54"/>
      <c r="H35" s="102"/>
      <c r="I35" s="102"/>
      <c r="J35" s="54"/>
      <c r="K35" s="102"/>
      <c r="L35" s="102"/>
      <c r="M35" s="54"/>
      <c r="N35" s="102"/>
      <c r="O35" s="102"/>
      <c r="P35" s="100"/>
      <c r="Q35" s="102"/>
      <c r="R35" s="102"/>
    </row>
    <row r="36" spans="2:18">
      <c r="B36" s="109" t="s">
        <v>184</v>
      </c>
      <c r="C36" s="109"/>
      <c r="D36" s="166"/>
      <c r="E36" s="166"/>
      <c r="F36" s="102"/>
      <c r="G36" s="54"/>
      <c r="H36" s="102"/>
      <c r="I36" s="102"/>
      <c r="J36" s="54"/>
      <c r="K36" s="102"/>
      <c r="L36" s="102"/>
      <c r="M36" s="54"/>
      <c r="N36" s="102"/>
      <c r="O36" s="102"/>
      <c r="P36" s="100"/>
      <c r="Q36" s="102"/>
      <c r="R36" s="102"/>
    </row>
    <row r="37" spans="2:18">
      <c r="B37" s="109" t="s">
        <v>185</v>
      </c>
      <c r="C37" s="109"/>
      <c r="D37" s="166"/>
      <c r="E37" s="166"/>
      <c r="F37" s="102"/>
      <c r="G37" s="54"/>
      <c r="H37" s="102"/>
      <c r="I37" s="102"/>
      <c r="J37" s="54"/>
      <c r="K37" s="102"/>
      <c r="L37" s="102"/>
      <c r="M37" s="54"/>
      <c r="N37" s="102"/>
      <c r="O37" s="102"/>
      <c r="P37" s="100"/>
      <c r="Q37" s="102"/>
      <c r="R37" s="102"/>
    </row>
    <row r="38" spans="2:18">
      <c r="B38" s="109" t="s">
        <v>168</v>
      </c>
      <c r="C38" s="109"/>
      <c r="D38" s="166"/>
      <c r="E38" s="166"/>
      <c r="F38" s="102"/>
      <c r="G38" s="54"/>
      <c r="H38" s="102"/>
      <c r="I38" s="102"/>
      <c r="J38" s="54"/>
      <c r="K38" s="102"/>
      <c r="L38" s="102"/>
      <c r="M38" s="54"/>
      <c r="N38" s="102"/>
      <c r="O38" s="102"/>
      <c r="P38" s="100"/>
      <c r="Q38" s="102"/>
      <c r="R38" s="102"/>
    </row>
    <row r="39" spans="2:18">
      <c r="B39" s="109" t="s">
        <v>308</v>
      </c>
      <c r="C39" s="109"/>
      <c r="D39" s="166"/>
      <c r="E39" s="166"/>
      <c r="F39" s="102"/>
      <c r="G39" s="54"/>
      <c r="H39" s="102"/>
      <c r="I39" s="102"/>
      <c r="J39" s="54"/>
      <c r="K39" s="102"/>
      <c r="L39" s="102"/>
      <c r="M39" s="54"/>
      <c r="N39" s="102"/>
      <c r="O39" s="102"/>
      <c r="P39" s="100"/>
      <c r="Q39" s="102"/>
      <c r="R39" s="102"/>
    </row>
    <row r="40" spans="2:18">
      <c r="B40" s="109" t="s">
        <v>160</v>
      </c>
      <c r="C40" s="109"/>
      <c r="D40" s="166"/>
      <c r="E40" s="166"/>
      <c r="F40" s="102"/>
      <c r="G40" s="54"/>
      <c r="H40" s="102"/>
      <c r="I40" s="102"/>
      <c r="J40" s="54"/>
      <c r="K40" s="102"/>
      <c r="L40" s="102"/>
      <c r="M40" s="54"/>
      <c r="N40" s="102"/>
      <c r="O40" s="102"/>
      <c r="P40" s="100"/>
      <c r="Q40" s="102"/>
      <c r="R40" s="102"/>
    </row>
    <row r="41" spans="2:18">
      <c r="B41" s="109" t="s">
        <v>161</v>
      </c>
      <c r="C41" s="109"/>
      <c r="D41" s="166"/>
      <c r="E41" s="166"/>
      <c r="F41" s="102"/>
      <c r="G41" s="54"/>
      <c r="H41" s="102"/>
      <c r="I41" s="102"/>
      <c r="J41" s="54"/>
      <c r="K41" s="102"/>
      <c r="L41" s="102"/>
      <c r="M41" s="54"/>
      <c r="N41" s="102"/>
      <c r="O41" s="102"/>
      <c r="P41" s="100"/>
      <c r="Q41" s="102"/>
      <c r="R41" s="102"/>
    </row>
    <row r="42" spans="2:18">
      <c r="B42" s="109" t="s">
        <v>162</v>
      </c>
      <c r="C42" s="109"/>
      <c r="D42" s="166"/>
      <c r="E42" s="166"/>
      <c r="F42" s="102"/>
      <c r="G42" s="54"/>
      <c r="H42" s="102"/>
      <c r="I42" s="102"/>
      <c r="J42" s="54"/>
      <c r="K42" s="102"/>
      <c r="L42" s="102"/>
      <c r="M42" s="54"/>
      <c r="N42" s="102"/>
      <c r="O42" s="102"/>
      <c r="P42" s="100"/>
      <c r="Q42" s="102"/>
      <c r="R42" s="102"/>
    </row>
    <row r="43" spans="2:18">
      <c r="B43" s="109" t="s">
        <v>180</v>
      </c>
      <c r="C43" s="109"/>
      <c r="D43" s="166"/>
      <c r="E43" s="166"/>
      <c r="F43" s="102"/>
      <c r="G43" s="54"/>
      <c r="H43" s="102"/>
      <c r="I43" s="102"/>
      <c r="J43" s="54"/>
      <c r="K43" s="102"/>
      <c r="L43" s="102"/>
      <c r="M43" s="54"/>
      <c r="N43" s="102"/>
      <c r="O43" s="102"/>
      <c r="P43" s="100"/>
      <c r="Q43" s="102"/>
      <c r="R43" s="102"/>
    </row>
    <row r="44" spans="2:18">
      <c r="B44" s="109" t="s">
        <v>309</v>
      </c>
      <c r="C44" s="109"/>
      <c r="D44" s="166"/>
      <c r="E44" s="166"/>
      <c r="F44" s="102"/>
      <c r="G44" s="54"/>
      <c r="H44" s="102"/>
      <c r="I44" s="102"/>
      <c r="J44" s="54"/>
      <c r="K44" s="102"/>
      <c r="L44" s="102"/>
      <c r="M44" s="54"/>
      <c r="N44" s="102"/>
      <c r="O44" s="102"/>
      <c r="P44" s="100"/>
      <c r="Q44" s="102"/>
      <c r="R44" s="102"/>
    </row>
    <row r="45" spans="2:18">
      <c r="B45" s="109" t="s">
        <v>310</v>
      </c>
      <c r="C45" s="109"/>
      <c r="D45" s="166"/>
      <c r="E45" s="166"/>
      <c r="F45" s="102"/>
      <c r="G45" s="54"/>
      <c r="H45" s="102"/>
      <c r="I45" s="102"/>
      <c r="J45" s="54"/>
      <c r="K45" s="102"/>
      <c r="L45" s="102"/>
      <c r="M45" s="54"/>
      <c r="N45" s="102"/>
      <c r="O45" s="102"/>
      <c r="P45" s="100"/>
      <c r="Q45" s="102"/>
      <c r="R45" s="102"/>
    </row>
    <row r="46" spans="2:18">
      <c r="B46" s="109" t="s">
        <v>311</v>
      </c>
      <c r="C46" s="109"/>
      <c r="D46" s="166"/>
      <c r="E46" s="166"/>
      <c r="F46" s="102"/>
      <c r="G46" s="54"/>
      <c r="H46" s="102"/>
      <c r="I46" s="102"/>
      <c r="J46" s="54"/>
      <c r="K46" s="102"/>
      <c r="L46" s="102"/>
      <c r="M46" s="54"/>
      <c r="N46" s="102"/>
      <c r="O46" s="102"/>
      <c r="P46" s="100"/>
      <c r="Q46" s="102"/>
      <c r="R46" s="102"/>
    </row>
    <row r="47" spans="2:18">
      <c r="B47" s="109" t="s">
        <v>312</v>
      </c>
      <c r="C47" s="109"/>
      <c r="D47" s="166"/>
      <c r="E47" s="166"/>
      <c r="F47" s="102"/>
      <c r="G47" s="54"/>
      <c r="H47" s="102"/>
      <c r="I47" s="102"/>
      <c r="J47" s="54"/>
      <c r="K47" s="102"/>
      <c r="L47" s="102"/>
      <c r="M47" s="54"/>
      <c r="N47" s="102"/>
      <c r="O47" s="102"/>
      <c r="P47" s="100"/>
      <c r="Q47" s="102"/>
      <c r="R47" s="102"/>
    </row>
    <row r="48" spans="2:18">
      <c r="B48" s="109" t="s">
        <v>313</v>
      </c>
      <c r="C48" s="109"/>
      <c r="D48" s="166"/>
      <c r="E48" s="166"/>
      <c r="F48" s="102"/>
      <c r="G48" s="54"/>
      <c r="H48" s="102"/>
      <c r="I48" s="102"/>
      <c r="J48" s="54"/>
      <c r="K48" s="102"/>
      <c r="L48" s="102"/>
      <c r="M48" s="54"/>
      <c r="N48" s="102"/>
      <c r="O48" s="102"/>
      <c r="P48" s="100"/>
      <c r="Q48" s="102"/>
      <c r="R48" s="102"/>
    </row>
    <row r="49" spans="2:18">
      <c r="B49" s="109" t="s">
        <v>314</v>
      </c>
      <c r="C49" s="109"/>
      <c r="D49" s="166"/>
      <c r="E49" s="166"/>
      <c r="F49" s="102"/>
      <c r="G49" s="54"/>
      <c r="H49" s="102"/>
      <c r="I49" s="102"/>
      <c r="J49" s="54"/>
      <c r="K49" s="102"/>
      <c r="L49" s="102"/>
      <c r="M49" s="54"/>
      <c r="N49" s="102"/>
      <c r="O49" s="102"/>
      <c r="P49" s="100"/>
      <c r="Q49" s="102"/>
      <c r="R49" s="102"/>
    </row>
    <row r="50" spans="2:18">
      <c r="B50" s="109" t="s">
        <v>315</v>
      </c>
      <c r="C50" s="109"/>
      <c r="D50" s="166"/>
      <c r="E50" s="166"/>
      <c r="F50" s="102"/>
      <c r="G50" s="54"/>
      <c r="H50" s="102"/>
      <c r="I50" s="102"/>
      <c r="J50" s="54"/>
      <c r="K50" s="102"/>
      <c r="L50" s="102"/>
      <c r="M50" s="54"/>
      <c r="N50" s="102"/>
      <c r="O50" s="102"/>
      <c r="P50" s="100"/>
      <c r="Q50" s="102"/>
      <c r="R50" s="102"/>
    </row>
    <row r="51" spans="2:18">
      <c r="B51" s="109" t="s">
        <v>316</v>
      </c>
      <c r="C51" s="109"/>
      <c r="D51" s="166"/>
      <c r="E51" s="166"/>
      <c r="F51" s="102"/>
      <c r="G51" s="54"/>
      <c r="H51" s="102"/>
      <c r="I51" s="102"/>
      <c r="J51" s="54"/>
      <c r="K51" s="102"/>
      <c r="L51" s="102"/>
      <c r="M51" s="54"/>
      <c r="N51" s="102"/>
      <c r="O51" s="102"/>
      <c r="P51" s="100"/>
      <c r="Q51" s="102"/>
      <c r="R51" s="102"/>
    </row>
  </sheetData>
  <mergeCells count="7">
    <mergeCell ref="P4:R4"/>
    <mergeCell ref="C4:E4"/>
    <mergeCell ref="B4:B5"/>
    <mergeCell ref="F4:H4"/>
    <mergeCell ref="I4:K4"/>
    <mergeCell ref="L4:N4"/>
    <mergeCell ref="O4:O5"/>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R16"/>
  <sheetViews>
    <sheetView workbookViewId="0">
      <pane xSplit="1" ySplit="5" topLeftCell="B6" activePane="bottomRight" state="frozen"/>
      <selection pane="topRight" activeCell="B1" sqref="B1"/>
      <selection pane="bottomLeft" activeCell="A6" sqref="A6"/>
      <selection pane="bottomRight" activeCell="B1" sqref="B1"/>
    </sheetView>
  </sheetViews>
  <sheetFormatPr defaultRowHeight="13.5"/>
  <cols>
    <col min="1" max="1" width="2.25" customWidth="1"/>
    <col min="2" max="2" width="20.125" bestFit="1" customWidth="1"/>
    <col min="3" max="3" width="24.875" bestFit="1" customWidth="1"/>
    <col min="4" max="4" width="28.5" customWidth="1"/>
    <col min="5" max="5" width="42.375" customWidth="1"/>
  </cols>
  <sheetData>
    <row r="4" spans="2:18">
      <c r="B4" s="249" t="s">
        <v>317</v>
      </c>
      <c r="C4" s="248" t="s">
        <v>319</v>
      </c>
      <c r="D4" s="248"/>
      <c r="E4" s="248"/>
      <c r="F4" s="236" t="s">
        <v>90</v>
      </c>
      <c r="G4" s="236"/>
      <c r="H4" s="236"/>
      <c r="I4" s="236" t="s">
        <v>83</v>
      </c>
      <c r="J4" s="236"/>
      <c r="K4" s="236"/>
      <c r="L4" s="236" t="s">
        <v>84</v>
      </c>
      <c r="M4" s="236"/>
      <c r="N4" s="236"/>
      <c r="O4" s="250" t="s">
        <v>78</v>
      </c>
      <c r="P4" s="237" t="s">
        <v>14</v>
      </c>
      <c r="Q4" s="237"/>
      <c r="R4" s="237"/>
    </row>
    <row r="5" spans="2:18" ht="27">
      <c r="B5" s="249"/>
      <c r="C5" s="144" t="s">
        <v>367</v>
      </c>
      <c r="D5" s="144" t="s">
        <v>403</v>
      </c>
      <c r="E5" s="144" t="s">
        <v>404</v>
      </c>
      <c r="F5" s="130" t="s">
        <v>8</v>
      </c>
      <c r="G5" s="130" t="s">
        <v>9</v>
      </c>
      <c r="H5" s="130" t="s">
        <v>10</v>
      </c>
      <c r="I5" s="130" t="s">
        <v>8</v>
      </c>
      <c r="J5" s="130" t="s">
        <v>9</v>
      </c>
      <c r="K5" s="130" t="s">
        <v>10</v>
      </c>
      <c r="L5" s="130" t="s">
        <v>8</v>
      </c>
      <c r="M5" s="130" t="s">
        <v>9</v>
      </c>
      <c r="N5" s="130" t="s">
        <v>10</v>
      </c>
      <c r="O5" s="236"/>
      <c r="P5" s="129"/>
      <c r="Q5" s="129"/>
      <c r="R5" s="129"/>
    </row>
    <row r="6" spans="2:18">
      <c r="B6" s="109" t="s">
        <v>368</v>
      </c>
      <c r="C6" s="109"/>
      <c r="D6" s="109"/>
      <c r="E6" s="109"/>
      <c r="F6" s="102"/>
      <c r="G6" s="54"/>
      <c r="H6" s="102"/>
      <c r="I6" s="102"/>
      <c r="J6" s="54"/>
      <c r="K6" s="102"/>
      <c r="L6" s="102"/>
      <c r="M6" s="54"/>
      <c r="N6" s="102"/>
      <c r="O6" s="102"/>
      <c r="P6" s="100"/>
      <c r="Q6" s="102"/>
      <c r="R6" s="102"/>
    </row>
    <row r="7" spans="2:18">
      <c r="B7" s="109" t="s">
        <v>369</v>
      </c>
      <c r="C7" s="109"/>
      <c r="D7" s="166"/>
      <c r="E7" s="166"/>
      <c r="F7" s="102"/>
      <c r="G7" s="54"/>
      <c r="H7" s="102"/>
      <c r="I7" s="102"/>
      <c r="J7" s="54"/>
      <c r="K7" s="102"/>
      <c r="L7" s="102"/>
      <c r="M7" s="54"/>
      <c r="N7" s="102"/>
      <c r="O7" s="102"/>
      <c r="P7" s="100"/>
      <c r="Q7" s="102"/>
      <c r="R7" s="102"/>
    </row>
    <row r="8" spans="2:18">
      <c r="B8" s="109" t="s">
        <v>370</v>
      </c>
      <c r="C8" s="109"/>
      <c r="D8" s="166"/>
      <c r="E8" s="166"/>
      <c r="F8" s="102"/>
      <c r="G8" s="54"/>
      <c r="H8" s="102"/>
      <c r="I8" s="102"/>
      <c r="J8" s="54"/>
      <c r="K8" s="102"/>
      <c r="L8" s="102"/>
      <c r="M8" s="54"/>
      <c r="N8" s="102"/>
      <c r="O8" s="102"/>
      <c r="P8" s="100"/>
      <c r="Q8" s="102"/>
      <c r="R8" s="102"/>
    </row>
    <row r="9" spans="2:18">
      <c r="B9" s="109" t="s">
        <v>371</v>
      </c>
      <c r="C9" s="109"/>
      <c r="D9" s="166"/>
      <c r="E9" s="166"/>
      <c r="F9" s="102"/>
      <c r="G9" s="54"/>
      <c r="H9" s="102"/>
      <c r="I9" s="102"/>
      <c r="J9" s="54"/>
      <c r="K9" s="102"/>
      <c r="L9" s="102"/>
      <c r="M9" s="54"/>
      <c r="N9" s="102"/>
      <c r="O9" s="102"/>
      <c r="P9" s="100"/>
      <c r="Q9" s="102"/>
      <c r="R9" s="102"/>
    </row>
    <row r="10" spans="2:18">
      <c r="B10" s="109" t="s">
        <v>372</v>
      </c>
      <c r="C10" s="109"/>
      <c r="D10" s="166"/>
      <c r="E10" s="166"/>
      <c r="F10" s="102"/>
      <c r="G10" s="54"/>
      <c r="H10" s="102"/>
      <c r="I10" s="102"/>
      <c r="J10" s="54"/>
      <c r="K10" s="102"/>
      <c r="L10" s="102"/>
      <c r="M10" s="54"/>
      <c r="N10" s="102"/>
      <c r="O10" s="102"/>
      <c r="P10" s="100"/>
      <c r="Q10" s="102"/>
      <c r="R10" s="102"/>
    </row>
    <row r="11" spans="2:18">
      <c r="B11" s="109" t="s">
        <v>373</v>
      </c>
      <c r="C11" s="109"/>
      <c r="D11" s="166"/>
      <c r="E11" s="166"/>
      <c r="F11" s="102"/>
      <c r="G11" s="54"/>
      <c r="H11" s="102"/>
      <c r="I11" s="102"/>
      <c r="J11" s="54"/>
      <c r="K11" s="102"/>
      <c r="L11" s="102"/>
      <c r="M11" s="54"/>
      <c r="N11" s="102"/>
      <c r="O11" s="102"/>
      <c r="P11" s="100"/>
      <c r="Q11" s="102"/>
      <c r="R11" s="102"/>
    </row>
    <row r="12" spans="2:18">
      <c r="B12" s="109" t="s">
        <v>374</v>
      </c>
      <c r="C12" s="109"/>
      <c r="D12" s="166"/>
      <c r="E12" s="166"/>
      <c r="F12" s="102"/>
      <c r="G12" s="54"/>
      <c r="H12" s="102"/>
      <c r="I12" s="102"/>
      <c r="J12" s="54"/>
      <c r="K12" s="102"/>
      <c r="L12" s="102"/>
      <c r="M12" s="54"/>
      <c r="N12" s="102"/>
      <c r="O12" s="102"/>
      <c r="P12" s="100"/>
      <c r="Q12" s="102"/>
      <c r="R12" s="102"/>
    </row>
    <row r="13" spans="2:18">
      <c r="B13" s="109" t="s">
        <v>375</v>
      </c>
      <c r="C13" s="109"/>
      <c r="D13" s="166"/>
      <c r="E13" s="166"/>
      <c r="F13" s="102"/>
      <c r="G13" s="54"/>
      <c r="H13" s="102"/>
      <c r="I13" s="102"/>
      <c r="J13" s="54"/>
      <c r="K13" s="102"/>
      <c r="L13" s="102"/>
      <c r="M13" s="54"/>
      <c r="N13" s="102"/>
      <c r="O13" s="102"/>
      <c r="P13" s="100"/>
      <c r="Q13" s="102"/>
      <c r="R13" s="102"/>
    </row>
    <row r="14" spans="2:18">
      <c r="B14" s="109" t="s">
        <v>376</v>
      </c>
      <c r="C14" s="109"/>
      <c r="D14" s="166"/>
      <c r="E14" s="166"/>
      <c r="F14" s="102"/>
      <c r="G14" s="54"/>
      <c r="H14" s="102"/>
      <c r="I14" s="102"/>
      <c r="J14" s="54"/>
      <c r="K14" s="102"/>
      <c r="L14" s="102"/>
      <c r="M14" s="54"/>
      <c r="N14" s="102"/>
      <c r="O14" s="102"/>
      <c r="P14" s="100"/>
      <c r="Q14" s="102"/>
      <c r="R14" s="102"/>
    </row>
    <row r="15" spans="2:18">
      <c r="B15" s="109" t="s">
        <v>377</v>
      </c>
      <c r="C15" s="109"/>
      <c r="D15" s="166"/>
      <c r="E15" s="166"/>
      <c r="F15" s="102"/>
      <c r="G15" s="54"/>
      <c r="H15" s="102"/>
      <c r="I15" s="102"/>
      <c r="J15" s="54"/>
      <c r="K15" s="102"/>
      <c r="L15" s="102"/>
      <c r="M15" s="54"/>
      <c r="N15" s="102"/>
      <c r="O15" s="102"/>
      <c r="P15" s="100"/>
      <c r="Q15" s="102"/>
      <c r="R15" s="102"/>
    </row>
    <row r="16" spans="2:18">
      <c r="B16" s="109" t="s">
        <v>378</v>
      </c>
      <c r="C16" s="109"/>
      <c r="D16" s="166"/>
      <c r="E16" s="166"/>
      <c r="F16" s="102"/>
      <c r="G16" s="54"/>
      <c r="H16" s="102"/>
      <c r="I16" s="102"/>
      <c r="J16" s="54"/>
      <c r="K16" s="102"/>
      <c r="L16" s="102"/>
      <c r="M16" s="54"/>
      <c r="N16" s="102"/>
      <c r="O16" s="102"/>
      <c r="P16" s="100"/>
      <c r="Q16" s="102"/>
      <c r="R16" s="102"/>
    </row>
  </sheetData>
  <mergeCells count="7">
    <mergeCell ref="P4:R4"/>
    <mergeCell ref="B4:B5"/>
    <mergeCell ref="C4:E4"/>
    <mergeCell ref="F4:H4"/>
    <mergeCell ref="I4:K4"/>
    <mergeCell ref="L4:N4"/>
    <mergeCell ref="O4:O5"/>
  </mergeCells>
  <phoneticPr fontId="2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6"/>
  <sheetViews>
    <sheetView zoomScale="85" zoomScaleNormal="85" workbookViewId="0"/>
  </sheetViews>
  <sheetFormatPr defaultRowHeight="13.5"/>
  <cols>
    <col min="1" max="1" width="2.75" customWidth="1"/>
    <col min="2" max="2" width="56.5" bestFit="1" customWidth="1"/>
    <col min="3" max="3" width="30.5" customWidth="1"/>
    <col min="4" max="4" width="116.5" customWidth="1"/>
    <col min="5" max="9" width="10.5" customWidth="1"/>
  </cols>
  <sheetData>
    <row r="1" spans="1:9">
      <c r="A1" t="s">
        <v>94</v>
      </c>
    </row>
    <row r="3" spans="1:9">
      <c r="A3" s="105" t="s">
        <v>416</v>
      </c>
      <c r="E3" s="148" t="s">
        <v>418</v>
      </c>
    </row>
    <row r="4" spans="1:9">
      <c r="A4" s="107"/>
      <c r="B4" s="105" t="s">
        <v>417</v>
      </c>
      <c r="C4" s="110"/>
      <c r="E4" s="110"/>
    </row>
    <row r="5" spans="1:9">
      <c r="B5" s="106" t="s">
        <v>95</v>
      </c>
      <c r="C5" s="106" t="s">
        <v>96</v>
      </c>
      <c r="D5" s="106" t="s">
        <v>97</v>
      </c>
      <c r="E5" s="148" t="s">
        <v>495</v>
      </c>
      <c r="F5" s="148" t="s">
        <v>496</v>
      </c>
      <c r="G5" s="148" t="s">
        <v>497</v>
      </c>
      <c r="H5" s="148" t="s">
        <v>498</v>
      </c>
      <c r="I5" s="148" t="s">
        <v>499</v>
      </c>
    </row>
    <row r="6" spans="1:9">
      <c r="A6" s="107"/>
      <c r="B6" s="108" t="s">
        <v>419</v>
      </c>
      <c r="C6" s="135" t="s">
        <v>420</v>
      </c>
      <c r="D6" s="109"/>
      <c r="E6" s="173"/>
      <c r="F6" s="173"/>
      <c r="G6" s="173"/>
      <c r="H6" s="173"/>
      <c r="I6" s="151"/>
    </row>
    <row r="7" spans="1:9">
      <c r="A7" s="107"/>
      <c r="B7" s="108" t="s">
        <v>421</v>
      </c>
      <c r="C7" s="135" t="s">
        <v>422</v>
      </c>
      <c r="D7" s="109"/>
      <c r="E7" s="173"/>
      <c r="F7" s="173"/>
      <c r="G7" s="173"/>
      <c r="H7" s="173"/>
      <c r="I7" s="151"/>
    </row>
    <row r="8" spans="1:9">
      <c r="A8" s="107"/>
      <c r="B8" s="108" t="s">
        <v>423</v>
      </c>
      <c r="C8" s="135" t="s">
        <v>424</v>
      </c>
      <c r="D8" s="109"/>
      <c r="E8" s="173"/>
      <c r="F8" s="173"/>
      <c r="G8" s="173"/>
      <c r="H8" s="173"/>
      <c r="I8" s="151"/>
    </row>
    <row r="9" spans="1:9">
      <c r="A9" s="107"/>
      <c r="B9" s="108" t="s">
        <v>852</v>
      </c>
      <c r="C9" s="135" t="s">
        <v>425</v>
      </c>
      <c r="D9" s="109"/>
      <c r="E9" s="173"/>
      <c r="F9" s="173"/>
      <c r="G9" s="173"/>
      <c r="H9" s="173"/>
      <c r="I9" s="151"/>
    </row>
    <row r="10" spans="1:9">
      <c r="A10" s="107"/>
      <c r="B10" s="108" t="s">
        <v>426</v>
      </c>
      <c r="C10" s="135" t="s">
        <v>427</v>
      </c>
      <c r="D10" s="109"/>
      <c r="E10" s="173"/>
      <c r="F10" s="173"/>
      <c r="G10" s="173"/>
      <c r="H10" s="173"/>
      <c r="I10" s="151"/>
    </row>
    <row r="11" spans="1:9">
      <c r="A11" s="107"/>
      <c r="B11" s="108" t="s">
        <v>831</v>
      </c>
      <c r="C11" s="135" t="s">
        <v>428</v>
      </c>
      <c r="D11" s="109"/>
      <c r="E11" s="173"/>
      <c r="F11" s="173"/>
      <c r="G11" s="173"/>
      <c r="H11" s="173"/>
      <c r="I11" s="151"/>
    </row>
    <row r="12" spans="1:9">
      <c r="A12" s="107"/>
      <c r="B12" s="108" t="s">
        <v>429</v>
      </c>
      <c r="C12" s="135" t="s">
        <v>430</v>
      </c>
      <c r="D12" s="109"/>
      <c r="E12" s="173"/>
      <c r="F12" s="173"/>
      <c r="G12" s="173"/>
      <c r="H12" s="173"/>
      <c r="I12" s="151"/>
    </row>
    <row r="13" spans="1:9">
      <c r="A13" s="107"/>
      <c r="B13" s="108" t="s">
        <v>431</v>
      </c>
      <c r="C13" s="135" t="s">
        <v>432</v>
      </c>
      <c r="D13" s="109"/>
      <c r="E13" s="173"/>
      <c r="F13" s="173"/>
      <c r="G13" s="173"/>
      <c r="H13" s="173"/>
      <c r="I13" s="151"/>
    </row>
    <row r="14" spans="1:9">
      <c r="A14" s="107"/>
      <c r="B14" s="108" t="s">
        <v>433</v>
      </c>
      <c r="C14" s="135" t="s">
        <v>434</v>
      </c>
      <c r="D14" s="109"/>
      <c r="E14" s="173"/>
      <c r="F14" s="173"/>
      <c r="G14" s="173"/>
      <c r="H14" s="173"/>
      <c r="I14" s="151"/>
    </row>
    <row r="15" spans="1:9">
      <c r="A15" s="107"/>
      <c r="B15" s="171" t="s">
        <v>839</v>
      </c>
      <c r="C15" s="171" t="s">
        <v>436</v>
      </c>
      <c r="D15" s="166"/>
      <c r="E15" s="174"/>
      <c r="F15" s="174"/>
      <c r="G15" s="166"/>
      <c r="H15" s="174"/>
      <c r="I15" s="166"/>
    </row>
    <row r="16" spans="1:9">
      <c r="A16" s="107"/>
      <c r="B16" s="135" t="s">
        <v>832</v>
      </c>
      <c r="C16" s="135" t="s">
        <v>437</v>
      </c>
      <c r="D16" s="109"/>
      <c r="E16" s="173"/>
      <c r="F16" s="173"/>
      <c r="G16" s="173"/>
      <c r="H16" s="173"/>
      <c r="I16" s="151"/>
    </row>
    <row r="17" spans="1:9">
      <c r="A17" s="107"/>
      <c r="B17" s="171" t="s">
        <v>438</v>
      </c>
      <c r="C17" s="171" t="s">
        <v>439</v>
      </c>
      <c r="D17" s="166"/>
      <c r="E17" s="166"/>
      <c r="F17" s="166"/>
      <c r="G17" s="166"/>
      <c r="H17" s="166"/>
      <c r="I17" s="166"/>
    </row>
    <row r="18" spans="1:9">
      <c r="A18" s="107"/>
      <c r="B18" s="171" t="s">
        <v>440</v>
      </c>
      <c r="C18" s="171" t="s">
        <v>441</v>
      </c>
      <c r="D18" s="166"/>
      <c r="E18" s="166"/>
      <c r="F18" s="166"/>
      <c r="G18" s="166"/>
      <c r="H18" s="166"/>
      <c r="I18" s="166"/>
    </row>
    <row r="19" spans="1:9">
      <c r="A19" s="107"/>
      <c r="B19" s="171" t="s">
        <v>442</v>
      </c>
      <c r="C19" s="171" t="s">
        <v>443</v>
      </c>
      <c r="D19" s="166"/>
      <c r="E19" s="166"/>
      <c r="F19" s="166"/>
      <c r="G19" s="166"/>
      <c r="H19" s="166"/>
      <c r="I19" s="166"/>
    </row>
    <row r="20" spans="1:9">
      <c r="A20" s="107"/>
      <c r="B20" s="105" t="s">
        <v>444</v>
      </c>
      <c r="C20" s="110"/>
      <c r="E20" s="110"/>
      <c r="F20" s="110"/>
      <c r="G20" s="110"/>
      <c r="H20" s="110"/>
      <c r="I20" s="110"/>
    </row>
    <row r="21" spans="1:9">
      <c r="B21" s="106" t="s">
        <v>95</v>
      </c>
      <c r="C21" s="106" t="s">
        <v>96</v>
      </c>
      <c r="D21" s="106" t="s">
        <v>97</v>
      </c>
      <c r="E21" s="148" t="s">
        <v>500</v>
      </c>
      <c r="F21" s="148" t="s">
        <v>496</v>
      </c>
      <c r="G21" s="148" t="s">
        <v>497</v>
      </c>
      <c r="H21" s="148" t="s">
        <v>498</v>
      </c>
      <c r="I21" s="148" t="s">
        <v>501</v>
      </c>
    </row>
    <row r="22" spans="1:9">
      <c r="B22" s="108" t="s">
        <v>445</v>
      </c>
      <c r="C22" s="149" t="s">
        <v>446</v>
      </c>
      <c r="D22" s="150" t="s">
        <v>447</v>
      </c>
      <c r="E22" s="173"/>
      <c r="F22" s="173"/>
      <c r="G22" s="173"/>
      <c r="H22" s="173"/>
      <c r="I22" s="159"/>
    </row>
    <row r="23" spans="1:9">
      <c r="B23" s="108" t="s">
        <v>448</v>
      </c>
      <c r="C23" s="149"/>
      <c r="D23" s="150"/>
      <c r="E23" s="173"/>
      <c r="F23" s="173"/>
      <c r="G23" s="173"/>
      <c r="H23" s="173"/>
      <c r="I23" s="159"/>
    </row>
    <row r="24" spans="1:9">
      <c r="B24" s="108" t="s">
        <v>449</v>
      </c>
      <c r="C24" s="149" t="s">
        <v>450</v>
      </c>
      <c r="D24" s="150" t="s">
        <v>840</v>
      </c>
      <c r="E24" s="172"/>
      <c r="F24" s="173"/>
      <c r="G24" s="173"/>
      <c r="H24" s="173"/>
      <c r="I24" s="159"/>
    </row>
    <row r="25" spans="1:9">
      <c r="B25" s="108" t="s">
        <v>451</v>
      </c>
      <c r="C25" s="149" t="s">
        <v>452</v>
      </c>
      <c r="D25" s="150"/>
      <c r="E25" s="172"/>
      <c r="F25" s="172"/>
      <c r="G25" s="172"/>
      <c r="H25" s="172"/>
      <c r="I25" s="172"/>
    </row>
    <row r="26" spans="1:9">
      <c r="B26" s="108" t="s">
        <v>453</v>
      </c>
      <c r="C26" s="149" t="s">
        <v>454</v>
      </c>
      <c r="D26" s="150"/>
      <c r="E26" s="172"/>
      <c r="F26" s="173"/>
      <c r="G26" s="173"/>
      <c r="H26" s="173"/>
      <c r="I26" s="159"/>
    </row>
    <row r="27" spans="1:9">
      <c r="B27" s="108" t="s">
        <v>455</v>
      </c>
      <c r="C27" s="108"/>
      <c r="D27" s="109"/>
      <c r="E27" s="171"/>
      <c r="F27" s="173"/>
      <c r="G27" s="173"/>
      <c r="H27" s="173"/>
      <c r="I27" s="108"/>
    </row>
    <row r="28" spans="1:9">
      <c r="B28" s="108" t="s">
        <v>456</v>
      </c>
      <c r="C28" s="108"/>
      <c r="D28" s="109"/>
      <c r="E28" s="171"/>
      <c r="F28" s="173"/>
      <c r="G28" s="173"/>
      <c r="H28" s="173"/>
      <c r="I28" s="108"/>
    </row>
    <row r="29" spans="1:9">
      <c r="B29" s="118"/>
      <c r="C29" s="118"/>
      <c r="D29" s="119"/>
      <c r="E29" s="118"/>
    </row>
    <row r="30" spans="1:9">
      <c r="A30" s="105" t="s">
        <v>457</v>
      </c>
    </row>
    <row r="31" spans="1:9">
      <c r="B31" t="s">
        <v>458</v>
      </c>
    </row>
    <row r="32" spans="1:9">
      <c r="B32" s="106" t="s">
        <v>95</v>
      </c>
      <c r="C32" s="106" t="s">
        <v>96</v>
      </c>
      <c r="D32" s="106" t="s">
        <v>97</v>
      </c>
      <c r="E32" s="148" t="s">
        <v>495</v>
      </c>
    </row>
    <row r="33" spans="1:5">
      <c r="A33" s="107"/>
      <c r="B33" s="108" t="s">
        <v>459</v>
      </c>
      <c r="C33" s="135" t="s">
        <v>460</v>
      </c>
      <c r="D33" s="109"/>
      <c r="E33" s="173"/>
    </row>
    <row r="34" spans="1:5">
      <c r="A34" s="107"/>
      <c r="B34" s="108" t="s">
        <v>421</v>
      </c>
      <c r="C34" s="135" t="s">
        <v>461</v>
      </c>
      <c r="D34" s="109"/>
      <c r="E34" s="173"/>
    </row>
    <row r="35" spans="1:5">
      <c r="A35" s="107"/>
      <c r="B35" s="108" t="s">
        <v>423</v>
      </c>
      <c r="C35" s="135" t="s">
        <v>462</v>
      </c>
      <c r="D35" s="109"/>
      <c r="E35" s="173"/>
    </row>
    <row r="36" spans="1:5">
      <c r="A36" s="107"/>
      <c r="B36" s="108" t="s">
        <v>852</v>
      </c>
      <c r="C36" s="135" t="s">
        <v>463</v>
      </c>
      <c r="D36" s="109"/>
      <c r="E36" s="173"/>
    </row>
    <row r="37" spans="1:5">
      <c r="A37" s="107"/>
      <c r="B37" s="108" t="s">
        <v>464</v>
      </c>
      <c r="C37" s="135" t="s">
        <v>465</v>
      </c>
      <c r="D37" s="109"/>
      <c r="E37" s="173"/>
    </row>
    <row r="38" spans="1:5">
      <c r="A38" s="107"/>
      <c r="B38" s="108" t="s">
        <v>831</v>
      </c>
      <c r="C38" s="135" t="s">
        <v>466</v>
      </c>
      <c r="D38" s="109"/>
      <c r="E38" s="173"/>
    </row>
    <row r="39" spans="1:5">
      <c r="A39" s="107"/>
      <c r="B39" s="108" t="s">
        <v>467</v>
      </c>
      <c r="C39" s="135" t="s">
        <v>468</v>
      </c>
      <c r="D39" s="109"/>
      <c r="E39" s="173"/>
    </row>
    <row r="40" spans="1:5">
      <c r="A40" s="107"/>
      <c r="B40" s="108" t="s">
        <v>469</v>
      </c>
      <c r="C40" s="135" t="s">
        <v>470</v>
      </c>
      <c r="D40" s="109"/>
      <c r="E40" s="173"/>
    </row>
    <row r="41" spans="1:5">
      <c r="A41" s="107"/>
      <c r="B41" s="108" t="s">
        <v>471</v>
      </c>
      <c r="C41" s="135" t="s">
        <v>472</v>
      </c>
      <c r="D41" s="109"/>
      <c r="E41" s="173"/>
    </row>
    <row r="42" spans="1:5">
      <c r="A42" s="107"/>
      <c r="B42" s="171" t="s">
        <v>473</v>
      </c>
      <c r="C42" s="171" t="s">
        <v>474</v>
      </c>
      <c r="D42" s="166"/>
      <c r="E42" s="166"/>
    </row>
    <row r="43" spans="1:5">
      <c r="A43" s="107"/>
      <c r="B43" s="135" t="s">
        <v>832</v>
      </c>
      <c r="C43" s="135" t="s">
        <v>437</v>
      </c>
      <c r="D43" s="109"/>
      <c r="E43" s="173"/>
    </row>
    <row r="44" spans="1:5">
      <c r="A44" s="107"/>
      <c r="B44" s="171" t="s">
        <v>438</v>
      </c>
      <c r="C44" s="171" t="s">
        <v>439</v>
      </c>
      <c r="D44" s="166"/>
      <c r="E44" s="166"/>
    </row>
    <row r="45" spans="1:5">
      <c r="A45" s="107"/>
      <c r="B45" s="171" t="s">
        <v>475</v>
      </c>
      <c r="C45" s="171" t="s">
        <v>441</v>
      </c>
      <c r="D45" s="166"/>
      <c r="E45" s="166"/>
    </row>
    <row r="46" spans="1:5">
      <c r="A46" s="107"/>
      <c r="B46" s="171" t="s">
        <v>476</v>
      </c>
      <c r="C46" s="171" t="s">
        <v>443</v>
      </c>
      <c r="D46" s="166"/>
      <c r="E46" s="166"/>
    </row>
    <row r="47" spans="1:5">
      <c r="B47" s="118"/>
      <c r="C47" s="118"/>
      <c r="E47" s="118"/>
    </row>
    <row r="48" spans="1:5">
      <c r="A48" s="136"/>
      <c r="B48" s="152" t="s">
        <v>477</v>
      </c>
      <c r="C48" s="153"/>
      <c r="D48" s="154"/>
      <c r="E48" s="155"/>
    </row>
    <row r="49" spans="1:5">
      <c r="B49" s="106" t="s">
        <v>95</v>
      </c>
      <c r="C49" s="106" t="s">
        <v>96</v>
      </c>
      <c r="D49" s="106" t="s">
        <v>97</v>
      </c>
      <c r="E49" s="148" t="s">
        <v>495</v>
      </c>
    </row>
    <row r="50" spans="1:5">
      <c r="A50" s="107"/>
      <c r="B50" s="149" t="s">
        <v>478</v>
      </c>
      <c r="C50" s="149" t="s">
        <v>479</v>
      </c>
      <c r="D50" s="150" t="s">
        <v>447</v>
      </c>
      <c r="E50" s="173"/>
    </row>
    <row r="51" spans="1:5">
      <c r="A51" s="136"/>
      <c r="B51" s="156"/>
      <c r="C51" s="157"/>
      <c r="D51" s="158"/>
    </row>
    <row r="52" spans="1:5">
      <c r="A52" s="105" t="s">
        <v>806</v>
      </c>
      <c r="D52" s="167"/>
    </row>
    <row r="53" spans="1:5">
      <c r="A53" s="107"/>
      <c r="B53" s="105" t="s">
        <v>108</v>
      </c>
      <c r="C53" s="110"/>
      <c r="D53" s="167"/>
    </row>
    <row r="54" spans="1:5">
      <c r="B54" s="106" t="s">
        <v>95</v>
      </c>
      <c r="C54" s="106" t="s">
        <v>96</v>
      </c>
      <c r="D54" s="164" t="s">
        <v>97</v>
      </c>
      <c r="E54" s="148" t="s">
        <v>495</v>
      </c>
    </row>
    <row r="55" spans="1:5">
      <c r="A55" s="107"/>
      <c r="B55" s="108" t="s">
        <v>419</v>
      </c>
      <c r="C55" s="135" t="s">
        <v>807</v>
      </c>
      <c r="D55" s="117"/>
      <c r="E55" s="173"/>
    </row>
    <row r="56" spans="1:5">
      <c r="A56" s="107"/>
      <c r="B56" s="108" t="s">
        <v>808</v>
      </c>
      <c r="C56" s="135" t="s">
        <v>809</v>
      </c>
      <c r="D56" s="117"/>
      <c r="E56" s="173"/>
    </row>
    <row r="57" spans="1:5">
      <c r="A57" s="107"/>
      <c r="B57" s="108" t="s">
        <v>810</v>
      </c>
      <c r="C57" s="135" t="s">
        <v>811</v>
      </c>
      <c r="D57" s="117"/>
      <c r="E57" s="173"/>
    </row>
    <row r="58" spans="1:5">
      <c r="A58" s="107"/>
      <c r="B58" s="108" t="s">
        <v>852</v>
      </c>
      <c r="C58" s="135" t="s">
        <v>812</v>
      </c>
      <c r="D58" s="117"/>
      <c r="E58" s="173"/>
    </row>
    <row r="59" spans="1:5">
      <c r="A59" s="107"/>
      <c r="B59" s="108" t="s">
        <v>813</v>
      </c>
      <c r="C59" s="135" t="s">
        <v>427</v>
      </c>
      <c r="D59" s="117"/>
      <c r="E59" s="173"/>
    </row>
    <row r="60" spans="1:5">
      <c r="A60" s="107"/>
      <c r="B60" s="108" t="s">
        <v>831</v>
      </c>
      <c r="C60" s="135" t="s">
        <v>814</v>
      </c>
      <c r="D60" s="117"/>
      <c r="E60" s="173"/>
    </row>
    <row r="61" spans="1:5">
      <c r="A61" s="107"/>
      <c r="B61" s="108" t="s">
        <v>815</v>
      </c>
      <c r="C61" s="135" t="s">
        <v>816</v>
      </c>
      <c r="D61" s="117"/>
      <c r="E61" s="173"/>
    </row>
    <row r="62" spans="1:5">
      <c r="A62" s="107"/>
      <c r="B62" s="108" t="s">
        <v>431</v>
      </c>
      <c r="C62" s="135" t="s">
        <v>432</v>
      </c>
      <c r="D62" s="117"/>
      <c r="E62" s="173"/>
    </row>
    <row r="63" spans="1:5">
      <c r="A63" s="107"/>
      <c r="B63" s="108" t="s">
        <v>817</v>
      </c>
      <c r="C63" s="135" t="s">
        <v>818</v>
      </c>
      <c r="D63" s="117"/>
      <c r="E63" s="173"/>
    </row>
    <row r="64" spans="1:5">
      <c r="A64" s="107"/>
      <c r="B64" s="171" t="s">
        <v>819</v>
      </c>
      <c r="C64" s="171" t="s">
        <v>820</v>
      </c>
      <c r="D64" s="175"/>
      <c r="E64" s="166"/>
    </row>
    <row r="65" spans="1:9">
      <c r="A65" s="107"/>
      <c r="B65" s="135" t="s">
        <v>832</v>
      </c>
      <c r="C65" s="135" t="s">
        <v>437</v>
      </c>
      <c r="D65" s="117"/>
      <c r="E65" s="173"/>
    </row>
    <row r="66" spans="1:9">
      <c r="A66" s="107"/>
      <c r="B66" s="171" t="s">
        <v>703</v>
      </c>
      <c r="C66" s="171" t="s">
        <v>439</v>
      </c>
      <c r="D66" s="175"/>
      <c r="E66" s="166"/>
    </row>
    <row r="67" spans="1:9">
      <c r="A67" s="107"/>
      <c r="B67" s="171" t="s">
        <v>821</v>
      </c>
      <c r="C67" s="171" t="s">
        <v>441</v>
      </c>
      <c r="D67" s="175"/>
      <c r="E67" s="166"/>
    </row>
    <row r="68" spans="1:9">
      <c r="A68" s="107"/>
      <c r="B68" s="171" t="s">
        <v>822</v>
      </c>
      <c r="C68" s="171" t="s">
        <v>443</v>
      </c>
      <c r="D68" s="175"/>
      <c r="E68" s="166"/>
    </row>
    <row r="69" spans="1:9">
      <c r="B69" s="118"/>
      <c r="C69" s="118"/>
      <c r="D69" s="119"/>
    </row>
    <row r="71" spans="1:9">
      <c r="A71" s="251" t="s">
        <v>684</v>
      </c>
      <c r="B71" s="251"/>
      <c r="C71" s="110"/>
      <c r="D71" s="167"/>
      <c r="E71" s="110"/>
    </row>
    <row r="72" spans="1:9">
      <c r="B72" t="s">
        <v>685</v>
      </c>
      <c r="D72" s="167"/>
    </row>
    <row r="73" spans="1:9">
      <c r="B73" s="106" t="s">
        <v>95</v>
      </c>
      <c r="C73" s="106" t="s">
        <v>96</v>
      </c>
      <c r="D73" s="164" t="s">
        <v>97</v>
      </c>
      <c r="E73" s="168" t="s">
        <v>686</v>
      </c>
      <c r="F73" s="168" t="s">
        <v>687</v>
      </c>
      <c r="G73" s="168" t="s">
        <v>688</v>
      </c>
      <c r="H73" s="168" t="s">
        <v>689</v>
      </c>
      <c r="I73" s="168" t="s">
        <v>690</v>
      </c>
    </row>
    <row r="74" spans="1:9">
      <c r="A74" s="107"/>
      <c r="B74" s="108" t="s">
        <v>691</v>
      </c>
      <c r="C74" s="135" t="s">
        <v>692</v>
      </c>
      <c r="D74" s="117"/>
      <c r="E74" s="173"/>
      <c r="F74" s="173"/>
      <c r="G74" s="173"/>
      <c r="H74" s="173"/>
      <c r="I74" s="173"/>
    </row>
    <row r="75" spans="1:9">
      <c r="A75" s="107"/>
      <c r="B75" s="108" t="s">
        <v>693</v>
      </c>
      <c r="C75" s="135" t="s">
        <v>694</v>
      </c>
      <c r="D75" s="117"/>
      <c r="E75" s="173"/>
      <c r="F75" s="173"/>
      <c r="G75" s="173"/>
      <c r="H75" s="173"/>
      <c r="I75" s="173"/>
    </row>
    <row r="76" spans="1:9">
      <c r="A76" s="107"/>
      <c r="B76" s="108" t="s">
        <v>695</v>
      </c>
      <c r="C76" s="135" t="s">
        <v>696</v>
      </c>
      <c r="D76" s="117"/>
      <c r="E76" s="173"/>
      <c r="F76" s="173"/>
      <c r="G76" s="173"/>
      <c r="H76" s="173"/>
      <c r="I76" s="173"/>
    </row>
    <row r="77" spans="1:9">
      <c r="A77" s="107"/>
      <c r="B77" s="108" t="s">
        <v>852</v>
      </c>
      <c r="C77" s="135" t="s">
        <v>463</v>
      </c>
      <c r="D77" s="117"/>
      <c r="E77" s="173"/>
      <c r="F77" s="173"/>
      <c r="G77" s="173"/>
      <c r="H77" s="173"/>
      <c r="I77" s="173"/>
    </row>
    <row r="78" spans="1:9">
      <c r="A78" s="107"/>
      <c r="B78" s="108" t="s">
        <v>697</v>
      </c>
      <c r="C78" s="135" t="s">
        <v>465</v>
      </c>
      <c r="D78" s="117"/>
      <c r="E78" s="173"/>
      <c r="F78" s="173"/>
      <c r="G78" s="173"/>
      <c r="H78" s="173"/>
      <c r="I78" s="173"/>
    </row>
    <row r="79" spans="1:9">
      <c r="A79" s="107"/>
      <c r="B79" s="108" t="s">
        <v>831</v>
      </c>
      <c r="C79" s="135" t="s">
        <v>527</v>
      </c>
      <c r="D79" s="117"/>
      <c r="E79" s="173"/>
      <c r="F79" s="173"/>
      <c r="G79" s="173"/>
      <c r="H79" s="173"/>
      <c r="I79" s="173"/>
    </row>
    <row r="80" spans="1:9">
      <c r="A80" s="107"/>
      <c r="B80" s="108" t="s">
        <v>467</v>
      </c>
      <c r="C80" s="135" t="s">
        <v>698</v>
      </c>
      <c r="D80" s="117"/>
      <c r="E80" s="173"/>
      <c r="F80" s="173"/>
      <c r="G80" s="173"/>
      <c r="H80" s="173"/>
      <c r="I80" s="173"/>
    </row>
    <row r="81" spans="1:9">
      <c r="A81" s="107"/>
      <c r="B81" s="108" t="s">
        <v>469</v>
      </c>
      <c r="C81" s="135" t="s">
        <v>699</v>
      </c>
      <c r="D81" s="117"/>
      <c r="E81" s="173"/>
      <c r="F81" s="173"/>
      <c r="G81" s="173"/>
      <c r="H81" s="173"/>
      <c r="I81" s="173"/>
    </row>
    <row r="82" spans="1:9">
      <c r="A82" s="107"/>
      <c r="B82" s="108" t="s">
        <v>700</v>
      </c>
      <c r="C82" s="135" t="s">
        <v>472</v>
      </c>
      <c r="D82" s="117"/>
      <c r="E82" s="173"/>
      <c r="F82" s="173"/>
      <c r="G82" s="173"/>
      <c r="H82" s="173"/>
      <c r="I82" s="173"/>
    </row>
    <row r="83" spans="1:9">
      <c r="A83" s="107"/>
      <c r="B83" s="176" t="s">
        <v>701</v>
      </c>
      <c r="C83" s="176" t="s">
        <v>702</v>
      </c>
      <c r="D83" s="165"/>
      <c r="E83" s="174"/>
      <c r="F83" s="174"/>
      <c r="G83" s="174"/>
      <c r="H83" s="174"/>
      <c r="I83" s="174"/>
    </row>
    <row r="84" spans="1:9">
      <c r="A84" s="107"/>
      <c r="B84" s="135" t="s">
        <v>832</v>
      </c>
      <c r="C84" s="135" t="s">
        <v>437</v>
      </c>
      <c r="D84" s="117"/>
      <c r="E84" s="173"/>
      <c r="F84" s="173"/>
      <c r="G84" s="173"/>
      <c r="H84" s="173"/>
      <c r="I84" s="173"/>
    </row>
    <row r="85" spans="1:9">
      <c r="A85" s="107"/>
      <c r="B85" s="135" t="s">
        <v>703</v>
      </c>
      <c r="C85" s="135" t="s">
        <v>439</v>
      </c>
      <c r="D85" s="117"/>
      <c r="E85" s="166"/>
      <c r="F85" s="166"/>
      <c r="G85" s="166"/>
      <c r="H85" s="166"/>
      <c r="I85" s="166"/>
    </row>
    <row r="86" spans="1:9">
      <c r="A86" s="107"/>
      <c r="B86" s="135" t="s">
        <v>704</v>
      </c>
      <c r="C86" s="135" t="s">
        <v>441</v>
      </c>
      <c r="D86" s="117"/>
      <c r="E86" s="173"/>
      <c r="F86" s="173"/>
      <c r="G86" s="173"/>
      <c r="H86" s="173"/>
      <c r="I86" s="173"/>
    </row>
    <row r="87" spans="1:9">
      <c r="A87" s="107"/>
      <c r="B87" s="135" t="s">
        <v>705</v>
      </c>
      <c r="C87" s="135" t="s">
        <v>443</v>
      </c>
      <c r="D87" s="117"/>
      <c r="E87" s="173"/>
      <c r="F87" s="173"/>
      <c r="G87" s="173"/>
      <c r="H87" s="173"/>
      <c r="I87" s="173"/>
    </row>
    <row r="88" spans="1:9">
      <c r="A88" s="107"/>
      <c r="B88" s="137"/>
      <c r="C88" s="138"/>
      <c r="D88" s="140"/>
      <c r="E88" s="119"/>
    </row>
    <row r="89" spans="1:9">
      <c r="A89" s="107"/>
      <c r="B89" s="118" t="s">
        <v>706</v>
      </c>
      <c r="C89" s="140"/>
      <c r="D89" s="169"/>
    </row>
    <row r="90" spans="1:9">
      <c r="B90" s="106" t="s">
        <v>95</v>
      </c>
      <c r="C90" s="106" t="s">
        <v>96</v>
      </c>
      <c r="D90" s="164" t="s">
        <v>97</v>
      </c>
      <c r="E90" s="168" t="s">
        <v>707</v>
      </c>
      <c r="F90" s="168" t="s">
        <v>708</v>
      </c>
      <c r="G90" s="168" t="s">
        <v>709</v>
      </c>
      <c r="H90" s="168" t="s">
        <v>710</v>
      </c>
      <c r="I90" s="168" t="s">
        <v>711</v>
      </c>
    </row>
    <row r="91" spans="1:9">
      <c r="B91" s="141" t="s">
        <v>509</v>
      </c>
      <c r="C91" s="141"/>
      <c r="D91" s="165"/>
      <c r="E91" s="173"/>
      <c r="F91" s="173"/>
      <c r="G91" s="173"/>
      <c r="H91" s="173"/>
      <c r="I91" s="173"/>
    </row>
    <row r="92" spans="1:9">
      <c r="A92" s="107"/>
      <c r="B92" s="108" t="s">
        <v>845</v>
      </c>
      <c r="C92" s="108" t="s">
        <v>712</v>
      </c>
      <c r="D92" s="117"/>
      <c r="E92" s="173"/>
      <c r="F92" s="173"/>
      <c r="G92" s="173"/>
      <c r="H92" s="173"/>
      <c r="I92" s="173"/>
    </row>
    <row r="93" spans="1:9">
      <c r="A93" s="107"/>
      <c r="B93" s="108" t="s">
        <v>846</v>
      </c>
      <c r="C93" s="108" t="s">
        <v>713</v>
      </c>
      <c r="D93" s="117"/>
      <c r="E93" s="173"/>
      <c r="F93" s="173"/>
      <c r="G93" s="173"/>
      <c r="H93" s="173"/>
      <c r="I93" s="173"/>
    </row>
    <row r="94" spans="1:9">
      <c r="A94" s="107"/>
      <c r="B94" s="108" t="s">
        <v>510</v>
      </c>
      <c r="C94" s="108" t="s">
        <v>714</v>
      </c>
      <c r="D94" s="117"/>
      <c r="E94" s="173"/>
      <c r="F94" s="173"/>
      <c r="G94" s="173"/>
      <c r="H94" s="173"/>
      <c r="I94" s="173"/>
    </row>
    <row r="95" spans="1:9">
      <c r="A95" s="107"/>
      <c r="B95" s="108" t="s">
        <v>511</v>
      </c>
      <c r="C95" s="108" t="s">
        <v>715</v>
      </c>
      <c r="D95" s="117" t="s">
        <v>716</v>
      </c>
      <c r="E95" s="173"/>
      <c r="F95" s="173"/>
      <c r="G95" s="173"/>
      <c r="H95" s="173"/>
      <c r="I95" s="173"/>
    </row>
    <row r="96" spans="1:9">
      <c r="A96" s="107"/>
      <c r="B96" s="108" t="s">
        <v>512</v>
      </c>
      <c r="C96" s="108" t="s">
        <v>717</v>
      </c>
      <c r="D96" s="117" t="s">
        <v>718</v>
      </c>
      <c r="E96" s="173"/>
      <c r="F96" s="173"/>
      <c r="G96" s="173"/>
      <c r="H96" s="173"/>
      <c r="I96" s="173"/>
    </row>
    <row r="97" spans="1:9">
      <c r="A97" s="107"/>
      <c r="B97" s="108" t="s">
        <v>513</v>
      </c>
      <c r="C97" s="108" t="s">
        <v>273</v>
      </c>
      <c r="D97" s="117" t="s">
        <v>719</v>
      </c>
      <c r="E97" s="173"/>
      <c r="F97" s="173"/>
      <c r="G97" s="173"/>
      <c r="H97" s="173"/>
      <c r="I97" s="173"/>
    </row>
    <row r="98" spans="1:9">
      <c r="A98" s="107"/>
      <c r="B98" s="108" t="s">
        <v>515</v>
      </c>
      <c r="C98" s="108" t="s">
        <v>720</v>
      </c>
      <c r="D98" s="117" t="s">
        <v>718</v>
      </c>
      <c r="E98" s="173"/>
      <c r="F98" s="173"/>
      <c r="G98" s="173"/>
      <c r="H98" s="173"/>
      <c r="I98" s="173"/>
    </row>
    <row r="99" spans="1:9">
      <c r="A99" s="107"/>
      <c r="B99" s="108" t="s">
        <v>516</v>
      </c>
      <c r="C99" s="108" t="s">
        <v>517</v>
      </c>
      <c r="D99" s="117" t="s">
        <v>514</v>
      </c>
      <c r="E99" s="173"/>
      <c r="F99" s="173"/>
      <c r="G99" s="173"/>
      <c r="H99" s="173"/>
      <c r="I99" s="173"/>
    </row>
    <row r="100" spans="1:9">
      <c r="A100" s="107"/>
      <c r="B100" s="108" t="s">
        <v>518</v>
      </c>
      <c r="C100" s="108" t="s">
        <v>721</v>
      </c>
      <c r="D100" s="117" t="s">
        <v>722</v>
      </c>
      <c r="E100" s="173"/>
      <c r="F100" s="173"/>
      <c r="G100" s="173"/>
      <c r="H100" s="173"/>
      <c r="I100" s="173"/>
    </row>
    <row r="101" spans="1:9">
      <c r="A101" s="107"/>
      <c r="B101" s="108" t="s">
        <v>519</v>
      </c>
      <c r="C101" s="108" t="s">
        <v>723</v>
      </c>
      <c r="D101" s="117" t="s">
        <v>719</v>
      </c>
      <c r="E101" s="173"/>
      <c r="F101" s="173"/>
      <c r="G101" s="173"/>
      <c r="H101" s="173"/>
      <c r="I101" s="173"/>
    </row>
    <row r="102" spans="1:9" ht="39" customHeight="1">
      <c r="A102" s="107"/>
      <c r="B102" s="108" t="s">
        <v>520</v>
      </c>
      <c r="C102" s="108" t="s">
        <v>724</v>
      </c>
      <c r="D102" s="117" t="s">
        <v>725</v>
      </c>
      <c r="E102" s="173"/>
      <c r="F102" s="173"/>
      <c r="G102" s="173"/>
      <c r="H102" s="173"/>
      <c r="I102" s="173"/>
    </row>
    <row r="103" spans="1:9">
      <c r="A103" s="107"/>
      <c r="B103" s="108" t="s">
        <v>521</v>
      </c>
      <c r="C103" s="109" t="s">
        <v>726</v>
      </c>
      <c r="D103" s="117"/>
      <c r="E103" s="173"/>
      <c r="F103" s="173"/>
      <c r="G103" s="173"/>
      <c r="H103" s="173"/>
      <c r="I103" s="173"/>
    </row>
    <row r="104" spans="1:9">
      <c r="A104" s="107"/>
      <c r="B104" s="108" t="s">
        <v>522</v>
      </c>
      <c r="C104" s="108" t="s">
        <v>727</v>
      </c>
      <c r="D104" s="117" t="s">
        <v>728</v>
      </c>
      <c r="E104" s="173"/>
      <c r="F104" s="173"/>
      <c r="G104" s="173"/>
      <c r="H104" s="173"/>
      <c r="I104" s="173"/>
    </row>
    <row r="105" spans="1:9">
      <c r="A105" s="107"/>
      <c r="B105" s="108" t="s">
        <v>523</v>
      </c>
      <c r="C105" s="108"/>
      <c r="D105" s="117"/>
      <c r="E105" s="173"/>
      <c r="F105" s="173"/>
      <c r="G105" s="173"/>
      <c r="H105" s="173"/>
      <c r="I105" s="173"/>
    </row>
    <row r="106" spans="1:9">
      <c r="A106" s="107"/>
      <c r="B106" s="108" t="s">
        <v>524</v>
      </c>
      <c r="C106" s="108" t="s">
        <v>729</v>
      </c>
      <c r="D106" s="142" t="s">
        <v>730</v>
      </c>
      <c r="E106" s="173"/>
      <c r="F106" s="173"/>
      <c r="G106" s="173"/>
      <c r="H106" s="173"/>
      <c r="I106" s="173"/>
    </row>
    <row r="107" spans="1:9">
      <c r="A107" s="107"/>
      <c r="B107" s="108" t="s">
        <v>525</v>
      </c>
      <c r="C107" s="117" t="s">
        <v>731</v>
      </c>
      <c r="D107" s="117"/>
      <c r="E107" s="173"/>
      <c r="F107" s="173"/>
      <c r="G107" s="173"/>
      <c r="H107" s="173"/>
      <c r="I107" s="173"/>
    </row>
    <row r="108" spans="1:9">
      <c r="A108" s="107"/>
      <c r="B108" s="108" t="s">
        <v>526</v>
      </c>
      <c r="C108" s="108" t="s">
        <v>732</v>
      </c>
      <c r="D108" s="142" t="s">
        <v>733</v>
      </c>
      <c r="E108" s="173"/>
      <c r="F108" s="173"/>
      <c r="G108" s="173"/>
      <c r="H108" s="173"/>
      <c r="I108" s="173"/>
    </row>
    <row r="109" spans="1:9">
      <c r="A109" s="107"/>
      <c r="B109" s="108" t="s">
        <v>528</v>
      </c>
      <c r="C109" s="108" t="s">
        <v>734</v>
      </c>
      <c r="D109" s="142" t="s">
        <v>735</v>
      </c>
      <c r="E109" s="173"/>
      <c r="F109" s="173"/>
      <c r="G109" s="173"/>
      <c r="H109" s="173"/>
      <c r="I109" s="173"/>
    </row>
    <row r="110" spans="1:9">
      <c r="A110" s="107"/>
      <c r="B110" s="108" t="s">
        <v>529</v>
      </c>
      <c r="C110" s="109" t="s">
        <v>530</v>
      </c>
      <c r="D110" s="142"/>
      <c r="E110" s="173"/>
      <c r="F110" s="173"/>
      <c r="G110" s="173"/>
      <c r="H110" s="173"/>
      <c r="I110" s="173"/>
    </row>
    <row r="111" spans="1:9">
      <c r="A111" s="107"/>
      <c r="B111" s="108" t="s">
        <v>526</v>
      </c>
      <c r="C111" s="108" t="s">
        <v>732</v>
      </c>
      <c r="D111" s="142" t="s">
        <v>736</v>
      </c>
      <c r="E111" s="173"/>
      <c r="F111" s="173"/>
      <c r="G111" s="173"/>
      <c r="H111" s="173"/>
      <c r="I111" s="173"/>
    </row>
    <row r="112" spans="1:9">
      <c r="A112" s="107"/>
      <c r="B112" s="108" t="s">
        <v>528</v>
      </c>
      <c r="C112" s="108" t="s">
        <v>734</v>
      </c>
      <c r="D112" s="142" t="s">
        <v>733</v>
      </c>
      <c r="E112" s="173"/>
      <c r="F112" s="173"/>
      <c r="G112" s="173"/>
      <c r="H112" s="173"/>
      <c r="I112" s="173"/>
    </row>
    <row r="113" spans="1:9">
      <c r="A113" s="107"/>
      <c r="B113" s="108" t="s">
        <v>531</v>
      </c>
      <c r="C113" s="108" t="s">
        <v>737</v>
      </c>
      <c r="D113" s="117"/>
      <c r="E113" s="173"/>
      <c r="F113" s="173"/>
      <c r="G113" s="173"/>
      <c r="H113" s="173"/>
      <c r="I113" s="173"/>
    </row>
    <row r="114" spans="1:9">
      <c r="A114" s="107"/>
      <c r="B114" s="108" t="s">
        <v>526</v>
      </c>
      <c r="C114" s="108" t="s">
        <v>732</v>
      </c>
      <c r="D114" s="142" t="s">
        <v>738</v>
      </c>
      <c r="E114" s="173"/>
      <c r="F114" s="173"/>
      <c r="G114" s="173"/>
      <c r="H114" s="173"/>
      <c r="I114" s="173"/>
    </row>
    <row r="115" spans="1:9">
      <c r="A115" s="107"/>
      <c r="B115" s="108" t="s">
        <v>532</v>
      </c>
      <c r="C115" s="108" t="s">
        <v>739</v>
      </c>
      <c r="D115" s="108"/>
      <c r="E115" s="173"/>
      <c r="F115" s="173"/>
      <c r="G115" s="173"/>
      <c r="H115" s="173"/>
      <c r="I115" s="173"/>
    </row>
    <row r="116" spans="1:9">
      <c r="A116" s="107"/>
      <c r="B116" s="108" t="s">
        <v>526</v>
      </c>
      <c r="C116" s="108" t="s">
        <v>732</v>
      </c>
      <c r="D116" s="117"/>
      <c r="E116" s="173"/>
      <c r="F116" s="173"/>
      <c r="G116" s="173"/>
      <c r="H116" s="173"/>
      <c r="I116" s="173"/>
    </row>
    <row r="117" spans="1:9">
      <c r="A117" s="107"/>
      <c r="B117" s="108" t="s">
        <v>533</v>
      </c>
      <c r="C117" s="109" t="s">
        <v>740</v>
      </c>
      <c r="D117" s="142"/>
      <c r="E117" s="173"/>
      <c r="F117" s="173"/>
      <c r="G117" s="173"/>
      <c r="H117" s="173"/>
      <c r="I117" s="173"/>
    </row>
    <row r="118" spans="1:9">
      <c r="A118" s="107"/>
      <c r="B118" s="108" t="s">
        <v>526</v>
      </c>
      <c r="C118" s="108" t="s">
        <v>732</v>
      </c>
      <c r="D118" s="142" t="s">
        <v>738</v>
      </c>
      <c r="E118" s="173"/>
      <c r="F118" s="173"/>
      <c r="G118" s="173"/>
      <c r="H118" s="173"/>
      <c r="I118" s="173"/>
    </row>
    <row r="119" spans="1:9">
      <c r="A119" s="107"/>
      <c r="B119" s="108" t="s">
        <v>534</v>
      </c>
      <c r="C119" s="109" t="s">
        <v>274</v>
      </c>
      <c r="D119" s="117"/>
      <c r="E119" s="173"/>
      <c r="F119" s="173"/>
      <c r="G119" s="173"/>
      <c r="H119" s="173"/>
      <c r="I119" s="173"/>
    </row>
    <row r="120" spans="1:9">
      <c r="A120" s="107"/>
      <c r="B120" s="108" t="s">
        <v>526</v>
      </c>
      <c r="C120" s="108" t="s">
        <v>741</v>
      </c>
      <c r="D120" s="142" t="s">
        <v>742</v>
      </c>
      <c r="E120" s="173"/>
      <c r="F120" s="173"/>
      <c r="G120" s="173"/>
      <c r="H120" s="173"/>
      <c r="I120" s="173"/>
    </row>
    <row r="121" spans="1:9">
      <c r="A121" s="107"/>
      <c r="B121" s="108" t="s">
        <v>528</v>
      </c>
      <c r="C121" s="108" t="s">
        <v>734</v>
      </c>
      <c r="D121" s="142" t="s">
        <v>743</v>
      </c>
      <c r="E121" s="173"/>
      <c r="F121" s="173"/>
      <c r="G121" s="173"/>
      <c r="H121" s="173"/>
      <c r="I121" s="173"/>
    </row>
    <row r="122" spans="1:9">
      <c r="A122" s="107"/>
      <c r="B122" s="108" t="s">
        <v>535</v>
      </c>
      <c r="C122" s="117" t="s">
        <v>744</v>
      </c>
      <c r="D122" s="117"/>
      <c r="E122" s="173"/>
      <c r="F122" s="173"/>
      <c r="G122" s="173"/>
      <c r="H122" s="173"/>
      <c r="I122" s="173"/>
    </row>
    <row r="123" spans="1:9">
      <c r="A123" s="107"/>
      <c r="B123" s="108" t="s">
        <v>536</v>
      </c>
      <c r="C123" s="108" t="s">
        <v>745</v>
      </c>
      <c r="D123" s="142" t="s">
        <v>733</v>
      </c>
      <c r="E123" s="173"/>
      <c r="F123" s="173"/>
      <c r="G123" s="173"/>
      <c r="H123" s="173"/>
      <c r="I123" s="173"/>
    </row>
    <row r="124" spans="1:9">
      <c r="A124" s="107"/>
      <c r="B124" s="108" t="s">
        <v>537</v>
      </c>
      <c r="C124" s="117" t="s">
        <v>746</v>
      </c>
      <c r="D124" s="117"/>
      <c r="E124" s="173"/>
      <c r="F124" s="173"/>
      <c r="G124" s="173"/>
      <c r="H124" s="173"/>
      <c r="I124" s="173"/>
    </row>
    <row r="125" spans="1:9">
      <c r="A125" s="107"/>
      <c r="B125" s="108" t="s">
        <v>538</v>
      </c>
      <c r="C125" s="108" t="s">
        <v>747</v>
      </c>
      <c r="D125" s="142" t="s">
        <v>743</v>
      </c>
      <c r="E125" s="173"/>
      <c r="F125" s="173"/>
      <c r="G125" s="173"/>
      <c r="H125" s="173"/>
      <c r="I125" s="173"/>
    </row>
    <row r="126" spans="1:9">
      <c r="A126" s="107"/>
      <c r="B126" s="108" t="s">
        <v>539</v>
      </c>
      <c r="C126" s="108" t="s">
        <v>748</v>
      </c>
      <c r="D126" s="142" t="s">
        <v>743</v>
      </c>
      <c r="E126" s="173"/>
      <c r="F126" s="173"/>
      <c r="G126" s="173"/>
      <c r="H126" s="173"/>
      <c r="I126" s="173"/>
    </row>
    <row r="127" spans="1:9">
      <c r="A127" s="107"/>
      <c r="B127" s="108" t="s">
        <v>540</v>
      </c>
      <c r="C127" s="108" t="s">
        <v>749</v>
      </c>
      <c r="D127" s="142" t="s">
        <v>750</v>
      </c>
      <c r="E127" s="173"/>
      <c r="F127" s="173"/>
      <c r="G127" s="173"/>
      <c r="H127" s="173"/>
      <c r="I127" s="173"/>
    </row>
    <row r="128" spans="1:9">
      <c r="A128" s="107"/>
      <c r="B128" s="108" t="s">
        <v>541</v>
      </c>
      <c r="C128" s="108" t="s">
        <v>751</v>
      </c>
      <c r="D128" s="142" t="s">
        <v>750</v>
      </c>
      <c r="E128" s="173"/>
      <c r="F128" s="173"/>
      <c r="G128" s="173"/>
      <c r="H128" s="173"/>
      <c r="I128" s="173"/>
    </row>
    <row r="129" spans="1:9">
      <c r="A129" s="107"/>
      <c r="B129" s="108" t="s">
        <v>542</v>
      </c>
      <c r="C129" s="109" t="s">
        <v>752</v>
      </c>
      <c r="D129" s="117"/>
      <c r="E129" s="173"/>
      <c r="F129" s="173"/>
      <c r="G129" s="173"/>
      <c r="H129" s="173"/>
      <c r="I129" s="173"/>
    </row>
    <row r="130" spans="1:9">
      <c r="A130" s="107"/>
      <c r="B130" s="108" t="s">
        <v>543</v>
      </c>
      <c r="C130" s="108" t="s">
        <v>753</v>
      </c>
      <c r="D130" s="117" t="s">
        <v>754</v>
      </c>
      <c r="E130" s="173"/>
      <c r="F130" s="173"/>
      <c r="G130" s="173"/>
      <c r="H130" s="173"/>
      <c r="I130" s="173"/>
    </row>
    <row r="131" spans="1:9">
      <c r="A131" s="107"/>
      <c r="B131" s="108" t="s">
        <v>544</v>
      </c>
      <c r="C131" s="108" t="s">
        <v>755</v>
      </c>
      <c r="D131" s="117"/>
      <c r="E131" s="173"/>
      <c r="F131" s="173"/>
      <c r="G131" s="173"/>
      <c r="H131" s="173"/>
      <c r="I131" s="173"/>
    </row>
    <row r="132" spans="1:9">
      <c r="A132" s="107"/>
      <c r="B132" s="108" t="s">
        <v>545</v>
      </c>
      <c r="C132" s="108" t="s">
        <v>756</v>
      </c>
      <c r="D132" s="117"/>
      <c r="E132" s="173"/>
      <c r="F132" s="173"/>
      <c r="G132" s="173"/>
      <c r="H132" s="173"/>
      <c r="I132" s="173"/>
    </row>
    <row r="133" spans="1:9">
      <c r="A133" s="107"/>
      <c r="B133" s="108" t="s">
        <v>546</v>
      </c>
      <c r="C133" s="108" t="s">
        <v>757</v>
      </c>
      <c r="D133" s="117" t="s">
        <v>758</v>
      </c>
      <c r="E133" s="173"/>
      <c r="F133" s="173"/>
      <c r="G133" s="173"/>
      <c r="H133" s="173"/>
      <c r="I133" s="173"/>
    </row>
    <row r="134" spans="1:9">
      <c r="A134" s="107"/>
      <c r="B134" s="108" t="s">
        <v>547</v>
      </c>
      <c r="C134" s="108" t="s">
        <v>759</v>
      </c>
      <c r="D134" s="117"/>
      <c r="E134" s="173"/>
      <c r="F134" s="173"/>
      <c r="G134" s="173"/>
      <c r="H134" s="173"/>
      <c r="I134" s="173"/>
    </row>
    <row r="135" spans="1:9">
      <c r="A135" s="107"/>
      <c r="B135" s="108" t="s">
        <v>548</v>
      </c>
      <c r="C135" s="108" t="s">
        <v>760</v>
      </c>
      <c r="D135" s="117"/>
      <c r="E135" s="173"/>
      <c r="F135" s="173"/>
      <c r="G135" s="173"/>
      <c r="H135" s="173"/>
      <c r="I135" s="173"/>
    </row>
    <row r="136" spans="1:9">
      <c r="A136" s="107"/>
      <c r="B136" s="108" t="s">
        <v>549</v>
      </c>
      <c r="C136" s="108" t="s">
        <v>761</v>
      </c>
      <c r="D136" s="117"/>
      <c r="E136" s="173"/>
      <c r="F136" s="173"/>
      <c r="G136" s="173"/>
      <c r="H136" s="173"/>
      <c r="I136" s="173"/>
    </row>
    <row r="137" spans="1:9">
      <c r="A137" s="107"/>
      <c r="B137" s="108" t="s">
        <v>550</v>
      </c>
      <c r="C137" s="108" t="s">
        <v>762</v>
      </c>
      <c r="D137" s="117"/>
      <c r="E137" s="173"/>
      <c r="F137" s="173"/>
      <c r="G137" s="173"/>
      <c r="H137" s="173"/>
      <c r="I137" s="173"/>
    </row>
    <row r="138" spans="1:9">
      <c r="A138" s="107"/>
      <c r="B138" s="108" t="s">
        <v>551</v>
      </c>
      <c r="C138" s="108" t="s">
        <v>763</v>
      </c>
      <c r="D138" s="117"/>
      <c r="E138" s="173"/>
      <c r="F138" s="173"/>
      <c r="G138" s="173"/>
      <c r="H138" s="173"/>
      <c r="I138" s="173"/>
    </row>
    <row r="139" spans="1:9">
      <c r="A139" s="107"/>
      <c r="B139" s="108" t="s">
        <v>552</v>
      </c>
      <c r="C139" s="108" t="s">
        <v>764</v>
      </c>
      <c r="D139" s="117"/>
      <c r="E139" s="173"/>
      <c r="F139" s="173"/>
      <c r="G139" s="173"/>
      <c r="H139" s="173"/>
      <c r="I139" s="173"/>
    </row>
    <row r="140" spans="1:9">
      <c r="A140" s="107"/>
      <c r="B140" s="108" t="s">
        <v>553</v>
      </c>
      <c r="C140" s="108" t="s">
        <v>765</v>
      </c>
      <c r="D140" s="117"/>
      <c r="E140" s="173"/>
      <c r="F140" s="173"/>
      <c r="G140" s="173"/>
      <c r="H140" s="173"/>
      <c r="I140" s="173"/>
    </row>
    <row r="141" spans="1:9">
      <c r="A141" s="107"/>
      <c r="B141" s="108" t="s">
        <v>554</v>
      </c>
      <c r="C141" s="108" t="s">
        <v>766</v>
      </c>
      <c r="D141" s="117"/>
      <c r="E141" s="173"/>
      <c r="F141" s="173"/>
      <c r="G141" s="173"/>
      <c r="H141" s="173"/>
      <c r="I141" s="173"/>
    </row>
    <row r="142" spans="1:9">
      <c r="A142" s="107"/>
      <c r="B142" s="108" t="s">
        <v>555</v>
      </c>
      <c r="C142" s="108" t="s">
        <v>767</v>
      </c>
      <c r="D142" s="117"/>
      <c r="E142" s="173"/>
      <c r="F142" s="173"/>
      <c r="G142" s="173"/>
      <c r="H142" s="173"/>
      <c r="I142" s="173"/>
    </row>
    <row r="143" spans="1:9">
      <c r="A143" s="107"/>
      <c r="B143" s="108" t="s">
        <v>556</v>
      </c>
      <c r="C143" s="108" t="s">
        <v>768</v>
      </c>
      <c r="D143" s="117"/>
      <c r="E143" s="173"/>
      <c r="F143" s="173"/>
      <c r="G143" s="173"/>
      <c r="H143" s="173"/>
      <c r="I143" s="173"/>
    </row>
    <row r="144" spans="1:9">
      <c r="A144" s="107"/>
      <c r="B144" s="108" t="s">
        <v>557</v>
      </c>
      <c r="C144" s="108" t="s">
        <v>769</v>
      </c>
      <c r="D144" s="142" t="s">
        <v>743</v>
      </c>
      <c r="E144" s="173"/>
      <c r="F144" s="173"/>
      <c r="G144" s="173"/>
      <c r="H144" s="173"/>
      <c r="I144" s="173"/>
    </row>
    <row r="145" spans="1:9">
      <c r="A145" s="107"/>
      <c r="B145" s="108" t="s">
        <v>558</v>
      </c>
      <c r="C145" s="108" t="s">
        <v>770</v>
      </c>
      <c r="D145" s="142" t="s">
        <v>733</v>
      </c>
      <c r="E145" s="173"/>
      <c r="F145" s="173"/>
      <c r="G145" s="173"/>
      <c r="H145" s="173"/>
      <c r="I145" s="173"/>
    </row>
    <row r="146" spans="1:9">
      <c r="A146" s="107"/>
      <c r="B146" s="108" t="s">
        <v>559</v>
      </c>
      <c r="C146" s="108" t="s">
        <v>771</v>
      </c>
      <c r="D146" s="117" t="s">
        <v>718</v>
      </c>
      <c r="E146" s="173"/>
      <c r="F146" s="173"/>
      <c r="G146" s="173"/>
      <c r="H146" s="173"/>
      <c r="I146" s="173"/>
    </row>
    <row r="147" spans="1:9">
      <c r="A147" s="107"/>
      <c r="B147" s="108" t="s">
        <v>560</v>
      </c>
      <c r="C147" s="108" t="s">
        <v>275</v>
      </c>
      <c r="D147" s="117" t="s">
        <v>718</v>
      </c>
      <c r="E147" s="173"/>
      <c r="F147" s="173"/>
      <c r="G147" s="173"/>
      <c r="H147" s="173"/>
      <c r="I147" s="173"/>
    </row>
    <row r="148" spans="1:9">
      <c r="A148" s="107"/>
      <c r="B148" s="108" t="s">
        <v>561</v>
      </c>
      <c r="C148" s="108" t="s">
        <v>276</v>
      </c>
      <c r="D148" s="117" t="s">
        <v>719</v>
      </c>
      <c r="E148" s="173"/>
      <c r="F148" s="173"/>
      <c r="G148" s="173"/>
      <c r="H148" s="173"/>
      <c r="I148" s="173"/>
    </row>
    <row r="149" spans="1:9">
      <c r="A149" s="107"/>
      <c r="B149" s="108" t="s">
        <v>562</v>
      </c>
      <c r="C149" s="108" t="s">
        <v>277</v>
      </c>
      <c r="D149" s="117" t="s">
        <v>718</v>
      </c>
      <c r="E149" s="173"/>
      <c r="F149" s="173"/>
      <c r="G149" s="173"/>
      <c r="H149" s="173"/>
      <c r="I149" s="173"/>
    </row>
    <row r="150" spans="1:9">
      <c r="A150" s="107"/>
      <c r="B150" s="108" t="s">
        <v>563</v>
      </c>
      <c r="C150" s="108" t="s">
        <v>278</v>
      </c>
      <c r="D150" s="117" t="s">
        <v>719</v>
      </c>
      <c r="E150" s="173"/>
      <c r="F150" s="173"/>
      <c r="G150" s="173"/>
      <c r="H150" s="173"/>
      <c r="I150" s="173"/>
    </row>
    <row r="151" spans="1:9">
      <c r="A151" s="107"/>
      <c r="B151" s="108" t="s">
        <v>564</v>
      </c>
      <c r="C151" s="108" t="s">
        <v>772</v>
      </c>
      <c r="D151" s="142" t="s">
        <v>742</v>
      </c>
      <c r="E151" s="173"/>
      <c r="F151" s="173"/>
      <c r="G151" s="173"/>
      <c r="H151" s="173"/>
      <c r="I151" s="173"/>
    </row>
    <row r="152" spans="1:9">
      <c r="A152" s="107"/>
      <c r="B152" s="108" t="s">
        <v>565</v>
      </c>
      <c r="C152" s="108" t="s">
        <v>279</v>
      </c>
      <c r="D152" s="142" t="s">
        <v>742</v>
      </c>
      <c r="E152" s="173"/>
      <c r="F152" s="173"/>
      <c r="G152" s="173"/>
      <c r="H152" s="173"/>
      <c r="I152" s="173"/>
    </row>
    <row r="153" spans="1:9">
      <c r="A153" s="107"/>
      <c r="B153" s="108" t="s">
        <v>566</v>
      </c>
      <c r="C153" s="108" t="s">
        <v>280</v>
      </c>
      <c r="D153" s="142" t="s">
        <v>773</v>
      </c>
      <c r="E153" s="173"/>
      <c r="F153" s="173"/>
      <c r="G153" s="173"/>
      <c r="H153" s="173"/>
      <c r="I153" s="173"/>
    </row>
    <row r="154" spans="1:9">
      <c r="A154" s="107"/>
      <c r="B154" s="108" t="s">
        <v>567</v>
      </c>
      <c r="C154" s="108" t="s">
        <v>281</v>
      </c>
      <c r="D154" s="142" t="s">
        <v>773</v>
      </c>
      <c r="E154" s="173"/>
      <c r="F154" s="173"/>
      <c r="G154" s="173"/>
      <c r="H154" s="173"/>
      <c r="I154" s="173"/>
    </row>
    <row r="155" spans="1:9">
      <c r="A155" s="107"/>
      <c r="B155" s="108" t="s">
        <v>568</v>
      </c>
      <c r="C155" s="108" t="s">
        <v>282</v>
      </c>
      <c r="D155" s="142" t="s">
        <v>742</v>
      </c>
      <c r="E155" s="173"/>
      <c r="F155" s="173"/>
      <c r="G155" s="173"/>
      <c r="H155" s="173"/>
      <c r="I155" s="173"/>
    </row>
    <row r="156" spans="1:9">
      <c r="A156" s="107"/>
      <c r="B156" s="108" t="s">
        <v>569</v>
      </c>
      <c r="C156" s="108" t="s">
        <v>774</v>
      </c>
      <c r="D156" s="142" t="s">
        <v>742</v>
      </c>
      <c r="E156" s="173"/>
      <c r="F156" s="173"/>
      <c r="G156" s="173"/>
      <c r="H156" s="173"/>
      <c r="I156" s="173"/>
    </row>
    <row r="157" spans="1:9">
      <c r="A157" s="107"/>
      <c r="B157" s="108" t="s">
        <v>570</v>
      </c>
      <c r="C157" s="108" t="s">
        <v>283</v>
      </c>
      <c r="D157" s="142" t="s">
        <v>742</v>
      </c>
      <c r="E157" s="173"/>
      <c r="F157" s="173"/>
      <c r="G157" s="173"/>
      <c r="H157" s="173"/>
      <c r="I157" s="173"/>
    </row>
    <row r="158" spans="1:9">
      <c r="A158" s="107"/>
      <c r="B158" s="108" t="s">
        <v>571</v>
      </c>
      <c r="C158" s="108" t="s">
        <v>284</v>
      </c>
      <c r="D158" s="142" t="s">
        <v>773</v>
      </c>
      <c r="E158" s="173"/>
      <c r="F158" s="173"/>
      <c r="G158" s="173"/>
      <c r="H158" s="173"/>
      <c r="I158" s="173"/>
    </row>
    <row r="159" spans="1:9">
      <c r="A159" s="107"/>
      <c r="B159" s="108" t="s">
        <v>572</v>
      </c>
      <c r="C159" s="108" t="s">
        <v>285</v>
      </c>
      <c r="D159" s="142" t="s">
        <v>742</v>
      </c>
      <c r="E159" s="173"/>
      <c r="F159" s="173"/>
      <c r="G159" s="173"/>
      <c r="H159" s="173"/>
      <c r="I159" s="173"/>
    </row>
    <row r="160" spans="1:9">
      <c r="A160" s="107"/>
      <c r="B160" s="108" t="s">
        <v>573</v>
      </c>
      <c r="C160" s="108" t="s">
        <v>286</v>
      </c>
      <c r="D160" s="142" t="s">
        <v>773</v>
      </c>
      <c r="E160" s="173"/>
      <c r="F160" s="173"/>
      <c r="G160" s="173"/>
      <c r="H160" s="173"/>
      <c r="I160" s="173"/>
    </row>
    <row r="161" spans="1:9">
      <c r="A161" s="107"/>
      <c r="B161" s="108" t="s">
        <v>574</v>
      </c>
      <c r="C161" s="108" t="s">
        <v>287</v>
      </c>
      <c r="D161" s="142" t="s">
        <v>773</v>
      </c>
      <c r="E161" s="173"/>
      <c r="F161" s="173"/>
      <c r="G161" s="173"/>
      <c r="H161" s="173"/>
      <c r="I161" s="173"/>
    </row>
    <row r="162" spans="1:9">
      <c r="A162" s="107"/>
      <c r="B162" s="108" t="s">
        <v>575</v>
      </c>
      <c r="C162" s="108" t="s">
        <v>288</v>
      </c>
      <c r="D162" s="142" t="s">
        <v>775</v>
      </c>
      <c r="E162" s="173"/>
      <c r="F162" s="173"/>
      <c r="G162" s="173"/>
      <c r="H162" s="173"/>
      <c r="I162" s="173"/>
    </row>
    <row r="163" spans="1:9">
      <c r="A163" s="107"/>
      <c r="B163" s="108" t="s">
        <v>576</v>
      </c>
      <c r="C163" s="108" t="s">
        <v>289</v>
      </c>
      <c r="D163" s="142" t="s">
        <v>775</v>
      </c>
      <c r="E163" s="173"/>
      <c r="F163" s="173"/>
      <c r="G163" s="173"/>
      <c r="H163" s="173"/>
      <c r="I163" s="173"/>
    </row>
    <row r="164" spans="1:9">
      <c r="A164" s="107"/>
      <c r="B164" s="108" t="s">
        <v>577</v>
      </c>
      <c r="C164" s="108" t="s">
        <v>290</v>
      </c>
      <c r="D164" s="142" t="s">
        <v>773</v>
      </c>
      <c r="E164" s="173"/>
      <c r="F164" s="173"/>
      <c r="G164" s="173"/>
      <c r="H164" s="173"/>
      <c r="I164" s="173"/>
    </row>
    <row r="165" spans="1:9">
      <c r="A165" s="107"/>
      <c r="B165" s="108" t="s">
        <v>578</v>
      </c>
      <c r="C165" s="108" t="s">
        <v>291</v>
      </c>
      <c r="D165" s="142" t="s">
        <v>773</v>
      </c>
      <c r="E165" s="173"/>
      <c r="F165" s="173"/>
      <c r="G165" s="173"/>
      <c r="H165" s="173"/>
      <c r="I165" s="173"/>
    </row>
    <row r="166" spans="1:9">
      <c r="A166" s="107"/>
      <c r="B166" s="108" t="s">
        <v>579</v>
      </c>
      <c r="C166" s="108" t="s">
        <v>580</v>
      </c>
      <c r="D166" s="117"/>
      <c r="E166" s="173"/>
      <c r="F166" s="173"/>
      <c r="G166" s="173"/>
      <c r="H166" s="173"/>
      <c r="I166" s="173"/>
    </row>
    <row r="167" spans="1:9">
      <c r="A167" s="107"/>
      <c r="B167" s="108" t="s">
        <v>581</v>
      </c>
      <c r="C167" s="108" t="s">
        <v>776</v>
      </c>
      <c r="D167" s="117" t="s">
        <v>777</v>
      </c>
      <c r="E167" s="173"/>
      <c r="F167" s="173"/>
      <c r="G167" s="173"/>
      <c r="H167" s="173"/>
      <c r="I167" s="173"/>
    </row>
    <row r="168" spans="1:9">
      <c r="A168" s="107"/>
      <c r="B168" s="108" t="s">
        <v>582</v>
      </c>
      <c r="C168" s="108" t="s">
        <v>778</v>
      </c>
      <c r="D168" s="117" t="s">
        <v>779</v>
      </c>
      <c r="E168" s="173"/>
      <c r="F168" s="173"/>
      <c r="G168" s="173"/>
      <c r="H168" s="173"/>
      <c r="I168" s="173"/>
    </row>
    <row r="169" spans="1:9">
      <c r="A169" s="107"/>
      <c r="B169" s="108" t="s">
        <v>583</v>
      </c>
      <c r="C169" s="108" t="s">
        <v>780</v>
      </c>
      <c r="D169" s="117" t="s">
        <v>781</v>
      </c>
      <c r="E169" s="173"/>
      <c r="F169" s="173"/>
      <c r="G169" s="173"/>
      <c r="H169" s="173"/>
      <c r="I169" s="173"/>
    </row>
    <row r="170" spans="1:9">
      <c r="A170" s="107"/>
      <c r="B170" s="108" t="s">
        <v>584</v>
      </c>
      <c r="C170" s="108" t="s">
        <v>782</v>
      </c>
      <c r="D170" s="117"/>
      <c r="E170" s="173"/>
      <c r="F170" s="173"/>
      <c r="G170" s="173"/>
      <c r="H170" s="173"/>
      <c r="I170" s="173"/>
    </row>
    <row r="171" spans="1:9">
      <c r="A171" s="107"/>
      <c r="B171" s="108" t="s">
        <v>585</v>
      </c>
      <c r="C171" s="108" t="s">
        <v>783</v>
      </c>
      <c r="D171" s="117"/>
      <c r="E171" s="173"/>
      <c r="F171" s="173"/>
      <c r="G171" s="173"/>
      <c r="H171" s="173"/>
      <c r="I171" s="173"/>
    </row>
    <row r="172" spans="1:9">
      <c r="A172" s="107"/>
      <c r="B172" s="108" t="s">
        <v>586</v>
      </c>
      <c r="C172" s="108" t="s">
        <v>784</v>
      </c>
      <c r="D172" s="117"/>
      <c r="E172" s="173"/>
      <c r="F172" s="173"/>
      <c r="G172" s="173"/>
      <c r="H172" s="173"/>
      <c r="I172" s="173"/>
    </row>
    <row r="173" spans="1:9">
      <c r="A173" s="107"/>
      <c r="B173" s="108" t="s">
        <v>587</v>
      </c>
      <c r="C173" s="108" t="s">
        <v>785</v>
      </c>
      <c r="D173" s="117" t="s">
        <v>786</v>
      </c>
      <c r="E173" s="173"/>
      <c r="F173" s="173"/>
      <c r="G173" s="173"/>
      <c r="H173" s="173"/>
      <c r="I173" s="173"/>
    </row>
    <row r="174" spans="1:9">
      <c r="A174" s="107"/>
      <c r="B174" s="108" t="s">
        <v>588</v>
      </c>
      <c r="C174" s="108" t="s">
        <v>787</v>
      </c>
      <c r="D174" s="117" t="s">
        <v>788</v>
      </c>
      <c r="E174" s="173"/>
      <c r="F174" s="173"/>
      <c r="G174" s="173"/>
      <c r="H174" s="173"/>
      <c r="I174" s="173"/>
    </row>
    <row r="175" spans="1:9">
      <c r="A175" s="107"/>
      <c r="B175" s="108" t="s">
        <v>589</v>
      </c>
      <c r="C175" s="108" t="s">
        <v>789</v>
      </c>
      <c r="D175" s="117"/>
      <c r="E175" s="173"/>
      <c r="F175" s="173"/>
      <c r="G175" s="173"/>
      <c r="H175" s="173"/>
      <c r="I175" s="173"/>
    </row>
    <row r="176" spans="1:9">
      <c r="A176" s="107"/>
      <c r="B176" s="108" t="s">
        <v>590</v>
      </c>
      <c r="C176" s="108" t="s">
        <v>790</v>
      </c>
      <c r="D176" s="117" t="s">
        <v>791</v>
      </c>
      <c r="E176" s="173"/>
      <c r="F176" s="173"/>
      <c r="G176" s="173"/>
      <c r="H176" s="173"/>
      <c r="I176" s="173"/>
    </row>
    <row r="177" spans="1:9">
      <c r="A177" s="107"/>
      <c r="B177" s="108" t="s">
        <v>591</v>
      </c>
      <c r="C177" s="108" t="s">
        <v>792</v>
      </c>
      <c r="D177" s="117"/>
      <c r="E177" s="173"/>
      <c r="F177" s="173"/>
      <c r="G177" s="173"/>
      <c r="H177" s="173"/>
      <c r="I177" s="173"/>
    </row>
    <row r="178" spans="1:9">
      <c r="A178" s="107"/>
      <c r="B178" s="108" t="s">
        <v>592</v>
      </c>
      <c r="C178" s="108" t="s">
        <v>793</v>
      </c>
      <c r="D178" s="117"/>
      <c r="E178" s="173"/>
      <c r="F178" s="173"/>
      <c r="G178" s="173"/>
      <c r="H178" s="173"/>
      <c r="I178" s="173"/>
    </row>
    <row r="179" spans="1:9">
      <c r="A179" s="107"/>
      <c r="B179" s="108" t="s">
        <v>593</v>
      </c>
      <c r="C179" s="108"/>
      <c r="D179" s="117"/>
      <c r="E179" s="173"/>
      <c r="F179" s="173"/>
      <c r="G179" s="173"/>
      <c r="H179" s="173"/>
      <c r="I179" s="173"/>
    </row>
    <row r="180" spans="1:9">
      <c r="A180" s="107"/>
      <c r="B180" s="108" t="s">
        <v>594</v>
      </c>
      <c r="C180" s="108"/>
      <c r="D180" s="117"/>
      <c r="E180" s="173"/>
      <c r="F180" s="173"/>
      <c r="G180" s="173"/>
      <c r="H180" s="173"/>
      <c r="I180" s="173"/>
    </row>
    <row r="181" spans="1:9">
      <c r="A181" s="107"/>
      <c r="B181" s="108" t="s">
        <v>595</v>
      </c>
      <c r="C181" s="108" t="s">
        <v>794</v>
      </c>
      <c r="D181" s="117"/>
      <c r="E181" s="173"/>
      <c r="F181" s="173"/>
      <c r="G181" s="173"/>
      <c r="H181" s="173"/>
      <c r="I181" s="173"/>
    </row>
    <row r="182" spans="1:9">
      <c r="A182" s="107"/>
      <c r="B182" s="108" t="s">
        <v>593</v>
      </c>
      <c r="C182" s="108"/>
      <c r="D182" s="117"/>
      <c r="E182" s="173"/>
      <c r="F182" s="173"/>
      <c r="G182" s="173"/>
      <c r="H182" s="173"/>
      <c r="I182" s="173"/>
    </row>
    <row r="183" spans="1:9">
      <c r="A183" s="107"/>
      <c r="B183" s="108" t="s">
        <v>594</v>
      </c>
      <c r="C183" s="108"/>
      <c r="D183" s="117"/>
      <c r="E183" s="173"/>
      <c r="F183" s="173"/>
      <c r="G183" s="173"/>
      <c r="H183" s="173"/>
      <c r="I183" s="173"/>
    </row>
    <row r="184" spans="1:9">
      <c r="A184" s="107"/>
      <c r="B184" s="108" t="s">
        <v>596</v>
      </c>
      <c r="C184" s="108" t="s">
        <v>795</v>
      </c>
      <c r="D184" s="117"/>
      <c r="E184" s="173"/>
      <c r="F184" s="173"/>
      <c r="G184" s="173"/>
      <c r="H184" s="173"/>
      <c r="I184" s="173"/>
    </row>
    <row r="185" spans="1:9">
      <c r="A185" s="107"/>
      <c r="B185" s="108" t="s">
        <v>597</v>
      </c>
      <c r="C185" s="108" t="s">
        <v>796</v>
      </c>
      <c r="D185" s="117"/>
      <c r="E185" s="173"/>
      <c r="F185" s="173"/>
      <c r="G185" s="173"/>
      <c r="H185" s="173"/>
      <c r="I185" s="173"/>
    </row>
    <row r="186" spans="1:9">
      <c r="A186" s="107"/>
      <c r="B186" s="108" t="s">
        <v>598</v>
      </c>
      <c r="C186" s="108" t="s">
        <v>797</v>
      </c>
      <c r="D186" s="142" t="s">
        <v>599</v>
      </c>
      <c r="E186" s="173"/>
      <c r="F186" s="173"/>
      <c r="G186" s="173"/>
      <c r="H186" s="173"/>
      <c r="I186" s="173"/>
    </row>
    <row r="187" spans="1:9">
      <c r="A187" s="107"/>
      <c r="B187" s="108" t="s">
        <v>600</v>
      </c>
      <c r="C187" s="108" t="s">
        <v>798</v>
      </c>
      <c r="D187" s="117"/>
      <c r="E187" s="173"/>
      <c r="F187" s="173"/>
      <c r="G187" s="173"/>
      <c r="H187" s="173"/>
      <c r="I187" s="173"/>
    </row>
    <row r="188" spans="1:9">
      <c r="A188" s="107"/>
      <c r="B188" s="108" t="s">
        <v>853</v>
      </c>
      <c r="C188" s="108" t="s">
        <v>799</v>
      </c>
      <c r="D188" s="117" t="s">
        <v>800</v>
      </c>
      <c r="E188" s="173"/>
      <c r="F188" s="173"/>
      <c r="G188" s="173"/>
      <c r="H188" s="173"/>
      <c r="I188" s="173"/>
    </row>
    <row r="189" spans="1:9">
      <c r="A189" s="107"/>
      <c r="B189" s="108" t="s">
        <v>601</v>
      </c>
      <c r="C189" s="108" t="s">
        <v>801</v>
      </c>
      <c r="D189" s="117" t="s">
        <v>800</v>
      </c>
      <c r="E189" s="173"/>
      <c r="F189" s="173"/>
      <c r="G189" s="173"/>
      <c r="H189" s="173"/>
      <c r="I189" s="173"/>
    </row>
    <row r="190" spans="1:9">
      <c r="A190" s="107"/>
      <c r="B190" s="108" t="s">
        <v>602</v>
      </c>
      <c r="C190" s="108" t="s">
        <v>802</v>
      </c>
      <c r="D190" s="117"/>
      <c r="E190" s="173"/>
      <c r="F190" s="173"/>
      <c r="G190" s="173"/>
      <c r="H190" s="173"/>
      <c r="I190" s="173"/>
    </row>
    <row r="191" spans="1:9">
      <c r="A191" s="107"/>
      <c r="B191" s="108" t="s">
        <v>526</v>
      </c>
      <c r="C191" s="108" t="s">
        <v>803</v>
      </c>
      <c r="D191" s="142" t="s">
        <v>804</v>
      </c>
      <c r="E191" s="173"/>
      <c r="F191" s="173"/>
      <c r="G191" s="173"/>
      <c r="H191" s="173"/>
      <c r="I191" s="173"/>
    </row>
    <row r="192" spans="1:9">
      <c r="A192" s="107"/>
      <c r="B192" s="108" t="s">
        <v>603</v>
      </c>
      <c r="C192" s="108" t="s">
        <v>805</v>
      </c>
      <c r="D192" s="117"/>
      <c r="E192" s="173"/>
      <c r="F192" s="173"/>
      <c r="G192" s="173"/>
      <c r="H192" s="173"/>
      <c r="I192" s="173"/>
    </row>
    <row r="194" spans="1:9">
      <c r="A194" s="134" t="s">
        <v>842</v>
      </c>
      <c r="B194" s="134"/>
      <c r="C194" s="134"/>
    </row>
    <row r="195" spans="1:9">
      <c r="B195" t="s">
        <v>108</v>
      </c>
    </row>
    <row r="196" spans="1:9">
      <c r="B196" s="106" t="s">
        <v>95</v>
      </c>
      <c r="C196" s="106" t="s">
        <v>96</v>
      </c>
      <c r="D196" s="106" t="s">
        <v>97</v>
      </c>
      <c r="E196" s="148" t="s">
        <v>502</v>
      </c>
      <c r="F196" s="148" t="s">
        <v>504</v>
      </c>
      <c r="G196" s="148" t="s">
        <v>505</v>
      </c>
      <c r="H196" s="148" t="s">
        <v>506</v>
      </c>
      <c r="I196" s="148" t="s">
        <v>507</v>
      </c>
    </row>
    <row r="197" spans="1:9">
      <c r="A197" s="107"/>
      <c r="B197" s="108" t="s">
        <v>459</v>
      </c>
      <c r="C197" s="135" t="s">
        <v>460</v>
      </c>
      <c r="D197" s="109"/>
      <c r="E197" s="173"/>
      <c r="F197" s="173"/>
      <c r="G197" s="173"/>
      <c r="H197" s="173"/>
      <c r="I197" s="173"/>
    </row>
    <row r="198" spans="1:9">
      <c r="A198" s="107"/>
      <c r="B198" s="108" t="s">
        <v>421</v>
      </c>
      <c r="C198" s="135" t="s">
        <v>461</v>
      </c>
      <c r="D198" s="109"/>
      <c r="E198" s="173"/>
      <c r="F198" s="173"/>
      <c r="G198" s="173"/>
      <c r="H198" s="173"/>
      <c r="I198" s="173"/>
    </row>
    <row r="199" spans="1:9">
      <c r="A199" s="107"/>
      <c r="B199" s="108" t="s">
        <v>423</v>
      </c>
      <c r="C199" s="135" t="s">
        <v>462</v>
      </c>
      <c r="D199" s="109"/>
      <c r="E199" s="173"/>
      <c r="F199" s="173"/>
      <c r="G199" s="173"/>
      <c r="H199" s="173"/>
      <c r="I199" s="173"/>
    </row>
    <row r="200" spans="1:9">
      <c r="A200" s="107"/>
      <c r="B200" s="108" t="s">
        <v>852</v>
      </c>
      <c r="C200" s="135" t="s">
        <v>463</v>
      </c>
      <c r="D200" s="109"/>
      <c r="E200" s="173"/>
      <c r="F200" s="173"/>
      <c r="G200" s="173"/>
      <c r="H200" s="173"/>
      <c r="I200" s="173"/>
    </row>
    <row r="201" spans="1:9">
      <c r="A201" s="107"/>
      <c r="B201" s="108" t="s">
        <v>464</v>
      </c>
      <c r="C201" s="135" t="s">
        <v>465</v>
      </c>
      <c r="D201" s="109"/>
      <c r="E201" s="173"/>
      <c r="F201" s="173"/>
      <c r="G201" s="173"/>
      <c r="H201" s="173"/>
      <c r="I201" s="173"/>
    </row>
    <row r="202" spans="1:9">
      <c r="A202" s="107"/>
      <c r="B202" s="108" t="s">
        <v>831</v>
      </c>
      <c r="C202" s="135" t="s">
        <v>466</v>
      </c>
      <c r="D202" s="109"/>
      <c r="E202" s="173"/>
      <c r="F202" s="173"/>
      <c r="G202" s="173"/>
      <c r="H202" s="173"/>
      <c r="I202" s="173"/>
    </row>
    <row r="203" spans="1:9">
      <c r="A203" s="107"/>
      <c r="B203" s="108" t="s">
        <v>467</v>
      </c>
      <c r="C203" s="135" t="s">
        <v>468</v>
      </c>
      <c r="D203" s="109"/>
      <c r="E203" s="173"/>
      <c r="F203" s="173"/>
      <c r="G203" s="173"/>
      <c r="H203" s="173"/>
      <c r="I203" s="173"/>
    </row>
    <row r="204" spans="1:9">
      <c r="A204" s="107"/>
      <c r="B204" s="108" t="s">
        <v>469</v>
      </c>
      <c r="C204" s="135" t="s">
        <v>470</v>
      </c>
      <c r="D204" s="109"/>
      <c r="E204" s="173"/>
      <c r="F204" s="173"/>
      <c r="G204" s="173"/>
      <c r="H204" s="173"/>
      <c r="I204" s="173"/>
    </row>
    <row r="205" spans="1:9">
      <c r="A205" s="107"/>
      <c r="B205" s="108" t="s">
        <v>471</v>
      </c>
      <c r="C205" s="135" t="s">
        <v>472</v>
      </c>
      <c r="D205" s="109"/>
      <c r="E205" s="173"/>
      <c r="F205" s="173"/>
      <c r="G205" s="173"/>
      <c r="H205" s="173"/>
      <c r="I205" s="173"/>
    </row>
    <row r="206" spans="1:9">
      <c r="A206" s="107"/>
      <c r="B206" s="171" t="s">
        <v>473</v>
      </c>
      <c r="C206" s="171" t="s">
        <v>474</v>
      </c>
      <c r="D206" s="166"/>
      <c r="E206" s="172"/>
      <c r="F206" s="172"/>
      <c r="G206" s="172"/>
      <c r="H206" s="172"/>
      <c r="I206" s="172"/>
    </row>
    <row r="207" spans="1:9">
      <c r="A207" s="107"/>
      <c r="B207" s="135" t="s">
        <v>832</v>
      </c>
      <c r="C207" s="135" t="s">
        <v>437</v>
      </c>
      <c r="D207" s="109"/>
      <c r="E207" s="173"/>
      <c r="F207" s="173"/>
      <c r="G207" s="173"/>
      <c r="H207" s="173"/>
      <c r="I207" s="173"/>
    </row>
    <row r="208" spans="1:9">
      <c r="A208" s="107"/>
      <c r="B208" s="135" t="s">
        <v>438</v>
      </c>
      <c r="C208" s="135" t="s">
        <v>439</v>
      </c>
      <c r="D208" s="109"/>
      <c r="E208" s="173"/>
      <c r="F208" s="173"/>
      <c r="G208" s="173"/>
      <c r="H208" s="173"/>
      <c r="I208" s="173"/>
    </row>
    <row r="209" spans="1:9">
      <c r="A209" s="107"/>
      <c r="B209" s="135" t="s">
        <v>475</v>
      </c>
      <c r="C209" s="135" t="s">
        <v>441</v>
      </c>
      <c r="D209" s="109"/>
      <c r="E209" s="173"/>
      <c r="F209" s="173"/>
      <c r="G209" s="173"/>
      <c r="H209" s="173"/>
      <c r="I209" s="173"/>
    </row>
    <row r="210" spans="1:9">
      <c r="A210" s="107"/>
      <c r="B210" s="135" t="s">
        <v>476</v>
      </c>
      <c r="C210" s="135" t="s">
        <v>443</v>
      </c>
      <c r="D210" s="109"/>
      <c r="E210" s="173"/>
      <c r="F210" s="173"/>
      <c r="G210" s="173"/>
      <c r="H210" s="173"/>
      <c r="I210" s="173"/>
    </row>
    <row r="211" spans="1:9">
      <c r="A211" s="136"/>
      <c r="B211" s="137"/>
      <c r="C211" s="138"/>
      <c r="D211" s="139"/>
    </row>
    <row r="212" spans="1:9">
      <c r="B212" t="s">
        <v>322</v>
      </c>
    </row>
    <row r="213" spans="1:9">
      <c r="B213" s="106" t="s">
        <v>95</v>
      </c>
      <c r="C213" s="106" t="s">
        <v>96</v>
      </c>
      <c r="D213" s="106" t="s">
        <v>97</v>
      </c>
      <c r="E213" s="148" t="s">
        <v>500</v>
      </c>
      <c r="F213" s="148" t="s">
        <v>508</v>
      </c>
      <c r="G213" s="148" t="s">
        <v>497</v>
      </c>
      <c r="H213" s="148" t="s">
        <v>498</v>
      </c>
      <c r="I213" s="148" t="s">
        <v>503</v>
      </c>
    </row>
    <row r="214" spans="1:9" ht="14.25">
      <c r="A214" s="107"/>
      <c r="B214" s="145" t="s">
        <v>323</v>
      </c>
      <c r="C214" s="135" t="s">
        <v>324</v>
      </c>
      <c r="D214" s="109" t="s">
        <v>272</v>
      </c>
      <c r="E214" s="173"/>
      <c r="F214" s="173"/>
      <c r="G214" s="173"/>
      <c r="H214" s="173"/>
      <c r="I214" s="173"/>
    </row>
    <row r="215" spans="1:9" ht="14.25">
      <c r="B215" s="145" t="s">
        <v>325</v>
      </c>
      <c r="C215" s="135" t="s">
        <v>326</v>
      </c>
      <c r="D215" s="109" t="s">
        <v>327</v>
      </c>
      <c r="E215" s="172"/>
      <c r="F215" s="172"/>
      <c r="G215" s="172"/>
      <c r="H215" s="172"/>
      <c r="I215" s="172"/>
    </row>
    <row r="216" spans="1:9" ht="14.25">
      <c r="B216" s="145" t="s">
        <v>328</v>
      </c>
      <c r="C216" s="135" t="s">
        <v>329</v>
      </c>
      <c r="D216" s="109" t="s">
        <v>330</v>
      </c>
      <c r="E216" s="172"/>
      <c r="F216" s="172"/>
      <c r="G216" s="172"/>
      <c r="H216" s="172"/>
      <c r="I216" s="172"/>
    </row>
    <row r="217" spans="1:9" ht="27.75">
      <c r="B217" s="145" t="s">
        <v>331</v>
      </c>
      <c r="C217" s="135" t="s">
        <v>332</v>
      </c>
      <c r="D217" s="117" t="s">
        <v>333</v>
      </c>
      <c r="E217" s="172"/>
      <c r="F217" s="172"/>
      <c r="G217" s="172"/>
      <c r="H217" s="172"/>
      <c r="I217" s="172"/>
    </row>
    <row r="218" spans="1:9" ht="14.25">
      <c r="B218" s="145" t="s">
        <v>334</v>
      </c>
      <c r="C218" s="135" t="s">
        <v>335</v>
      </c>
      <c r="D218" s="109" t="s">
        <v>336</v>
      </c>
      <c r="E218" s="172"/>
      <c r="F218" s="172"/>
      <c r="G218" s="172"/>
      <c r="H218" s="172"/>
      <c r="I218" s="172"/>
    </row>
    <row r="219" spans="1:9" ht="14.25">
      <c r="B219" s="145" t="s">
        <v>854</v>
      </c>
      <c r="C219" s="135" t="s">
        <v>337</v>
      </c>
      <c r="D219" s="109" t="s">
        <v>338</v>
      </c>
      <c r="E219" s="172"/>
      <c r="F219" s="172"/>
      <c r="G219" s="172"/>
      <c r="H219" s="172"/>
      <c r="I219" s="172"/>
    </row>
    <row r="220" spans="1:9" ht="14.25">
      <c r="B220" s="145" t="s">
        <v>855</v>
      </c>
      <c r="C220" s="135" t="s">
        <v>339</v>
      </c>
      <c r="D220" s="109" t="s">
        <v>340</v>
      </c>
      <c r="E220" s="172"/>
      <c r="F220" s="172"/>
      <c r="G220" s="172"/>
      <c r="H220" s="172"/>
      <c r="I220" s="172"/>
    </row>
    <row r="221" spans="1:9" ht="14.25">
      <c r="B221" s="145" t="s">
        <v>856</v>
      </c>
      <c r="C221" s="135" t="s">
        <v>341</v>
      </c>
      <c r="D221" s="109" t="s">
        <v>342</v>
      </c>
      <c r="E221" s="172"/>
      <c r="F221" s="172"/>
      <c r="G221" s="172"/>
      <c r="H221" s="172"/>
      <c r="I221" s="172"/>
    </row>
    <row r="222" spans="1:9" ht="14.25">
      <c r="B222" s="145" t="s">
        <v>857</v>
      </c>
      <c r="C222" s="135" t="s">
        <v>343</v>
      </c>
      <c r="D222" s="109" t="s">
        <v>344</v>
      </c>
      <c r="E222" s="172"/>
      <c r="F222" s="172"/>
      <c r="G222" s="172"/>
      <c r="H222" s="172"/>
      <c r="I222" s="172"/>
    </row>
    <row r="223" spans="1:9" ht="14.25">
      <c r="B223" s="145" t="s">
        <v>858</v>
      </c>
      <c r="C223" s="135" t="s">
        <v>345</v>
      </c>
      <c r="D223" s="109" t="s">
        <v>346</v>
      </c>
      <c r="E223" s="172"/>
      <c r="F223" s="172"/>
      <c r="G223" s="172"/>
      <c r="H223" s="172"/>
      <c r="I223" s="172"/>
    </row>
    <row r="224" spans="1:9" ht="14.25">
      <c r="B224" s="145" t="s">
        <v>859</v>
      </c>
      <c r="C224" s="135" t="s">
        <v>347</v>
      </c>
      <c r="D224" s="109" t="s">
        <v>348</v>
      </c>
      <c r="E224" s="172"/>
      <c r="F224" s="172"/>
      <c r="G224" s="172"/>
      <c r="H224" s="172"/>
      <c r="I224" s="172"/>
    </row>
    <row r="225" spans="1:9" ht="14.25">
      <c r="B225" s="145" t="s">
        <v>860</v>
      </c>
      <c r="C225" s="135" t="s">
        <v>349</v>
      </c>
      <c r="D225" s="109" t="s">
        <v>350</v>
      </c>
      <c r="E225" s="172"/>
      <c r="F225" s="172"/>
      <c r="G225" s="172"/>
      <c r="H225" s="172"/>
      <c r="I225" s="172"/>
    </row>
    <row r="227" spans="1:9">
      <c r="A227" s="134" t="s">
        <v>828</v>
      </c>
      <c r="B227" s="134"/>
      <c r="C227" s="134"/>
    </row>
    <row r="228" spans="1:9">
      <c r="B228" t="s">
        <v>108</v>
      </c>
    </row>
    <row r="229" spans="1:9">
      <c r="B229" s="106" t="s">
        <v>95</v>
      </c>
      <c r="C229" s="106" t="s">
        <v>96</v>
      </c>
      <c r="D229" s="106" t="s">
        <v>97</v>
      </c>
      <c r="E229" s="148" t="s">
        <v>495</v>
      </c>
    </row>
    <row r="230" spans="1:9">
      <c r="A230" s="107"/>
      <c r="B230" s="108" t="s">
        <v>459</v>
      </c>
      <c r="C230" s="135" t="s">
        <v>460</v>
      </c>
      <c r="D230" s="109"/>
      <c r="E230" s="173"/>
    </row>
    <row r="231" spans="1:9">
      <c r="A231" s="107"/>
      <c r="B231" s="108" t="s">
        <v>421</v>
      </c>
      <c r="C231" s="135" t="s">
        <v>461</v>
      </c>
      <c r="D231" s="109"/>
      <c r="E231" s="173"/>
    </row>
    <row r="232" spans="1:9">
      <c r="A232" s="107"/>
      <c r="B232" s="108" t="s">
        <v>423</v>
      </c>
      <c r="C232" s="135" t="s">
        <v>462</v>
      </c>
      <c r="D232" s="109"/>
      <c r="E232" s="173"/>
    </row>
    <row r="233" spans="1:9">
      <c r="A233" s="107"/>
      <c r="B233" s="108" t="s">
        <v>852</v>
      </c>
      <c r="C233" s="135" t="s">
        <v>425</v>
      </c>
      <c r="D233" s="109"/>
      <c r="E233" s="173"/>
    </row>
    <row r="234" spans="1:9">
      <c r="A234" s="107"/>
      <c r="B234" s="108" t="s">
        <v>426</v>
      </c>
      <c r="C234" s="135" t="s">
        <v>427</v>
      </c>
      <c r="D234" s="109"/>
      <c r="E234" s="173"/>
    </row>
    <row r="235" spans="1:9">
      <c r="A235" s="107"/>
      <c r="B235" s="108" t="s">
        <v>831</v>
      </c>
      <c r="C235" s="135" t="s">
        <v>466</v>
      </c>
      <c r="D235" s="109"/>
      <c r="E235" s="173"/>
    </row>
    <row r="236" spans="1:9">
      <c r="A236" s="107"/>
      <c r="B236" s="108" t="s">
        <v>467</v>
      </c>
      <c r="C236" s="135" t="s">
        <v>468</v>
      </c>
      <c r="D236" s="109"/>
      <c r="E236" s="173"/>
    </row>
    <row r="237" spans="1:9">
      <c r="A237" s="107"/>
      <c r="B237" s="108" t="s">
        <v>431</v>
      </c>
      <c r="C237" s="135" t="s">
        <v>470</v>
      </c>
      <c r="D237" s="109"/>
      <c r="E237" s="173"/>
    </row>
    <row r="238" spans="1:9">
      <c r="A238" s="107"/>
      <c r="B238" s="108" t="s">
        <v>471</v>
      </c>
      <c r="C238" s="135" t="s">
        <v>434</v>
      </c>
      <c r="D238" s="109"/>
      <c r="E238" s="173"/>
    </row>
    <row r="239" spans="1:9">
      <c r="A239" s="107"/>
      <c r="B239" s="171" t="s">
        <v>435</v>
      </c>
      <c r="C239" s="171" t="s">
        <v>436</v>
      </c>
      <c r="D239" s="166"/>
      <c r="E239" s="172"/>
    </row>
    <row r="240" spans="1:9">
      <c r="A240" s="107"/>
      <c r="B240" s="135" t="s">
        <v>832</v>
      </c>
      <c r="C240" s="135" t="s">
        <v>437</v>
      </c>
      <c r="D240" s="109"/>
      <c r="E240" s="173"/>
    </row>
    <row r="241" spans="1:6">
      <c r="A241" s="107"/>
      <c r="B241" s="171" t="s">
        <v>438</v>
      </c>
      <c r="C241" s="171" t="s">
        <v>439</v>
      </c>
      <c r="D241" s="166"/>
      <c r="E241" s="174"/>
    </row>
    <row r="242" spans="1:6">
      <c r="A242" s="107"/>
      <c r="B242" s="171" t="s">
        <v>440</v>
      </c>
      <c r="C242" s="171" t="s">
        <v>441</v>
      </c>
      <c r="D242" s="166"/>
      <c r="E242" s="174"/>
    </row>
    <row r="243" spans="1:6">
      <c r="A243" s="107"/>
      <c r="B243" s="171" t="s">
        <v>442</v>
      </c>
      <c r="C243" s="171" t="s">
        <v>443</v>
      </c>
      <c r="D243" s="166"/>
      <c r="E243" s="174"/>
    </row>
    <row r="244" spans="1:6">
      <c r="A244" s="136"/>
      <c r="B244" s="137"/>
      <c r="C244" s="138"/>
      <c r="D244" s="139"/>
    </row>
    <row r="245" spans="1:6">
      <c r="B245" t="s">
        <v>322</v>
      </c>
    </row>
    <row r="246" spans="1:6">
      <c r="B246" s="106" t="s">
        <v>95</v>
      </c>
      <c r="C246" s="106" t="s">
        <v>96</v>
      </c>
      <c r="D246" s="106" t="s">
        <v>97</v>
      </c>
      <c r="E246" s="148" t="s">
        <v>495</v>
      </c>
    </row>
    <row r="247" spans="1:6" ht="14.25">
      <c r="A247" s="107"/>
      <c r="B247" s="145" t="s">
        <v>829</v>
      </c>
      <c r="C247" s="135" t="s">
        <v>830</v>
      </c>
      <c r="D247" s="109" t="s">
        <v>272</v>
      </c>
      <c r="E247" s="173"/>
    </row>
    <row r="250" spans="1:6">
      <c r="A250" t="s">
        <v>835</v>
      </c>
    </row>
    <row r="251" spans="1:6">
      <c r="B251" t="s">
        <v>108</v>
      </c>
    </row>
    <row r="252" spans="1:6">
      <c r="B252" s="106" t="s">
        <v>95</v>
      </c>
      <c r="C252" s="106" t="s">
        <v>96</v>
      </c>
      <c r="D252" s="106" t="s">
        <v>97</v>
      </c>
      <c r="E252" s="148" t="s">
        <v>495</v>
      </c>
      <c r="F252" s="148" t="s">
        <v>847</v>
      </c>
    </row>
    <row r="253" spans="1:6">
      <c r="B253" s="108" t="s">
        <v>459</v>
      </c>
      <c r="C253" s="135" t="s">
        <v>460</v>
      </c>
      <c r="D253" s="109"/>
      <c r="E253" s="173"/>
      <c r="F253" s="173"/>
    </row>
    <row r="254" spans="1:6">
      <c r="B254" s="108" t="s">
        <v>421</v>
      </c>
      <c r="C254" s="135" t="s">
        <v>461</v>
      </c>
      <c r="D254" s="109"/>
      <c r="E254" s="173"/>
      <c r="F254" s="173"/>
    </row>
    <row r="255" spans="1:6">
      <c r="B255" s="108" t="s">
        <v>423</v>
      </c>
      <c r="C255" s="135" t="s">
        <v>462</v>
      </c>
      <c r="D255" s="109"/>
      <c r="E255" s="173"/>
      <c r="F255" s="173"/>
    </row>
    <row r="256" spans="1:6">
      <c r="B256" s="108" t="s">
        <v>852</v>
      </c>
      <c r="C256" s="135" t="s">
        <v>425</v>
      </c>
      <c r="D256" s="109"/>
      <c r="E256" s="173"/>
      <c r="F256" s="173"/>
    </row>
    <row r="257" spans="2:6">
      <c r="B257" s="108" t="s">
        <v>426</v>
      </c>
      <c r="C257" s="135" t="s">
        <v>427</v>
      </c>
      <c r="D257" s="109"/>
      <c r="E257" s="173"/>
      <c r="F257" s="173"/>
    </row>
    <row r="258" spans="2:6">
      <c r="B258" s="108" t="s">
        <v>831</v>
      </c>
      <c r="C258" s="135" t="s">
        <v>466</v>
      </c>
      <c r="D258" s="109"/>
      <c r="E258" s="173"/>
      <c r="F258" s="173"/>
    </row>
    <row r="259" spans="2:6">
      <c r="B259" s="108" t="s">
        <v>467</v>
      </c>
      <c r="C259" s="135" t="s">
        <v>468</v>
      </c>
      <c r="D259" s="109"/>
      <c r="E259" s="173"/>
      <c r="F259" s="173"/>
    </row>
    <row r="260" spans="2:6">
      <c r="B260" s="108" t="s">
        <v>431</v>
      </c>
      <c r="C260" s="135" t="s">
        <v>470</v>
      </c>
      <c r="D260" s="109"/>
      <c r="E260" s="173"/>
      <c r="F260" s="173"/>
    </row>
    <row r="261" spans="2:6">
      <c r="B261" s="108" t="s">
        <v>471</v>
      </c>
      <c r="C261" s="135" t="s">
        <v>434</v>
      </c>
      <c r="D261" s="109"/>
      <c r="E261" s="173"/>
      <c r="F261" s="173"/>
    </row>
    <row r="262" spans="2:6">
      <c r="B262" s="135" t="s">
        <v>832</v>
      </c>
      <c r="C262" s="135" t="s">
        <v>437</v>
      </c>
      <c r="D262" s="109"/>
      <c r="E262" s="173"/>
      <c r="F262" s="173"/>
    </row>
    <row r="263" spans="2:6">
      <c r="B263" s="137"/>
      <c r="C263" s="138"/>
      <c r="D263" s="139"/>
    </row>
    <row r="264" spans="2:6">
      <c r="B264" t="s">
        <v>322</v>
      </c>
    </row>
    <row r="265" spans="2:6">
      <c r="B265" s="106" t="s">
        <v>95</v>
      </c>
      <c r="C265" s="106" t="s">
        <v>96</v>
      </c>
      <c r="D265" s="106" t="s">
        <v>97</v>
      </c>
      <c r="E265" s="148" t="s">
        <v>495</v>
      </c>
      <c r="F265" s="148" t="s">
        <v>847</v>
      </c>
    </row>
    <row r="266" spans="2:6" ht="40.5">
      <c r="B266" s="108" t="s">
        <v>838</v>
      </c>
      <c r="C266" s="135" t="s">
        <v>836</v>
      </c>
      <c r="D266" s="117" t="s">
        <v>837</v>
      </c>
      <c r="E266" s="173"/>
      <c r="F266" s="173"/>
    </row>
  </sheetData>
  <autoFilter ref="B90:I192"/>
  <mergeCells count="1">
    <mergeCell ref="A71:B71"/>
  </mergeCells>
  <phoneticPr fontId="2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52" t="s">
        <v>4</v>
      </c>
      <c r="C6" s="253" t="s">
        <v>30</v>
      </c>
      <c r="D6" s="253" t="s">
        <v>56</v>
      </c>
      <c r="E6" s="57"/>
      <c r="F6" s="254" t="s">
        <v>7</v>
      </c>
      <c r="G6" s="255"/>
      <c r="H6" s="236" t="s">
        <v>12</v>
      </c>
      <c r="I6" s="236"/>
      <c r="J6" s="236"/>
      <c r="K6" s="237" t="s">
        <v>14</v>
      </c>
      <c r="L6" s="237"/>
      <c r="M6" s="237"/>
      <c r="N6" s="256"/>
      <c r="O6" s="256"/>
      <c r="P6" s="256"/>
    </row>
    <row r="7" spans="1:17">
      <c r="B7" s="239"/>
      <c r="C7" s="241"/>
      <c r="D7" s="241"/>
      <c r="E7" s="58"/>
      <c r="F7" s="246"/>
      <c r="G7" s="247"/>
      <c r="H7" s="45" t="s">
        <v>8</v>
      </c>
      <c r="I7" s="45" t="s">
        <v>9</v>
      </c>
      <c r="J7" s="45" t="s">
        <v>10</v>
      </c>
      <c r="K7" s="30"/>
      <c r="L7" s="32"/>
      <c r="M7" s="33"/>
      <c r="N7" s="44"/>
      <c r="O7" s="44"/>
      <c r="P7" s="44"/>
      <c r="Q7" s="3" t="s">
        <v>23</v>
      </c>
    </row>
    <row r="8" spans="1:17">
      <c r="B8" s="38" t="s">
        <v>15</v>
      </c>
      <c r="C8" s="29" t="s">
        <v>31</v>
      </c>
      <c r="D8" s="28" t="s">
        <v>33</v>
      </c>
      <c r="E8" s="39"/>
      <c r="F8" s="226" t="s">
        <v>28</v>
      </c>
      <c r="G8" s="227"/>
      <c r="H8" s="53"/>
      <c r="I8" s="54"/>
      <c r="J8" s="53"/>
      <c r="K8" s="39"/>
      <c r="L8" s="34"/>
      <c r="M8" s="35"/>
      <c r="N8" s="44"/>
      <c r="O8" s="44"/>
      <c r="P8" s="44"/>
      <c r="Q8" s="3" t="s">
        <v>24</v>
      </c>
    </row>
    <row r="9" spans="1:17">
      <c r="B9" s="16"/>
      <c r="C9" s="40"/>
      <c r="D9" s="29" t="s">
        <v>33</v>
      </c>
      <c r="E9" s="49"/>
      <c r="F9" s="257" t="s">
        <v>29</v>
      </c>
      <c r="G9" s="258"/>
      <c r="H9" s="47"/>
      <c r="I9" s="48"/>
      <c r="J9" s="47"/>
      <c r="K9" s="49"/>
      <c r="L9" s="55"/>
      <c r="M9" s="56"/>
      <c r="N9" s="44"/>
      <c r="O9" s="44"/>
      <c r="P9" s="44"/>
      <c r="Q9" s="3" t="s">
        <v>25</v>
      </c>
    </row>
    <row r="10" spans="1:17" s="15" customFormat="1">
      <c r="B10" s="38" t="s">
        <v>16</v>
      </c>
      <c r="C10" s="46" t="s">
        <v>32</v>
      </c>
      <c r="D10" s="18" t="s">
        <v>35</v>
      </c>
      <c r="E10" s="59"/>
      <c r="F10" s="226" t="s">
        <v>36</v>
      </c>
      <c r="G10" s="259"/>
      <c r="H10" s="53"/>
      <c r="I10" s="54"/>
      <c r="J10" s="53"/>
      <c r="K10" s="31"/>
      <c r="L10" s="36"/>
      <c r="M10" s="37"/>
      <c r="N10" s="1"/>
      <c r="O10" s="1"/>
      <c r="P10" s="1"/>
      <c r="Q10" s="3" t="s">
        <v>26</v>
      </c>
    </row>
    <row r="11" spans="1:17" s="15" customFormat="1">
      <c r="B11" s="16"/>
      <c r="C11" s="17"/>
      <c r="D11" s="18" t="s">
        <v>37</v>
      </c>
      <c r="E11" s="59"/>
      <c r="F11" s="226" t="s">
        <v>38</v>
      </c>
      <c r="G11" s="259"/>
      <c r="H11" s="19"/>
      <c r="I11" s="20"/>
      <c r="J11" s="19"/>
      <c r="K11" s="31"/>
      <c r="L11" s="36"/>
      <c r="M11" s="37"/>
      <c r="N11" s="1"/>
      <c r="O11" s="1"/>
      <c r="P11" s="1"/>
      <c r="Q11" s="3" t="s">
        <v>27</v>
      </c>
    </row>
    <row r="12" spans="1:17" s="15" customFormat="1" ht="27" customHeight="1">
      <c r="B12" s="16"/>
      <c r="C12" s="17"/>
      <c r="D12" s="18" t="s">
        <v>39</v>
      </c>
      <c r="E12" s="59"/>
      <c r="F12" s="226" t="s">
        <v>40</v>
      </c>
      <c r="G12" s="227"/>
      <c r="H12" s="19"/>
      <c r="I12" s="20"/>
      <c r="J12" s="19"/>
      <c r="K12" s="31"/>
      <c r="L12" s="36"/>
      <c r="M12" s="37"/>
      <c r="N12" s="1"/>
      <c r="O12" s="1"/>
      <c r="P12" s="1"/>
      <c r="Q12" s="15" t="s">
        <v>61</v>
      </c>
    </row>
    <row r="13" spans="1:17" s="15" customFormat="1" ht="27" customHeight="1">
      <c r="B13" s="16"/>
      <c r="C13" s="17"/>
      <c r="D13" s="18" t="s">
        <v>41</v>
      </c>
      <c r="E13" s="59"/>
      <c r="F13" s="226" t="s">
        <v>44</v>
      </c>
      <c r="G13" s="227"/>
      <c r="H13" s="19"/>
      <c r="I13" s="20"/>
      <c r="J13" s="19"/>
      <c r="K13" s="39"/>
      <c r="L13" s="36"/>
      <c r="M13" s="37"/>
      <c r="N13" s="1"/>
      <c r="O13" s="1"/>
      <c r="P13" s="1"/>
    </row>
    <row r="14" spans="1:17" s="15" customFormat="1" ht="27" customHeight="1">
      <c r="B14" s="21"/>
      <c r="C14" s="22"/>
      <c r="D14" s="18" t="s">
        <v>42</v>
      </c>
      <c r="E14" s="59"/>
      <c r="F14" s="226" t="s">
        <v>43</v>
      </c>
      <c r="G14" s="227"/>
      <c r="H14" s="19"/>
      <c r="I14" s="20"/>
      <c r="J14" s="19"/>
      <c r="K14" s="31"/>
      <c r="L14" s="36"/>
      <c r="M14" s="37"/>
      <c r="N14" s="1"/>
      <c r="O14" s="1"/>
      <c r="P14" s="1"/>
    </row>
    <row r="15" spans="1:17" s="15" customFormat="1" ht="27" customHeight="1">
      <c r="B15" s="41" t="s">
        <v>18</v>
      </c>
      <c r="C15" s="18" t="s">
        <v>45</v>
      </c>
      <c r="D15" s="18" t="s">
        <v>46</v>
      </c>
      <c r="E15" s="59"/>
      <c r="F15" s="226" t="s">
        <v>47</v>
      </c>
      <c r="G15" s="259"/>
      <c r="H15" s="53"/>
      <c r="I15" s="54"/>
      <c r="J15" s="53"/>
      <c r="K15" s="31"/>
      <c r="L15" s="36"/>
      <c r="M15" s="37"/>
      <c r="N15" s="1"/>
      <c r="O15" s="1"/>
      <c r="P15" s="1"/>
    </row>
    <row r="16" spans="1:17" s="15" customFormat="1" ht="27" customHeight="1">
      <c r="B16" s="41" t="s">
        <v>19</v>
      </c>
      <c r="C16" s="18" t="s">
        <v>48</v>
      </c>
      <c r="D16" s="18" t="s">
        <v>49</v>
      </c>
      <c r="E16" s="59"/>
      <c r="F16" s="226" t="s">
        <v>50</v>
      </c>
      <c r="G16" s="259"/>
      <c r="H16" s="54"/>
      <c r="I16" s="54"/>
      <c r="J16" s="53"/>
      <c r="K16" s="31"/>
      <c r="L16" s="36"/>
      <c r="M16" s="37"/>
      <c r="N16" s="1"/>
      <c r="O16" s="1"/>
      <c r="P16" s="1"/>
    </row>
    <row r="17" spans="2:16" s="15" customFormat="1" ht="27" customHeight="1">
      <c r="B17" s="21" t="s">
        <v>20</v>
      </c>
      <c r="C17" s="18" t="s">
        <v>51</v>
      </c>
      <c r="D17" s="18" t="s">
        <v>52</v>
      </c>
      <c r="E17" s="60"/>
      <c r="F17" s="260" t="s">
        <v>53</v>
      </c>
      <c r="G17" s="261"/>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52" t="s">
        <v>4</v>
      </c>
      <c r="C22" s="253" t="s">
        <v>30</v>
      </c>
      <c r="D22" s="253" t="s">
        <v>34</v>
      </c>
      <c r="E22" s="253" t="s">
        <v>58</v>
      </c>
      <c r="F22" s="254" t="s">
        <v>7</v>
      </c>
      <c r="G22" s="255"/>
      <c r="H22" s="236" t="s">
        <v>12</v>
      </c>
      <c r="I22" s="236"/>
      <c r="J22" s="236"/>
      <c r="K22" s="237" t="s">
        <v>14</v>
      </c>
      <c r="L22" s="237"/>
      <c r="M22" s="237"/>
    </row>
    <row r="23" spans="2:16">
      <c r="B23" s="239"/>
      <c r="C23" s="241"/>
      <c r="D23" s="241"/>
      <c r="E23" s="241"/>
      <c r="F23" s="246"/>
      <c r="G23" s="247"/>
      <c r="H23" s="45" t="s">
        <v>8</v>
      </c>
      <c r="I23" s="45" t="s">
        <v>9</v>
      </c>
      <c r="J23" s="45" t="s">
        <v>10</v>
      </c>
      <c r="K23" s="30"/>
      <c r="L23" s="32"/>
      <c r="M23" s="33"/>
    </row>
    <row r="24" spans="2:16" ht="40.5">
      <c r="B24" s="38" t="s">
        <v>15</v>
      </c>
      <c r="C24" s="29" t="s">
        <v>55</v>
      </c>
      <c r="D24" s="42" t="s">
        <v>57</v>
      </c>
      <c r="E24" s="43" t="s">
        <v>59</v>
      </c>
      <c r="F24" s="226" t="s">
        <v>60</v>
      </c>
      <c r="G24" s="227"/>
      <c r="H24" s="53"/>
      <c r="I24" s="54"/>
      <c r="J24" s="53"/>
      <c r="K24" s="39"/>
      <c r="L24" s="34"/>
      <c r="M24" s="35"/>
    </row>
    <row r="25" spans="2:16">
      <c r="B25" s="41" t="s">
        <v>16</v>
      </c>
      <c r="C25" s="18"/>
      <c r="D25" s="18"/>
      <c r="E25" s="59"/>
      <c r="F25" s="226"/>
      <c r="G25" s="259"/>
      <c r="H25" s="53"/>
      <c r="I25" s="54"/>
      <c r="J25" s="53"/>
      <c r="K25" s="31"/>
      <c r="L25" s="36"/>
      <c r="M25" s="37"/>
    </row>
    <row r="26" spans="2:16">
      <c r="B26" s="41"/>
      <c r="C26" s="18"/>
      <c r="D26" s="18"/>
      <c r="E26" s="59"/>
      <c r="F26" s="226"/>
      <c r="G26" s="259"/>
      <c r="H26" s="19"/>
      <c r="I26" s="20"/>
      <c r="J26" s="19"/>
      <c r="K26" s="31"/>
      <c r="L26" s="36"/>
      <c r="M26" s="37"/>
    </row>
    <row r="27" spans="2:16">
      <c r="B27" s="41"/>
      <c r="C27" s="18"/>
      <c r="D27" s="18"/>
      <c r="E27" s="59"/>
      <c r="F27" s="226"/>
      <c r="G27" s="227"/>
      <c r="H27" s="19"/>
      <c r="I27" s="20"/>
      <c r="J27" s="19"/>
      <c r="K27" s="31"/>
      <c r="L27" s="36"/>
      <c r="M27" s="37"/>
    </row>
    <row r="28" spans="2:16">
      <c r="B28" s="41"/>
      <c r="C28" s="18"/>
      <c r="D28" s="18"/>
      <c r="E28" s="59"/>
      <c r="F28" s="226"/>
      <c r="G28" s="227"/>
      <c r="H28" s="19"/>
      <c r="I28" s="20"/>
      <c r="J28" s="19"/>
      <c r="K28" s="39"/>
      <c r="L28" s="36"/>
      <c r="M28" s="37"/>
    </row>
    <row r="29" spans="2:16">
      <c r="B29" s="41"/>
      <c r="C29" s="18"/>
      <c r="D29" s="18"/>
      <c r="E29" s="59"/>
      <c r="F29" s="226"/>
      <c r="G29" s="227"/>
      <c r="H29" s="19"/>
      <c r="I29" s="20"/>
      <c r="J29" s="19"/>
      <c r="K29" s="31"/>
      <c r="L29" s="36"/>
      <c r="M29" s="37"/>
    </row>
    <row r="30" spans="2:16">
      <c r="B30" s="41" t="s">
        <v>18</v>
      </c>
      <c r="C30" s="18"/>
      <c r="D30" s="18"/>
      <c r="E30" s="59"/>
      <c r="F30" s="226"/>
      <c r="G30" s="259"/>
      <c r="H30" s="53"/>
      <c r="I30" s="54"/>
      <c r="J30" s="53"/>
      <c r="K30" s="31"/>
      <c r="L30" s="36"/>
      <c r="M30" s="37"/>
    </row>
    <row r="31" spans="2:16">
      <c r="B31" s="41" t="s">
        <v>19</v>
      </c>
      <c r="C31" s="18"/>
      <c r="D31" s="18"/>
      <c r="E31" s="59"/>
      <c r="F31" s="226"/>
      <c r="G31" s="259"/>
      <c r="H31" s="54"/>
      <c r="I31" s="54"/>
      <c r="J31" s="53"/>
      <c r="K31" s="31"/>
      <c r="L31" s="36"/>
      <c r="M31" s="37"/>
    </row>
    <row r="32" spans="2:16">
      <c r="B32" s="21" t="s">
        <v>20</v>
      </c>
      <c r="C32" s="18"/>
      <c r="D32" s="18"/>
      <c r="E32" s="60"/>
      <c r="F32" s="260"/>
      <c r="G32" s="261"/>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表紙</vt:lpstr>
      <vt:lpstr>変更履歴</vt:lpstr>
      <vt:lpstr>テスト項目</vt:lpstr>
      <vt:lpstr>ヘッダ項目マトリクス_車両からプロファイル検索</vt:lpstr>
      <vt:lpstr>ヘッダ項目マトリクス_この車両が登録されているプロファイル</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2019-01-09T07:15:40Z</dcterms:modified>
</cp:coreProperties>
</file>