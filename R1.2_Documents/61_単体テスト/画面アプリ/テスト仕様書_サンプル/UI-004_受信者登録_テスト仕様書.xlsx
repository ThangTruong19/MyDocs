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1250" windowHeight="5700" tabRatio="920" activeTab="2"/>
  </bookViews>
  <sheets>
    <sheet name="表紙" sheetId="15" r:id="rId1"/>
    <sheet name="変更履歴" sheetId="16" r:id="rId2"/>
    <sheet name="テスト項目" sheetId="19" r:id="rId3"/>
    <sheet name="リクエストパラメータチェックシート" sheetId="20"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テスト項目!$A$7:$R$137</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テスト項目!$A$1:$J$109</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137" i="19" l="1"/>
  <c r="B136" i="19"/>
  <c r="B135" i="19"/>
  <c r="B134" i="19"/>
  <c r="B133" i="19"/>
  <c r="Q4" i="19" l="1"/>
  <c r="Q3" i="19"/>
  <c r="Q2" i="19"/>
  <c r="P4" i="19" l="1"/>
  <c r="O4" i="19"/>
  <c r="N4" i="19"/>
  <c r="P3" i="19"/>
  <c r="O3" i="19"/>
  <c r="N3" i="19"/>
  <c r="P2" i="19"/>
  <c r="O2" i="19"/>
  <c r="N2" i="19"/>
  <c r="B39" i="19" l="1"/>
  <c r="B11" i="19" l="1"/>
  <c r="B10" i="19"/>
  <c r="B9" i="19"/>
  <c r="B63" i="19" l="1"/>
  <c r="B113" i="19" l="1"/>
  <c r="B132" i="19" l="1"/>
  <c r="B42" i="19" l="1"/>
  <c r="B41" i="19"/>
  <c r="B34" i="19"/>
  <c r="B35" i="19"/>
  <c r="B108" i="19" l="1"/>
  <c r="B59" i="19"/>
  <c r="B17" i="19" l="1"/>
  <c r="B21" i="19" l="1"/>
  <c r="B20" i="19"/>
  <c r="B19" i="19"/>
  <c r="B16" i="19"/>
  <c r="B23" i="19"/>
  <c r="B22" i="19"/>
  <c r="B18" i="19"/>
  <c r="B15" i="19"/>
  <c r="B107" i="19"/>
  <c r="B58" i="19"/>
  <c r="B14" i="19"/>
  <c r="B74" i="19"/>
  <c r="B73" i="19"/>
  <c r="B72" i="19"/>
  <c r="B71" i="19"/>
  <c r="B131" i="19"/>
  <c r="B130" i="19"/>
  <c r="B129" i="19"/>
  <c r="B128" i="19"/>
  <c r="B127" i="19"/>
  <c r="B126" i="19"/>
  <c r="B125" i="19"/>
  <c r="B124" i="19"/>
  <c r="B123" i="19"/>
  <c r="B122" i="19"/>
  <c r="B121" i="19"/>
  <c r="B120" i="19"/>
  <c r="B119" i="19"/>
  <c r="B118" i="19"/>
  <c r="B117" i="19"/>
  <c r="B116" i="19"/>
  <c r="B115" i="19"/>
  <c r="B114" i="19"/>
  <c r="B112" i="19"/>
  <c r="B111" i="19"/>
  <c r="B110" i="19"/>
  <c r="B109"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0" i="19"/>
  <c r="B69" i="19"/>
  <c r="B68" i="19"/>
  <c r="B67" i="19"/>
  <c r="B66" i="19"/>
  <c r="B65" i="19"/>
  <c r="B64" i="19"/>
  <c r="B62" i="19"/>
  <c r="B61" i="19"/>
  <c r="B60" i="19"/>
  <c r="B57" i="19"/>
  <c r="B56" i="19"/>
  <c r="B55" i="19"/>
  <c r="B54" i="19"/>
  <c r="B53" i="19"/>
  <c r="B52" i="19"/>
  <c r="B51" i="19"/>
  <c r="B50" i="19"/>
  <c r="B49" i="19"/>
  <c r="B48" i="19"/>
  <c r="B47" i="19"/>
  <c r="B46" i="19"/>
  <c r="B45" i="19"/>
  <c r="B44" i="19"/>
  <c r="B43" i="19"/>
  <c r="B40" i="19"/>
  <c r="B38" i="19"/>
  <c r="B37" i="19"/>
  <c r="B36" i="19"/>
  <c r="B33" i="19"/>
  <c r="B32" i="19"/>
  <c r="B31" i="19"/>
  <c r="B30" i="19"/>
  <c r="B29" i="19"/>
  <c r="B28" i="19"/>
  <c r="B27" i="19"/>
  <c r="B13" i="19"/>
  <c r="B12" i="19"/>
  <c r="B26" i="19"/>
  <c r="B25" i="19"/>
  <c r="B24" i="19"/>
  <c r="B8" i="19"/>
  <c r="M4" i="19" l="1"/>
  <c r="M3" i="19"/>
  <c r="M2" i="19"/>
  <c r="M20" i="14"/>
  <c r="L20" i="14"/>
  <c r="K20" i="14"/>
  <c r="H20" i="14"/>
  <c r="N4" i="14"/>
  <c r="N3" i="14"/>
  <c r="J3" i="14" s="1"/>
  <c r="M4" i="14"/>
  <c r="M3" i="14" s="1"/>
  <c r="I3" i="14" s="1"/>
  <c r="L4" i="14"/>
  <c r="L3" i="14" s="1"/>
  <c r="H3" i="14" s="1"/>
  <c r="K4" i="14"/>
  <c r="H4" i="14" s="1"/>
  <c r="K3" i="14"/>
  <c r="G3" i="14" s="1"/>
  <c r="J3" i="19" l="1"/>
  <c r="I3" i="19"/>
  <c r="H3" i="19"/>
  <c r="G3" i="19"/>
</calcChain>
</file>

<file path=xl/sharedStrings.xml><?xml version="1.0" encoding="utf-8"?>
<sst xmlns="http://schemas.openxmlformats.org/spreadsheetml/2006/main" count="606" uniqueCount="328">
  <si>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</si>
  <si>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</si>
  <si>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</si>
  <si>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</si>
  <si>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</si>
  <si>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</si>
  <si>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</si>
  <si>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</si>
  <si>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</si>
  <si>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</si>
  <si>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</si>
  <si>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</si>
  <si>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</si>
  <si>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</si>
  <si>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</si>
  <si>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</si>
  <si>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</si>
  <si>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</si>
  <si>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</si>
  <si>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</si>
  <si>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</si>
  <si>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</si>
  <si>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</si>
  <si>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</si>
  <si>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</si>
  <si>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</si>
  <si>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</si>
  <si>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</si>
  <si>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</si>
  <si>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</si>
  <si>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</si>
  <si>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</si>
  <si>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</si>
  <si>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</si>
  <si>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</si>
  <si>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</si>
  <si>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</si>
  <si>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</si>
  <si>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</si>
  <si>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</si>
  <si>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</si>
  <si>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</si>
  <si>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</si>
  <si>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</si>
  <si>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</si>
  <si>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</si>
  <si>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</si>
  <si>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</si>
  <si>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</si>
  <si>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</si>
  <si>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</si>
  <si>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</si>
  <si>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</si>
  <si>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</si>
  <si>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</si>
  <si>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</si>
  <si>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</si>
  <si>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</si>
  <si>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</si>
  <si>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</si>
  <si>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</si>
  <si>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</si>
  <si>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</si>
  <si>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</si>
  <si>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</si>
  <si>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</si>
  <si>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</si>
  <si>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</si>
  <si>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</si>
  <si>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</si>
  <si>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</si>
  <si>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</si>
  <si>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</si>
  <si>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</si>
  <si>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初期表示</t>
    <rPh sb="0" eb="2">
      <t>ショキ</t>
    </rPh>
    <rPh sb="2" eb="4">
      <t>ヒョウジ</t>
    </rPh>
    <phoneticPr fontId="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</si>
  <si>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</si>
  <si>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</si>
  <si>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</si>
  <si>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</si>
  <si>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</si>
  <si>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</si>
  <si>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</si>
  <si>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結合テスト仕様書  受信者登録</t>
    <rPh sb="0" eb="2">
      <t>ケツゴウ</t>
    </rPh>
    <rPh sb="5" eb="7">
      <t>シヨウ</t>
    </rPh>
    <rPh sb="7" eb="8">
      <t>ショ</t>
    </rPh>
    <rPh sb="10" eb="13">
      <t>ジュシンシャ</t>
    </rPh>
    <rPh sb="13" eb="15">
      <t>トウロク</t>
    </rPh>
    <phoneticPr fontId="145"/>
  </si>
  <si>
    <t>次世代KOMTRAX EMN画面開発</t>
    <rPh sb="0" eb="3">
      <t>ジセダイ</t>
    </rPh>
    <rPh sb="14" eb="16">
      <t>ガメン</t>
    </rPh>
    <rPh sb="16" eb="18">
      <t>カイハツ</t>
    </rPh>
    <phoneticPr fontId="145"/>
  </si>
  <si>
    <t>指定画面サイズ（1280 * 768）で表示した際、JSエラーなく表示されること</t>
    <phoneticPr fontId="47"/>
  </si>
  <si>
    <t>国コード</t>
    <rPh sb="0" eb="1">
      <t>クニ</t>
    </rPh>
    <phoneticPr fontId="47"/>
  </si>
  <si>
    <t>受信者携帯番号</t>
    <rPh sb="0" eb="3">
      <t>ジュシンシャ</t>
    </rPh>
    <rPh sb="3" eb="5">
      <t>ケイタイ</t>
    </rPh>
    <rPh sb="5" eb="7">
      <t>バンゴウ</t>
    </rPh>
    <phoneticPr fontId="47"/>
  </si>
  <si>
    <t>携帯番号再入力</t>
    <rPh sb="0" eb="2">
      <t>ケイタイ</t>
    </rPh>
    <rPh sb="2" eb="4">
      <t>バンゴウ</t>
    </rPh>
    <rPh sb="4" eb="7">
      <t>サイニュウリョク</t>
    </rPh>
    <phoneticPr fontId="47"/>
  </si>
  <si>
    <t>－</t>
    <phoneticPr fontId="47"/>
  </si>
  <si>
    <t>SMS表示</t>
    <rPh sb="3" eb="5">
      <t>ヒョウジ</t>
    </rPh>
    <phoneticPr fontId="28"/>
  </si>
  <si>
    <t>プルダウンリスト</t>
    <phoneticPr fontId="28"/>
  </si>
  <si>
    <t>プルダウンリストで表示されること</t>
    <rPh sb="9" eb="11">
      <t>ヒョウジ</t>
    </rPh>
    <phoneticPr fontId="28"/>
  </si>
  <si>
    <t>必須チェック</t>
    <rPh sb="0" eb="2">
      <t>ヒッス</t>
    </rPh>
    <phoneticPr fontId="28"/>
  </si>
  <si>
    <t>数値以外入力できないこと</t>
    <rPh sb="0" eb="2">
      <t>スウチ</t>
    </rPh>
    <rPh sb="2" eb="4">
      <t>イガイ</t>
    </rPh>
    <rPh sb="4" eb="6">
      <t>ニュウリョク</t>
    </rPh>
    <phoneticPr fontId="28"/>
  </si>
  <si>
    <t>受信者名</t>
    <rPh sb="0" eb="3">
      <t>ジュシンシャ</t>
    </rPh>
    <rPh sb="3" eb="4">
      <t>メイ</t>
    </rPh>
    <phoneticPr fontId="28"/>
  </si>
  <si>
    <t>受信者名（英語）</t>
    <rPh sb="0" eb="3">
      <t>ジュシンシャ</t>
    </rPh>
    <rPh sb="3" eb="4">
      <t>メイ</t>
    </rPh>
    <rPh sb="5" eb="7">
      <t>エイゴ</t>
    </rPh>
    <phoneticPr fontId="28"/>
  </si>
  <si>
    <t>担当者（ID）</t>
    <rPh sb="0" eb="3">
      <t>タントウシャ</t>
    </rPh>
    <phoneticPr fontId="28"/>
  </si>
  <si>
    <t>テキストボックスが空白で表示されること</t>
    <rPh sb="9" eb="11">
      <t>クウハク</t>
    </rPh>
    <rPh sb="12" eb="14">
      <t>ヒョウジ</t>
    </rPh>
    <phoneticPr fontId="28"/>
  </si>
  <si>
    <t>担当者アイコン</t>
    <rPh sb="0" eb="3">
      <t>タントウシャ</t>
    </rPh>
    <phoneticPr fontId="28"/>
  </si>
  <si>
    <t>言語</t>
    <rPh sb="0" eb="2">
      <t>ゲンゴ</t>
    </rPh>
    <phoneticPr fontId="28"/>
  </si>
  <si>
    <t>確認有効期限</t>
    <rPh sb="0" eb="2">
      <t>カクニン</t>
    </rPh>
    <rPh sb="2" eb="4">
      <t>ユウコウ</t>
    </rPh>
    <rPh sb="4" eb="6">
      <t>キゲン</t>
    </rPh>
    <phoneticPr fontId="28"/>
  </si>
  <si>
    <t>E-mail表示</t>
    <rPh sb="6" eb="8">
      <t>ヒョウジ</t>
    </rPh>
    <phoneticPr fontId="28"/>
  </si>
  <si>
    <t>受信者メールアドレス</t>
    <rPh sb="0" eb="2">
      <t>ジュシン</t>
    </rPh>
    <rPh sb="2" eb="3">
      <t>シャ</t>
    </rPh>
    <phoneticPr fontId="28"/>
  </si>
  <si>
    <t>受信者ニックネーム</t>
    <rPh sb="0" eb="3">
      <t>ジュシンシャ</t>
    </rPh>
    <phoneticPr fontId="28"/>
  </si>
  <si>
    <t>メッセージ形式</t>
    <rPh sb="5" eb="7">
      <t>ケイシキ</t>
    </rPh>
    <phoneticPr fontId="28"/>
  </si>
  <si>
    <t>メールアイコン</t>
    <phoneticPr fontId="28"/>
  </si>
  <si>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</si>
  <si>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ユーザID検索モーダル</t>
    <rPh sb="5" eb="7">
      <t>ケンサク</t>
    </rPh>
    <phoneticPr fontId="28"/>
  </si>
  <si>
    <t>テキストボックスにログインユーザID表示されること</t>
    <rPh sb="18" eb="20">
      <t>ヒョウジ</t>
    </rPh>
    <phoneticPr fontId="28"/>
  </si>
  <si>
    <t>一致チェック</t>
    <rPh sb="0" eb="2">
      <t>イッチ</t>
    </rPh>
    <phoneticPr fontId="28"/>
  </si>
  <si>
    <t>受信者携帯番号と携帯番号再入力が一致しない場合、エラーになること</t>
    <rPh sb="0" eb="3">
      <t>ジュシンシャ</t>
    </rPh>
    <rPh sb="3" eb="5">
      <t>ケイタイ</t>
    </rPh>
    <rPh sb="5" eb="7">
      <t>バンゴウ</t>
    </rPh>
    <rPh sb="8" eb="10">
      <t>ケイタイ</t>
    </rPh>
    <rPh sb="10" eb="12">
      <t>バンゴウ</t>
    </rPh>
    <rPh sb="12" eb="15">
      <t>サイニュウリョク</t>
    </rPh>
    <rPh sb="16" eb="18">
      <t>イッチ</t>
    </rPh>
    <rPh sb="21" eb="23">
      <t>バアイ</t>
    </rPh>
    <phoneticPr fontId="28"/>
  </si>
  <si>
    <t>禁則文字チェック</t>
    <rPh sb="0" eb="2">
      <t>キンソク</t>
    </rPh>
    <rPh sb="2" eb="4">
      <t>モジ</t>
    </rPh>
    <phoneticPr fontId="28"/>
  </si>
  <si>
    <t>文字数制御</t>
    <rPh sb="0" eb="3">
      <t>モジスウ</t>
    </rPh>
    <rPh sb="3" eb="5">
      <t>セイギョ</t>
    </rPh>
    <phoneticPr fontId="28"/>
  </si>
  <si>
    <t>数値制御</t>
    <rPh sb="0" eb="2">
      <t>スウチ</t>
    </rPh>
    <rPh sb="2" eb="4">
      <t>セイギョ</t>
    </rPh>
    <phoneticPr fontId="28"/>
  </si>
  <si>
    <t>入力チェック</t>
    <rPh sb="0" eb="2">
      <t>ニュウリョク</t>
    </rPh>
    <phoneticPr fontId="28"/>
  </si>
  <si>
    <t>正常確認</t>
    <rPh sb="0" eb="2">
      <t>セイジョウ</t>
    </rPh>
    <rPh sb="2" eb="4">
      <t>カクニン</t>
    </rPh>
    <phoneticPr fontId="28"/>
  </si>
  <si>
    <t>ユーザメールアドレス検索モーダル</t>
    <rPh sb="10" eb="12">
      <t>ケンサク</t>
    </rPh>
    <phoneticPr fontId="28"/>
  </si>
  <si>
    <t>権限</t>
    <rPh sb="0" eb="2">
      <t>ケンゲン</t>
    </rPh>
    <phoneticPr fontId="28"/>
  </si>
  <si>
    <t>画面表示</t>
    <rPh sb="0" eb="2">
      <t>ガメン</t>
    </rPh>
    <rPh sb="2" eb="4">
      <t>ヒョウジ</t>
    </rPh>
    <phoneticPr fontId="28"/>
  </si>
  <si>
    <t>「【受信者登録】登録されました。」モーダルが表示されること</t>
    <rPh sb="2" eb="5">
      <t>ジュシンシャ</t>
    </rPh>
    <rPh sb="5" eb="7">
      <t>トウロク</t>
    </rPh>
    <rPh sb="8" eb="10">
      <t>トウロク</t>
    </rPh>
    <rPh sb="22" eb="24">
      <t>ヒョウジ</t>
    </rPh>
    <phoneticPr fontId="28"/>
  </si>
  <si>
    <t>エラー確認</t>
    <rPh sb="3" eb="5">
      <t>カクニン</t>
    </rPh>
    <phoneticPr fontId="28"/>
  </si>
  <si>
    <t>受信者登録</t>
    <rPh sb="0" eb="3">
      <t>ジュシンシャ</t>
    </rPh>
    <rPh sb="3" eb="5">
      <t>トウロク</t>
    </rPh>
    <phoneticPr fontId="28"/>
  </si>
  <si>
    <t>プルダウンリストで言語が選択できること</t>
    <rPh sb="9" eb="11">
      <t>ゲンゴ</t>
    </rPh>
    <rPh sb="12" eb="14">
      <t>センタク</t>
    </rPh>
    <phoneticPr fontId="28"/>
  </si>
  <si>
    <t>モーダルが表示されること</t>
    <rPh sb="5" eb="7">
      <t>ヒョウジ</t>
    </rPh>
    <phoneticPr fontId="28"/>
  </si>
  <si>
    <t>ユーザメールアドレス検索モーダルが表示されること</t>
    <rPh sb="10" eb="12">
      <t>ケンサク</t>
    </rPh>
    <phoneticPr fontId="28"/>
  </si>
  <si>
    <t>リクエストパラメータ確認</t>
    <rPh sb="10" eb="12">
      <t>カクニン</t>
    </rPh>
    <phoneticPr fontId="28"/>
  </si>
  <si>
    <t>受信方法</t>
  </si>
  <si>
    <t>受信者名</t>
  </si>
  <si>
    <t>受信者名(英語)</t>
  </si>
  <si>
    <t>パラメータ名</t>
    <rPh sb="5" eb="6">
      <t>メイ</t>
    </rPh>
    <phoneticPr fontId="28"/>
  </si>
  <si>
    <t>Email</t>
    <phoneticPr fontId="28"/>
  </si>
  <si>
    <t>SMS</t>
    <phoneticPr fontId="28"/>
  </si>
  <si>
    <t>リクエストパラメータチェックシート</t>
    <phoneticPr fontId="28"/>
  </si>
  <si>
    <t>別シート"リクエストパラメータチェックシート：受信者情報仮登録API"参照</t>
    <rPh sb="0" eb="1">
      <t>ベツ</t>
    </rPh>
    <rPh sb="35" eb="37">
      <t>サンショウ</t>
    </rPh>
    <phoneticPr fontId="28"/>
  </si>
  <si>
    <t>テスト結果（ＩＥ）</t>
    <phoneticPr fontId="47"/>
  </si>
  <si>
    <t>テスト結果（Chrome）</t>
    <phoneticPr fontId="47"/>
  </si>
  <si>
    <t>テスト結果（Safari）</t>
    <phoneticPr fontId="47"/>
  </si>
  <si>
    <t>IE</t>
    <phoneticPr fontId="28"/>
  </si>
  <si>
    <t>chrome</t>
    <phoneticPr fontId="28"/>
  </si>
  <si>
    <t>safari</t>
    <phoneticPr fontId="28"/>
  </si>
  <si>
    <t>NG済</t>
    <rPh sb="2" eb="3">
      <t>ズ</t>
    </rPh>
    <phoneticPr fontId="28"/>
  </si>
  <si>
    <t>受信者情報仮登録API　（post: /emn/receivers）</t>
    <phoneticPr fontId="28"/>
  </si>
  <si>
    <t>論理名</t>
    <rPh sb="0" eb="2">
      <t>ロンリ</t>
    </rPh>
    <rPh sb="2" eb="3">
      <t>メイ</t>
    </rPh>
    <phoneticPr fontId="28"/>
  </si>
  <si>
    <t>備考</t>
    <rPh sb="0" eb="2">
      <t>ビコウ</t>
    </rPh>
    <phoneticPr fontId="28"/>
  </si>
  <si>
    <t>receive_method</t>
    <phoneticPr fontId="28"/>
  </si>
  <si>
    <t xml:space="preserve"> 0:Email, 1:SMS </t>
    <phoneticPr fontId="28"/>
  </si>
  <si>
    <t>receiver_label</t>
    <phoneticPr fontId="28"/>
  </si>
  <si>
    <t>receiver_label_english</t>
    <phoneticPr fontId="28"/>
  </si>
  <si>
    <t>receiver_nickname</t>
    <phoneticPr fontId="28"/>
  </si>
  <si>
    <t xml:space="preserve">受信者ニックネーム </t>
    <phoneticPr fontId="28"/>
  </si>
  <si>
    <t>受信方法=0:Email時のみ使用、1:SMSの場合は入力を無視</t>
    <phoneticPr fontId="28"/>
  </si>
  <si>
    <t>support_id</t>
    <phoneticPr fontId="28"/>
  </si>
  <si>
    <t>チェック欄</t>
    <rPh sb="4" eb="5">
      <t>ラン</t>
    </rPh>
    <phoneticPr fontId="28"/>
  </si>
  <si>
    <t>担当者ID</t>
    <phoneticPr fontId="28"/>
  </si>
  <si>
    <t>言語コード</t>
    <phoneticPr fontId="28"/>
  </si>
  <si>
    <t xml:space="preserve"> {言語}-{地域}(IETF言語タグ) 受信者登録メールのテンプレート言語にのみ使用</t>
    <phoneticPr fontId="28"/>
  </si>
  <si>
    <t>lang_code</t>
    <phoneticPr fontId="28"/>
  </si>
  <si>
    <t>phone_no</t>
    <phoneticPr fontId="28"/>
  </si>
  <si>
    <t>country_code</t>
    <phoneticPr fontId="28"/>
  </si>
  <si>
    <t xml:space="preserve">電話番号(国内プレフィックス除く) </t>
    <phoneticPr fontId="28"/>
  </si>
  <si>
    <t>受信方法=1:SMS時のみ必須、0:Emailの場合は入力を無視</t>
    <phoneticPr fontId="28"/>
  </si>
  <si>
    <t>email_address</t>
    <phoneticPr fontId="28"/>
  </si>
  <si>
    <t>email_format</t>
    <phoneticPr fontId="28"/>
  </si>
  <si>
    <t xml:space="preserve">Eメールアドレス </t>
    <phoneticPr fontId="28"/>
  </si>
  <si>
    <t>受信方法=0:Email時のみ必須、1:SMSの場合は入力を無視</t>
    <phoneticPr fontId="28"/>
  </si>
  <si>
    <t xml:space="preserve">Eメール形式 </t>
    <phoneticPr fontId="28"/>
  </si>
  <si>
    <t xml:space="preserve"> 0:PC, 1:携帯</t>
    <phoneticPr fontId="28"/>
  </si>
  <si>
    <t>SMSが選択されていること</t>
    <rPh sb="4" eb="6">
      <t>センタク</t>
    </rPh>
    <phoneticPr fontId="47"/>
  </si>
  <si>
    <t>レイウアト崩れがないこと</t>
    <rPh sb="5" eb="6">
      <t>クズ</t>
    </rPh>
    <phoneticPr fontId="47"/>
  </si>
  <si>
    <t>－</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</si>
  <si>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</si>
  <si>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各項目の入力チェックのテスト項目がOKとなること</t>
    <rPh sb="0" eb="3">
      <t>カクコウモク</t>
    </rPh>
    <rPh sb="4" eb="6">
      <t>ニュウリョク</t>
    </rPh>
    <rPh sb="14" eb="16">
      <t>コウモク</t>
    </rPh>
    <phoneticPr fontId="28"/>
  </si>
  <si>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</si>
  <si>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</si>
  <si>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リサイズ</t>
    <phoneticPr fontId="47"/>
  </si>
  <si>
    <t>－</t>
    <phoneticPr fontId="47"/>
  </si>
  <si>
    <t>リサイズ</t>
    <phoneticPr fontId="47"/>
  </si>
  <si>
    <t>メニュー</t>
    <phoneticPr fontId="28"/>
  </si>
  <si>
    <t>リソース取得ＡＰＩI呼び出し確認</t>
    <rPh sb="4" eb="6">
      <t>シュトク</t>
    </rPh>
    <phoneticPr fontId="47"/>
  </si>
  <si>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</si>
  <si>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</si>
  <si>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</si>
  <si>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</si>
  <si>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phoneticPr fontId="28"/>
  </si>
  <si>
    <t>１度押したら、LOADING画像が表示されること</t>
    <rPh sb="1" eb="2">
      <t>ド</t>
    </rPh>
    <rPh sb="2" eb="3">
      <t>オ</t>
    </rPh>
    <rPh sb="14" eb="16">
      <t>ガゾウ</t>
    </rPh>
    <rPh sb="17" eb="19">
      <t>ヒョウジ</t>
    </rPh>
    <phoneticPr fontId="28"/>
  </si>
  <si>
    <t>登録ボタン連打</t>
    <rPh sb="0" eb="2">
      <t>トウロク</t>
    </rPh>
    <rPh sb="5" eb="7">
      <t>レンダ</t>
    </rPh>
    <phoneticPr fontId="28"/>
  </si>
  <si>
    <t>多言語確認</t>
    <rPh sb="0" eb="3">
      <t>タゲンゴ</t>
    </rPh>
    <rPh sb="3" eb="5">
      <t>カクニン</t>
    </rPh>
    <phoneticPr fontId="28"/>
  </si>
  <si>
    <t>レイアウトが崩れないこと</t>
    <rPh sb="6" eb="7">
      <t>クズ</t>
    </rPh>
    <phoneticPr fontId="28"/>
  </si>
  <si>
    <t>環境設定の言語をロシア語に変更</t>
    <rPh sb="0" eb="2">
      <t>カンキョウ</t>
    </rPh>
    <rPh sb="2" eb="4">
      <t>セッテイ</t>
    </rPh>
    <rPh sb="5" eb="7">
      <t>ゲンゴ</t>
    </rPh>
    <rPh sb="11" eb="12">
      <t>ゴ</t>
    </rPh>
    <rPh sb="13" eb="15">
      <t>ヘンコウ</t>
    </rPh>
    <phoneticPr fontId="28"/>
  </si>
  <si>
    <t>未保存時の確認ダイアログ表示</t>
    <rPh sb="0" eb="3">
      <t>ミホゾン</t>
    </rPh>
    <rPh sb="3" eb="4">
      <t>ジ</t>
    </rPh>
    <rPh sb="5" eb="7">
      <t>カクニン</t>
    </rPh>
    <rPh sb="12" eb="14">
      <t>ヒョウジ</t>
    </rPh>
    <phoneticPr fontId="28"/>
  </si>
  <si>
    <t>受信者登録以外のメニューをクリック</t>
    <rPh sb="0" eb="3">
      <t>ジュシンシャ</t>
    </rPh>
    <rPh sb="3" eb="5">
      <t>トウロク</t>
    </rPh>
    <rPh sb="5" eb="7">
      <t>イガイ</t>
    </rPh>
    <phoneticPr fontId="28"/>
  </si>
  <si>
    <t>確認ダイアログが表示されること</t>
    <rPh sb="0" eb="2">
      <t>カクニン</t>
    </rPh>
    <rPh sb="8" eb="10">
      <t>ヒョウジ</t>
    </rPh>
    <phoneticPr fontId="28"/>
  </si>
  <si>
    <t>確認ダイアログ、OKボタンクリック</t>
    <phoneticPr fontId="47"/>
  </si>
  <si>
    <t>確認ダイアログ、キャンセルボタンクリック</t>
    <phoneticPr fontId="47"/>
  </si>
  <si>
    <t>クリックしたメニューの画面へ遷移すること</t>
    <rPh sb="11" eb="13">
      <t>ガメン</t>
    </rPh>
    <rPh sb="14" eb="16">
      <t>センイ</t>
    </rPh>
    <phoneticPr fontId="28"/>
  </si>
  <si>
    <t>遷移せず何も処理を行わないこと</t>
    <rPh sb="0" eb="2">
      <t>センイ</t>
    </rPh>
    <rPh sb="4" eb="5">
      <t>ナニ</t>
    </rPh>
    <rPh sb="6" eb="8">
      <t>ショリ</t>
    </rPh>
    <rPh sb="9" eb="10">
      <t>オコナ</t>
    </rPh>
    <phoneticPr fontId="28"/>
  </si>
  <si>
    <t>最大入力文字数が20桁であること</t>
    <rPh sb="0" eb="2">
      <t>サイダイ</t>
    </rPh>
    <rPh sb="2" eb="4">
      <t>ニュウリョク</t>
    </rPh>
    <rPh sb="4" eb="7">
      <t>モジスウ</t>
    </rPh>
    <phoneticPr fontId="28"/>
  </si>
  <si>
    <t>最大入力文字数が24桁であること</t>
    <rPh sb="0" eb="2">
      <t>サイダイ</t>
    </rPh>
    <rPh sb="2" eb="4">
      <t>ニュウリョク</t>
    </rPh>
    <rPh sb="4" eb="7">
      <t>モジスウ</t>
    </rPh>
    <phoneticPr fontId="28"/>
  </si>
  <si>
    <t>最大入力文字数が64桁であること</t>
    <rPh sb="0" eb="2">
      <t>サイダイ</t>
    </rPh>
    <rPh sb="2" eb="4">
      <t>ニュウリョク</t>
    </rPh>
    <rPh sb="4" eb="7">
      <t>モジスウ</t>
    </rPh>
    <phoneticPr fontId="28"/>
  </si>
  <si>
    <t>最大入力文字数が255桁であること</t>
    <rPh sb="0" eb="2">
      <t>サイダイ</t>
    </rPh>
    <rPh sb="2" eb="4">
      <t>ニュウリョク</t>
    </rPh>
    <rPh sb="4" eb="7">
      <t>モジスウ</t>
    </rPh>
    <phoneticPr fontId="28"/>
  </si>
  <si>
    <t>クリア処理</t>
    <rPh sb="3" eb="5">
      <t>ショリ</t>
    </rPh>
    <phoneticPr fontId="28"/>
  </si>
  <si>
    <t>処理結果の確認</t>
    <rPh sb="0" eb="2">
      <t>ショリ</t>
    </rPh>
    <rPh sb="2" eb="4">
      <t>ケッカ</t>
    </rPh>
    <rPh sb="5" eb="7">
      <t>カクニン</t>
    </rPh>
    <phoneticPr fontId="28"/>
  </si>
  <si>
    <t>モーダルのＯＫクリック後、受信者携帯番号、携帯番号再入力、受信者名、受信者名（英語）の欄がクリアされること</t>
    <rPh sb="11" eb="12">
      <t>ゴ</t>
    </rPh>
    <rPh sb="13" eb="16">
      <t>ジュシンシャ</t>
    </rPh>
    <rPh sb="16" eb="18">
      <t>ケイタイ</t>
    </rPh>
    <rPh sb="18" eb="20">
      <t>バンゴウ</t>
    </rPh>
    <rPh sb="21" eb="23">
      <t>ケイタイ</t>
    </rPh>
    <rPh sb="23" eb="25">
      <t>バンゴウ</t>
    </rPh>
    <rPh sb="25" eb="28">
      <t>サイニュウリョク</t>
    </rPh>
    <rPh sb="29" eb="32">
      <t>ジュシンシャ</t>
    </rPh>
    <rPh sb="32" eb="33">
      <t>メイ</t>
    </rPh>
    <rPh sb="34" eb="37">
      <t>ジュシンシャ</t>
    </rPh>
    <rPh sb="37" eb="38">
      <t>メイ</t>
    </rPh>
    <rPh sb="39" eb="41">
      <t>エイゴ</t>
    </rPh>
    <rPh sb="43" eb="44">
      <t>ラン</t>
    </rPh>
    <phoneticPr fontId="28"/>
  </si>
  <si>
    <t>携帯番号不正確認</t>
    <rPh sb="0" eb="2">
      <t>ケイタイ</t>
    </rPh>
    <rPh sb="2" eb="4">
      <t>バンゴウ</t>
    </rPh>
    <rPh sb="4" eb="6">
      <t>フセイ</t>
    </rPh>
    <rPh sb="6" eb="8">
      <t>カクニン</t>
    </rPh>
    <phoneticPr fontId="28"/>
  </si>
  <si>
    <t>担当者ＩＤ不正確認</t>
    <rPh sb="0" eb="3">
      <t>タントウシャ</t>
    </rPh>
    <rPh sb="5" eb="7">
      <t>フセイ</t>
    </rPh>
    <rPh sb="7" eb="9">
      <t>カクニン</t>
    </rPh>
    <phoneticPr fontId="28"/>
  </si>
  <si>
    <t>メールアドレス不正確認</t>
    <rPh sb="7" eb="9">
      <t>フセイ</t>
    </rPh>
    <rPh sb="9" eb="11">
      <t>カクニン</t>
    </rPh>
    <phoneticPr fontId="28"/>
  </si>
  <si>
    <t>システムエラー確認</t>
    <rPh sb="7" eb="9">
      <t>カクニン</t>
    </rPh>
    <phoneticPr fontId="28"/>
  </si>
  <si>
    <t>body</t>
    <phoneticPr fontId="28"/>
  </si>
  <si>
    <t>ステータスコード400が返却された場合、エラーモーダル（処理中にエラーが発生しました）が表示されること</t>
    <rPh sb="12" eb="14">
      <t>ヘンキャク</t>
    </rPh>
    <rPh sb="17" eb="19">
      <t>バアイ</t>
    </rPh>
    <rPh sb="28" eb="31">
      <t>ショリチュウ</t>
    </rPh>
    <rPh sb="36" eb="38">
      <t>ハッセイ</t>
    </rPh>
    <rPh sb="44" eb="46">
      <t>ヒョウジ</t>
    </rPh>
    <phoneticPr fontId="28"/>
  </si>
  <si>
    <t>画面より入力</t>
    <rPh sb="0" eb="2">
      <t>ガメン</t>
    </rPh>
    <rPh sb="4" eb="6">
      <t>ニュウリョク</t>
    </rPh>
    <phoneticPr fontId="28"/>
  </si>
  <si>
    <t>国際電話国番号 受信方法=1:SMS時のみ必須、0:Emailの場合は入力を無視</t>
    <phoneticPr fontId="28"/>
  </si>
  <si>
    <t>Authorization</t>
    <phoneticPr fontId="28"/>
  </si>
  <si>
    <t>Content-Type</t>
    <phoneticPr fontId="28"/>
  </si>
  <si>
    <t>Accept</t>
    <phoneticPr fontId="28"/>
  </si>
  <si>
    <t>X-Lang</t>
    <phoneticPr fontId="28"/>
  </si>
  <si>
    <t>X-AppCode</t>
    <phoneticPr fontId="28"/>
  </si>
  <si>
    <t xml:space="preserve">X-GroupId </t>
    <phoneticPr fontId="28"/>
  </si>
  <si>
    <t>X-DateFormat</t>
    <phoneticPr fontId="28"/>
  </si>
  <si>
    <t>X-DistanceUnit</t>
    <phoneticPr fontId="28"/>
  </si>
  <si>
    <t>X-TemperatureUnit</t>
    <phoneticPr fontId="28"/>
  </si>
  <si>
    <t>X-Fields</t>
    <phoneticPr fontId="28"/>
  </si>
  <si>
    <t xml:space="preserve">X-CarDivision </t>
    <phoneticPr fontId="28"/>
  </si>
  <si>
    <t>Bearerトークン</t>
    <phoneticPr fontId="28"/>
  </si>
  <si>
    <t>言語タグ</t>
    <phoneticPr fontId="28"/>
  </si>
  <si>
    <t>アプリコード</t>
    <phoneticPr fontId="28"/>
  </si>
  <si>
    <t>グループID</t>
    <phoneticPr fontId="28"/>
  </si>
  <si>
    <t>日付形式</t>
    <phoneticPr fontId="28"/>
  </si>
  <si>
    <t>指定項目</t>
    <phoneticPr fontId="28"/>
  </si>
  <si>
    <t>データ形式</t>
    <phoneticPr fontId="28"/>
  </si>
  <si>
    <t>メディアタイプ</t>
    <phoneticPr fontId="28"/>
  </si>
  <si>
    <t>距離単位</t>
    <phoneticPr fontId="28"/>
  </si>
  <si>
    <t>温度単位</t>
    <phoneticPr fontId="28"/>
  </si>
  <si>
    <t>車種</t>
    <rPh sb="0" eb="2">
      <t>シャシュ</t>
    </rPh>
    <phoneticPr fontId="28"/>
  </si>
  <si>
    <t>受信者登録メニュークリック</t>
    <rPh sb="0" eb="3">
      <t>ジュシンシャ</t>
    </rPh>
    <rPh sb="3" eb="5">
      <t>トウロク</t>
    </rPh>
    <phoneticPr fontId="47"/>
  </si>
  <si>
    <t>リソース取得API　（post: /applications/views/resources/search）</t>
    <rPh sb="4" eb="6">
      <t>シュトク</t>
    </rPh>
    <phoneticPr fontId="28"/>
  </si>
  <si>
    <t>screen_code</t>
    <phoneticPr fontId="28"/>
  </si>
  <si>
    <t>画面コード</t>
    <phoneticPr fontId="28"/>
  </si>
  <si>
    <t>search_parameters</t>
    <phoneticPr fontId="28"/>
  </si>
  <si>
    <t>resource_path</t>
    <phoneticPr fontId="28"/>
  </si>
  <si>
    <t>kinds</t>
    <phoneticPr fontId="28"/>
  </si>
  <si>
    <t>condition_sets</t>
    <phoneticPr fontId="28"/>
  </si>
  <si>
    <t>リソースパス</t>
    <phoneticPr fontId="28"/>
  </si>
  <si>
    <t>区分</t>
    <rPh sb="0" eb="2">
      <t>クブン</t>
    </rPh>
    <phoneticPr fontId="28"/>
  </si>
  <si>
    <t>絞込条件</t>
    <rPh sb="0" eb="2">
      <t>シボリコミ</t>
    </rPh>
    <rPh sb="2" eb="4">
      <t>ジョウケン</t>
    </rPh>
    <phoneticPr fontId="28"/>
  </si>
  <si>
    <t>設定不要</t>
    <rPh sb="0" eb="2">
      <t>セッテイ</t>
    </rPh>
    <rPh sb="2" eb="4">
      <t>フヨウ</t>
    </rPh>
    <phoneticPr fontId="28"/>
  </si>
  <si>
    <t>画面コード一覧参照</t>
    <rPh sb="0" eb="2">
      <t>ガメン</t>
    </rPh>
    <rPh sb="5" eb="7">
      <t>イチラン</t>
    </rPh>
    <rPh sb="7" eb="9">
      <t>サンショウ</t>
    </rPh>
    <phoneticPr fontId="28"/>
  </si>
  <si>
    <t>ラベル取得API　（post: /applications/views/labels）</t>
    <rPh sb="3" eb="5">
      <t>シュトク</t>
    </rPh>
    <phoneticPr fontId="28"/>
  </si>
  <si>
    <t>ラベル取得ＡＰＩI呼び出し確認</t>
    <rPh sb="3" eb="5">
      <t>シュトク</t>
    </rPh>
    <phoneticPr fontId="47"/>
  </si>
  <si>
    <t>別シート"リクエストパラメータチェックシート：リソース取得API"参照
※画面のオブジェクトを取得</t>
    <rPh sb="0" eb="1">
      <t>ベツ</t>
    </rPh>
    <rPh sb="27" eb="29">
      <t>シュトク</t>
    </rPh>
    <rPh sb="33" eb="35">
      <t>サンショウ</t>
    </rPh>
    <rPh sb="37" eb="39">
      <t>ガメン</t>
    </rPh>
    <rPh sb="47" eb="49">
      <t>シュトク</t>
    </rPh>
    <phoneticPr fontId="28"/>
  </si>
  <si>
    <t>別シート"リクエストパラメータチェックシート：ラベル取得API"参照</t>
    <rPh sb="0" eb="1">
      <t>ベツ</t>
    </rPh>
    <rPh sb="26" eb="28">
      <t>シュトク</t>
    </rPh>
    <rPh sb="32" eb="34">
      <t>サンショウ</t>
    </rPh>
    <phoneticPr fontId="28"/>
  </si>
  <si>
    <r>
      <t>header</t>
    </r>
    <r>
      <rPr>
        <sz val="10"/>
        <color rgb="FFFF0000"/>
        <rFont val="ＭＳ Ｐゴシック"/>
        <family val="3"/>
        <charset val="128"/>
      </rPr>
      <t>　</t>
    </r>
    <phoneticPr fontId="28"/>
  </si>
  <si>
    <r>
      <t>header</t>
    </r>
    <r>
      <rPr>
        <sz val="10"/>
        <color rgb="FFFF0000"/>
        <rFont val="ＭＳ Ｐゴシック"/>
        <family val="3"/>
        <charset val="128"/>
      </rPr>
      <t>　</t>
    </r>
    <phoneticPr fontId="28"/>
  </si>
  <si>
    <t>header　</t>
    <phoneticPr fontId="28"/>
  </si>
  <si>
    <t>環境設定の言語を英語に変更</t>
    <rPh sb="0" eb="2">
      <t>カンキョウ</t>
    </rPh>
    <rPh sb="2" eb="4">
      <t>セッテイ</t>
    </rPh>
    <rPh sb="5" eb="7">
      <t>ゲンゴ</t>
    </rPh>
    <rPh sb="8" eb="10">
      <t>エイゴ</t>
    </rPh>
    <rPh sb="11" eb="13">
      <t>ヘンコウ</t>
    </rPh>
    <phoneticPr fontId="28"/>
  </si>
  <si>
    <t>環境設定の言語をペルシャ語に変更</t>
    <rPh sb="0" eb="2">
      <t>カンキョウ</t>
    </rPh>
    <rPh sb="2" eb="4">
      <t>セッテイ</t>
    </rPh>
    <rPh sb="5" eb="7">
      <t>ゲンゴ</t>
    </rPh>
    <rPh sb="12" eb="13">
      <t>ゴ</t>
    </rPh>
    <rPh sb="14" eb="16">
      <t>ヘンコウ</t>
    </rPh>
    <phoneticPr fontId="28"/>
  </si>
  <si>
    <t>ラベルの表示項目がロシア語になること</t>
    <rPh sb="4" eb="6">
      <t>ヒョウジ</t>
    </rPh>
    <rPh sb="6" eb="8">
      <t>コウモク</t>
    </rPh>
    <rPh sb="12" eb="13">
      <t>ゴ</t>
    </rPh>
    <phoneticPr fontId="28"/>
  </si>
  <si>
    <t>ラベルの表示項目が英語になること</t>
    <rPh sb="4" eb="6">
      <t>ヒョウジ</t>
    </rPh>
    <rPh sb="6" eb="8">
      <t>コウモク</t>
    </rPh>
    <rPh sb="9" eb="11">
      <t>エイゴ</t>
    </rPh>
    <phoneticPr fontId="28"/>
  </si>
  <si>
    <t>ラベルの表示項目がペルシャ語になること</t>
    <rPh sb="4" eb="6">
      <t>ヒョウジ</t>
    </rPh>
    <rPh sb="6" eb="8">
      <t>コウモク</t>
    </rPh>
    <rPh sb="13" eb="14">
      <t>ゴ</t>
    </rPh>
    <phoneticPr fontId="28"/>
  </si>
  <si>
    <t>ラベルで初期値(クライアントPCのシステム日付1ヵ月後)が表示されること
2017/10/31の場合、2017/11/30が設定される</t>
    <rPh sb="4" eb="6">
      <t>ショキ</t>
    </rPh>
    <rPh sb="6" eb="7">
      <t>アタイ</t>
    </rPh>
    <rPh sb="21" eb="23">
      <t>ヒヅケ</t>
    </rPh>
    <rPh sb="25" eb="27">
      <t>ゲツゴ</t>
    </rPh>
    <rPh sb="29" eb="31">
      <t>ヒョウジ</t>
    </rPh>
    <rPh sb="48" eb="50">
      <t>バアイ</t>
    </rPh>
    <rPh sb="62" eb="64">
      <t>セッテイ</t>
    </rPh>
    <phoneticPr fontId="28"/>
  </si>
  <si>
    <t>ラベルで初期値(クライアントPCのシステム日付1ヵ月後)が表示されること
2017/2/28の場合、2017/3/28が設定される</t>
    <rPh sb="4" eb="6">
      <t>ショキ</t>
    </rPh>
    <rPh sb="6" eb="7">
      <t>アタイ</t>
    </rPh>
    <rPh sb="21" eb="23">
      <t>ヒヅケ</t>
    </rPh>
    <rPh sb="25" eb="27">
      <t>ゲツゴ</t>
    </rPh>
    <rPh sb="29" eb="31">
      <t>ヒョウジ</t>
    </rPh>
    <rPh sb="47" eb="49">
      <t>バアイ</t>
    </rPh>
    <phoneticPr fontId="28"/>
  </si>
  <si>
    <t>お知らせ種別</t>
    <phoneticPr fontId="28"/>
  </si>
  <si>
    <t>「受信者詳細は保管されていません。続けますか？」が表示されること</t>
    <rPh sb="1" eb="4">
      <t>ジュシンシャ</t>
    </rPh>
    <rPh sb="4" eb="6">
      <t>ショウサイ</t>
    </rPh>
    <rPh sb="7" eb="9">
      <t>ホカン</t>
    </rPh>
    <rPh sb="17" eb="18">
      <t>ツヅ</t>
    </rPh>
    <rPh sb="25" eb="27">
      <t>ヒョウジ</t>
    </rPh>
    <phoneticPr fontId="28"/>
  </si>
  <si>
    <t>受信者携帯番号が入力中の場合</t>
    <rPh sb="8" eb="10">
      <t>ニュウリョク</t>
    </rPh>
    <phoneticPr fontId="28"/>
  </si>
  <si>
    <t>携帯番号再入力が入力中の場合</t>
    <rPh sb="4" eb="7">
      <t>サイニュウリョク</t>
    </rPh>
    <rPh sb="8" eb="10">
      <t>ニュウリョク</t>
    </rPh>
    <phoneticPr fontId="28"/>
  </si>
  <si>
    <t>受信者名が入力中の場合</t>
    <rPh sb="0" eb="3">
      <t>ジュシンシャ</t>
    </rPh>
    <rPh sb="3" eb="4">
      <t>メイ</t>
    </rPh>
    <rPh sb="5" eb="7">
      <t>ニュウリョク</t>
    </rPh>
    <phoneticPr fontId="28"/>
  </si>
  <si>
    <t>メッセージ確認</t>
    <rPh sb="5" eb="7">
      <t>カクニン</t>
    </rPh>
    <phoneticPr fontId="28"/>
  </si>
  <si>
    <t>SMSの画面に切り替わること</t>
    <rPh sb="4" eb="6">
      <t>ガメン</t>
    </rPh>
    <rPh sb="7" eb="8">
      <t>キ</t>
    </rPh>
    <rPh sb="9" eb="10">
      <t>カ</t>
    </rPh>
    <phoneticPr fontId="28"/>
  </si>
  <si>
    <t>Emailの画面に切り替わること</t>
    <rPh sb="6" eb="8">
      <t>ガメン</t>
    </rPh>
    <rPh sb="9" eb="10">
      <t>キ</t>
    </rPh>
    <rPh sb="11" eb="12">
      <t>カ</t>
    </rPh>
    <phoneticPr fontId="28"/>
  </si>
  <si>
    <t>受信者メールアドレスが入力中の場合</t>
    <rPh sb="11" eb="13">
      <t>ニュウリョク</t>
    </rPh>
    <phoneticPr fontId="28"/>
  </si>
  <si>
    <t>お知らせ種別がSMSの画面に切り替わること</t>
    <rPh sb="1" eb="2">
      <t>シ</t>
    </rPh>
    <rPh sb="4" eb="6">
      <t>シュベツ</t>
    </rPh>
    <rPh sb="11" eb="13">
      <t>ガメン</t>
    </rPh>
    <rPh sb="14" eb="15">
      <t>キ</t>
    </rPh>
    <rPh sb="16" eb="17">
      <t>カ</t>
    </rPh>
    <phoneticPr fontId="28"/>
  </si>
  <si>
    <t>お知らせ種別がEmaiの画面に切り替わること</t>
    <rPh sb="1" eb="2">
      <t>シ</t>
    </rPh>
    <rPh sb="4" eb="6">
      <t>シュベツ</t>
    </rPh>
    <rPh sb="12" eb="14">
      <t>ガメン</t>
    </rPh>
    <rPh sb="15" eb="16">
      <t>キ</t>
    </rPh>
    <rPh sb="17" eb="18">
      <t>カ</t>
    </rPh>
    <phoneticPr fontId="28"/>
  </si>
  <si>
    <t>画面の状態はそのままで切り替わらないこと</t>
    <rPh sb="0" eb="2">
      <t>ガメン</t>
    </rPh>
    <rPh sb="3" eb="5">
      <t>ジョウタイ</t>
    </rPh>
    <rPh sb="11" eb="12">
      <t>キ</t>
    </rPh>
    <rPh sb="13" eb="14">
      <t>カ</t>
    </rPh>
    <phoneticPr fontId="28"/>
  </si>
  <si>
    <t>※headerの設定値は共通テスト仕様で確認する、本仕様書ではパラメータとして送っているか確認</t>
    <rPh sb="25" eb="26">
      <t>ホン</t>
    </rPh>
    <rPh sb="26" eb="29">
      <t>シヨウショ</t>
    </rPh>
    <rPh sb="39" eb="40">
      <t>オク</t>
    </rPh>
    <rPh sb="45" eb="47">
      <t>カクニン</t>
    </rPh>
    <phoneticPr fontId="28"/>
  </si>
  <si>
    <t>選択したユーザのユーザＩＤが呼び出し元画面の担当者(ＩＤ）へ反映されること</t>
    <rPh sb="0" eb="2">
      <t>センタク</t>
    </rPh>
    <rPh sb="14" eb="15">
      <t>ヨ</t>
    </rPh>
    <rPh sb="16" eb="17">
      <t>ダ</t>
    </rPh>
    <rPh sb="18" eb="19">
      <t>モト</t>
    </rPh>
    <rPh sb="19" eb="21">
      <t>ガメン</t>
    </rPh>
    <rPh sb="22" eb="25">
      <t>タントウシャ</t>
    </rPh>
    <rPh sb="30" eb="32">
      <t>ハンエイ</t>
    </rPh>
    <phoneticPr fontId="28"/>
  </si>
  <si>
    <t>選択したユーザ情報が呼び出し元画面に以下のように反映されること
メールアドレス　　→　受信者メールアドレス
ユーザＩＤ　　　　　→　担当者(ＩＤ）
ユーザ　　　　　　　→　受信者名</t>
    <rPh sb="0" eb="2">
      <t>センタク</t>
    </rPh>
    <rPh sb="7" eb="9">
      <t>ジョウホウ</t>
    </rPh>
    <rPh sb="10" eb="11">
      <t>ヨ</t>
    </rPh>
    <rPh sb="12" eb="13">
      <t>ダ</t>
    </rPh>
    <rPh sb="14" eb="15">
      <t>モト</t>
    </rPh>
    <rPh sb="15" eb="17">
      <t>ガメン</t>
    </rPh>
    <rPh sb="18" eb="20">
      <t>イカ</t>
    </rPh>
    <rPh sb="24" eb="26">
      <t>ハンエイ</t>
    </rPh>
    <rPh sb="43" eb="46">
      <t>ジュシンシャ</t>
    </rPh>
    <rPh sb="86" eb="89">
      <t>ジュシンシャ</t>
    </rPh>
    <rPh sb="89" eb="90">
      <t>メイ</t>
    </rPh>
    <phoneticPr fontId="28"/>
  </si>
  <si>
    <t>環境設定の日付形式をMM/DD/YYYYに変更</t>
    <rPh sb="0" eb="2">
      <t>カンキョウ</t>
    </rPh>
    <rPh sb="2" eb="4">
      <t>セッテイ</t>
    </rPh>
    <rPh sb="5" eb="7">
      <t>ヒヅケ</t>
    </rPh>
    <rPh sb="7" eb="9">
      <t>ケイシキ</t>
    </rPh>
    <rPh sb="21" eb="23">
      <t>ヘンコウ</t>
    </rPh>
    <phoneticPr fontId="28"/>
  </si>
  <si>
    <t>YYYY/MM/DD形式がMM/DD/YYYY形式で表示されること</t>
    <rPh sb="10" eb="12">
      <t>ケイシキ</t>
    </rPh>
    <rPh sb="23" eb="25">
      <t>ケイシキ</t>
    </rPh>
    <rPh sb="26" eb="28">
      <t>ヒョウジ</t>
    </rPh>
    <phoneticPr fontId="28"/>
  </si>
  <si>
    <t>環境設定の日付形式をDD/MM/YYYYに変更</t>
    <rPh sb="0" eb="2">
      <t>カンキョウ</t>
    </rPh>
    <rPh sb="2" eb="4">
      <t>セッテイ</t>
    </rPh>
    <rPh sb="5" eb="7">
      <t>ヒヅケ</t>
    </rPh>
    <rPh sb="7" eb="9">
      <t>ケイシキ</t>
    </rPh>
    <rPh sb="21" eb="23">
      <t>ヘンコウ</t>
    </rPh>
    <phoneticPr fontId="28"/>
  </si>
  <si>
    <t>YYYY/MM/DD形式がDD/MM/YYYY形式で表示されること</t>
    <rPh sb="10" eb="12">
      <t>ケイシキ</t>
    </rPh>
    <rPh sb="23" eb="25">
      <t>ケイシキ</t>
    </rPh>
    <rPh sb="26" eb="28">
      <t>ヒョウジ</t>
    </rPh>
    <phoneticPr fontId="28"/>
  </si>
  <si>
    <t>コピー</t>
    <phoneticPr fontId="28"/>
  </si>
  <si>
    <t>ペースト</t>
    <phoneticPr fontId="28"/>
  </si>
  <si>
    <t>コピーできないこと</t>
    <phoneticPr fontId="28"/>
  </si>
  <si>
    <t>ペーストできないこと</t>
    <phoneticPr fontId="28"/>
  </si>
  <si>
    <t>Email ラジオボタンクリック</t>
    <phoneticPr fontId="28"/>
  </si>
  <si>
    <t>OKボタンクリック時</t>
    <rPh sb="9" eb="10">
      <t>ジ</t>
    </rPh>
    <phoneticPr fontId="28"/>
  </si>
  <si>
    <t>CANCELボタンクリック時</t>
    <rPh sb="13" eb="14">
      <t>ジ</t>
    </rPh>
    <phoneticPr fontId="28"/>
  </si>
  <si>
    <t>SMS ラジオボタンクリック</t>
    <phoneticPr fontId="28"/>
  </si>
  <si>
    <t>担当者アイコンクリック</t>
    <rPh sb="0" eb="3">
      <t>タントウシャ</t>
    </rPh>
    <phoneticPr fontId="28"/>
  </si>
  <si>
    <t>担当者アイコンクリックでユーザID検索モーダルが表示されること</t>
    <rPh sb="0" eb="3">
      <t>タントウシャ</t>
    </rPh>
    <rPh sb="17" eb="19">
      <t>ケンサク</t>
    </rPh>
    <rPh sb="24" eb="26">
      <t>ヒョウジ</t>
    </rPh>
    <phoneticPr fontId="28"/>
  </si>
  <si>
    <t>登録ボタンクリック</t>
    <rPh sb="0" eb="2">
      <t>トウロク</t>
    </rPh>
    <phoneticPr fontId="28"/>
  </si>
  <si>
    <t>メールアイコンクリック</t>
  </si>
  <si>
    <t>OKボタンクリック</t>
    <phoneticPr fontId="28"/>
  </si>
  <si>
    <t>戻るボタンクリック時</t>
    <rPh sb="0" eb="1">
      <t>モド</t>
    </rPh>
    <rPh sb="9" eb="10">
      <t>ジ</t>
    </rPh>
    <phoneticPr fontId="28"/>
  </si>
  <si>
    <t>F5ボタンクリック時</t>
    <rPh sb="9" eb="10">
      <t>ジ</t>
    </rPh>
    <phoneticPr fontId="47"/>
  </si>
  <si>
    <t>登録ボタンクリック時</t>
    <rPh sb="0" eb="2">
      <t>トウロク</t>
    </rPh>
    <rPh sb="9" eb="10">
      <t>ジ</t>
    </rPh>
    <phoneticPr fontId="28"/>
  </si>
  <si>
    <t>空白で登録ボタンをクリックした場合、エラーになること</t>
    <phoneticPr fontId="28"/>
  </si>
  <si>
    <t>空白で登録ボタンをクリックした場合、エラーになること</t>
    <phoneticPr fontId="28"/>
  </si>
  <si>
    <t>空白で登録ボタンをクリックした場合、エラーになること</t>
    <phoneticPr fontId="28"/>
  </si>
  <si>
    <t>空白で登録ボタンをクリックした場合、エラーになること</t>
    <phoneticPr fontId="28"/>
  </si>
  <si>
    <t>ラジオボタンは表示せず、E-mail表示の画面を表示すること</t>
    <rPh sb="7" eb="9">
      <t>ヒョウジ</t>
    </rPh>
    <rPh sb="18" eb="20">
      <t>ヒョウジ</t>
    </rPh>
    <rPh sb="21" eb="23">
      <t>ガメン</t>
    </rPh>
    <rPh sb="24" eb="26">
      <t>ヒョウジ</t>
    </rPh>
    <phoneticPr fontId="28"/>
  </si>
  <si>
    <t>ラジオボタンは表示し、SMSが選択されている状態で、SMS表示の画面を表示すること</t>
    <rPh sb="7" eb="9">
      <t>ヒョウジ</t>
    </rPh>
    <rPh sb="15" eb="17">
      <t>センタク</t>
    </rPh>
    <rPh sb="22" eb="24">
      <t>ジョウタイ</t>
    </rPh>
    <rPh sb="29" eb="31">
      <t>ヒョウジ</t>
    </rPh>
    <rPh sb="32" eb="34">
      <t>ガメン</t>
    </rPh>
    <rPh sb="35" eb="37">
      <t>ヒョウジ</t>
    </rPh>
    <phoneticPr fontId="28"/>
  </si>
  <si>
    <t>禁則文字（"#%&amp;'&lt;&gt;）で登録ボタンをクリックした場合、エラーになること</t>
    <rPh sb="0" eb="2">
      <t>キンソク</t>
    </rPh>
    <rPh sb="2" eb="4">
      <t>モジ</t>
    </rPh>
    <phoneticPr fontId="28"/>
  </si>
  <si>
    <t>初期値が表示されること(初期値は環境設定で設定している言語であること）</t>
    <rPh sb="0" eb="2">
      <t>ショキ</t>
    </rPh>
    <rPh sb="2" eb="3">
      <t>アタイ</t>
    </rPh>
    <rPh sb="4" eb="6">
      <t>ヒョウジ</t>
    </rPh>
    <rPh sb="12" eb="14">
      <t>ショキ</t>
    </rPh>
    <rPh sb="14" eb="15">
      <t>アタイ</t>
    </rPh>
    <rPh sb="16" eb="18">
      <t>カンキョウ</t>
    </rPh>
    <rPh sb="18" eb="20">
      <t>セッテイ</t>
    </rPh>
    <rPh sb="21" eb="23">
      <t>セッテイ</t>
    </rPh>
    <rPh sb="27" eb="29">
      <t>ゲンゴ</t>
    </rPh>
    <phoneticPr fontId="28"/>
  </si>
  <si>
    <t>モーダルのＯＫクリック後、受信者メールアドレス、受信者名、受信者名（英語）、受信者ニックネームの欄がクリアされること</t>
    <rPh sb="11" eb="12">
      <t>ゴ</t>
    </rPh>
    <rPh sb="13" eb="16">
      <t>ジュシンシャ</t>
    </rPh>
    <rPh sb="24" eb="27">
      <t>ジュシンシャ</t>
    </rPh>
    <rPh sb="27" eb="28">
      <t>メイ</t>
    </rPh>
    <rPh sb="29" eb="32">
      <t>ジュシンシャ</t>
    </rPh>
    <rPh sb="32" eb="33">
      <t>メイ</t>
    </rPh>
    <rPh sb="34" eb="36">
      <t>エイゴ</t>
    </rPh>
    <rPh sb="38" eb="41">
      <t>ジュシンシャ</t>
    </rPh>
    <rPh sb="48" eb="49">
      <t>ラン</t>
    </rPh>
    <phoneticPr fontId="28"/>
  </si>
  <si>
    <t>モーダルのＯＫクリック後、国コード、担当者(ID)、言語が初期化されること</t>
    <rPh sb="11" eb="12">
      <t>ゴ</t>
    </rPh>
    <rPh sb="13" eb="14">
      <t>クニ</t>
    </rPh>
    <rPh sb="18" eb="21">
      <t>タントウシャ</t>
    </rPh>
    <rPh sb="26" eb="28">
      <t>ゲンゴ</t>
    </rPh>
    <rPh sb="29" eb="32">
      <t>ショキカ</t>
    </rPh>
    <phoneticPr fontId="28"/>
  </si>
  <si>
    <t>モーダルのＯＫクリック後、担当者(ID)、言語、メッセージ形式が初期化されること</t>
    <rPh sb="11" eb="12">
      <t>ゴ</t>
    </rPh>
    <rPh sb="13" eb="16">
      <t>タントウシャ</t>
    </rPh>
    <rPh sb="21" eb="23">
      <t>ゲンゴ</t>
    </rPh>
    <rPh sb="29" eb="31">
      <t>ケイシキ</t>
    </rPh>
    <rPh sb="32" eb="35">
      <t>ショキカ</t>
    </rPh>
    <phoneticPr fontId="28"/>
  </si>
  <si>
    <t>APIエラー確認</t>
    <rPh sb="6" eb="8">
      <t>カクニン</t>
    </rPh>
    <phoneticPr fontId="28"/>
  </si>
  <si>
    <t>未実施</t>
    <rPh sb="0" eb="3">
      <t>ミジッシ</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</si>
  <si>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</si>
  <si>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</si>
  <si>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</si>
  <si>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</si>
  <si>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NG</t>
  </si>
  <si>
    <t>エビデンス</t>
    <phoneticPr fontId="28"/>
  </si>
  <si>
    <t>　</t>
    <phoneticPr fontId="28"/>
  </si>
  <si>
    <t>ログインユーザのグループ内で既に登録されている電話番号が指定された場合、エラーコード（AEMN0001E）のメッセージがテキストボックス下に赤文字で表示されること</t>
    <rPh sb="68" eb="69">
      <t>シタ</t>
    </rPh>
    <rPh sb="70" eb="71">
      <t>アカ</t>
    </rPh>
    <rPh sb="71" eb="73">
      <t>モジ</t>
    </rPh>
    <rPh sb="74" eb="76">
      <t>ヒョウジ</t>
    </rPh>
    <phoneticPr fontId="28"/>
  </si>
  <si>
    <t>ログインユーザのグループ内で既に登録されているメールアドレスが指定された場合、エラーコード（AEMN0001E）のメッセージがテキストボックス下に赤文字で表示されること</t>
    <rPh sb="71" eb="72">
      <t>シタ</t>
    </rPh>
    <rPh sb="73" eb="74">
      <t>アカ</t>
    </rPh>
    <rPh sb="74" eb="76">
      <t>モジ</t>
    </rPh>
    <rPh sb="77" eb="79">
      <t>ヒョウジ</t>
    </rPh>
    <phoneticPr fontId="28"/>
  </si>
  <si>
    <t>存在しない担当者ＩＤを入力した場合、エラーコード（AEMN0001E）のメッセージがテキストボックス下に赤文字で表示されること</t>
    <rPh sb="0" eb="2">
      <t>ソンザイ</t>
    </rPh>
    <rPh sb="5" eb="8">
      <t>タントウシャ</t>
    </rPh>
    <rPh sb="11" eb="13">
      <t>ニュウリョク</t>
    </rPh>
    <rPh sb="15" eb="17">
      <t>バアイ</t>
    </rPh>
    <phoneticPr fontId="28"/>
  </si>
  <si>
    <t>ホーム画面(前ページ）に戻ること</t>
    <rPh sb="3" eb="5">
      <t>ガメン</t>
    </rPh>
    <rPh sb="6" eb="7">
      <t>マエ</t>
    </rPh>
    <rPh sb="12" eb="13">
      <t>モド</t>
    </rPh>
    <phoneticPr fontId="28"/>
  </si>
  <si>
    <t>受信者登録画面が表示されること</t>
    <rPh sb="0" eb="3">
      <t>ジュシンシャ</t>
    </rPh>
    <rPh sb="3" eb="5">
      <t>トウロク</t>
    </rPh>
    <rPh sb="5" eb="7">
      <t>ガメン</t>
    </rPh>
    <rPh sb="8" eb="10">
      <t>ヒョウジ</t>
    </rPh>
    <phoneticPr fontId="28"/>
  </si>
  <si>
    <t>ブラウザ再起動
受信者登録のURLを指定</t>
    <rPh sb="4" eb="7">
      <t>サイキドウ</t>
    </rPh>
    <phoneticPr fontId="47"/>
  </si>
  <si>
    <t>存在しない担当者ＩＤを入力した場合、、エラーコードメッセージが赤文字で表示されること</t>
    <rPh sb="0" eb="2">
      <t>ソンザイ</t>
    </rPh>
    <rPh sb="5" eb="8">
      <t>タントウシャ</t>
    </rPh>
    <rPh sb="11" eb="13">
      <t>ニュウリョク</t>
    </rPh>
    <rPh sb="15" eb="17">
      <t>バアイ</t>
    </rPh>
    <phoneticPr fontId="28"/>
  </si>
  <si>
    <t>ログインユーザが（SMS権限あり）</t>
    <rPh sb="12" eb="14">
      <t>ケンゲン</t>
    </rPh>
    <phoneticPr fontId="28"/>
  </si>
  <si>
    <t>ログインユーザが（SMS権限なし）</t>
    <rPh sb="12" eb="14">
      <t>ケンゲン</t>
    </rPh>
    <phoneticPr fontId="28"/>
  </si>
  <si>
    <t>（EXE）澁谷</t>
    <rPh sb="5" eb="7">
      <t>シブタニ</t>
    </rPh>
    <phoneticPr fontId="147"/>
  </si>
  <si>
    <t>澁谷</t>
    <rPh sb="0" eb="2">
      <t>シブタニ</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</si>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</sst>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1"/>
      <color rgb="FFFF0000"/>
      <name val="ＭＳ Ｐゴシック"/>
      <family val="3"/>
      <charset val="128"/>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40">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0" xfId="210" applyFont="1" applyFill="1" applyAlignment="1">
      <alignment vertical="center"/>
    </xf>
    <xf numFmtId="0" fontId="91" fillId="0" borderId="3" xfId="210" applyFont="1" applyFill="1" applyBorder="1" applyAlignment="1">
      <alignmen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0" fillId="0" borderId="0" xfId="0" applyAlignment="1">
      <alignment vertical="top" wrapText="1"/>
    </xf>
    <xf numFmtId="0" fontId="23" fillId="0" borderId="0" xfId="0" applyFont="1" applyAlignment="1">
      <alignment vertical="top" wrapText="1"/>
    </xf>
    <xf numFmtId="0" fontId="0" fillId="0" borderId="3" xfId="0" applyBorder="1"/>
    <xf numFmtId="0" fontId="0" fillId="61" borderId="3" xfId="0" applyFill="1" applyBorder="1"/>
    <xf numFmtId="0" fontId="0" fillId="0" borderId="3" xfId="0" applyFont="1" applyBorder="1" applyAlignment="1">
      <alignment vertical="top" wrapText="1"/>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Border="1" applyAlignment="1">
      <alignment horizontal="right" vertical="center"/>
    </xf>
    <xf numFmtId="0" fontId="91" fillId="0" borderId="0" xfId="210" applyFont="1" applyAlignment="1">
      <alignment horizontal="right" vertical="center"/>
    </xf>
    <xf numFmtId="0" fontId="91" fillId="0" borderId="56" xfId="210" applyFont="1" applyFill="1" applyBorder="1" applyAlignment="1">
      <alignment horizontal="center" vertical="center"/>
    </xf>
    <xf numFmtId="14" fontId="91" fillId="0" borderId="56"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0" fillId="62" borderId="3" xfId="0" applyFill="1" applyBorder="1"/>
    <xf numFmtId="0" fontId="0" fillId="63" borderId="3" xfId="0" applyFill="1" applyBorder="1"/>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0" fontId="91" fillId="0" borderId="3" xfId="210" applyFont="1" applyFill="1" applyBorder="1" applyAlignment="1">
      <alignment horizontal="left" vertical="center" wrapText="1" indent="2"/>
    </xf>
    <xf numFmtId="0" fontId="91" fillId="0" borderId="0" xfId="210" applyFont="1" applyFill="1" applyBorder="1" applyAlignment="1">
      <alignment horizontal="center" vertical="center"/>
    </xf>
    <xf numFmtId="0" fontId="91" fillId="0" borderId="3" xfId="210" applyFont="1" applyFill="1" applyBorder="1" applyAlignment="1">
      <alignment horizontal="left" vertical="center" indent="2"/>
    </xf>
    <xf numFmtId="0" fontId="0" fillId="60" borderId="3" xfId="0" applyFont="1" applyFill="1" applyBorder="1" applyAlignment="1">
      <alignment vertical="top" wrapText="1"/>
    </xf>
    <xf numFmtId="0" fontId="0" fillId="60" borderId="3" xfId="0" applyFill="1" applyBorder="1"/>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60" borderId="56" xfId="0" applyFill="1" applyBorder="1"/>
    <xf numFmtId="0" fontId="0" fillId="0" borderId="56" xfId="0" applyBorder="1"/>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0" xfId="0" applyAlignment="1">
      <alignment horizontal="left"/>
    </xf>
    <xf numFmtId="0" fontId="23" fillId="0" borderId="0" xfId="0" applyFont="1"/>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Font="1" applyBorder="1" applyAlignment="1">
      <alignment horizontal="left" vertical="top" wrapText="1"/>
    </xf>
    <xf numFmtId="0" fontId="0" fillId="0" borderId="3" xfId="0" applyBorder="1" applyAlignment="1">
      <alignment horizontal="left" vertical="top"/>
    </xf>
    <xf numFmtId="0" fontId="0" fillId="62" borderId="3" xfId="0" applyFill="1" applyBorder="1" applyAlignment="1">
      <alignment horizontal="left" vertical="top"/>
    </xf>
    <xf numFmtId="0" fontId="0" fillId="60" borderId="18" xfId="0" applyFill="1" applyBorder="1"/>
    <xf numFmtId="0" fontId="0" fillId="60" borderId="20" xfId="0" applyFill="1" applyBorder="1"/>
    <xf numFmtId="0" fontId="0" fillId="60" borderId="20" xfId="0" applyFill="1" applyBorder="1" applyAlignment="1">
      <alignment vertical="top"/>
    </xf>
    <xf numFmtId="0" fontId="0" fillId="0" borderId="3" xfId="0" applyFont="1" applyBorder="1" applyAlignment="1">
      <alignment horizontal="left" vertical="top" wrapText="1" indent="1"/>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148" fillId="0" borderId="0" xfId="0" applyFont="1"/>
    <xf numFmtId="0" fontId="91" fillId="0" borderId="0" xfId="210" applyFont="1" applyFill="1" applyBorder="1" applyAlignment="1">
      <alignment horizontal="center" vertical="center"/>
    </xf>
    <xf numFmtId="176" fontId="91" fillId="0" borderId="3" xfId="210" quotePrefix="1"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48" fillId="0" borderId="17" xfId="210" applyFont="1" applyFill="1" applyBorder="1" applyAlignment="1">
      <alignment horizontal="left" vertical="center" wrapText="1"/>
    </xf>
    <xf numFmtId="0" fontId="91" fillId="0" borderId="18" xfId="210" applyFont="1" applyFill="1" applyBorder="1" applyAlignment="1">
      <alignment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48" fillId="0" borderId="18" xfId="210" applyFont="1" applyFill="1" applyBorder="1" applyAlignment="1">
      <alignment horizontal="left" vertical="center" wrapText="1"/>
    </xf>
    <xf numFmtId="0" fontId="48"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60" borderId="56" xfId="210" applyFont="1" applyFill="1" applyBorder="1" applyAlignment="1">
      <alignment horizontal="left" vertical="center" wrapText="1"/>
    </xf>
    <xf numFmtId="0" fontId="0" fillId="60" borderId="0" xfId="0" applyFill="1" applyAlignment="1">
      <alignment horizontal="center"/>
    </xf>
    <xf numFmtId="0" fontId="0" fillId="63" borderId="18" xfId="0" applyFill="1" applyBorder="1" applyAlignment="1">
      <alignment horizontal="center"/>
    </xf>
    <xf numFmtId="0" fontId="0" fillId="63" borderId="20" xfId="0" applyFill="1" applyBorder="1" applyAlignment="1">
      <alignment horizontal="center"/>
    </xf>
    <xf numFmtId="0" fontId="0" fillId="63" borderId="0" xfId="0" applyFill="1" applyAlignment="1">
      <alignment horizont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0000FF"/>
      <color rgb="FFC5D9F1"/>
      <color rgb="FFFDE9D9"/>
      <color rgb="FFF2DCDB"/>
      <color rgb="FFCCFFCC"/>
      <color rgb="FF8FFF8F"/>
      <color rgb="FF7F7F7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4:FL40"/>
  <sheetViews>
    <sheetView showGridLines="0" zoomScaleNormal="100" zoomScaleSheetLayoutView="85" workbookViewId="0"/>
  </sheetViews>
  <sheetFormatPr defaultColWidth="0.75" defaultRowHeight="12"/>
  <cols>
    <col min="1" max="16384" width="0.75" style="61"/>
  </cols>
  <sheetData>
    <row r="4" spans="1:168" ht="13.5">
      <c r="EM4" s="172"/>
      <c r="EN4" s="173"/>
      <c r="EO4" s="173"/>
      <c r="EP4" s="173"/>
      <c r="EQ4" s="173"/>
      <c r="ER4" s="173"/>
      <c r="ES4" s="173"/>
      <c r="ET4" s="173"/>
      <c r="EU4" s="173"/>
      <c r="EV4" s="173"/>
      <c r="EW4" s="173"/>
      <c r="EX4" s="173"/>
      <c r="EY4" s="173"/>
      <c r="EZ4" s="173"/>
      <c r="FA4" s="173"/>
      <c r="FB4" s="173"/>
      <c r="FC4" s="173"/>
      <c r="FD4" s="173"/>
      <c r="FE4" s="173"/>
      <c r="FF4" s="173"/>
      <c r="FG4" s="173"/>
      <c r="FH4" s="173"/>
      <c r="FI4" s="173"/>
      <c r="FJ4" s="173"/>
      <c r="FK4" s="173"/>
      <c r="FL4" s="173"/>
    </row>
    <row r="5" spans="1:168">
      <c r="A5" s="62"/>
      <c r="B5" s="62"/>
      <c r="C5" s="62"/>
      <c r="D5" s="62"/>
      <c r="E5" s="62"/>
      <c r="F5" s="62"/>
      <c r="G5" s="62"/>
      <c r="H5" s="62"/>
      <c r="I5" s="174" t="s">
        <v>63</v>
      </c>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c r="DN5" s="174"/>
      <c r="DO5" s="174"/>
      <c r="DP5" s="174"/>
      <c r="DQ5" s="174"/>
      <c r="DR5" s="174"/>
      <c r="DS5" s="174"/>
      <c r="DT5" s="174"/>
      <c r="DU5" s="174"/>
      <c r="DV5" s="174"/>
      <c r="DW5" s="174"/>
      <c r="DX5" s="174"/>
      <c r="DY5" s="174"/>
      <c r="DZ5" s="174"/>
      <c r="EA5" s="174"/>
      <c r="EB5" s="174"/>
      <c r="EC5" s="174"/>
      <c r="ED5" s="174"/>
      <c r="EE5" s="174"/>
      <c r="EF5" s="174"/>
      <c r="EG5" s="174"/>
      <c r="EH5" s="174"/>
      <c r="EI5" s="174"/>
      <c r="EJ5" s="174"/>
      <c r="EK5" s="174"/>
      <c r="EL5" s="174"/>
      <c r="EM5" s="174"/>
      <c r="EN5" s="174"/>
      <c r="EO5" s="174"/>
      <c r="EP5" s="174"/>
      <c r="EQ5" s="174"/>
      <c r="ER5" s="174"/>
      <c r="ES5" s="174"/>
      <c r="ET5" s="174"/>
      <c r="EU5" s="174"/>
      <c r="EV5" s="174"/>
      <c r="EW5" s="174"/>
      <c r="EX5" s="174"/>
      <c r="EY5" s="174"/>
      <c r="EZ5" s="174"/>
      <c r="FA5" s="174"/>
      <c r="FB5" s="174"/>
      <c r="FC5" s="174"/>
      <c r="FD5" s="174"/>
      <c r="FE5" s="62"/>
      <c r="FF5" s="62"/>
      <c r="FG5" s="62"/>
      <c r="FH5" s="62"/>
      <c r="FI5" s="62"/>
      <c r="FJ5" s="62"/>
      <c r="FK5" s="62"/>
      <c r="FL5" s="62"/>
    </row>
    <row r="6" spans="1:168">
      <c r="A6" s="62"/>
      <c r="B6" s="62"/>
      <c r="C6" s="62"/>
      <c r="D6" s="62"/>
      <c r="E6" s="62"/>
      <c r="F6" s="62"/>
      <c r="G6" s="62"/>
      <c r="H6" s="62"/>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c r="CD6" s="174"/>
      <c r="CE6" s="174"/>
      <c r="CF6" s="174"/>
      <c r="CG6" s="174"/>
      <c r="CH6" s="174"/>
      <c r="CI6" s="174"/>
      <c r="CJ6" s="174"/>
      <c r="CK6" s="174"/>
      <c r="CL6" s="174"/>
      <c r="CM6" s="174"/>
      <c r="CN6" s="174"/>
      <c r="CO6" s="174"/>
      <c r="CP6" s="174"/>
      <c r="CQ6" s="174"/>
      <c r="CR6" s="174"/>
      <c r="CS6" s="174"/>
      <c r="CT6" s="174"/>
      <c r="CU6" s="174"/>
      <c r="CV6" s="174"/>
      <c r="CW6" s="174"/>
      <c r="CX6" s="174"/>
      <c r="CY6" s="174"/>
      <c r="CZ6" s="174"/>
      <c r="DA6" s="174"/>
      <c r="DB6" s="174"/>
      <c r="DC6" s="174"/>
      <c r="DD6" s="174"/>
      <c r="DE6" s="174"/>
      <c r="DF6" s="174"/>
      <c r="DG6" s="174"/>
      <c r="DH6" s="174"/>
      <c r="DI6" s="174"/>
      <c r="DJ6" s="174"/>
      <c r="DK6" s="174"/>
      <c r="DL6" s="174"/>
      <c r="DM6" s="174"/>
      <c r="DN6" s="174"/>
      <c r="DO6" s="174"/>
      <c r="DP6" s="174"/>
      <c r="DQ6" s="174"/>
      <c r="DR6" s="174"/>
      <c r="DS6" s="174"/>
      <c r="DT6" s="174"/>
      <c r="DU6" s="174"/>
      <c r="DV6" s="174"/>
      <c r="DW6" s="174"/>
      <c r="DX6" s="174"/>
      <c r="DY6" s="174"/>
      <c r="DZ6" s="174"/>
      <c r="EA6" s="174"/>
      <c r="EB6" s="174"/>
      <c r="EC6" s="174"/>
      <c r="ED6" s="174"/>
      <c r="EE6" s="174"/>
      <c r="EF6" s="174"/>
      <c r="EG6" s="174"/>
      <c r="EH6" s="174"/>
      <c r="EI6" s="174"/>
      <c r="EJ6" s="174"/>
      <c r="EK6" s="174"/>
      <c r="EL6" s="174"/>
      <c r="EM6" s="174"/>
      <c r="EN6" s="174"/>
      <c r="EO6" s="174"/>
      <c r="EP6" s="174"/>
      <c r="EQ6" s="174"/>
      <c r="ER6" s="174"/>
      <c r="ES6" s="174"/>
      <c r="ET6" s="174"/>
      <c r="EU6" s="174"/>
      <c r="EV6" s="174"/>
      <c r="EW6" s="174"/>
      <c r="EX6" s="174"/>
      <c r="EY6" s="174"/>
      <c r="EZ6" s="174"/>
      <c r="FA6" s="174"/>
      <c r="FB6" s="174"/>
      <c r="FC6" s="174"/>
      <c r="FD6" s="174"/>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5" t="s">
        <v>83</v>
      </c>
      <c r="J8" s="175"/>
      <c r="K8" s="175"/>
      <c r="L8" s="175"/>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75"/>
      <c r="DP8" s="175"/>
      <c r="DQ8" s="175"/>
      <c r="DR8" s="175"/>
      <c r="DS8" s="175"/>
      <c r="DT8" s="175"/>
      <c r="DU8" s="175"/>
      <c r="DV8" s="175"/>
      <c r="DW8" s="175"/>
      <c r="DX8" s="175"/>
      <c r="DY8" s="175"/>
      <c r="DZ8" s="175"/>
      <c r="EA8" s="175"/>
      <c r="EB8" s="175"/>
      <c r="EC8" s="175"/>
      <c r="ED8" s="175"/>
      <c r="EE8" s="175"/>
      <c r="EF8" s="175"/>
      <c r="EG8" s="175"/>
      <c r="EH8" s="175"/>
      <c r="EI8" s="175"/>
      <c r="EJ8" s="175"/>
      <c r="EK8" s="175"/>
      <c r="EL8" s="175"/>
      <c r="EM8" s="175"/>
      <c r="EN8" s="175"/>
      <c r="EO8" s="175"/>
      <c r="EP8" s="175"/>
      <c r="EQ8" s="175"/>
      <c r="ER8" s="175"/>
      <c r="ES8" s="175"/>
      <c r="ET8" s="175"/>
      <c r="EU8" s="175"/>
      <c r="EV8" s="175"/>
      <c r="EW8" s="175"/>
      <c r="EX8" s="175"/>
      <c r="EY8" s="175"/>
      <c r="EZ8" s="175"/>
      <c r="FA8" s="175"/>
      <c r="FB8" s="175"/>
      <c r="FC8" s="175"/>
      <c r="FD8" s="175"/>
      <c r="FE8" s="62"/>
      <c r="FF8" s="62"/>
      <c r="FG8" s="62"/>
      <c r="FH8" s="62"/>
      <c r="FI8" s="62"/>
      <c r="FJ8" s="62"/>
      <c r="FK8" s="62"/>
      <c r="FL8" s="62"/>
    </row>
    <row r="9" spans="1:168">
      <c r="A9" s="62"/>
      <c r="B9" s="62"/>
      <c r="C9" s="62"/>
      <c r="D9" s="62"/>
      <c r="E9" s="62"/>
      <c r="F9" s="62"/>
      <c r="G9" s="62"/>
      <c r="H9" s="62"/>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175"/>
      <c r="DI9" s="175"/>
      <c r="DJ9" s="175"/>
      <c r="DK9" s="175"/>
      <c r="DL9" s="175"/>
      <c r="DM9" s="175"/>
      <c r="DN9" s="175"/>
      <c r="DO9" s="175"/>
      <c r="DP9" s="175"/>
      <c r="DQ9" s="175"/>
      <c r="DR9" s="175"/>
      <c r="DS9" s="175"/>
      <c r="DT9" s="175"/>
      <c r="DU9" s="175"/>
      <c r="DV9" s="175"/>
      <c r="DW9" s="175"/>
      <c r="DX9" s="175"/>
      <c r="DY9" s="175"/>
      <c r="DZ9" s="175"/>
      <c r="EA9" s="175"/>
      <c r="EB9" s="175"/>
      <c r="EC9" s="175"/>
      <c r="ED9" s="175"/>
      <c r="EE9" s="175"/>
      <c r="EF9" s="175"/>
      <c r="EG9" s="175"/>
      <c r="EH9" s="175"/>
      <c r="EI9" s="175"/>
      <c r="EJ9" s="175"/>
      <c r="EK9" s="175"/>
      <c r="EL9" s="175"/>
      <c r="EM9" s="175"/>
      <c r="EN9" s="175"/>
      <c r="EO9" s="175"/>
      <c r="EP9" s="175"/>
      <c r="EQ9" s="175"/>
      <c r="ER9" s="175"/>
      <c r="ES9" s="175"/>
      <c r="ET9" s="175"/>
      <c r="EU9" s="175"/>
      <c r="EV9" s="175"/>
      <c r="EW9" s="175"/>
      <c r="EX9" s="175"/>
      <c r="EY9" s="175"/>
      <c r="EZ9" s="175"/>
      <c r="FA9" s="175"/>
      <c r="FB9" s="175"/>
      <c r="FC9" s="175"/>
      <c r="FD9" s="175"/>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76" t="s">
        <v>82</v>
      </c>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c r="CY11" s="176"/>
      <c r="CZ11" s="176"/>
      <c r="DA11" s="176"/>
      <c r="DB11" s="176"/>
      <c r="DC11" s="176"/>
      <c r="DD11" s="176"/>
      <c r="DE11" s="176"/>
      <c r="DF11" s="176"/>
      <c r="DG11" s="176"/>
      <c r="DH11" s="176"/>
      <c r="DI11" s="176"/>
      <c r="DJ11" s="176"/>
      <c r="DK11" s="176"/>
      <c r="DL11" s="176"/>
      <c r="DM11" s="176"/>
      <c r="DN11" s="176"/>
      <c r="DO11" s="176"/>
      <c r="DP11" s="176"/>
      <c r="DQ11" s="176"/>
      <c r="DR11" s="176"/>
      <c r="DS11" s="176"/>
      <c r="DT11" s="176"/>
      <c r="DU11" s="176"/>
      <c r="DV11" s="176"/>
      <c r="DW11" s="176"/>
      <c r="DX11" s="176"/>
      <c r="DY11" s="176"/>
      <c r="DZ11" s="176"/>
      <c r="EA11" s="176"/>
      <c r="EB11" s="176"/>
      <c r="EC11" s="176"/>
      <c r="ED11" s="176"/>
      <c r="EE11" s="176"/>
      <c r="EF11" s="176"/>
      <c r="EG11" s="176"/>
      <c r="EH11" s="176"/>
      <c r="EI11" s="176"/>
      <c r="EJ11" s="176"/>
      <c r="EK11" s="176"/>
      <c r="EL11" s="176"/>
      <c r="EM11" s="176"/>
      <c r="EN11" s="176"/>
      <c r="EO11" s="176"/>
      <c r="EP11" s="176"/>
      <c r="EQ11" s="176"/>
      <c r="ER11" s="176"/>
      <c r="ES11" s="176"/>
      <c r="ET11" s="176"/>
      <c r="EU11" s="176"/>
      <c r="EV11" s="176"/>
      <c r="EW11" s="176"/>
      <c r="EX11" s="176"/>
      <c r="EY11" s="176"/>
      <c r="EZ11" s="176"/>
      <c r="FA11" s="176"/>
      <c r="FB11" s="176"/>
      <c r="FC11" s="176"/>
      <c r="FD11" s="176"/>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c r="CY12" s="176"/>
      <c r="CZ12" s="176"/>
      <c r="DA12" s="176"/>
      <c r="DB12" s="176"/>
      <c r="DC12" s="176"/>
      <c r="DD12" s="176"/>
      <c r="DE12" s="176"/>
      <c r="DF12" s="176"/>
      <c r="DG12" s="176"/>
      <c r="DH12" s="176"/>
      <c r="DI12" s="176"/>
      <c r="DJ12" s="176"/>
      <c r="DK12" s="176"/>
      <c r="DL12" s="176"/>
      <c r="DM12" s="176"/>
      <c r="DN12" s="176"/>
      <c r="DO12" s="176"/>
      <c r="DP12" s="176"/>
      <c r="DQ12" s="176"/>
      <c r="DR12" s="176"/>
      <c r="DS12" s="176"/>
      <c r="DT12" s="176"/>
      <c r="DU12" s="176"/>
      <c r="DV12" s="176"/>
      <c r="DW12" s="176"/>
      <c r="DX12" s="176"/>
      <c r="DY12" s="176"/>
      <c r="DZ12" s="176"/>
      <c r="EA12" s="176"/>
      <c r="EB12" s="176"/>
      <c r="EC12" s="176"/>
      <c r="ED12" s="176"/>
      <c r="EE12" s="176"/>
      <c r="EF12" s="176"/>
      <c r="EG12" s="176"/>
      <c r="EH12" s="176"/>
      <c r="EI12" s="176"/>
      <c r="EJ12" s="176"/>
      <c r="EK12" s="176"/>
      <c r="EL12" s="176"/>
      <c r="EM12" s="176"/>
      <c r="EN12" s="176"/>
      <c r="EO12" s="176"/>
      <c r="EP12" s="176"/>
      <c r="EQ12" s="176"/>
      <c r="ER12" s="176"/>
      <c r="ES12" s="176"/>
      <c r="ET12" s="176"/>
      <c r="EU12" s="176"/>
      <c r="EV12" s="176"/>
      <c r="EW12" s="176"/>
      <c r="EX12" s="176"/>
      <c r="EY12" s="176"/>
      <c r="EZ12" s="176"/>
      <c r="FA12" s="176"/>
      <c r="FB12" s="176"/>
      <c r="FC12" s="176"/>
      <c r="FD12" s="176"/>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77" t="s">
        <v>64</v>
      </c>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9"/>
      <c r="BD28" s="183" t="s">
        <v>65</v>
      </c>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9"/>
      <c r="CA28" s="183" t="s">
        <v>66</v>
      </c>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85"/>
      <c r="CX28" s="65"/>
      <c r="CY28" s="65"/>
      <c r="CZ28" s="65"/>
      <c r="DA28" s="65"/>
      <c r="DB28" s="65"/>
      <c r="DC28" s="65"/>
      <c r="DD28" s="65"/>
      <c r="DE28" s="65"/>
      <c r="DF28" s="65"/>
      <c r="DG28" s="65"/>
      <c r="DH28" s="65"/>
    </row>
    <row r="29" spans="3:112" s="92" customFormat="1" ht="12.75" customHeight="1" thickBot="1">
      <c r="C29" s="66"/>
      <c r="AG29" s="180"/>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2"/>
      <c r="BD29" s="184"/>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2"/>
      <c r="CA29" s="184"/>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6"/>
      <c r="CX29" s="66"/>
      <c r="CY29" s="66"/>
      <c r="CZ29" s="65"/>
      <c r="DA29" s="65"/>
      <c r="DB29" s="65"/>
      <c r="DC29" s="65"/>
      <c r="DD29" s="65"/>
      <c r="DE29" s="65"/>
      <c r="DF29" s="65"/>
      <c r="DG29" s="65"/>
      <c r="DH29" s="65"/>
    </row>
    <row r="30" spans="3:112" s="92" customFormat="1" ht="12.75" customHeight="1" thickTop="1">
      <c r="C30" s="66"/>
      <c r="AG30" s="187" t="s">
        <v>327</v>
      </c>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9"/>
      <c r="BD30" s="193" t="s">
        <v>326</v>
      </c>
      <c r="BE30" s="188"/>
      <c r="BF30" s="188"/>
      <c r="BG30" s="188"/>
      <c r="BH30" s="188"/>
      <c r="BI30" s="188"/>
      <c r="BJ30" s="188"/>
      <c r="BK30" s="188"/>
      <c r="BL30" s="188"/>
      <c r="BM30" s="188"/>
      <c r="BN30" s="188"/>
      <c r="BO30" s="188"/>
      <c r="BP30" s="188"/>
      <c r="BQ30" s="188"/>
      <c r="BR30" s="188"/>
      <c r="BS30" s="188"/>
      <c r="BT30" s="188"/>
      <c r="BU30" s="188"/>
      <c r="BV30" s="188"/>
      <c r="BW30" s="188"/>
      <c r="BX30" s="188"/>
      <c r="BY30" s="188"/>
      <c r="BZ30" s="189"/>
      <c r="CA30" s="193" t="s">
        <v>325</v>
      </c>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95"/>
      <c r="CX30" s="66"/>
      <c r="CY30" s="66"/>
      <c r="CZ30" s="65"/>
      <c r="DA30" s="65"/>
      <c r="DB30" s="65"/>
      <c r="DC30" s="65"/>
      <c r="DD30" s="65"/>
      <c r="DE30" s="65"/>
      <c r="DF30" s="65"/>
      <c r="DG30" s="65"/>
      <c r="DH30" s="65"/>
    </row>
    <row r="31" spans="3:112" s="92" customFormat="1" ht="12" customHeight="1">
      <c r="C31" s="65"/>
      <c r="AG31" s="190"/>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2"/>
      <c r="BD31" s="194"/>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2"/>
      <c r="CA31" s="194"/>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6"/>
      <c r="CX31" s="65"/>
      <c r="CY31" s="65"/>
      <c r="CZ31" s="65"/>
      <c r="DA31" s="65"/>
      <c r="DB31" s="65"/>
      <c r="DC31" s="65"/>
      <c r="DD31" s="65"/>
      <c r="DE31" s="65"/>
      <c r="DF31" s="65"/>
      <c r="DG31" s="65"/>
      <c r="DH31" s="65"/>
    </row>
    <row r="32" spans="3:112" s="92" customFormat="1" ht="12" customHeight="1">
      <c r="C32" s="65"/>
      <c r="AG32" s="190"/>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2"/>
      <c r="BD32" s="194"/>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2"/>
      <c r="CA32" s="194"/>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6"/>
      <c r="CX32" s="65"/>
      <c r="CY32" s="65"/>
      <c r="CZ32" s="65"/>
      <c r="DA32" s="65"/>
      <c r="DB32" s="65"/>
      <c r="DC32" s="65"/>
      <c r="DD32" s="65"/>
      <c r="DE32" s="65"/>
      <c r="DF32" s="65"/>
      <c r="DG32" s="65"/>
      <c r="DH32" s="65"/>
    </row>
    <row r="33" spans="3:164" s="92" customFormat="1" ht="12" customHeight="1" thickBot="1">
      <c r="C33" s="65"/>
      <c r="AG33" s="197">
        <v>42950</v>
      </c>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8"/>
      <c r="BD33" s="198">
        <v>42950</v>
      </c>
      <c r="BE33" s="198"/>
      <c r="BF33" s="198"/>
      <c r="BG33" s="198"/>
      <c r="BH33" s="198"/>
      <c r="BI33" s="198"/>
      <c r="BJ33" s="198"/>
      <c r="BK33" s="198"/>
      <c r="BL33" s="198"/>
      <c r="BM33" s="198"/>
      <c r="BN33" s="198"/>
      <c r="BO33" s="198"/>
      <c r="BP33" s="198"/>
      <c r="BQ33" s="198"/>
      <c r="BR33" s="198"/>
      <c r="BS33" s="198"/>
      <c r="BT33" s="198"/>
      <c r="BU33" s="198"/>
      <c r="BV33" s="198"/>
      <c r="BW33" s="198"/>
      <c r="BX33" s="198"/>
      <c r="BY33" s="198"/>
      <c r="BZ33" s="198"/>
      <c r="CA33" s="198">
        <v>42950</v>
      </c>
      <c r="CB33" s="199"/>
      <c r="CC33" s="199"/>
      <c r="CD33" s="199"/>
      <c r="CE33" s="199"/>
      <c r="CF33" s="199"/>
      <c r="CG33" s="199"/>
      <c r="CH33" s="199"/>
      <c r="CI33" s="199"/>
      <c r="CJ33" s="199"/>
      <c r="CK33" s="199"/>
      <c r="CL33" s="199"/>
      <c r="CM33" s="199"/>
      <c r="CN33" s="199"/>
      <c r="CO33" s="199"/>
      <c r="CP33" s="199"/>
      <c r="CQ33" s="199"/>
      <c r="CR33" s="199"/>
      <c r="CS33" s="199"/>
      <c r="CT33" s="199"/>
      <c r="CU33" s="199"/>
      <c r="CV33" s="199"/>
      <c r="CW33" s="200"/>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77" t="s">
        <v>75</v>
      </c>
      <c r="K35" s="178"/>
      <c r="L35" s="178"/>
      <c r="M35" s="178"/>
      <c r="N35" s="178"/>
      <c r="O35" s="178"/>
      <c r="P35" s="178"/>
      <c r="Q35" s="178"/>
      <c r="R35" s="178"/>
      <c r="S35" s="178"/>
      <c r="T35" s="178"/>
      <c r="U35" s="178"/>
      <c r="V35" s="178"/>
      <c r="W35" s="178"/>
      <c r="X35" s="178"/>
      <c r="Y35" s="178"/>
      <c r="Z35" s="178"/>
      <c r="AA35" s="178"/>
      <c r="AB35" s="178"/>
      <c r="AC35" s="178"/>
      <c r="AD35" s="178"/>
      <c r="AE35" s="178"/>
      <c r="AF35" s="179"/>
      <c r="AG35" s="183" t="s">
        <v>76</v>
      </c>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9"/>
      <c r="BD35" s="183" t="s">
        <v>77</v>
      </c>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9"/>
      <c r="CA35" s="183" t="s">
        <v>78</v>
      </c>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85"/>
      <c r="CX35" s="65"/>
      <c r="CY35" s="65"/>
      <c r="CZ35" s="65"/>
      <c r="DA35" s="65"/>
      <c r="DB35" s="65"/>
      <c r="DC35" s="65"/>
      <c r="DD35" s="65"/>
      <c r="DE35" s="65"/>
      <c r="DF35" s="65"/>
      <c r="DG35" s="65"/>
      <c r="DH35" s="65"/>
    </row>
    <row r="36" spans="3:164" s="92" customFormat="1" ht="12" customHeight="1" thickBot="1">
      <c r="C36" s="65"/>
      <c r="J36" s="180"/>
      <c r="K36" s="181"/>
      <c r="L36" s="181"/>
      <c r="M36" s="181"/>
      <c r="N36" s="181"/>
      <c r="O36" s="181"/>
      <c r="P36" s="181"/>
      <c r="Q36" s="181"/>
      <c r="R36" s="181"/>
      <c r="S36" s="181"/>
      <c r="T36" s="181"/>
      <c r="U36" s="181"/>
      <c r="V36" s="181"/>
      <c r="W36" s="181"/>
      <c r="X36" s="181"/>
      <c r="Y36" s="181"/>
      <c r="Z36" s="181"/>
      <c r="AA36" s="181"/>
      <c r="AB36" s="181"/>
      <c r="AC36" s="181"/>
      <c r="AD36" s="181"/>
      <c r="AE36" s="181"/>
      <c r="AF36" s="182"/>
      <c r="AG36" s="184"/>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2"/>
      <c r="BD36" s="184"/>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2"/>
      <c r="CA36" s="184"/>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6"/>
      <c r="CX36" s="65"/>
      <c r="CY36" s="65"/>
      <c r="CZ36" s="65"/>
      <c r="DA36" s="65"/>
      <c r="DB36" s="65"/>
      <c r="DC36" s="65"/>
      <c r="DD36" s="65"/>
      <c r="DE36" s="65"/>
      <c r="DF36" s="65"/>
      <c r="DG36" s="65"/>
      <c r="DH36" s="65"/>
    </row>
    <row r="37" spans="3:164" s="92" customFormat="1" ht="12" customHeight="1" thickTop="1">
      <c r="C37" s="65"/>
      <c r="J37" s="187"/>
      <c r="K37" s="188"/>
      <c r="L37" s="188"/>
      <c r="M37" s="188"/>
      <c r="N37" s="188"/>
      <c r="O37" s="188"/>
      <c r="P37" s="188"/>
      <c r="Q37" s="188"/>
      <c r="R37" s="188"/>
      <c r="S37" s="188"/>
      <c r="T37" s="188"/>
      <c r="U37" s="188"/>
      <c r="V37" s="188"/>
      <c r="W37" s="188"/>
      <c r="X37" s="188"/>
      <c r="Y37" s="188"/>
      <c r="Z37" s="188"/>
      <c r="AA37" s="188"/>
      <c r="AB37" s="188"/>
      <c r="AC37" s="188"/>
      <c r="AD37" s="188"/>
      <c r="AE37" s="188"/>
      <c r="AF37" s="189"/>
      <c r="AG37" s="193"/>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9"/>
      <c r="BD37" s="193"/>
      <c r="BE37" s="188"/>
      <c r="BF37" s="188"/>
      <c r="BG37" s="188"/>
      <c r="BH37" s="188"/>
      <c r="BI37" s="188"/>
      <c r="BJ37" s="188"/>
      <c r="BK37" s="188"/>
      <c r="BL37" s="188"/>
      <c r="BM37" s="188"/>
      <c r="BN37" s="188"/>
      <c r="BO37" s="188"/>
      <c r="BP37" s="188"/>
      <c r="BQ37" s="188"/>
      <c r="BR37" s="188"/>
      <c r="BS37" s="188"/>
      <c r="BT37" s="188"/>
      <c r="BU37" s="188"/>
      <c r="BV37" s="188"/>
      <c r="BW37" s="188"/>
      <c r="BX37" s="188"/>
      <c r="BY37" s="188"/>
      <c r="BZ37" s="189"/>
      <c r="CA37" s="193"/>
      <c r="CB37" s="188"/>
      <c r="CC37" s="188"/>
      <c r="CD37" s="188"/>
      <c r="CE37" s="188"/>
      <c r="CF37" s="188"/>
      <c r="CG37" s="188"/>
      <c r="CH37" s="188"/>
      <c r="CI37" s="188"/>
      <c r="CJ37" s="188"/>
      <c r="CK37" s="188"/>
      <c r="CL37" s="188"/>
      <c r="CM37" s="188"/>
      <c r="CN37" s="188"/>
      <c r="CO37" s="188"/>
      <c r="CP37" s="188"/>
      <c r="CQ37" s="188"/>
      <c r="CR37" s="188"/>
      <c r="CS37" s="188"/>
      <c r="CT37" s="188"/>
      <c r="CU37" s="188"/>
      <c r="CV37" s="188"/>
      <c r="CW37" s="195"/>
      <c r="CX37" s="65"/>
      <c r="CY37" s="65"/>
      <c r="CZ37" s="65"/>
      <c r="DA37" s="65"/>
      <c r="DB37" s="65"/>
      <c r="DC37" s="65"/>
      <c r="DD37" s="65"/>
      <c r="DE37" s="65"/>
      <c r="DF37" s="65"/>
      <c r="DG37" s="65"/>
      <c r="DH37" s="65"/>
      <c r="DK37" s="204" t="s">
        <v>67</v>
      </c>
      <c r="DL37" s="204"/>
      <c r="DM37" s="204"/>
      <c r="DN37" s="204"/>
      <c r="DO37" s="204"/>
      <c r="DP37" s="204"/>
      <c r="DQ37" s="204"/>
      <c r="DR37" s="204"/>
      <c r="DS37" s="204"/>
      <c r="DT37" s="204"/>
      <c r="DU37" s="204"/>
      <c r="DV37" s="204"/>
      <c r="DW37" s="204"/>
      <c r="DX37" s="204"/>
      <c r="DY37" s="204"/>
      <c r="DZ37" s="204"/>
      <c r="EA37" s="204"/>
      <c r="EB37" s="204"/>
      <c r="EC37" s="204"/>
      <c r="ED37" s="204"/>
      <c r="EE37" s="204"/>
      <c r="EF37" s="204"/>
      <c r="EG37" s="204"/>
      <c r="EH37" s="204"/>
      <c r="EI37" s="204"/>
      <c r="EJ37" s="204"/>
      <c r="EK37" s="204"/>
      <c r="EL37" s="204"/>
      <c r="EM37" s="204"/>
      <c r="EN37" s="204"/>
      <c r="EO37" s="204"/>
      <c r="EP37" s="204"/>
      <c r="EQ37" s="204"/>
      <c r="ER37" s="204"/>
      <c r="ES37" s="204"/>
      <c r="ET37" s="204"/>
      <c r="EU37" s="204"/>
      <c r="EV37" s="204"/>
      <c r="EW37" s="204"/>
      <c r="EX37" s="204"/>
      <c r="EY37" s="204"/>
      <c r="EZ37" s="204"/>
      <c r="FA37" s="204"/>
      <c r="FB37" s="204"/>
      <c r="FC37" s="204"/>
      <c r="FD37" s="204"/>
      <c r="FE37" s="204"/>
      <c r="FF37" s="204"/>
      <c r="FG37" s="204"/>
      <c r="FH37" s="204"/>
    </row>
    <row r="38" spans="3:164" s="92" customFormat="1">
      <c r="C38" s="65"/>
      <c r="J38" s="190"/>
      <c r="K38" s="191"/>
      <c r="L38" s="191"/>
      <c r="M38" s="191"/>
      <c r="N38" s="191"/>
      <c r="O38" s="191"/>
      <c r="P38" s="191"/>
      <c r="Q38" s="191"/>
      <c r="R38" s="191"/>
      <c r="S38" s="191"/>
      <c r="T38" s="191"/>
      <c r="U38" s="191"/>
      <c r="V38" s="191"/>
      <c r="W38" s="191"/>
      <c r="X38" s="191"/>
      <c r="Y38" s="191"/>
      <c r="Z38" s="191"/>
      <c r="AA38" s="191"/>
      <c r="AB38" s="191"/>
      <c r="AC38" s="191"/>
      <c r="AD38" s="191"/>
      <c r="AE38" s="191"/>
      <c r="AF38" s="192"/>
      <c r="AG38" s="194"/>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2"/>
      <c r="BD38" s="194"/>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2"/>
      <c r="CA38" s="194"/>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6"/>
      <c r="CX38" s="65"/>
      <c r="CY38" s="65"/>
      <c r="CZ38" s="65"/>
      <c r="DA38" s="65"/>
      <c r="DB38" s="65"/>
      <c r="DC38" s="65"/>
      <c r="DD38" s="65"/>
      <c r="DE38" s="65"/>
      <c r="DF38" s="65"/>
      <c r="DG38" s="65"/>
      <c r="DH38" s="65"/>
      <c r="DK38" s="204"/>
      <c r="DL38" s="204"/>
      <c r="DM38" s="204"/>
      <c r="DN38" s="204"/>
      <c r="DO38" s="204"/>
      <c r="DP38" s="204"/>
      <c r="DQ38" s="204"/>
      <c r="DR38" s="204"/>
      <c r="DS38" s="204"/>
      <c r="DT38" s="204"/>
      <c r="DU38" s="204"/>
      <c r="DV38" s="204"/>
      <c r="DW38" s="204"/>
      <c r="DX38" s="204"/>
      <c r="DY38" s="204"/>
      <c r="DZ38" s="204"/>
      <c r="EA38" s="204"/>
      <c r="EB38" s="204"/>
      <c r="EC38" s="204"/>
      <c r="ED38" s="204"/>
      <c r="EE38" s="204"/>
      <c r="EF38" s="204"/>
      <c r="EG38" s="204"/>
      <c r="EH38" s="204"/>
      <c r="EI38" s="204"/>
      <c r="EJ38" s="204"/>
      <c r="EK38" s="204"/>
      <c r="EL38" s="204"/>
      <c r="EM38" s="204"/>
      <c r="EN38" s="204"/>
      <c r="EO38" s="204"/>
      <c r="EP38" s="204"/>
      <c r="EQ38" s="204"/>
      <c r="ER38" s="204"/>
      <c r="ES38" s="204"/>
      <c r="ET38" s="204"/>
      <c r="EU38" s="204"/>
      <c r="EV38" s="204"/>
      <c r="EW38" s="204"/>
      <c r="EX38" s="204"/>
      <c r="EY38" s="204"/>
      <c r="EZ38" s="204"/>
      <c r="FA38" s="204"/>
      <c r="FB38" s="204"/>
      <c r="FC38" s="204"/>
      <c r="FD38" s="204"/>
      <c r="FE38" s="204"/>
      <c r="FF38" s="204"/>
      <c r="FG38" s="204"/>
      <c r="FH38" s="204"/>
    </row>
    <row r="39" spans="3:164" s="92" customFormat="1">
      <c r="J39" s="201"/>
      <c r="K39" s="202"/>
      <c r="L39" s="202"/>
      <c r="M39" s="202"/>
      <c r="N39" s="202"/>
      <c r="O39" s="202"/>
      <c r="P39" s="202"/>
      <c r="Q39" s="202"/>
      <c r="R39" s="202"/>
      <c r="S39" s="202"/>
      <c r="T39" s="202"/>
      <c r="U39" s="202"/>
      <c r="V39" s="202"/>
      <c r="W39" s="202"/>
      <c r="X39" s="202"/>
      <c r="Y39" s="202"/>
      <c r="Z39" s="202"/>
      <c r="AA39" s="202"/>
      <c r="AB39" s="202"/>
      <c r="AC39" s="202"/>
      <c r="AD39" s="202"/>
      <c r="AE39" s="202"/>
      <c r="AF39" s="203"/>
      <c r="AG39" s="194"/>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2"/>
      <c r="BD39" s="194"/>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2"/>
      <c r="CA39" s="194"/>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6"/>
      <c r="DK39" s="205"/>
      <c r="DL39" s="205"/>
      <c r="DM39" s="205"/>
      <c r="DN39" s="205"/>
      <c r="DO39" s="205"/>
      <c r="DP39" s="205"/>
      <c r="DQ39" s="205"/>
      <c r="DR39" s="205"/>
      <c r="DS39" s="205"/>
      <c r="DT39" s="205"/>
      <c r="DU39" s="205"/>
      <c r="DV39" s="205"/>
      <c r="DW39" s="205"/>
      <c r="DX39" s="205"/>
      <c r="DY39" s="205"/>
      <c r="DZ39" s="205"/>
      <c r="EA39" s="205"/>
      <c r="EB39" s="205"/>
      <c r="EC39" s="205"/>
      <c r="ED39" s="205"/>
      <c r="EE39" s="205"/>
      <c r="EF39" s="205"/>
      <c r="EG39" s="205"/>
      <c r="EH39" s="205"/>
      <c r="EI39" s="205"/>
      <c r="EJ39" s="205"/>
      <c r="EK39" s="205"/>
      <c r="EL39" s="205"/>
      <c r="EM39" s="205"/>
      <c r="EN39" s="205"/>
      <c r="EO39" s="205"/>
      <c r="EP39" s="205"/>
      <c r="EQ39" s="205"/>
      <c r="ER39" s="205"/>
      <c r="ES39" s="205"/>
      <c r="ET39" s="205"/>
      <c r="EU39" s="205"/>
      <c r="EV39" s="205"/>
      <c r="EW39" s="205"/>
      <c r="EX39" s="205"/>
      <c r="EY39" s="205"/>
      <c r="EZ39" s="205"/>
      <c r="FA39" s="205"/>
      <c r="FB39" s="205"/>
      <c r="FC39" s="205"/>
      <c r="FD39" s="205"/>
      <c r="FE39" s="205"/>
      <c r="FF39" s="205"/>
      <c r="FG39" s="205"/>
      <c r="FH39" s="205"/>
    </row>
    <row r="40" spans="3:164" s="92" customFormat="1" ht="12.75" thickBot="1">
      <c r="J40" s="206"/>
      <c r="K40" s="207"/>
      <c r="L40" s="207"/>
      <c r="M40" s="207"/>
      <c r="N40" s="207"/>
      <c r="O40" s="207"/>
      <c r="P40" s="207"/>
      <c r="Q40" s="207"/>
      <c r="R40" s="207"/>
      <c r="S40" s="207"/>
      <c r="T40" s="207"/>
      <c r="U40" s="207"/>
      <c r="V40" s="207"/>
      <c r="W40" s="207"/>
      <c r="X40" s="207"/>
      <c r="Y40" s="207"/>
      <c r="Z40" s="207"/>
      <c r="AA40" s="207"/>
      <c r="AB40" s="207"/>
      <c r="AC40" s="207"/>
      <c r="AD40" s="207"/>
      <c r="AE40" s="207"/>
      <c r="AF40" s="20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209"/>
      <c r="DK40" s="205"/>
      <c r="DL40" s="205"/>
      <c r="DM40" s="205"/>
      <c r="DN40" s="205"/>
      <c r="DO40" s="205"/>
      <c r="DP40" s="205"/>
      <c r="DQ40" s="205"/>
      <c r="DR40" s="205"/>
      <c r="DS40" s="205"/>
      <c r="DT40" s="205"/>
      <c r="DU40" s="205"/>
      <c r="DV40" s="205"/>
      <c r="DW40" s="205"/>
      <c r="DX40" s="205"/>
      <c r="DY40" s="205"/>
      <c r="DZ40" s="205"/>
      <c r="EA40" s="205"/>
      <c r="EB40" s="205"/>
      <c r="EC40" s="205"/>
      <c r="ED40" s="205"/>
      <c r="EE40" s="205"/>
      <c r="EF40" s="205"/>
      <c r="EG40" s="205"/>
      <c r="EH40" s="205"/>
      <c r="EI40" s="205"/>
      <c r="EJ40" s="205"/>
      <c r="EK40" s="205"/>
      <c r="EL40" s="205"/>
      <c r="EM40" s="205"/>
      <c r="EN40" s="205"/>
      <c r="EO40" s="205"/>
      <c r="EP40" s="205"/>
      <c r="EQ40" s="205"/>
      <c r="ER40" s="205"/>
      <c r="ES40" s="205"/>
      <c r="ET40" s="205"/>
      <c r="EU40" s="205"/>
      <c r="EV40" s="205"/>
      <c r="EW40" s="205"/>
      <c r="EX40" s="205"/>
      <c r="EY40" s="205"/>
      <c r="EZ40" s="205"/>
      <c r="FA40" s="205"/>
      <c r="FB40" s="205"/>
      <c r="FC40" s="205"/>
      <c r="FD40" s="205"/>
      <c r="FE40" s="205"/>
      <c r="FF40" s="205"/>
      <c r="FG40" s="205"/>
      <c r="FH40" s="205"/>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4"/>
  <sheetViews>
    <sheetView view="pageBreakPreview" zoomScale="85" zoomScaleNormal="100" zoomScaleSheetLayoutView="85" workbookViewId="0">
      <selection activeCell="B27" sqref="B27"/>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324</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X140"/>
  <sheetViews>
    <sheetView tabSelected="1" zoomScale="70" zoomScaleNormal="70" workbookViewId="0">
      <pane xSplit="1" ySplit="7" topLeftCell="B8" activePane="bottomRight" state="frozen"/>
      <selection pane="topRight" activeCell="B1" sqref="B1"/>
      <selection pane="bottomLeft" activeCell="A8" sqref="A8"/>
      <selection pane="bottomRight" activeCell="G9" sqref="G9"/>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4.375" style="4" customWidth="1"/>
    <col min="10" max="10" width="8.75" style="4" customWidth="1"/>
    <col min="11" max="11" width="7.875" style="4" customWidth="1"/>
    <col min="12" max="12" width="13.25" style="8" customWidth="1"/>
    <col min="13" max="13" width="8.5" style="99" customWidth="1"/>
    <col min="14" max="14" width="7.125" style="99" customWidth="1"/>
    <col min="15" max="15" width="11.75" style="99" bestFit="1" customWidth="1"/>
    <col min="16" max="16" width="9.25" style="99" customWidth="1"/>
    <col min="17" max="17" width="31.125" style="99" customWidth="1"/>
    <col min="18" max="18" width="40.75" style="99" customWidth="1"/>
    <col min="19" max="19" width="13.75" style="99" customWidth="1"/>
    <col min="20" max="20" width="15.25" style="99" customWidth="1"/>
    <col min="21" max="21" width="16.375" style="99" customWidth="1"/>
    <col min="22" max="16384" width="6.875" style="99"/>
  </cols>
  <sheetData>
    <row r="1" spans="1:24" ht="12" customHeight="1">
      <c r="N1" s="99" t="s">
        <v>0</v>
      </c>
      <c r="O1" s="99" t="s">
        <v>312</v>
      </c>
      <c r="P1" s="99" t="s">
        <v>140</v>
      </c>
      <c r="Q1" s="99" t="s">
        <v>307</v>
      </c>
    </row>
    <row r="2" spans="1:24">
      <c r="A2" s="98"/>
      <c r="G2" s="6" t="s">
        <v>1</v>
      </c>
      <c r="H2" s="7" t="s">
        <v>0</v>
      </c>
      <c r="I2" s="7" t="s">
        <v>17</v>
      </c>
      <c r="J2" s="7" t="s">
        <v>21</v>
      </c>
      <c r="K2" s="96"/>
      <c r="L2" s="118" t="s">
        <v>137</v>
      </c>
      <c r="M2" s="12">
        <f>COUNTA(B8:B496)</f>
        <v>130</v>
      </c>
      <c r="N2" s="99">
        <f>COUNTIF($H$9:$H$996,"OK")+COUNTIF($H$9:$H996,"－")</f>
        <v>0</v>
      </c>
      <c r="O2" s="99">
        <f>COUNTIF($H$9:$H$996,"NG")</f>
        <v>0</v>
      </c>
      <c r="P2" s="99">
        <f>COUNTIF($H$9:$H$996,"NG（済）")</f>
        <v>0</v>
      </c>
      <c r="Q2" s="99">
        <f>COUNTIF($H$9:$H$996,"未実施")</f>
        <v>0</v>
      </c>
    </row>
    <row r="3" spans="1:24">
      <c r="A3" s="98" t="s">
        <v>2</v>
      </c>
      <c r="B3" s="9" t="s">
        <v>81</v>
      </c>
      <c r="G3" s="10">
        <f>SUM(M2:M4)</f>
        <v>390</v>
      </c>
      <c r="H3" s="10">
        <f t="shared" ref="H3:J3" si="0">SUM(N2:N4)</f>
        <v>0</v>
      </c>
      <c r="I3" s="10">
        <f t="shared" si="0"/>
        <v>0</v>
      </c>
      <c r="J3" s="10">
        <f t="shared" si="0"/>
        <v>0</v>
      </c>
      <c r="K3" s="96"/>
      <c r="L3" s="119" t="s">
        <v>138</v>
      </c>
      <c r="M3" s="12">
        <f>COUNTA(B8:B496)</f>
        <v>130</v>
      </c>
      <c r="N3" s="99">
        <f>COUNTIF($K$9:$K$996,"OK")+COUNTIF($K$9:$K$996,"－")</f>
        <v>0</v>
      </c>
      <c r="O3" s="99">
        <f>COUNTIF($K$9:$K$996,"NG")</f>
        <v>0</v>
      </c>
      <c r="P3" s="99">
        <f>COUNTIF($K$9:$K$996,"NG（済）")</f>
        <v>0</v>
      </c>
      <c r="Q3" s="99">
        <f>COUNTIF($K$9:$K$996,"未実施")</f>
        <v>0</v>
      </c>
      <c r="S3" s="98"/>
    </row>
    <row r="4" spans="1:24">
      <c r="A4" s="13" t="s">
        <v>3</v>
      </c>
      <c r="B4" s="98" t="s">
        <v>13</v>
      </c>
      <c r="C4" s="97" t="s">
        <v>121</v>
      </c>
      <c r="D4" s="97"/>
      <c r="E4" s="99" t="s">
        <v>314</v>
      </c>
      <c r="L4" s="120" t="s">
        <v>139</v>
      </c>
      <c r="M4" s="12">
        <f>COUNTA(B8:B496)</f>
        <v>130</v>
      </c>
      <c r="N4" s="99">
        <f>COUNTIF($N$9:$N$996,"OK")+COUNTIF($N$11:$N$996,"－")</f>
        <v>0</v>
      </c>
      <c r="O4" s="99">
        <f>COUNTIF($N$9:$N$996,"NG")</f>
        <v>0</v>
      </c>
      <c r="P4" s="99">
        <f>COUNTIF($N$9:$N$996,"NG（済）")</f>
        <v>0</v>
      </c>
      <c r="Q4" s="99">
        <f>COUNTIF($N$9:$N$996,"未実施")</f>
        <v>0</v>
      </c>
      <c r="S4" s="13"/>
    </row>
    <row r="5" spans="1:24">
      <c r="A5" s="13"/>
      <c r="B5" s="98"/>
      <c r="L5" s="12"/>
      <c r="Q5" s="13"/>
      <c r="R5" s="13"/>
    </row>
    <row r="6" spans="1:24">
      <c r="B6" s="216" t="s">
        <v>4</v>
      </c>
      <c r="C6" s="218" t="s">
        <v>5</v>
      </c>
      <c r="D6" s="218" t="s">
        <v>80</v>
      </c>
      <c r="E6" s="218" t="s">
        <v>6</v>
      </c>
      <c r="F6" s="219" t="s">
        <v>7</v>
      </c>
      <c r="G6" s="220"/>
      <c r="H6" s="224" t="s">
        <v>134</v>
      </c>
      <c r="I6" s="224"/>
      <c r="J6" s="224"/>
      <c r="K6" s="224" t="s">
        <v>135</v>
      </c>
      <c r="L6" s="224"/>
      <c r="M6" s="224"/>
      <c r="N6" s="224" t="s">
        <v>136</v>
      </c>
      <c r="O6" s="224"/>
      <c r="P6" s="224"/>
      <c r="Q6" s="210" t="s">
        <v>313</v>
      </c>
      <c r="R6" s="210" t="s">
        <v>79</v>
      </c>
      <c r="S6" s="223" t="s">
        <v>14</v>
      </c>
      <c r="T6" s="223"/>
      <c r="U6" s="223"/>
      <c r="V6" s="107"/>
    </row>
    <row r="7" spans="1:24">
      <c r="B7" s="217"/>
      <c r="C7" s="211"/>
      <c r="D7" s="211"/>
      <c r="E7" s="211"/>
      <c r="F7" s="221"/>
      <c r="G7" s="222"/>
      <c r="H7" s="106" t="s">
        <v>8</v>
      </c>
      <c r="I7" s="106" t="s">
        <v>9</v>
      </c>
      <c r="J7" s="106" t="s">
        <v>10</v>
      </c>
      <c r="K7" s="111" t="s">
        <v>8</v>
      </c>
      <c r="L7" s="111" t="s">
        <v>9</v>
      </c>
      <c r="M7" s="111" t="s">
        <v>10</v>
      </c>
      <c r="N7" s="111" t="s">
        <v>8</v>
      </c>
      <c r="O7" s="111" t="s">
        <v>9</v>
      </c>
      <c r="P7" s="111" t="s">
        <v>10</v>
      </c>
      <c r="Q7" s="211"/>
      <c r="R7" s="211"/>
      <c r="S7" s="93"/>
      <c r="T7" s="94"/>
      <c r="U7" s="95"/>
      <c r="V7" s="107"/>
    </row>
    <row r="8" spans="1:24" ht="48.75" customHeight="1">
      <c r="A8" s="104"/>
      <c r="B8" s="158" t="str">
        <f>"1-"&amp;ROW()-7</f>
        <v>1-1</v>
      </c>
      <c r="C8" s="100" t="s">
        <v>177</v>
      </c>
      <c r="D8" s="100" t="s">
        <v>233</v>
      </c>
      <c r="E8" s="100" t="s">
        <v>178</v>
      </c>
      <c r="F8" s="212" t="s">
        <v>248</v>
      </c>
      <c r="G8" s="213"/>
      <c r="H8" s="102"/>
      <c r="I8" s="20"/>
      <c r="J8" s="102"/>
      <c r="K8" s="102"/>
      <c r="L8" s="20"/>
      <c r="M8" s="102"/>
      <c r="N8" s="102"/>
      <c r="O8" s="20"/>
      <c r="P8" s="102"/>
      <c r="Q8" s="102"/>
      <c r="R8" s="102"/>
      <c r="S8" s="100"/>
      <c r="T8" s="103"/>
      <c r="U8" s="103"/>
      <c r="V8" s="123"/>
    </row>
    <row r="9" spans="1:24" ht="48.75" customHeight="1">
      <c r="A9" s="104"/>
      <c r="B9" s="158" t="str">
        <f t="shared" ref="B9:B10" si="1">"1-"&amp;ROW()-7</f>
        <v>1-2</v>
      </c>
      <c r="C9" s="100"/>
      <c r="D9" s="100"/>
      <c r="E9" s="100" t="s">
        <v>306</v>
      </c>
      <c r="F9" s="167"/>
      <c r="G9" s="168"/>
      <c r="H9" s="102"/>
      <c r="I9" s="20"/>
      <c r="J9" s="102"/>
      <c r="K9" s="102"/>
      <c r="L9" s="20"/>
      <c r="M9" s="102"/>
      <c r="N9" s="102"/>
      <c r="O9" s="20"/>
      <c r="P9" s="102"/>
      <c r="Q9" s="102"/>
      <c r="R9" s="102"/>
      <c r="S9" s="100"/>
      <c r="T9" s="103"/>
      <c r="U9" s="103"/>
      <c r="V9" s="163"/>
    </row>
    <row r="10" spans="1:24" ht="48.75" customHeight="1">
      <c r="A10" s="104"/>
      <c r="B10" s="158" t="str">
        <f t="shared" si="1"/>
        <v>1-3</v>
      </c>
      <c r="C10" s="100"/>
      <c r="D10" s="100" t="s">
        <v>88</v>
      </c>
      <c r="E10" s="100" t="s">
        <v>247</v>
      </c>
      <c r="F10" s="212" t="s">
        <v>249</v>
      </c>
      <c r="G10" s="213"/>
      <c r="H10" s="102"/>
      <c r="I10" s="20"/>
      <c r="J10" s="102"/>
      <c r="K10" s="102"/>
      <c r="L10" s="20"/>
      <c r="M10" s="102"/>
      <c r="N10" s="102"/>
      <c r="O10" s="20"/>
      <c r="P10" s="102"/>
      <c r="Q10" s="102"/>
      <c r="R10" s="102"/>
      <c r="S10" s="100"/>
      <c r="T10" s="103"/>
      <c r="U10" s="103"/>
      <c r="V10" s="143"/>
    </row>
    <row r="11" spans="1:24" ht="48.75" customHeight="1">
      <c r="A11" s="104"/>
      <c r="B11" s="158" t="str">
        <f>"1-"&amp;ROW()-7</f>
        <v>1-4</v>
      </c>
      <c r="C11" s="100"/>
      <c r="D11" s="100"/>
      <c r="E11" s="100" t="s">
        <v>306</v>
      </c>
      <c r="F11" s="167"/>
      <c r="G11" s="168"/>
      <c r="H11" s="102"/>
      <c r="I11" s="20"/>
      <c r="J11" s="102"/>
      <c r="K11" s="102"/>
      <c r="L11" s="20"/>
      <c r="M11" s="102"/>
      <c r="N11" s="102"/>
      <c r="O11" s="20"/>
      <c r="P11" s="102"/>
      <c r="Q11" s="102"/>
      <c r="R11" s="102"/>
      <c r="S11" s="100"/>
      <c r="T11" s="103"/>
      <c r="U11" s="103"/>
      <c r="V11" s="163"/>
    </row>
    <row r="12" spans="1:24" ht="34.5" customHeight="1">
      <c r="A12" s="104"/>
      <c r="B12" s="101" t="str">
        <f t="shared" ref="B12:B94" si="2">"1-"&amp;ROW()-7</f>
        <v>1-5</v>
      </c>
      <c r="C12" s="100" t="s">
        <v>260</v>
      </c>
      <c r="D12" s="100" t="s">
        <v>74</v>
      </c>
      <c r="E12" s="100"/>
      <c r="F12" s="212" t="s">
        <v>167</v>
      </c>
      <c r="G12" s="213"/>
      <c r="H12" s="102"/>
      <c r="I12" s="20"/>
      <c r="J12" s="102"/>
      <c r="K12" s="102"/>
      <c r="L12" s="20"/>
      <c r="M12" s="102"/>
      <c r="N12" s="102"/>
      <c r="O12" s="20"/>
      <c r="P12" s="102"/>
      <c r="Q12" s="102"/>
      <c r="R12" s="102"/>
      <c r="S12" s="100"/>
      <c r="T12" s="103"/>
      <c r="U12" s="103"/>
      <c r="V12" s="123"/>
      <c r="W12" s="123"/>
      <c r="X12" s="123"/>
    </row>
    <row r="13" spans="1:24" ht="34.5" customHeight="1">
      <c r="A13" s="104"/>
      <c r="B13" s="101" t="str">
        <f t="shared" si="2"/>
        <v>1-6</v>
      </c>
      <c r="C13" s="100"/>
      <c r="D13" s="100" t="s">
        <v>283</v>
      </c>
      <c r="E13" s="100"/>
      <c r="F13" s="212" t="s">
        <v>267</v>
      </c>
      <c r="G13" s="213"/>
      <c r="H13" s="102"/>
      <c r="I13" s="20"/>
      <c r="J13" s="102"/>
      <c r="K13" s="102"/>
      <c r="L13" s="20"/>
      <c r="M13" s="102"/>
      <c r="N13" s="102"/>
      <c r="O13" s="20"/>
      <c r="P13" s="102"/>
      <c r="Q13" s="102"/>
      <c r="R13" s="102"/>
      <c r="S13" s="100"/>
      <c r="T13" s="103"/>
      <c r="U13" s="103"/>
      <c r="V13" s="107"/>
    </row>
    <row r="14" spans="1:24" ht="34.5" customHeight="1">
      <c r="A14" s="104"/>
      <c r="B14" s="101" t="str">
        <f t="shared" si="2"/>
        <v>1-7</v>
      </c>
      <c r="C14" s="100"/>
      <c r="D14" s="130" t="s">
        <v>262</v>
      </c>
      <c r="E14" s="100" t="s">
        <v>265</v>
      </c>
      <c r="F14" s="212" t="s">
        <v>261</v>
      </c>
      <c r="G14" s="213"/>
      <c r="H14" s="102"/>
      <c r="I14" s="20"/>
      <c r="J14" s="102"/>
      <c r="K14" s="102"/>
      <c r="L14" s="20"/>
      <c r="M14" s="102"/>
      <c r="N14" s="102"/>
      <c r="O14" s="20"/>
      <c r="P14" s="102"/>
      <c r="Q14" s="102"/>
      <c r="R14" s="102"/>
      <c r="S14" s="100"/>
      <c r="T14" s="103"/>
      <c r="U14" s="103"/>
      <c r="V14" s="144"/>
    </row>
    <row r="15" spans="1:24" ht="34.5" customHeight="1">
      <c r="A15" s="104"/>
      <c r="B15" s="101" t="str">
        <f t="shared" si="2"/>
        <v>1-8</v>
      </c>
      <c r="C15" s="100"/>
      <c r="D15" s="130"/>
      <c r="E15" s="100" t="s">
        <v>284</v>
      </c>
      <c r="F15" s="104" t="s">
        <v>269</v>
      </c>
      <c r="G15" s="104"/>
      <c r="H15" s="102"/>
      <c r="I15" s="20"/>
      <c r="J15" s="102"/>
      <c r="K15" s="102"/>
      <c r="L15" s="20"/>
      <c r="M15" s="102"/>
      <c r="N15" s="102"/>
      <c r="O15" s="20"/>
      <c r="P15" s="102"/>
      <c r="Q15" s="102"/>
      <c r="R15" s="102"/>
      <c r="S15" s="100"/>
      <c r="T15" s="103"/>
      <c r="U15" s="103"/>
      <c r="V15" s="144"/>
    </row>
    <row r="16" spans="1:24" ht="34.5" customHeight="1">
      <c r="A16" s="104"/>
      <c r="B16" s="101" t="str">
        <f t="shared" si="2"/>
        <v>1-9</v>
      </c>
      <c r="C16" s="100"/>
      <c r="D16" s="130"/>
      <c r="E16" s="100" t="s">
        <v>285</v>
      </c>
      <c r="F16" s="171" t="s">
        <v>271</v>
      </c>
      <c r="G16" s="37"/>
      <c r="H16" s="102"/>
      <c r="I16" s="20"/>
      <c r="J16" s="102"/>
      <c r="K16" s="102"/>
      <c r="L16" s="20"/>
      <c r="M16" s="102"/>
      <c r="N16" s="102"/>
      <c r="O16" s="20"/>
      <c r="P16" s="102"/>
      <c r="Q16" s="102"/>
      <c r="R16" s="102"/>
      <c r="S16" s="100"/>
      <c r="T16" s="103"/>
      <c r="U16" s="103"/>
      <c r="V16" s="144"/>
    </row>
    <row r="17" spans="1:24" ht="34.5" customHeight="1">
      <c r="A17" s="104"/>
      <c r="B17" s="101" t="str">
        <f t="shared" si="2"/>
        <v>1-10</v>
      </c>
      <c r="C17" s="100"/>
      <c r="D17" s="130" t="s">
        <v>263</v>
      </c>
      <c r="E17" s="100" t="s">
        <v>265</v>
      </c>
      <c r="F17" s="212" t="s">
        <v>261</v>
      </c>
      <c r="G17" s="213"/>
      <c r="H17" s="102"/>
      <c r="I17" s="20"/>
      <c r="J17" s="102"/>
      <c r="K17" s="102"/>
      <c r="L17" s="20"/>
      <c r="M17" s="102"/>
      <c r="N17" s="102"/>
      <c r="O17" s="20"/>
      <c r="P17" s="102"/>
      <c r="Q17" s="102"/>
      <c r="R17" s="102"/>
      <c r="S17" s="100"/>
      <c r="T17" s="103"/>
      <c r="U17" s="103"/>
      <c r="V17" s="144"/>
    </row>
    <row r="18" spans="1:24" ht="34.5" customHeight="1">
      <c r="A18" s="104"/>
      <c r="B18" s="101" t="str">
        <f t="shared" si="2"/>
        <v>1-11</v>
      </c>
      <c r="C18" s="100"/>
      <c r="D18" s="130" t="s">
        <v>264</v>
      </c>
      <c r="E18" s="100" t="s">
        <v>265</v>
      </c>
      <c r="F18" s="212" t="s">
        <v>261</v>
      </c>
      <c r="G18" s="213"/>
      <c r="H18" s="102"/>
      <c r="I18" s="20"/>
      <c r="J18" s="102"/>
      <c r="K18" s="102"/>
      <c r="L18" s="20"/>
      <c r="M18" s="102"/>
      <c r="N18" s="102"/>
      <c r="O18" s="20"/>
      <c r="P18" s="102"/>
      <c r="Q18" s="102"/>
      <c r="R18" s="102"/>
      <c r="S18" s="100"/>
      <c r="T18" s="103"/>
      <c r="U18" s="103"/>
      <c r="V18" s="144"/>
    </row>
    <row r="19" spans="1:24" ht="34.5" customHeight="1">
      <c r="A19" s="104"/>
      <c r="B19" s="101" t="str">
        <f t="shared" si="2"/>
        <v>1-12</v>
      </c>
      <c r="C19" s="100"/>
      <c r="D19" s="100" t="s">
        <v>286</v>
      </c>
      <c r="E19" s="100"/>
      <c r="F19" s="212" t="s">
        <v>266</v>
      </c>
      <c r="G19" s="213"/>
      <c r="H19" s="102"/>
      <c r="I19" s="20"/>
      <c r="J19" s="102"/>
      <c r="K19" s="102"/>
      <c r="L19" s="20"/>
      <c r="M19" s="102"/>
      <c r="N19" s="102"/>
      <c r="O19" s="20"/>
      <c r="P19" s="102"/>
      <c r="Q19" s="102"/>
      <c r="R19" s="102"/>
      <c r="S19" s="100"/>
      <c r="T19" s="103"/>
      <c r="U19" s="103"/>
      <c r="V19" s="144"/>
    </row>
    <row r="20" spans="1:24" ht="34.5" customHeight="1">
      <c r="A20" s="104"/>
      <c r="B20" s="101" t="str">
        <f t="shared" si="2"/>
        <v>1-13</v>
      </c>
      <c r="C20" s="100"/>
      <c r="D20" s="130" t="s">
        <v>268</v>
      </c>
      <c r="E20" s="100" t="s">
        <v>265</v>
      </c>
      <c r="F20" s="212" t="s">
        <v>261</v>
      </c>
      <c r="G20" s="213"/>
      <c r="H20" s="102"/>
      <c r="I20" s="20"/>
      <c r="J20" s="102"/>
      <c r="K20" s="102"/>
      <c r="L20" s="20"/>
      <c r="M20" s="102"/>
      <c r="N20" s="102"/>
      <c r="O20" s="20"/>
      <c r="P20" s="102"/>
      <c r="Q20" s="102"/>
      <c r="R20" s="102"/>
      <c r="S20" s="100"/>
      <c r="T20" s="103"/>
      <c r="U20" s="103"/>
      <c r="V20" s="144"/>
    </row>
    <row r="21" spans="1:24" ht="34.5" customHeight="1">
      <c r="A21" s="104"/>
      <c r="B21" s="101" t="str">
        <f t="shared" si="2"/>
        <v>1-14</v>
      </c>
      <c r="C21" s="100"/>
      <c r="D21" s="130"/>
      <c r="E21" s="100" t="s">
        <v>284</v>
      </c>
      <c r="F21" s="104" t="s">
        <v>270</v>
      </c>
      <c r="G21" s="104"/>
      <c r="H21" s="102"/>
      <c r="I21" s="20"/>
      <c r="J21" s="102"/>
      <c r="K21" s="102"/>
      <c r="L21" s="20"/>
      <c r="M21" s="102"/>
      <c r="N21" s="102"/>
      <c r="O21" s="20"/>
      <c r="P21" s="102"/>
      <c r="Q21" s="102"/>
      <c r="R21" s="102"/>
      <c r="S21" s="100"/>
      <c r="T21" s="103"/>
      <c r="U21" s="103"/>
      <c r="V21" s="144"/>
    </row>
    <row r="22" spans="1:24" ht="34.5" customHeight="1">
      <c r="A22" s="104"/>
      <c r="B22" s="101" t="str">
        <f t="shared" si="2"/>
        <v>1-15</v>
      </c>
      <c r="C22" s="100"/>
      <c r="D22" s="130"/>
      <c r="E22" s="100" t="s">
        <v>285</v>
      </c>
      <c r="F22" s="171" t="s">
        <v>271</v>
      </c>
      <c r="G22" s="37"/>
      <c r="H22" s="102"/>
      <c r="I22" s="20"/>
      <c r="J22" s="102"/>
      <c r="K22" s="102"/>
      <c r="L22" s="20"/>
      <c r="M22" s="102"/>
      <c r="N22" s="102"/>
      <c r="O22" s="20"/>
      <c r="P22" s="102"/>
      <c r="Q22" s="102"/>
      <c r="R22" s="102"/>
      <c r="S22" s="100"/>
      <c r="T22" s="103"/>
      <c r="U22" s="103"/>
      <c r="V22" s="144"/>
    </row>
    <row r="23" spans="1:24" ht="34.5" customHeight="1">
      <c r="A23" s="104"/>
      <c r="B23" s="101" t="str">
        <f t="shared" si="2"/>
        <v>1-16</v>
      </c>
      <c r="C23" s="100"/>
      <c r="D23" s="130" t="s">
        <v>264</v>
      </c>
      <c r="E23" s="100" t="s">
        <v>265</v>
      </c>
      <c r="F23" s="212" t="s">
        <v>261</v>
      </c>
      <c r="G23" s="213"/>
      <c r="H23" s="102"/>
      <c r="I23" s="20"/>
      <c r="J23" s="102"/>
      <c r="K23" s="102"/>
      <c r="L23" s="20"/>
      <c r="M23" s="102"/>
      <c r="N23" s="102"/>
      <c r="O23" s="20"/>
      <c r="P23" s="102"/>
      <c r="Q23" s="102"/>
      <c r="R23" s="102"/>
      <c r="S23" s="100"/>
      <c r="T23" s="103"/>
      <c r="U23" s="103"/>
      <c r="V23" s="144"/>
    </row>
    <row r="24" spans="1:24" ht="34.5" customHeight="1">
      <c r="A24" s="104"/>
      <c r="B24" s="101" t="str">
        <f t="shared" si="2"/>
        <v>1-17</v>
      </c>
      <c r="C24" s="100" t="s">
        <v>89</v>
      </c>
      <c r="D24" s="100" t="s">
        <v>88</v>
      </c>
      <c r="E24" s="100" t="s">
        <v>62</v>
      </c>
      <c r="F24" s="212" t="s">
        <v>84</v>
      </c>
      <c r="G24" s="213"/>
      <c r="H24" s="102"/>
      <c r="I24" s="20"/>
      <c r="J24" s="102"/>
      <c r="K24" s="102"/>
      <c r="L24" s="20"/>
      <c r="M24" s="102"/>
      <c r="N24" s="102"/>
      <c r="O24" s="20"/>
      <c r="P24" s="102"/>
      <c r="Q24" s="102"/>
      <c r="R24" s="102"/>
      <c r="S24" s="102"/>
      <c r="T24" s="103"/>
      <c r="U24" s="103"/>
      <c r="V24" s="107"/>
    </row>
    <row r="25" spans="1:24" ht="34.5" customHeight="1">
      <c r="A25" s="104"/>
      <c r="B25" s="101" t="str">
        <f t="shared" si="2"/>
        <v>1-18</v>
      </c>
      <c r="C25" s="100"/>
      <c r="D25" s="100" t="s">
        <v>88</v>
      </c>
      <c r="E25" s="100" t="s">
        <v>62</v>
      </c>
      <c r="F25" s="212" t="s">
        <v>168</v>
      </c>
      <c r="G25" s="213"/>
      <c r="H25" s="102"/>
      <c r="I25" s="20"/>
      <c r="J25" s="102"/>
      <c r="K25" s="102"/>
      <c r="L25" s="20"/>
      <c r="M25" s="102"/>
      <c r="N25" s="102"/>
      <c r="O25" s="20"/>
      <c r="P25" s="102"/>
      <c r="Q25" s="102"/>
      <c r="R25" s="102"/>
      <c r="S25" s="100"/>
      <c r="T25" s="103"/>
      <c r="U25" s="103"/>
      <c r="V25" s="123"/>
    </row>
    <row r="26" spans="1:24" ht="34.5" customHeight="1">
      <c r="A26" s="104"/>
      <c r="B26" s="101" t="str">
        <f t="shared" si="2"/>
        <v>1-19</v>
      </c>
      <c r="C26" s="100"/>
      <c r="D26" s="100" t="s">
        <v>169</v>
      </c>
      <c r="E26" s="100" t="s">
        <v>62</v>
      </c>
      <c r="F26" s="212" t="s">
        <v>170</v>
      </c>
      <c r="G26" s="213"/>
      <c r="H26" s="102"/>
      <c r="I26" s="20"/>
      <c r="J26" s="102"/>
      <c r="K26" s="102"/>
      <c r="L26" s="20"/>
      <c r="M26" s="102"/>
      <c r="N26" s="102"/>
      <c r="O26" s="20"/>
      <c r="P26" s="102"/>
      <c r="Q26" s="102"/>
      <c r="R26" s="102"/>
      <c r="S26" s="100"/>
      <c r="T26" s="103"/>
      <c r="U26" s="103"/>
      <c r="V26" s="123"/>
      <c r="W26" s="123"/>
      <c r="X26" s="123"/>
    </row>
    <row r="27" spans="1:24" ht="34.5" customHeight="1">
      <c r="A27" s="104"/>
      <c r="B27" s="101" t="str">
        <f t="shared" si="2"/>
        <v>1-20</v>
      </c>
      <c r="C27" s="100"/>
      <c r="D27" s="100" t="s">
        <v>85</v>
      </c>
      <c r="E27" s="100" t="s">
        <v>74</v>
      </c>
      <c r="F27" s="212" t="s">
        <v>106</v>
      </c>
      <c r="G27" s="213"/>
      <c r="H27" s="102"/>
      <c r="I27" s="20"/>
      <c r="J27" s="102"/>
      <c r="K27" s="102"/>
      <c r="L27" s="20"/>
      <c r="M27" s="102"/>
      <c r="N27" s="102"/>
      <c r="O27" s="20"/>
      <c r="P27" s="102"/>
      <c r="Q27" s="102"/>
      <c r="R27" s="102"/>
      <c r="S27" s="100"/>
      <c r="T27" s="103"/>
      <c r="U27" s="103"/>
      <c r="V27" s="107"/>
    </row>
    <row r="28" spans="1:24" ht="34.5" customHeight="1">
      <c r="A28" s="104"/>
      <c r="B28" s="101" t="str">
        <f t="shared" si="2"/>
        <v>1-21</v>
      </c>
      <c r="C28" s="100"/>
      <c r="D28" s="100"/>
      <c r="E28" s="100" t="s">
        <v>90</v>
      </c>
      <c r="F28" s="212" t="s">
        <v>91</v>
      </c>
      <c r="G28" s="213"/>
      <c r="H28" s="102"/>
      <c r="I28" s="20"/>
      <c r="J28" s="102"/>
      <c r="K28" s="102"/>
      <c r="L28" s="20"/>
      <c r="M28" s="102"/>
      <c r="N28" s="102"/>
      <c r="O28" s="20"/>
      <c r="P28" s="102"/>
      <c r="Q28" s="102"/>
      <c r="R28" s="102"/>
      <c r="S28" s="100"/>
      <c r="T28" s="103"/>
      <c r="U28" s="103"/>
      <c r="V28" s="107"/>
    </row>
    <row r="29" spans="1:24" ht="34.5" customHeight="1">
      <c r="A29" s="104"/>
      <c r="B29" s="101" t="str">
        <f t="shared" si="2"/>
        <v>1-22</v>
      </c>
      <c r="C29" s="100"/>
      <c r="D29" s="100"/>
      <c r="E29" s="100" t="s">
        <v>92</v>
      </c>
      <c r="F29" s="212" t="s">
        <v>295</v>
      </c>
      <c r="G29" s="213"/>
      <c r="H29" s="102"/>
      <c r="I29" s="20"/>
      <c r="J29" s="102"/>
      <c r="K29" s="102"/>
      <c r="L29" s="20"/>
      <c r="M29" s="102"/>
      <c r="N29" s="102"/>
      <c r="O29" s="20"/>
      <c r="P29" s="102"/>
      <c r="Q29" s="102"/>
      <c r="R29" s="102"/>
      <c r="S29" s="100"/>
      <c r="T29" s="103"/>
      <c r="U29" s="103"/>
      <c r="V29" s="107"/>
    </row>
    <row r="30" spans="1:24" ht="34.5" customHeight="1">
      <c r="A30" s="104"/>
      <c r="B30" s="101" t="str">
        <f t="shared" si="2"/>
        <v>1-23</v>
      </c>
      <c r="C30" s="100"/>
      <c r="D30" s="100" t="s">
        <v>86</v>
      </c>
      <c r="E30" s="100" t="s">
        <v>74</v>
      </c>
      <c r="F30" s="212" t="s">
        <v>97</v>
      </c>
      <c r="G30" s="213"/>
      <c r="H30" s="102"/>
      <c r="I30" s="20"/>
      <c r="J30" s="102"/>
      <c r="K30" s="102"/>
      <c r="L30" s="20"/>
      <c r="M30" s="102"/>
      <c r="N30" s="102"/>
      <c r="O30" s="20"/>
      <c r="P30" s="102"/>
      <c r="Q30" s="102"/>
      <c r="R30" s="102"/>
      <c r="S30" s="100"/>
      <c r="T30" s="103"/>
      <c r="U30" s="103"/>
      <c r="V30" s="107"/>
    </row>
    <row r="31" spans="1:24" ht="34.5" customHeight="1">
      <c r="A31" s="104"/>
      <c r="B31" s="101" t="str">
        <f t="shared" si="2"/>
        <v>1-24</v>
      </c>
      <c r="C31" s="100"/>
      <c r="D31" s="100"/>
      <c r="E31" s="100" t="s">
        <v>92</v>
      </c>
      <c r="F31" s="212" t="s">
        <v>296</v>
      </c>
      <c r="G31" s="213"/>
      <c r="H31" s="102"/>
      <c r="I31" s="20"/>
      <c r="J31" s="102"/>
      <c r="K31" s="102"/>
      <c r="L31" s="20"/>
      <c r="M31" s="102"/>
      <c r="N31" s="102"/>
      <c r="O31" s="20"/>
      <c r="P31" s="102"/>
      <c r="Q31" s="102"/>
      <c r="R31" s="127"/>
      <c r="S31" s="100"/>
      <c r="T31" s="103"/>
      <c r="U31" s="103"/>
      <c r="V31" s="107"/>
    </row>
    <row r="32" spans="1:24" ht="34.5" customHeight="1">
      <c r="A32" s="104"/>
      <c r="B32" s="101" t="str">
        <f t="shared" si="2"/>
        <v>1-25</v>
      </c>
      <c r="C32" s="100"/>
      <c r="D32" s="100"/>
      <c r="E32" s="100" t="s">
        <v>112</v>
      </c>
      <c r="F32" s="212" t="s">
        <v>196</v>
      </c>
      <c r="G32" s="213"/>
      <c r="H32" s="102"/>
      <c r="I32" s="20"/>
      <c r="J32" s="102"/>
      <c r="K32" s="102"/>
      <c r="L32" s="20"/>
      <c r="M32" s="102"/>
      <c r="N32" s="102"/>
      <c r="O32" s="20"/>
      <c r="P32" s="102"/>
      <c r="Q32" s="102"/>
      <c r="R32" s="102"/>
      <c r="S32" s="100"/>
      <c r="T32" s="103"/>
      <c r="U32" s="103"/>
      <c r="V32" s="107"/>
    </row>
    <row r="33" spans="1:22" ht="34.5" customHeight="1">
      <c r="A33" s="104"/>
      <c r="B33" s="101" t="str">
        <f t="shared" si="2"/>
        <v>1-26</v>
      </c>
      <c r="C33" s="105"/>
      <c r="D33" s="100"/>
      <c r="E33" s="100" t="s">
        <v>113</v>
      </c>
      <c r="F33" s="212" t="s">
        <v>93</v>
      </c>
      <c r="G33" s="213"/>
      <c r="H33" s="102"/>
      <c r="I33" s="20"/>
      <c r="J33" s="102"/>
      <c r="K33" s="102"/>
      <c r="L33" s="20"/>
      <c r="M33" s="102"/>
      <c r="N33" s="102"/>
      <c r="O33" s="20"/>
      <c r="P33" s="102"/>
      <c r="Q33" s="102"/>
      <c r="R33" s="127"/>
      <c r="S33" s="100"/>
      <c r="T33" s="103"/>
      <c r="U33" s="103"/>
      <c r="V33" s="107"/>
    </row>
    <row r="34" spans="1:22" ht="34.5" customHeight="1">
      <c r="A34" s="104"/>
      <c r="B34" s="101" t="str">
        <f t="shared" si="2"/>
        <v>1-27</v>
      </c>
      <c r="C34" s="105"/>
      <c r="D34" s="100"/>
      <c r="E34" s="100" t="s">
        <v>279</v>
      </c>
      <c r="F34" s="212" t="s">
        <v>281</v>
      </c>
      <c r="G34" s="213"/>
      <c r="H34" s="102"/>
      <c r="I34" s="20"/>
      <c r="J34" s="102"/>
      <c r="K34" s="102"/>
      <c r="L34" s="20"/>
      <c r="M34" s="102"/>
      <c r="N34" s="102"/>
      <c r="O34" s="20"/>
      <c r="P34" s="102"/>
      <c r="Q34" s="102"/>
      <c r="R34" s="127"/>
      <c r="S34" s="100"/>
      <c r="T34" s="103"/>
      <c r="U34" s="103"/>
      <c r="V34" s="159"/>
    </row>
    <row r="35" spans="1:22" ht="34.5" customHeight="1">
      <c r="A35" s="104"/>
      <c r="B35" s="101" t="str">
        <f t="shared" si="2"/>
        <v>1-28</v>
      </c>
      <c r="C35" s="105"/>
      <c r="D35" s="100"/>
      <c r="E35" s="100" t="s">
        <v>280</v>
      </c>
      <c r="F35" s="212" t="s">
        <v>282</v>
      </c>
      <c r="G35" s="213"/>
      <c r="H35" s="102"/>
      <c r="I35" s="20"/>
      <c r="J35" s="102"/>
      <c r="K35" s="102"/>
      <c r="L35" s="20"/>
      <c r="M35" s="102"/>
      <c r="N35" s="102"/>
      <c r="O35" s="20"/>
      <c r="P35" s="102"/>
      <c r="Q35" s="102"/>
      <c r="R35" s="127"/>
      <c r="S35" s="100"/>
      <c r="T35" s="103"/>
      <c r="U35" s="103"/>
      <c r="V35" s="159"/>
    </row>
    <row r="36" spans="1:22" ht="34.5" customHeight="1">
      <c r="A36" s="104"/>
      <c r="B36" s="101" t="str">
        <f t="shared" si="2"/>
        <v>1-29</v>
      </c>
      <c r="C36" s="105"/>
      <c r="D36" s="100" t="s">
        <v>87</v>
      </c>
      <c r="E36" s="100" t="s">
        <v>74</v>
      </c>
      <c r="F36" s="212" t="s">
        <v>97</v>
      </c>
      <c r="G36" s="213"/>
      <c r="H36" s="102"/>
      <c r="I36" s="20"/>
      <c r="J36" s="102"/>
      <c r="K36" s="102"/>
      <c r="L36" s="20"/>
      <c r="M36" s="102"/>
      <c r="N36" s="102"/>
      <c r="O36" s="20"/>
      <c r="P36" s="102"/>
      <c r="Q36" s="102"/>
      <c r="R36" s="102"/>
      <c r="S36" s="100"/>
      <c r="T36" s="103"/>
      <c r="U36" s="103"/>
      <c r="V36" s="107"/>
    </row>
    <row r="37" spans="1:22" ht="34.5" customHeight="1">
      <c r="A37" s="104"/>
      <c r="B37" s="101" t="str">
        <f t="shared" si="2"/>
        <v>1-30</v>
      </c>
      <c r="C37" s="105"/>
      <c r="D37" s="100"/>
      <c r="E37" s="100" t="s">
        <v>92</v>
      </c>
      <c r="F37" s="212" t="s">
        <v>295</v>
      </c>
      <c r="G37" s="213"/>
      <c r="H37" s="102"/>
      <c r="I37" s="20"/>
      <c r="J37" s="102"/>
      <c r="K37" s="102"/>
      <c r="L37" s="20"/>
      <c r="M37" s="102"/>
      <c r="N37" s="102"/>
      <c r="O37" s="20"/>
      <c r="P37" s="102"/>
      <c r="Q37" s="102"/>
      <c r="R37" s="102"/>
      <c r="S37" s="100"/>
      <c r="T37" s="103"/>
      <c r="U37" s="103"/>
      <c r="V37" s="107"/>
    </row>
    <row r="38" spans="1:22" ht="34.5" customHeight="1">
      <c r="A38" s="104"/>
      <c r="B38" s="101" t="str">
        <f t="shared" si="2"/>
        <v>1-31</v>
      </c>
      <c r="C38" s="105"/>
      <c r="D38" s="100"/>
      <c r="E38" s="100" t="s">
        <v>112</v>
      </c>
      <c r="F38" s="212" t="s">
        <v>196</v>
      </c>
      <c r="G38" s="213"/>
      <c r="H38" s="102"/>
      <c r="I38" s="20"/>
      <c r="J38" s="102"/>
      <c r="K38" s="102"/>
      <c r="L38" s="20"/>
      <c r="M38" s="102"/>
      <c r="N38" s="102"/>
      <c r="O38" s="20"/>
      <c r="P38" s="102"/>
      <c r="Q38" s="102"/>
      <c r="R38" s="127"/>
      <c r="S38" s="100"/>
      <c r="T38" s="103"/>
      <c r="U38" s="103"/>
      <c r="V38" s="107"/>
    </row>
    <row r="39" spans="1:22" ht="34.5" customHeight="1">
      <c r="A39" s="104"/>
      <c r="B39" s="101" t="str">
        <f t="shared" si="2"/>
        <v>1-32</v>
      </c>
      <c r="C39" s="105"/>
      <c r="D39" s="100"/>
      <c r="E39" s="100" t="s">
        <v>113</v>
      </c>
      <c r="F39" s="212" t="s">
        <v>93</v>
      </c>
      <c r="G39" s="213"/>
      <c r="H39" s="102"/>
      <c r="I39" s="20"/>
      <c r="J39" s="102"/>
      <c r="K39" s="102"/>
      <c r="L39" s="20"/>
      <c r="M39" s="102"/>
      <c r="N39" s="102"/>
      <c r="O39" s="20"/>
      <c r="P39" s="102"/>
      <c r="Q39" s="102"/>
      <c r="R39" s="102"/>
      <c r="S39" s="100"/>
      <c r="T39" s="103"/>
      <c r="U39" s="103"/>
      <c r="V39" s="107"/>
    </row>
    <row r="40" spans="1:22" ht="34.5" customHeight="1">
      <c r="A40" s="104"/>
      <c r="B40" s="101" t="str">
        <f t="shared" si="2"/>
        <v>1-33</v>
      </c>
      <c r="C40" s="105"/>
      <c r="D40" s="100"/>
      <c r="E40" s="100" t="s">
        <v>109</v>
      </c>
      <c r="F40" s="212" t="s">
        <v>110</v>
      </c>
      <c r="G40" s="213"/>
      <c r="H40" s="102"/>
      <c r="I40" s="20"/>
      <c r="J40" s="102"/>
      <c r="K40" s="102"/>
      <c r="L40" s="20"/>
      <c r="M40" s="102"/>
      <c r="N40" s="102"/>
      <c r="O40" s="20"/>
      <c r="P40" s="102"/>
      <c r="Q40" s="102"/>
      <c r="R40" s="102"/>
      <c r="S40" s="100"/>
      <c r="T40" s="103"/>
      <c r="U40" s="103"/>
      <c r="V40" s="108"/>
    </row>
    <row r="41" spans="1:22" ht="34.5" customHeight="1">
      <c r="A41" s="104"/>
      <c r="B41" s="101" t="str">
        <f t="shared" si="2"/>
        <v>1-34</v>
      </c>
      <c r="C41" s="105"/>
      <c r="D41" s="100"/>
      <c r="E41" s="100" t="s">
        <v>279</v>
      </c>
      <c r="F41" s="212" t="s">
        <v>281</v>
      </c>
      <c r="G41" s="213"/>
      <c r="H41" s="102"/>
      <c r="I41" s="20"/>
      <c r="J41" s="102"/>
      <c r="K41" s="102"/>
      <c r="L41" s="20"/>
      <c r="M41" s="102"/>
      <c r="N41" s="102"/>
      <c r="O41" s="20"/>
      <c r="P41" s="102"/>
      <c r="Q41" s="102"/>
      <c r="R41" s="127"/>
      <c r="S41" s="100"/>
      <c r="T41" s="103"/>
      <c r="U41" s="103"/>
      <c r="V41" s="159"/>
    </row>
    <row r="42" spans="1:22" ht="34.5" customHeight="1">
      <c r="A42" s="104"/>
      <c r="B42" s="101" t="str">
        <f t="shared" si="2"/>
        <v>1-35</v>
      </c>
      <c r="C42" s="105"/>
      <c r="D42" s="100"/>
      <c r="E42" s="100" t="s">
        <v>280</v>
      </c>
      <c r="F42" s="212" t="s">
        <v>282</v>
      </c>
      <c r="G42" s="213"/>
      <c r="H42" s="102"/>
      <c r="I42" s="20"/>
      <c r="J42" s="102"/>
      <c r="K42" s="102"/>
      <c r="L42" s="20"/>
      <c r="M42" s="102"/>
      <c r="N42" s="102"/>
      <c r="O42" s="20"/>
      <c r="P42" s="102"/>
      <c r="Q42" s="102"/>
      <c r="R42" s="127"/>
      <c r="S42" s="100"/>
      <c r="T42" s="103"/>
      <c r="U42" s="103"/>
      <c r="V42" s="159"/>
    </row>
    <row r="43" spans="1:22" ht="34.5" customHeight="1">
      <c r="A43" s="104"/>
      <c r="B43" s="101" t="str">
        <f t="shared" si="2"/>
        <v>1-36</v>
      </c>
      <c r="C43" s="105"/>
      <c r="D43" s="100" t="s">
        <v>94</v>
      </c>
      <c r="E43" s="100" t="s">
        <v>74</v>
      </c>
      <c r="F43" s="212" t="s">
        <v>97</v>
      </c>
      <c r="G43" s="213"/>
      <c r="H43" s="102"/>
      <c r="I43" s="20"/>
      <c r="J43" s="102"/>
      <c r="K43" s="102"/>
      <c r="L43" s="20"/>
      <c r="M43" s="102"/>
      <c r="N43" s="102"/>
      <c r="O43" s="20"/>
      <c r="P43" s="102"/>
      <c r="Q43" s="102"/>
      <c r="R43" s="127"/>
      <c r="S43" s="100"/>
      <c r="T43" s="103"/>
      <c r="U43" s="103"/>
      <c r="V43" s="107"/>
    </row>
    <row r="44" spans="1:22" ht="34.5" customHeight="1">
      <c r="A44" s="104"/>
      <c r="B44" s="101" t="str">
        <f t="shared" si="2"/>
        <v>1-37</v>
      </c>
      <c r="C44" s="105"/>
      <c r="D44" s="100"/>
      <c r="E44" s="100" t="s">
        <v>92</v>
      </c>
      <c r="F44" s="212" t="s">
        <v>297</v>
      </c>
      <c r="G44" s="213"/>
      <c r="H44" s="102"/>
      <c r="I44" s="20"/>
      <c r="J44" s="102"/>
      <c r="K44" s="102"/>
      <c r="L44" s="20"/>
      <c r="M44" s="102"/>
      <c r="N44" s="102"/>
      <c r="O44" s="20"/>
      <c r="P44" s="102"/>
      <c r="Q44" s="102"/>
      <c r="R44" s="102"/>
      <c r="S44" s="100"/>
      <c r="T44" s="103"/>
      <c r="U44" s="103"/>
      <c r="V44" s="107"/>
    </row>
    <row r="45" spans="1:22" ht="34.5" customHeight="1">
      <c r="A45" s="104"/>
      <c r="B45" s="101" t="str">
        <f t="shared" si="2"/>
        <v>1-38</v>
      </c>
      <c r="C45" s="105"/>
      <c r="D45" s="100"/>
      <c r="E45" s="100" t="s">
        <v>111</v>
      </c>
      <c r="F45" s="212" t="s">
        <v>301</v>
      </c>
      <c r="G45" s="213"/>
      <c r="H45" s="102"/>
      <c r="I45" s="20"/>
      <c r="J45" s="102"/>
      <c r="K45" s="102"/>
      <c r="L45" s="20"/>
      <c r="M45" s="102"/>
      <c r="N45" s="102"/>
      <c r="O45" s="20"/>
      <c r="P45" s="102"/>
      <c r="Q45" s="102"/>
      <c r="R45" s="102"/>
      <c r="S45" s="100"/>
      <c r="T45" s="103"/>
      <c r="U45" s="103"/>
      <c r="V45" s="108"/>
    </row>
    <row r="46" spans="1:22" ht="34.5" customHeight="1">
      <c r="A46" s="104"/>
      <c r="B46" s="101" t="str">
        <f t="shared" si="2"/>
        <v>1-39</v>
      </c>
      <c r="C46" s="105"/>
      <c r="D46" s="100"/>
      <c r="E46" s="100" t="s">
        <v>112</v>
      </c>
      <c r="F46" s="212" t="s">
        <v>197</v>
      </c>
      <c r="G46" s="213"/>
      <c r="H46" s="102"/>
      <c r="I46" s="20"/>
      <c r="J46" s="102"/>
      <c r="K46" s="102"/>
      <c r="L46" s="20"/>
      <c r="M46" s="102"/>
      <c r="N46" s="102"/>
      <c r="O46" s="20"/>
      <c r="P46" s="102"/>
      <c r="Q46" s="102"/>
      <c r="R46" s="127"/>
      <c r="S46" s="100"/>
      <c r="T46" s="103"/>
      <c r="U46" s="103"/>
      <c r="V46" s="107"/>
    </row>
    <row r="47" spans="1:22" ht="34.5" customHeight="1">
      <c r="A47" s="104"/>
      <c r="B47" s="101" t="str">
        <f t="shared" si="2"/>
        <v>1-40</v>
      </c>
      <c r="C47" s="105"/>
      <c r="D47" s="100" t="s">
        <v>95</v>
      </c>
      <c r="E47" s="100" t="s">
        <v>74</v>
      </c>
      <c r="F47" s="212" t="s">
        <v>97</v>
      </c>
      <c r="G47" s="213"/>
      <c r="H47" s="102"/>
      <c r="I47" s="20"/>
      <c r="J47" s="102"/>
      <c r="K47" s="102"/>
      <c r="L47" s="20"/>
      <c r="M47" s="102"/>
      <c r="N47" s="102"/>
      <c r="O47" s="20"/>
      <c r="P47" s="102"/>
      <c r="Q47" s="102"/>
      <c r="R47" s="102"/>
      <c r="S47" s="100"/>
      <c r="T47" s="103"/>
      <c r="U47" s="103"/>
      <c r="V47" s="107"/>
    </row>
    <row r="48" spans="1:22" ht="34.5" customHeight="1">
      <c r="A48" s="104"/>
      <c r="B48" s="101" t="str">
        <f t="shared" si="2"/>
        <v>1-41</v>
      </c>
      <c r="C48" s="105"/>
      <c r="D48" s="100"/>
      <c r="E48" s="100" t="s">
        <v>111</v>
      </c>
      <c r="F48" s="212" t="s">
        <v>301</v>
      </c>
      <c r="G48" s="213"/>
      <c r="H48" s="102"/>
      <c r="I48" s="20"/>
      <c r="J48" s="102"/>
      <c r="K48" s="102"/>
      <c r="L48" s="20"/>
      <c r="M48" s="102"/>
      <c r="N48" s="102"/>
      <c r="O48" s="20"/>
      <c r="P48" s="102"/>
      <c r="Q48" s="102"/>
      <c r="R48" s="170"/>
      <c r="S48" s="100"/>
      <c r="T48" s="103"/>
      <c r="U48" s="103"/>
      <c r="V48" s="108"/>
    </row>
    <row r="49" spans="1:22" ht="34.5" customHeight="1">
      <c r="A49" s="104"/>
      <c r="B49" s="101" t="str">
        <f t="shared" si="2"/>
        <v>1-42</v>
      </c>
      <c r="C49" s="105"/>
      <c r="D49" s="100"/>
      <c r="E49" s="100" t="s">
        <v>112</v>
      </c>
      <c r="F49" s="212" t="s">
        <v>198</v>
      </c>
      <c r="G49" s="213"/>
      <c r="H49" s="102"/>
      <c r="I49" s="20"/>
      <c r="J49" s="102"/>
      <c r="K49" s="102"/>
      <c r="L49" s="20"/>
      <c r="M49" s="102"/>
      <c r="N49" s="102"/>
      <c r="O49" s="20"/>
      <c r="P49" s="102"/>
      <c r="Q49" s="102"/>
      <c r="R49" s="102"/>
      <c r="S49" s="100"/>
      <c r="T49" s="103"/>
      <c r="U49" s="103"/>
      <c r="V49" s="107"/>
    </row>
    <row r="50" spans="1:22" s="104" customFormat="1" ht="34.5" customHeight="1">
      <c r="B50" s="101" t="str">
        <f t="shared" si="2"/>
        <v>1-43</v>
      </c>
      <c r="C50" s="105"/>
      <c r="D50" s="100" t="s">
        <v>96</v>
      </c>
      <c r="E50" s="100" t="s">
        <v>74</v>
      </c>
      <c r="F50" s="212" t="s">
        <v>108</v>
      </c>
      <c r="G50" s="213"/>
      <c r="H50" s="102"/>
      <c r="I50" s="20"/>
      <c r="J50" s="102"/>
      <c r="K50" s="102"/>
      <c r="L50" s="20"/>
      <c r="M50" s="102"/>
      <c r="N50" s="102"/>
      <c r="O50" s="20"/>
      <c r="P50" s="102"/>
      <c r="Q50" s="102"/>
      <c r="R50" s="102"/>
      <c r="S50" s="100"/>
      <c r="T50" s="103"/>
      <c r="U50" s="103"/>
      <c r="V50" s="166"/>
    </row>
    <row r="51" spans="1:22" ht="34.5" customHeight="1">
      <c r="A51" s="104"/>
      <c r="B51" s="101" t="str">
        <f t="shared" si="2"/>
        <v>1-44</v>
      </c>
      <c r="C51" s="105"/>
      <c r="D51" s="100"/>
      <c r="E51" s="100" t="s">
        <v>92</v>
      </c>
      <c r="F51" s="212" t="s">
        <v>295</v>
      </c>
      <c r="G51" s="213"/>
      <c r="H51" s="102"/>
      <c r="I51" s="20"/>
      <c r="J51" s="102"/>
      <c r="K51" s="102"/>
      <c r="L51" s="20"/>
      <c r="M51" s="102"/>
      <c r="N51" s="102"/>
      <c r="O51" s="20"/>
      <c r="P51" s="102"/>
      <c r="Q51" s="102"/>
      <c r="R51" s="102"/>
      <c r="S51" s="100"/>
      <c r="T51" s="103"/>
      <c r="U51" s="103"/>
      <c r="V51" s="108"/>
    </row>
    <row r="52" spans="1:22" ht="34.5" customHeight="1">
      <c r="A52" s="104"/>
      <c r="B52" s="101" t="str">
        <f t="shared" si="2"/>
        <v>1-45</v>
      </c>
      <c r="C52" s="105"/>
      <c r="D52" s="100"/>
      <c r="E52" s="100" t="s">
        <v>112</v>
      </c>
      <c r="F52" s="212" t="s">
        <v>196</v>
      </c>
      <c r="G52" s="213"/>
      <c r="H52" s="102"/>
      <c r="I52" s="20"/>
      <c r="J52" s="102"/>
      <c r="K52" s="102"/>
      <c r="L52" s="20"/>
      <c r="M52" s="102"/>
      <c r="N52" s="102"/>
      <c r="O52" s="20"/>
      <c r="P52" s="102"/>
      <c r="Q52" s="102"/>
      <c r="R52" s="102"/>
      <c r="S52" s="100"/>
      <c r="T52" s="103"/>
      <c r="U52" s="103"/>
      <c r="V52" s="108"/>
    </row>
    <row r="53" spans="1:22" ht="34.5" customHeight="1">
      <c r="A53" s="104"/>
      <c r="B53" s="101" t="str">
        <f t="shared" si="2"/>
        <v>1-46</v>
      </c>
      <c r="C53" s="105"/>
      <c r="D53" s="100" t="s">
        <v>98</v>
      </c>
      <c r="E53" s="100" t="s">
        <v>287</v>
      </c>
      <c r="F53" s="212" t="s">
        <v>288</v>
      </c>
      <c r="G53" s="213"/>
      <c r="H53" s="102"/>
      <c r="I53" s="20"/>
      <c r="J53" s="102"/>
      <c r="K53" s="102"/>
      <c r="L53" s="20"/>
      <c r="M53" s="102"/>
      <c r="N53" s="102"/>
      <c r="O53" s="20"/>
      <c r="P53" s="102"/>
      <c r="Q53" s="102"/>
      <c r="R53" s="22"/>
      <c r="S53" s="100"/>
      <c r="T53" s="103"/>
      <c r="U53" s="103"/>
      <c r="V53" s="107"/>
    </row>
    <row r="54" spans="1:22" s="104" customFormat="1" ht="34.5" customHeight="1">
      <c r="B54" s="101" t="str">
        <f t="shared" si="2"/>
        <v>1-47</v>
      </c>
      <c r="C54" s="105"/>
      <c r="D54" s="105" t="s">
        <v>99</v>
      </c>
      <c r="E54" s="100" t="s">
        <v>74</v>
      </c>
      <c r="F54" s="212" t="s">
        <v>302</v>
      </c>
      <c r="G54" s="213"/>
      <c r="H54" s="102"/>
      <c r="I54" s="20"/>
      <c r="J54" s="102"/>
      <c r="K54" s="102"/>
      <c r="L54" s="20"/>
      <c r="M54" s="102"/>
      <c r="N54" s="102"/>
      <c r="O54" s="20"/>
      <c r="P54" s="102"/>
      <c r="Q54" s="102"/>
      <c r="R54" s="102"/>
      <c r="S54" s="100"/>
      <c r="T54" s="103"/>
      <c r="U54" s="103"/>
      <c r="V54" s="166"/>
    </row>
    <row r="55" spans="1:22" ht="34.5" customHeight="1">
      <c r="A55" s="104"/>
      <c r="B55" s="101" t="str">
        <f t="shared" si="2"/>
        <v>1-48</v>
      </c>
      <c r="C55" s="105"/>
      <c r="D55" s="105"/>
      <c r="E55" s="100" t="s">
        <v>90</v>
      </c>
      <c r="F55" s="212" t="s">
        <v>122</v>
      </c>
      <c r="G55" s="213"/>
      <c r="H55" s="102"/>
      <c r="I55" s="20"/>
      <c r="J55" s="102"/>
      <c r="K55" s="102"/>
      <c r="L55" s="20"/>
      <c r="M55" s="102"/>
      <c r="N55" s="102"/>
      <c r="O55" s="20"/>
      <c r="P55" s="102"/>
      <c r="Q55" s="102"/>
      <c r="R55" s="127"/>
      <c r="S55" s="100"/>
      <c r="T55" s="103"/>
      <c r="U55" s="103"/>
      <c r="V55" s="107"/>
    </row>
    <row r="56" spans="1:22" ht="34.5" customHeight="1">
      <c r="A56" s="104"/>
      <c r="B56" s="101" t="str">
        <f t="shared" si="2"/>
        <v>1-49</v>
      </c>
      <c r="C56" s="105"/>
      <c r="D56" s="105"/>
      <c r="E56" s="100" t="s">
        <v>92</v>
      </c>
      <c r="F56" s="212" t="s">
        <v>298</v>
      </c>
      <c r="G56" s="213"/>
      <c r="H56" s="102"/>
      <c r="I56" s="20"/>
      <c r="J56" s="102"/>
      <c r="K56" s="102"/>
      <c r="L56" s="20"/>
      <c r="M56" s="102"/>
      <c r="N56" s="102"/>
      <c r="O56" s="20"/>
      <c r="P56" s="102"/>
      <c r="Q56" s="102"/>
      <c r="R56" s="102"/>
      <c r="S56" s="100"/>
      <c r="T56" s="103"/>
      <c r="U56" s="103"/>
      <c r="V56" s="107"/>
    </row>
    <row r="57" spans="1:22" ht="34.5" customHeight="1">
      <c r="A57" s="104"/>
      <c r="B57" s="101" t="str">
        <f t="shared" si="2"/>
        <v>1-50</v>
      </c>
      <c r="C57" s="105"/>
      <c r="D57" s="105" t="s">
        <v>100</v>
      </c>
      <c r="E57" s="100" t="s">
        <v>74</v>
      </c>
      <c r="F57" s="212" t="s">
        <v>258</v>
      </c>
      <c r="G57" s="213"/>
      <c r="H57" s="102"/>
      <c r="I57" s="20"/>
      <c r="J57" s="102"/>
      <c r="K57" s="102"/>
      <c r="L57" s="20"/>
      <c r="M57" s="102"/>
      <c r="N57" s="102"/>
      <c r="O57" s="20"/>
      <c r="P57" s="102"/>
      <c r="Q57" s="102"/>
      <c r="R57" s="127"/>
      <c r="S57" s="100"/>
      <c r="T57" s="103"/>
      <c r="U57" s="103"/>
      <c r="V57" s="107"/>
    </row>
    <row r="58" spans="1:22" ht="34.5" customHeight="1">
      <c r="A58" s="104"/>
      <c r="B58" s="101" t="str">
        <f t="shared" si="2"/>
        <v>1-51</v>
      </c>
      <c r="C58" s="105"/>
      <c r="D58" s="105"/>
      <c r="E58" s="100"/>
      <c r="F58" s="212" t="s">
        <v>259</v>
      </c>
      <c r="G58" s="213"/>
      <c r="H58" s="102"/>
      <c r="I58" s="20"/>
      <c r="J58" s="102"/>
      <c r="K58" s="102"/>
      <c r="L58" s="20"/>
      <c r="M58" s="102"/>
      <c r="N58" s="102"/>
      <c r="O58" s="20"/>
      <c r="P58" s="102"/>
      <c r="Q58" s="102"/>
      <c r="R58" s="127"/>
      <c r="S58" s="100"/>
      <c r="T58" s="103"/>
      <c r="U58" s="103"/>
      <c r="V58" s="144"/>
    </row>
    <row r="59" spans="1:22" s="104" customFormat="1" ht="34.5" customHeight="1">
      <c r="B59" s="101" t="str">
        <f t="shared" si="2"/>
        <v>1-52</v>
      </c>
      <c r="C59" s="105"/>
      <c r="D59" s="105"/>
      <c r="E59" s="100" t="s">
        <v>275</v>
      </c>
      <c r="F59" s="212" t="s">
        <v>276</v>
      </c>
      <c r="G59" s="213"/>
      <c r="H59" s="102"/>
      <c r="I59" s="20"/>
      <c r="J59" s="102"/>
      <c r="K59" s="102"/>
      <c r="L59" s="20"/>
      <c r="M59" s="102"/>
      <c r="N59" s="102"/>
      <c r="O59" s="20"/>
      <c r="P59" s="102"/>
      <c r="Q59" s="102"/>
      <c r="R59" s="102"/>
      <c r="S59" s="100"/>
      <c r="T59" s="103"/>
      <c r="U59" s="103"/>
      <c r="V59" s="166"/>
    </row>
    <row r="60" spans="1:22" ht="34.5" customHeight="1">
      <c r="A60" s="104"/>
      <c r="B60" s="101" t="str">
        <f t="shared" si="2"/>
        <v>1-53</v>
      </c>
      <c r="C60" s="105"/>
      <c r="D60" s="105" t="s">
        <v>289</v>
      </c>
      <c r="E60" s="100" t="s">
        <v>125</v>
      </c>
      <c r="F60" s="212" t="s">
        <v>133</v>
      </c>
      <c r="G60" s="213"/>
      <c r="H60" s="102"/>
      <c r="I60" s="20"/>
      <c r="J60" s="102"/>
      <c r="K60" s="102"/>
      <c r="L60" s="20"/>
      <c r="M60" s="102"/>
      <c r="N60" s="102"/>
      <c r="O60" s="20"/>
      <c r="P60" s="102"/>
      <c r="Q60" s="102"/>
      <c r="R60" s="102"/>
      <c r="S60" s="100"/>
      <c r="T60" s="103"/>
      <c r="U60" s="103"/>
      <c r="V60" s="110"/>
    </row>
    <row r="61" spans="1:22" ht="34.5" customHeight="1">
      <c r="A61" s="104"/>
      <c r="B61" s="101" t="str">
        <f t="shared" si="2"/>
        <v>1-54</v>
      </c>
      <c r="C61" s="105"/>
      <c r="D61" s="130" t="s">
        <v>115</v>
      </c>
      <c r="E61" s="100" t="s">
        <v>201</v>
      </c>
      <c r="F61" s="212" t="s">
        <v>119</v>
      </c>
      <c r="G61" s="213"/>
      <c r="H61" s="102"/>
      <c r="I61" s="20"/>
      <c r="J61" s="102"/>
      <c r="K61" s="102"/>
      <c r="L61" s="20"/>
      <c r="M61" s="102"/>
      <c r="N61" s="102"/>
      <c r="O61" s="20"/>
      <c r="P61" s="102"/>
      <c r="Q61" s="102"/>
      <c r="R61" s="102"/>
      <c r="S61" s="100"/>
      <c r="T61" s="103"/>
      <c r="U61" s="103"/>
      <c r="V61" s="110"/>
    </row>
    <row r="62" spans="1:22" ht="34.5" customHeight="1">
      <c r="A62" s="104"/>
      <c r="B62" s="101" t="str">
        <f t="shared" si="2"/>
        <v>1-55</v>
      </c>
      <c r="C62" s="105"/>
      <c r="D62" s="100"/>
      <c r="E62" s="100" t="s">
        <v>200</v>
      </c>
      <c r="F62" s="212" t="s">
        <v>202</v>
      </c>
      <c r="G62" s="213"/>
      <c r="H62" s="102"/>
      <c r="I62" s="20"/>
      <c r="J62" s="102"/>
      <c r="K62" s="102"/>
      <c r="L62" s="20"/>
      <c r="M62" s="102"/>
      <c r="N62" s="102"/>
      <c r="O62" s="20"/>
      <c r="P62" s="102"/>
      <c r="Q62" s="102"/>
      <c r="R62" s="102"/>
      <c r="S62" s="100"/>
      <c r="T62" s="103"/>
      <c r="U62" s="103"/>
      <c r="V62" s="126"/>
    </row>
    <row r="63" spans="1:22" ht="34.5" customHeight="1">
      <c r="A63" s="104"/>
      <c r="B63" s="101" t="str">
        <f t="shared" si="2"/>
        <v>1-56</v>
      </c>
      <c r="C63" s="105"/>
      <c r="D63" s="100"/>
      <c r="E63" s="100"/>
      <c r="F63" s="212" t="s">
        <v>304</v>
      </c>
      <c r="G63" s="213"/>
      <c r="H63" s="102"/>
      <c r="I63" s="20"/>
      <c r="J63" s="102"/>
      <c r="K63" s="102"/>
      <c r="L63" s="20"/>
      <c r="M63" s="102"/>
      <c r="N63" s="102"/>
      <c r="O63" s="20"/>
      <c r="P63" s="102"/>
      <c r="Q63" s="102"/>
      <c r="R63" s="102"/>
      <c r="S63" s="100"/>
      <c r="T63" s="103"/>
      <c r="U63" s="103"/>
      <c r="V63" s="162"/>
    </row>
    <row r="64" spans="1:22" ht="45.75" customHeight="1">
      <c r="A64" s="104"/>
      <c r="B64" s="101" t="str">
        <f t="shared" si="2"/>
        <v>1-57</v>
      </c>
      <c r="C64" s="105"/>
      <c r="D64" s="130" t="s">
        <v>120</v>
      </c>
      <c r="E64" s="100" t="s">
        <v>203</v>
      </c>
      <c r="F64" s="214" t="s">
        <v>315</v>
      </c>
      <c r="G64" s="215"/>
      <c r="H64" s="102"/>
      <c r="I64" s="20"/>
      <c r="J64" s="102"/>
      <c r="K64" s="102"/>
      <c r="L64" s="20"/>
      <c r="M64" s="102"/>
      <c r="N64" s="102"/>
      <c r="O64" s="20"/>
      <c r="P64" s="102"/>
      <c r="Q64" s="102"/>
      <c r="R64" s="102"/>
      <c r="S64" s="100"/>
      <c r="T64" s="103"/>
      <c r="U64" s="103"/>
      <c r="V64" s="110"/>
    </row>
    <row r="65" spans="1:24" ht="45.75" customHeight="1">
      <c r="A65" s="104"/>
      <c r="B65" s="101" t="str">
        <f t="shared" si="2"/>
        <v>1-58</v>
      </c>
      <c r="C65" s="105"/>
      <c r="D65" s="100"/>
      <c r="E65" s="100" t="s">
        <v>204</v>
      </c>
      <c r="F65" s="214" t="s">
        <v>321</v>
      </c>
      <c r="G65" s="215"/>
      <c r="H65" s="102"/>
      <c r="I65" s="20"/>
      <c r="J65" s="102"/>
      <c r="K65" s="102"/>
      <c r="L65" s="20"/>
      <c r="M65" s="102"/>
      <c r="N65" s="102"/>
      <c r="O65" s="20"/>
      <c r="P65" s="102"/>
      <c r="Q65" s="102"/>
      <c r="R65" s="102"/>
      <c r="S65" s="100"/>
      <c r="T65" s="103"/>
      <c r="U65" s="103"/>
      <c r="V65" s="126"/>
    </row>
    <row r="66" spans="1:24" ht="34.5" customHeight="1">
      <c r="A66" s="104"/>
      <c r="B66" s="101" t="str">
        <f t="shared" si="2"/>
        <v>1-59</v>
      </c>
      <c r="C66" s="100"/>
      <c r="D66" s="100" t="s">
        <v>88</v>
      </c>
      <c r="E66" s="100" t="s">
        <v>172</v>
      </c>
      <c r="F66" s="212" t="s">
        <v>173</v>
      </c>
      <c r="G66" s="213"/>
      <c r="H66" s="102"/>
      <c r="I66" s="20"/>
      <c r="J66" s="102"/>
      <c r="K66" s="102"/>
      <c r="L66" s="20"/>
      <c r="M66" s="102"/>
      <c r="N66" s="102"/>
      <c r="O66" s="20"/>
      <c r="P66" s="102"/>
      <c r="Q66" s="102"/>
      <c r="R66" s="102"/>
      <c r="S66" s="100"/>
      <c r="T66" s="103"/>
      <c r="U66" s="103"/>
      <c r="V66" s="123"/>
      <c r="W66" s="123"/>
      <c r="X66" s="123"/>
    </row>
    <row r="67" spans="1:24" ht="34.5" customHeight="1">
      <c r="A67" s="104"/>
      <c r="B67" s="101" t="str">
        <f t="shared" si="2"/>
        <v>1-60</v>
      </c>
      <c r="C67" s="100"/>
      <c r="D67" s="100" t="s">
        <v>169</v>
      </c>
      <c r="E67" s="100" t="s">
        <v>174</v>
      </c>
      <c r="F67" s="212" t="s">
        <v>168</v>
      </c>
      <c r="G67" s="213"/>
      <c r="H67" s="102"/>
      <c r="I67" s="20"/>
      <c r="J67" s="102"/>
      <c r="K67" s="102"/>
      <c r="L67" s="20"/>
      <c r="M67" s="102"/>
      <c r="N67" s="102"/>
      <c r="O67" s="20"/>
      <c r="P67" s="102"/>
      <c r="Q67" s="102"/>
      <c r="R67" s="102"/>
      <c r="S67" s="100"/>
      <c r="T67" s="103"/>
      <c r="U67" s="103"/>
      <c r="V67" s="123"/>
      <c r="W67" s="123"/>
      <c r="X67" s="123"/>
    </row>
    <row r="68" spans="1:24" ht="34.5" customHeight="1">
      <c r="A68" s="104"/>
      <c r="B68" s="101" t="str">
        <f t="shared" si="2"/>
        <v>1-61</v>
      </c>
      <c r="C68" s="100"/>
      <c r="D68" s="100" t="s">
        <v>175</v>
      </c>
      <c r="E68" s="100" t="s">
        <v>176</v>
      </c>
      <c r="F68" s="212" t="s">
        <v>170</v>
      </c>
      <c r="G68" s="213"/>
      <c r="H68" s="102"/>
      <c r="I68" s="20"/>
      <c r="J68" s="102"/>
      <c r="K68" s="102"/>
      <c r="L68" s="20"/>
      <c r="M68" s="102"/>
      <c r="N68" s="102"/>
      <c r="O68" s="20"/>
      <c r="P68" s="102"/>
      <c r="Q68" s="102"/>
      <c r="R68" s="102"/>
      <c r="S68" s="100"/>
      <c r="T68" s="103"/>
      <c r="U68" s="103"/>
      <c r="V68" s="123"/>
      <c r="W68" s="123"/>
      <c r="X68" s="123"/>
    </row>
    <row r="69" spans="1:24" ht="34.5" customHeight="1">
      <c r="A69" s="104"/>
      <c r="B69" s="101" t="str">
        <f t="shared" si="2"/>
        <v>1-62</v>
      </c>
      <c r="C69" s="128" t="s">
        <v>186</v>
      </c>
      <c r="D69" s="105" t="s">
        <v>188</v>
      </c>
      <c r="E69" s="100" t="s">
        <v>118</v>
      </c>
      <c r="F69" s="212" t="s">
        <v>255</v>
      </c>
      <c r="G69" s="213"/>
      <c r="H69" s="102"/>
      <c r="I69" s="20"/>
      <c r="J69" s="102"/>
      <c r="K69" s="102"/>
      <c r="L69" s="20"/>
      <c r="M69" s="102"/>
      <c r="N69" s="102"/>
      <c r="O69" s="20"/>
      <c r="P69" s="102"/>
      <c r="Q69" s="102"/>
      <c r="R69" s="127"/>
      <c r="S69" s="100"/>
      <c r="T69" s="103"/>
      <c r="U69" s="103"/>
      <c r="V69" s="123"/>
    </row>
    <row r="70" spans="1:24" ht="34.5" customHeight="1">
      <c r="A70" s="104"/>
      <c r="B70" s="101" t="str">
        <f t="shared" si="2"/>
        <v>1-63</v>
      </c>
      <c r="C70" s="105"/>
      <c r="D70" s="105"/>
      <c r="E70" s="100" t="s">
        <v>118</v>
      </c>
      <c r="F70" s="212" t="s">
        <v>187</v>
      </c>
      <c r="G70" s="213"/>
      <c r="H70" s="102"/>
      <c r="I70" s="20"/>
      <c r="J70" s="102"/>
      <c r="K70" s="102"/>
      <c r="L70" s="20"/>
      <c r="M70" s="102"/>
      <c r="N70" s="102"/>
      <c r="O70" s="20"/>
      <c r="P70" s="102"/>
      <c r="Q70" s="102"/>
      <c r="R70" s="127"/>
      <c r="S70" s="100"/>
      <c r="T70" s="103"/>
      <c r="U70" s="103"/>
      <c r="V70" s="123"/>
    </row>
    <row r="71" spans="1:24" ht="34.5" customHeight="1">
      <c r="A71" s="104"/>
      <c r="B71" s="101" t="str">
        <f t="shared" si="2"/>
        <v>1-64</v>
      </c>
      <c r="C71" s="128"/>
      <c r="D71" s="105" t="s">
        <v>253</v>
      </c>
      <c r="E71" s="100" t="s">
        <v>118</v>
      </c>
      <c r="F71" s="212" t="s">
        <v>256</v>
      </c>
      <c r="G71" s="213"/>
      <c r="H71" s="102"/>
      <c r="I71" s="20"/>
      <c r="J71" s="20"/>
      <c r="K71" s="102"/>
      <c r="L71" s="20"/>
      <c r="M71" s="20"/>
      <c r="N71" s="102"/>
      <c r="O71" s="20"/>
      <c r="P71" s="102"/>
      <c r="Q71" s="102"/>
      <c r="R71" s="127"/>
      <c r="S71" s="100"/>
      <c r="T71" s="103"/>
      <c r="U71" s="103"/>
      <c r="V71" s="144"/>
    </row>
    <row r="72" spans="1:24" ht="34.5" customHeight="1">
      <c r="A72" s="104"/>
      <c r="B72" s="101" t="str">
        <f t="shared" si="2"/>
        <v>1-65</v>
      </c>
      <c r="C72" s="105"/>
      <c r="D72" s="105"/>
      <c r="E72" s="100" t="s">
        <v>118</v>
      </c>
      <c r="F72" s="212" t="s">
        <v>187</v>
      </c>
      <c r="G72" s="213"/>
      <c r="H72" s="102"/>
      <c r="I72" s="20"/>
      <c r="J72" s="20"/>
      <c r="K72" s="102"/>
      <c r="L72" s="20"/>
      <c r="M72" s="20"/>
      <c r="N72" s="102"/>
      <c r="O72" s="20"/>
      <c r="P72" s="102"/>
      <c r="Q72" s="102"/>
      <c r="R72" s="127"/>
      <c r="S72" s="100"/>
      <c r="T72" s="103"/>
      <c r="U72" s="103"/>
      <c r="V72" s="144"/>
    </row>
    <row r="73" spans="1:24" ht="34.5" customHeight="1">
      <c r="A73" s="104"/>
      <c r="B73" s="101" t="str">
        <f t="shared" si="2"/>
        <v>1-66</v>
      </c>
      <c r="C73" s="128"/>
      <c r="D73" s="105" t="s">
        <v>254</v>
      </c>
      <c r="E73" s="100" t="s">
        <v>118</v>
      </c>
      <c r="F73" s="212" t="s">
        <v>257</v>
      </c>
      <c r="G73" s="213"/>
      <c r="H73" s="102"/>
      <c r="I73" s="20"/>
      <c r="J73" s="20"/>
      <c r="K73" s="102"/>
      <c r="L73" s="20"/>
      <c r="M73" s="20"/>
      <c r="N73" s="102"/>
      <c r="O73" s="20"/>
      <c r="P73" s="102"/>
      <c r="Q73" s="102"/>
      <c r="R73" s="127"/>
      <c r="S73" s="100"/>
      <c r="T73" s="103"/>
      <c r="U73" s="103"/>
      <c r="V73" s="144"/>
    </row>
    <row r="74" spans="1:24" ht="34.5" customHeight="1">
      <c r="A74" s="104"/>
      <c r="B74" s="101" t="str">
        <f t="shared" si="2"/>
        <v>1-67</v>
      </c>
      <c r="C74" s="105"/>
      <c r="D74" s="105"/>
      <c r="E74" s="100" t="s">
        <v>118</v>
      </c>
      <c r="F74" s="212" t="s">
        <v>187</v>
      </c>
      <c r="G74" s="213"/>
      <c r="H74" s="102"/>
      <c r="I74" s="20"/>
      <c r="J74" s="20"/>
      <c r="K74" s="102"/>
      <c r="L74" s="20"/>
      <c r="M74" s="20"/>
      <c r="N74" s="102"/>
      <c r="O74" s="20"/>
      <c r="P74" s="102"/>
      <c r="Q74" s="102"/>
      <c r="R74" s="127"/>
      <c r="S74" s="100"/>
      <c r="T74" s="103"/>
      <c r="U74" s="103"/>
      <c r="V74" s="144"/>
    </row>
    <row r="75" spans="1:24" ht="34.5" customHeight="1">
      <c r="A75" s="104"/>
      <c r="B75" s="101" t="str">
        <f t="shared" si="2"/>
        <v>1-68</v>
      </c>
      <c r="C75" s="128" t="s">
        <v>189</v>
      </c>
      <c r="D75" s="105" t="s">
        <v>190</v>
      </c>
      <c r="E75" s="100" t="s">
        <v>88</v>
      </c>
      <c r="F75" s="212" t="s">
        <v>191</v>
      </c>
      <c r="G75" s="213"/>
      <c r="H75" s="102"/>
      <c r="I75" s="20"/>
      <c r="J75" s="102"/>
      <c r="K75" s="102"/>
      <c r="L75" s="20"/>
      <c r="M75" s="102"/>
      <c r="N75" s="102"/>
      <c r="O75" s="20"/>
      <c r="P75" s="102"/>
      <c r="Q75" s="102"/>
      <c r="R75" s="127"/>
      <c r="S75" s="100"/>
      <c r="T75" s="103"/>
      <c r="U75" s="103"/>
      <c r="V75" s="123"/>
    </row>
    <row r="76" spans="1:24" ht="34.5" customHeight="1">
      <c r="A76" s="104"/>
      <c r="B76" s="101" t="str">
        <f t="shared" si="2"/>
        <v>1-69</v>
      </c>
      <c r="C76" s="128"/>
      <c r="D76" s="105"/>
      <c r="E76" s="100" t="s">
        <v>192</v>
      </c>
      <c r="F76" s="212" t="s">
        <v>194</v>
      </c>
      <c r="G76" s="213"/>
      <c r="H76" s="102"/>
      <c r="I76" s="20"/>
      <c r="J76" s="102"/>
      <c r="K76" s="102"/>
      <c r="L76" s="20"/>
      <c r="M76" s="102"/>
      <c r="N76" s="102"/>
      <c r="O76" s="20"/>
      <c r="P76" s="102"/>
      <c r="Q76" s="102"/>
      <c r="R76" s="127"/>
      <c r="S76" s="100"/>
      <c r="T76" s="103"/>
      <c r="U76" s="103"/>
      <c r="V76" s="123"/>
    </row>
    <row r="77" spans="1:24" ht="34.5" customHeight="1">
      <c r="A77" s="104"/>
      <c r="B77" s="101" t="str">
        <f t="shared" si="2"/>
        <v>1-70</v>
      </c>
      <c r="C77" s="128"/>
      <c r="D77" s="105"/>
      <c r="E77" s="100" t="s">
        <v>193</v>
      </c>
      <c r="F77" s="212" t="s">
        <v>195</v>
      </c>
      <c r="G77" s="213"/>
      <c r="H77" s="102"/>
      <c r="I77" s="20"/>
      <c r="J77" s="102"/>
      <c r="K77" s="102"/>
      <c r="L77" s="20"/>
      <c r="M77" s="102"/>
      <c r="N77" s="102"/>
      <c r="O77" s="20"/>
      <c r="P77" s="102"/>
      <c r="Q77" s="102"/>
      <c r="R77" s="127"/>
      <c r="S77" s="100"/>
      <c r="T77" s="103"/>
      <c r="U77" s="103"/>
      <c r="V77" s="123"/>
    </row>
    <row r="78" spans="1:24" ht="34.5" customHeight="1">
      <c r="A78" s="104"/>
      <c r="B78" s="101" t="str">
        <f t="shared" si="2"/>
        <v>1-71</v>
      </c>
      <c r="C78" s="100" t="s">
        <v>101</v>
      </c>
      <c r="D78" s="100" t="s">
        <v>88</v>
      </c>
      <c r="E78" s="100" t="s">
        <v>62</v>
      </c>
      <c r="F78" s="212" t="s">
        <v>84</v>
      </c>
      <c r="G78" s="213"/>
      <c r="H78" s="102"/>
      <c r="I78" s="20"/>
      <c r="J78" s="102"/>
      <c r="K78" s="102"/>
      <c r="L78" s="20"/>
      <c r="M78" s="102"/>
      <c r="N78" s="102"/>
      <c r="O78" s="20"/>
      <c r="P78" s="102"/>
      <c r="Q78" s="102"/>
      <c r="R78" s="102"/>
      <c r="S78" s="100"/>
      <c r="T78" s="103"/>
      <c r="U78" s="103"/>
      <c r="V78" s="107"/>
    </row>
    <row r="79" spans="1:24" ht="34.5" customHeight="1">
      <c r="A79" s="104"/>
      <c r="B79" s="101" t="str">
        <f t="shared" si="2"/>
        <v>1-72</v>
      </c>
      <c r="C79" s="100"/>
      <c r="D79" s="100" t="s">
        <v>88</v>
      </c>
      <c r="E79" s="100" t="s">
        <v>62</v>
      </c>
      <c r="F79" s="212" t="s">
        <v>168</v>
      </c>
      <c r="G79" s="213"/>
      <c r="H79" s="102"/>
      <c r="I79" s="20"/>
      <c r="J79" s="102"/>
      <c r="K79" s="102"/>
      <c r="L79" s="20"/>
      <c r="M79" s="102"/>
      <c r="N79" s="102"/>
      <c r="O79" s="20"/>
      <c r="P79" s="102"/>
      <c r="Q79" s="102"/>
      <c r="R79" s="102"/>
      <c r="S79" s="100"/>
      <c r="T79" s="103"/>
      <c r="U79" s="103"/>
      <c r="V79" s="123"/>
    </row>
    <row r="80" spans="1:24" ht="34.5" customHeight="1">
      <c r="A80" s="104"/>
      <c r="B80" s="101" t="str">
        <f t="shared" si="2"/>
        <v>1-73</v>
      </c>
      <c r="C80" s="100"/>
      <c r="D80" s="100" t="s">
        <v>169</v>
      </c>
      <c r="E80" s="100" t="s">
        <v>62</v>
      </c>
      <c r="F80" s="212" t="s">
        <v>170</v>
      </c>
      <c r="G80" s="213"/>
      <c r="H80" s="102"/>
      <c r="I80" s="20"/>
      <c r="J80" s="102"/>
      <c r="K80" s="102"/>
      <c r="L80" s="20"/>
      <c r="M80" s="102"/>
      <c r="N80" s="102"/>
      <c r="O80" s="20"/>
      <c r="P80" s="102"/>
      <c r="Q80" s="102"/>
      <c r="R80" s="102"/>
      <c r="S80" s="100"/>
      <c r="T80" s="103"/>
      <c r="U80" s="103"/>
      <c r="V80" s="123"/>
      <c r="W80" s="123"/>
      <c r="X80" s="123"/>
    </row>
    <row r="81" spans="1:22" ht="34.5" customHeight="1">
      <c r="A81" s="104"/>
      <c r="B81" s="101" t="str">
        <f t="shared" si="2"/>
        <v>1-74</v>
      </c>
      <c r="C81" s="105"/>
      <c r="D81" s="105" t="s">
        <v>102</v>
      </c>
      <c r="E81" s="100" t="s">
        <v>74</v>
      </c>
      <c r="F81" s="212" t="s">
        <v>97</v>
      </c>
      <c r="G81" s="213"/>
      <c r="H81" s="102"/>
      <c r="I81" s="20"/>
      <c r="J81" s="102"/>
      <c r="K81" s="102"/>
      <c r="L81" s="20"/>
      <c r="M81" s="102"/>
      <c r="N81" s="102"/>
      <c r="O81" s="20"/>
      <c r="P81" s="102"/>
      <c r="Q81" s="102"/>
      <c r="R81" s="102"/>
      <c r="S81" s="100"/>
      <c r="T81" s="103"/>
      <c r="U81" s="103"/>
      <c r="V81" s="107"/>
    </row>
    <row r="82" spans="1:22" ht="34.5" customHeight="1">
      <c r="A82" s="104"/>
      <c r="B82" s="101" t="str">
        <f t="shared" si="2"/>
        <v>1-75</v>
      </c>
      <c r="C82" s="105"/>
      <c r="D82" s="105"/>
      <c r="E82" s="100" t="s">
        <v>92</v>
      </c>
      <c r="F82" s="212" t="s">
        <v>295</v>
      </c>
      <c r="G82" s="213"/>
      <c r="H82" s="102"/>
      <c r="I82" s="20"/>
      <c r="J82" s="102"/>
      <c r="K82" s="102"/>
      <c r="L82" s="20"/>
      <c r="M82" s="102"/>
      <c r="N82" s="102"/>
      <c r="O82" s="20"/>
      <c r="P82" s="102"/>
      <c r="Q82" s="102"/>
      <c r="R82" s="102"/>
      <c r="S82" s="100"/>
      <c r="T82" s="103"/>
      <c r="U82" s="103"/>
      <c r="V82" s="107"/>
    </row>
    <row r="83" spans="1:22" ht="34.5" customHeight="1">
      <c r="A83" s="104"/>
      <c r="B83" s="101" t="str">
        <f t="shared" si="2"/>
        <v>1-76</v>
      </c>
      <c r="C83" s="105"/>
      <c r="D83" s="105"/>
      <c r="E83" s="100" t="s">
        <v>111</v>
      </c>
      <c r="F83" s="212" t="s">
        <v>301</v>
      </c>
      <c r="G83" s="213"/>
      <c r="H83" s="102"/>
      <c r="I83" s="20"/>
      <c r="J83" s="102"/>
      <c r="K83" s="102"/>
      <c r="L83" s="20"/>
      <c r="M83" s="102"/>
      <c r="N83" s="102"/>
      <c r="O83" s="20"/>
      <c r="P83" s="102"/>
      <c r="Q83" s="102"/>
      <c r="R83" s="102"/>
      <c r="S83" s="100"/>
      <c r="T83" s="103"/>
      <c r="U83" s="103"/>
      <c r="V83" s="107"/>
    </row>
    <row r="84" spans="1:22" ht="34.5" customHeight="1">
      <c r="A84" s="104"/>
      <c r="B84" s="101" t="str">
        <f t="shared" si="2"/>
        <v>1-77</v>
      </c>
      <c r="C84" s="105"/>
      <c r="D84" s="105"/>
      <c r="E84" s="100" t="s">
        <v>112</v>
      </c>
      <c r="F84" s="212" t="s">
        <v>199</v>
      </c>
      <c r="G84" s="213"/>
      <c r="H84" s="102"/>
      <c r="I84" s="20"/>
      <c r="J84" s="102"/>
      <c r="K84" s="102"/>
      <c r="L84" s="20"/>
      <c r="M84" s="102"/>
      <c r="N84" s="102"/>
      <c r="O84" s="20"/>
      <c r="P84" s="102"/>
      <c r="Q84" s="102"/>
      <c r="R84" s="102"/>
      <c r="S84" s="100"/>
      <c r="T84" s="103"/>
      <c r="U84" s="103"/>
      <c r="V84" s="107"/>
    </row>
    <row r="85" spans="1:22" ht="34.5" customHeight="1">
      <c r="A85" s="104"/>
      <c r="B85" s="101" t="str">
        <f t="shared" si="2"/>
        <v>1-78</v>
      </c>
      <c r="C85" s="105"/>
      <c r="D85" s="100" t="s">
        <v>105</v>
      </c>
      <c r="E85" s="100" t="s">
        <v>290</v>
      </c>
      <c r="F85" s="212" t="s">
        <v>124</v>
      </c>
      <c r="G85" s="213"/>
      <c r="H85" s="102"/>
      <c r="I85" s="20"/>
      <c r="J85" s="102"/>
      <c r="K85" s="102"/>
      <c r="L85" s="20"/>
      <c r="M85" s="102"/>
      <c r="N85" s="102"/>
      <c r="O85" s="20"/>
      <c r="P85" s="102"/>
      <c r="Q85" s="102"/>
      <c r="R85" s="22"/>
      <c r="S85" s="100"/>
      <c r="T85" s="103"/>
      <c r="U85" s="103"/>
      <c r="V85" s="107"/>
    </row>
    <row r="86" spans="1:22" ht="34.5" customHeight="1">
      <c r="A86" s="104"/>
      <c r="B86" s="101" t="str">
        <f t="shared" si="2"/>
        <v>1-79</v>
      </c>
      <c r="C86" s="105"/>
      <c r="D86" s="100" t="s">
        <v>94</v>
      </c>
      <c r="E86" s="100" t="s">
        <v>74</v>
      </c>
      <c r="F86" s="212" t="s">
        <v>97</v>
      </c>
      <c r="G86" s="213"/>
      <c r="H86" s="102"/>
      <c r="I86" s="20"/>
      <c r="J86" s="102"/>
      <c r="K86" s="102"/>
      <c r="L86" s="20"/>
      <c r="M86" s="102"/>
      <c r="N86" s="102"/>
      <c r="O86" s="20"/>
      <c r="P86" s="102"/>
      <c r="Q86" s="102"/>
      <c r="R86" s="102"/>
      <c r="S86" s="100"/>
      <c r="T86" s="103"/>
      <c r="U86" s="103"/>
      <c r="V86" s="107"/>
    </row>
    <row r="87" spans="1:22" ht="34.5" customHeight="1">
      <c r="A87" s="104"/>
      <c r="B87" s="101" t="str">
        <f t="shared" si="2"/>
        <v>1-80</v>
      </c>
      <c r="C87" s="105"/>
      <c r="D87" s="100"/>
      <c r="E87" s="100" t="s">
        <v>92</v>
      </c>
      <c r="F87" s="167" t="s">
        <v>297</v>
      </c>
      <c r="G87" s="168"/>
      <c r="H87" s="102"/>
      <c r="I87" s="20"/>
      <c r="J87" s="102"/>
      <c r="K87" s="102"/>
      <c r="L87" s="20"/>
      <c r="M87" s="102"/>
      <c r="N87" s="102"/>
      <c r="O87" s="20"/>
      <c r="P87" s="102"/>
      <c r="Q87" s="102"/>
      <c r="R87" s="102"/>
      <c r="S87" s="100"/>
      <c r="T87" s="103"/>
      <c r="U87" s="103"/>
      <c r="V87" s="107"/>
    </row>
    <row r="88" spans="1:22" ht="34.5" customHeight="1">
      <c r="A88" s="104"/>
      <c r="B88" s="101" t="str">
        <f t="shared" si="2"/>
        <v>1-81</v>
      </c>
      <c r="C88" s="105"/>
      <c r="D88" s="100"/>
      <c r="E88" s="100" t="s">
        <v>111</v>
      </c>
      <c r="F88" s="212" t="s">
        <v>301</v>
      </c>
      <c r="G88" s="213"/>
      <c r="H88" s="102"/>
      <c r="I88" s="20"/>
      <c r="J88" s="102"/>
      <c r="K88" s="102"/>
      <c r="L88" s="20"/>
      <c r="M88" s="102"/>
      <c r="N88" s="102"/>
      <c r="O88" s="20"/>
      <c r="P88" s="102"/>
      <c r="Q88" s="102"/>
      <c r="R88" s="102"/>
      <c r="S88" s="100"/>
      <c r="T88" s="103"/>
      <c r="U88" s="103"/>
      <c r="V88" s="107"/>
    </row>
    <row r="89" spans="1:22" ht="34.5" customHeight="1">
      <c r="A89" s="104"/>
      <c r="B89" s="101" t="str">
        <f t="shared" si="2"/>
        <v>1-82</v>
      </c>
      <c r="C89" s="105"/>
      <c r="D89" s="100"/>
      <c r="E89" s="100" t="s">
        <v>112</v>
      </c>
      <c r="F89" s="167" t="s">
        <v>197</v>
      </c>
      <c r="G89" s="168"/>
      <c r="H89" s="102"/>
      <c r="I89" s="20"/>
      <c r="J89" s="102"/>
      <c r="K89" s="102"/>
      <c r="L89" s="20"/>
      <c r="M89" s="102"/>
      <c r="N89" s="102"/>
      <c r="O89" s="20"/>
      <c r="P89" s="102"/>
      <c r="Q89" s="102"/>
      <c r="R89" s="102"/>
      <c r="S89" s="100"/>
      <c r="T89" s="103"/>
      <c r="U89" s="103"/>
      <c r="V89" s="107"/>
    </row>
    <row r="90" spans="1:22" ht="34.5" customHeight="1">
      <c r="A90" s="104"/>
      <c r="B90" s="101" t="str">
        <f t="shared" si="2"/>
        <v>1-83</v>
      </c>
      <c r="C90" s="105"/>
      <c r="D90" s="100" t="s">
        <v>95</v>
      </c>
      <c r="E90" s="100" t="s">
        <v>74</v>
      </c>
      <c r="F90" s="167" t="s">
        <v>97</v>
      </c>
      <c r="G90" s="168"/>
      <c r="H90" s="102"/>
      <c r="I90" s="20"/>
      <c r="J90" s="102"/>
      <c r="K90" s="102"/>
      <c r="L90" s="20"/>
      <c r="M90" s="102"/>
      <c r="N90" s="102"/>
      <c r="O90" s="20"/>
      <c r="P90" s="102"/>
      <c r="Q90" s="102"/>
      <c r="R90" s="102"/>
      <c r="S90" s="100"/>
      <c r="T90" s="103"/>
      <c r="U90" s="103"/>
      <c r="V90" s="107"/>
    </row>
    <row r="91" spans="1:22" ht="34.5" customHeight="1">
      <c r="A91" s="104"/>
      <c r="B91" s="101" t="str">
        <f t="shared" si="2"/>
        <v>1-84</v>
      </c>
      <c r="C91" s="105"/>
      <c r="D91" s="100"/>
      <c r="E91" s="100" t="s">
        <v>111</v>
      </c>
      <c r="F91" s="212" t="s">
        <v>301</v>
      </c>
      <c r="G91" s="213"/>
      <c r="H91" s="102"/>
      <c r="I91" s="20"/>
      <c r="J91" s="102"/>
      <c r="K91" s="102"/>
      <c r="L91" s="20"/>
      <c r="M91" s="102"/>
      <c r="N91" s="102"/>
      <c r="O91" s="20"/>
      <c r="P91" s="102"/>
      <c r="Q91" s="102"/>
      <c r="R91" s="102"/>
      <c r="S91" s="100"/>
      <c r="T91" s="103"/>
      <c r="U91" s="103"/>
      <c r="V91" s="107"/>
    </row>
    <row r="92" spans="1:22" ht="34.5" customHeight="1">
      <c r="A92" s="104"/>
      <c r="B92" s="101" t="str">
        <f t="shared" si="2"/>
        <v>1-85</v>
      </c>
      <c r="C92" s="105"/>
      <c r="D92" s="100"/>
      <c r="E92" s="100" t="s">
        <v>112</v>
      </c>
      <c r="F92" s="167" t="s">
        <v>198</v>
      </c>
      <c r="G92" s="168"/>
      <c r="H92" s="102"/>
      <c r="I92" s="20"/>
      <c r="J92" s="102"/>
      <c r="K92" s="102"/>
      <c r="L92" s="20"/>
      <c r="M92" s="102"/>
      <c r="N92" s="102"/>
      <c r="O92" s="20"/>
      <c r="P92" s="102"/>
      <c r="Q92" s="102"/>
      <c r="R92" s="102"/>
      <c r="S92" s="100"/>
      <c r="T92" s="103"/>
      <c r="U92" s="103"/>
      <c r="V92" s="108"/>
    </row>
    <row r="93" spans="1:22" ht="34.5" customHeight="1">
      <c r="A93" s="104"/>
      <c r="B93" s="101" t="str">
        <f t="shared" si="2"/>
        <v>1-86</v>
      </c>
      <c r="C93" s="105"/>
      <c r="D93" s="105" t="s">
        <v>103</v>
      </c>
      <c r="E93" s="100" t="s">
        <v>74</v>
      </c>
      <c r="F93" s="167" t="s">
        <v>97</v>
      </c>
      <c r="G93" s="168"/>
      <c r="H93" s="102"/>
      <c r="I93" s="20"/>
      <c r="J93" s="102"/>
      <c r="K93" s="102"/>
      <c r="L93" s="20"/>
      <c r="M93" s="102"/>
      <c r="N93" s="102"/>
      <c r="O93" s="20"/>
      <c r="P93" s="102"/>
      <c r="Q93" s="102"/>
      <c r="R93" s="102"/>
      <c r="S93" s="100"/>
      <c r="T93" s="103"/>
      <c r="U93" s="103"/>
      <c r="V93" s="107"/>
    </row>
    <row r="94" spans="1:22" ht="34.5" customHeight="1">
      <c r="A94" s="104"/>
      <c r="B94" s="101" t="str">
        <f t="shared" si="2"/>
        <v>1-87</v>
      </c>
      <c r="C94" s="105"/>
      <c r="D94" s="105"/>
      <c r="E94" s="100" t="s">
        <v>111</v>
      </c>
      <c r="F94" s="212" t="s">
        <v>301</v>
      </c>
      <c r="G94" s="213"/>
      <c r="H94" s="102"/>
      <c r="I94" s="20"/>
      <c r="J94" s="102"/>
      <c r="K94" s="102"/>
      <c r="L94" s="20"/>
      <c r="M94" s="102"/>
      <c r="N94" s="102"/>
      <c r="O94" s="20"/>
      <c r="P94" s="102"/>
      <c r="Q94" s="102"/>
      <c r="R94" s="102"/>
      <c r="S94" s="100"/>
      <c r="T94" s="103"/>
      <c r="U94" s="103"/>
      <c r="V94" s="108"/>
    </row>
    <row r="95" spans="1:22" ht="34.5" customHeight="1">
      <c r="A95" s="104"/>
      <c r="B95" s="101" t="str">
        <f t="shared" ref="B95:B137" si="3">"1-"&amp;ROW()-7</f>
        <v>1-88</v>
      </c>
      <c r="C95" s="105"/>
      <c r="D95" s="105"/>
      <c r="E95" s="100" t="s">
        <v>112</v>
      </c>
      <c r="F95" s="167" t="s">
        <v>197</v>
      </c>
      <c r="G95" s="168"/>
      <c r="H95" s="102"/>
      <c r="I95" s="20"/>
      <c r="J95" s="102"/>
      <c r="K95" s="102"/>
      <c r="L95" s="20"/>
      <c r="M95" s="102"/>
      <c r="N95" s="102"/>
      <c r="O95" s="20"/>
      <c r="P95" s="102"/>
      <c r="Q95" s="102"/>
      <c r="R95" s="102"/>
      <c r="S95" s="100"/>
      <c r="T95" s="103"/>
      <c r="U95" s="103"/>
      <c r="V95" s="107"/>
    </row>
    <row r="96" spans="1:22" ht="34.5" customHeight="1">
      <c r="A96" s="104"/>
      <c r="B96" s="101" t="str">
        <f t="shared" si="3"/>
        <v>1-89</v>
      </c>
      <c r="C96" s="105"/>
      <c r="D96" s="100" t="s">
        <v>96</v>
      </c>
      <c r="E96" s="100" t="s">
        <v>74</v>
      </c>
      <c r="F96" s="212" t="s">
        <v>108</v>
      </c>
      <c r="G96" s="213"/>
      <c r="H96" s="102"/>
      <c r="I96" s="20"/>
      <c r="J96" s="102"/>
      <c r="K96" s="102"/>
      <c r="L96" s="20"/>
      <c r="M96" s="102"/>
      <c r="N96" s="102"/>
      <c r="O96" s="20"/>
      <c r="P96" s="102"/>
      <c r="Q96" s="102"/>
      <c r="R96" s="102"/>
      <c r="S96" s="100"/>
      <c r="T96" s="103"/>
      <c r="U96" s="103"/>
      <c r="V96" s="107"/>
    </row>
    <row r="97" spans="1:22" ht="34.5" customHeight="1">
      <c r="A97" s="104"/>
      <c r="B97" s="101" t="str">
        <f t="shared" si="3"/>
        <v>1-90</v>
      </c>
      <c r="C97" s="105"/>
      <c r="D97" s="100"/>
      <c r="E97" s="100" t="s">
        <v>92</v>
      </c>
      <c r="F97" s="212" t="s">
        <v>295</v>
      </c>
      <c r="G97" s="213"/>
      <c r="H97" s="102"/>
      <c r="I97" s="20"/>
      <c r="J97" s="102"/>
      <c r="K97" s="102"/>
      <c r="L97" s="20"/>
      <c r="M97" s="102"/>
      <c r="N97" s="102"/>
      <c r="O97" s="20"/>
      <c r="P97" s="102"/>
      <c r="Q97" s="102"/>
      <c r="R97" s="102"/>
      <c r="S97" s="100"/>
      <c r="T97" s="103"/>
      <c r="U97" s="103"/>
      <c r="V97" s="108"/>
    </row>
    <row r="98" spans="1:22" ht="34.5" customHeight="1">
      <c r="A98" s="104"/>
      <c r="B98" s="101" t="str">
        <f t="shared" si="3"/>
        <v>1-91</v>
      </c>
      <c r="C98" s="105"/>
      <c r="D98" s="100"/>
      <c r="E98" s="100" t="s">
        <v>112</v>
      </c>
      <c r="F98" s="212" t="s">
        <v>196</v>
      </c>
      <c r="G98" s="213"/>
      <c r="H98" s="102"/>
      <c r="I98" s="20"/>
      <c r="J98" s="102"/>
      <c r="K98" s="102"/>
      <c r="L98" s="20"/>
      <c r="M98" s="102"/>
      <c r="N98" s="102"/>
      <c r="O98" s="20"/>
      <c r="P98" s="102"/>
      <c r="Q98" s="102"/>
      <c r="R98" s="102"/>
      <c r="S98" s="100"/>
      <c r="T98" s="103"/>
      <c r="U98" s="103"/>
      <c r="V98" s="108"/>
    </row>
    <row r="99" spans="1:22" ht="34.5" customHeight="1">
      <c r="A99" s="104"/>
      <c r="B99" s="101" t="str">
        <f t="shared" si="3"/>
        <v>1-92</v>
      </c>
      <c r="C99" s="105"/>
      <c r="D99" s="100" t="s">
        <v>98</v>
      </c>
      <c r="E99" s="100" t="s">
        <v>287</v>
      </c>
      <c r="F99" s="167" t="s">
        <v>123</v>
      </c>
      <c r="G99" s="168"/>
      <c r="H99" s="102"/>
      <c r="I99" s="20"/>
      <c r="J99" s="102"/>
      <c r="K99" s="102"/>
      <c r="L99" s="20"/>
      <c r="M99" s="102"/>
      <c r="N99" s="102"/>
      <c r="O99" s="20"/>
      <c r="P99" s="102"/>
      <c r="Q99" s="102"/>
      <c r="R99" s="22"/>
      <c r="S99" s="100"/>
      <c r="T99" s="103"/>
      <c r="U99" s="103"/>
      <c r="V99" s="107"/>
    </row>
    <row r="100" spans="1:22" ht="34.5" customHeight="1">
      <c r="A100" s="104"/>
      <c r="B100" s="101" t="str">
        <f t="shared" si="3"/>
        <v>1-93</v>
      </c>
      <c r="C100" s="105"/>
      <c r="D100" s="105" t="s">
        <v>99</v>
      </c>
      <c r="E100" s="100" t="s">
        <v>74</v>
      </c>
      <c r="F100" s="212" t="s">
        <v>302</v>
      </c>
      <c r="G100" s="213"/>
      <c r="H100" s="102"/>
      <c r="I100" s="20"/>
      <c r="J100" s="102"/>
      <c r="K100" s="102"/>
      <c r="L100" s="20"/>
      <c r="M100" s="102"/>
      <c r="N100" s="102"/>
      <c r="O100" s="20"/>
      <c r="P100" s="102"/>
      <c r="Q100" s="102"/>
      <c r="R100" s="102"/>
      <c r="S100" s="100"/>
      <c r="T100" s="103"/>
      <c r="U100" s="103"/>
      <c r="V100" s="107"/>
    </row>
    <row r="101" spans="1:22" ht="34.5" customHeight="1">
      <c r="A101" s="104"/>
      <c r="B101" s="101" t="str">
        <f t="shared" si="3"/>
        <v>1-94</v>
      </c>
      <c r="C101" s="105"/>
      <c r="D101" s="105"/>
      <c r="E101" s="100" t="s">
        <v>90</v>
      </c>
      <c r="F101" s="167" t="s">
        <v>91</v>
      </c>
      <c r="G101" s="168"/>
      <c r="H101" s="102"/>
      <c r="I101" s="20"/>
      <c r="J101" s="102"/>
      <c r="K101" s="102"/>
      <c r="L101" s="20"/>
      <c r="M101" s="102"/>
      <c r="N101" s="102"/>
      <c r="O101" s="20"/>
      <c r="P101" s="102"/>
      <c r="Q101" s="102"/>
      <c r="R101" s="102"/>
      <c r="S101" s="100"/>
      <c r="T101" s="103"/>
      <c r="U101" s="103"/>
      <c r="V101" s="107"/>
    </row>
    <row r="102" spans="1:22" ht="34.5" customHeight="1">
      <c r="A102" s="104"/>
      <c r="B102" s="101" t="str">
        <f t="shared" si="3"/>
        <v>1-95</v>
      </c>
      <c r="C102" s="105"/>
      <c r="D102" s="105"/>
      <c r="E102" s="100" t="s">
        <v>92</v>
      </c>
      <c r="F102" s="167" t="s">
        <v>296</v>
      </c>
      <c r="G102" s="168"/>
      <c r="H102" s="102"/>
      <c r="I102" s="20"/>
      <c r="J102" s="102"/>
      <c r="K102" s="102"/>
      <c r="L102" s="20"/>
      <c r="M102" s="102"/>
      <c r="N102" s="102"/>
      <c r="O102" s="20"/>
      <c r="P102" s="102"/>
      <c r="Q102" s="102"/>
      <c r="R102" s="102"/>
      <c r="S102" s="100"/>
      <c r="T102" s="103"/>
      <c r="U102" s="103"/>
      <c r="V102" s="107"/>
    </row>
    <row r="103" spans="1:22" ht="34.5" customHeight="1">
      <c r="A103" s="104"/>
      <c r="B103" s="101" t="str">
        <f t="shared" si="3"/>
        <v>1-96</v>
      </c>
      <c r="C103" s="105"/>
      <c r="D103" s="100" t="s">
        <v>104</v>
      </c>
      <c r="E103" s="100" t="s">
        <v>74</v>
      </c>
      <c r="F103" s="212" t="s">
        <v>106</v>
      </c>
      <c r="G103" s="213"/>
      <c r="H103" s="102"/>
      <c r="I103" s="20"/>
      <c r="J103" s="102"/>
      <c r="K103" s="102"/>
      <c r="L103" s="20"/>
      <c r="M103" s="102"/>
      <c r="N103" s="102"/>
      <c r="O103" s="20"/>
      <c r="P103" s="102"/>
      <c r="Q103" s="102"/>
      <c r="R103" s="102"/>
      <c r="S103" s="100"/>
      <c r="T103" s="103"/>
      <c r="U103" s="103"/>
      <c r="V103" s="107"/>
    </row>
    <row r="104" spans="1:22" ht="34.5" customHeight="1">
      <c r="A104" s="104"/>
      <c r="B104" s="101" t="str">
        <f t="shared" si="3"/>
        <v>1-97</v>
      </c>
      <c r="C104" s="105"/>
      <c r="D104" s="100"/>
      <c r="E104" s="100" t="s">
        <v>90</v>
      </c>
      <c r="F104" s="167" t="s">
        <v>91</v>
      </c>
      <c r="G104" s="168"/>
      <c r="H104" s="102"/>
      <c r="I104" s="20"/>
      <c r="J104" s="102"/>
      <c r="K104" s="102"/>
      <c r="L104" s="20"/>
      <c r="M104" s="102"/>
      <c r="N104" s="102"/>
      <c r="O104" s="20"/>
      <c r="P104" s="102"/>
      <c r="Q104" s="102"/>
      <c r="R104" s="102"/>
      <c r="S104" s="100"/>
      <c r="T104" s="103"/>
      <c r="U104" s="103"/>
      <c r="V104" s="107"/>
    </row>
    <row r="105" spans="1:22" ht="34.5" customHeight="1">
      <c r="A105" s="104"/>
      <c r="B105" s="101" t="str">
        <f t="shared" si="3"/>
        <v>1-98</v>
      </c>
      <c r="C105" s="105"/>
      <c r="D105" s="100"/>
      <c r="E105" s="100" t="s">
        <v>92</v>
      </c>
      <c r="F105" s="167" t="s">
        <v>298</v>
      </c>
      <c r="G105" s="168"/>
      <c r="H105" s="102"/>
      <c r="I105" s="20"/>
      <c r="J105" s="102"/>
      <c r="K105" s="102"/>
      <c r="L105" s="20"/>
      <c r="M105" s="102"/>
      <c r="N105" s="102"/>
      <c r="O105" s="20"/>
      <c r="P105" s="102"/>
      <c r="Q105" s="102"/>
      <c r="R105" s="102"/>
      <c r="S105" s="100"/>
      <c r="T105" s="103"/>
      <c r="U105" s="103"/>
      <c r="V105" s="107"/>
    </row>
    <row r="106" spans="1:22" ht="34.5" customHeight="1">
      <c r="A106" s="104"/>
      <c r="B106" s="101" t="str">
        <f t="shared" si="3"/>
        <v>1-99</v>
      </c>
      <c r="C106" s="105"/>
      <c r="D106" s="105" t="s">
        <v>100</v>
      </c>
      <c r="E106" s="100" t="s">
        <v>74</v>
      </c>
      <c r="F106" s="212" t="s">
        <v>258</v>
      </c>
      <c r="G106" s="213"/>
      <c r="H106" s="102"/>
      <c r="I106" s="20"/>
      <c r="J106" s="102"/>
      <c r="K106" s="102"/>
      <c r="L106" s="20"/>
      <c r="M106" s="102"/>
      <c r="N106" s="102"/>
      <c r="O106" s="20"/>
      <c r="P106" s="102"/>
      <c r="Q106" s="102"/>
      <c r="R106" s="102"/>
      <c r="S106" s="100"/>
      <c r="T106" s="103"/>
      <c r="U106" s="103"/>
      <c r="V106" s="107"/>
    </row>
    <row r="107" spans="1:22" ht="34.5" customHeight="1">
      <c r="A107" s="104"/>
      <c r="B107" s="101" t="str">
        <f t="shared" si="3"/>
        <v>1-100</v>
      </c>
      <c r="C107" s="105"/>
      <c r="D107" s="105"/>
      <c r="E107" s="100"/>
      <c r="F107" s="212" t="s">
        <v>259</v>
      </c>
      <c r="G107" s="213"/>
      <c r="H107" s="102"/>
      <c r="I107" s="20"/>
      <c r="J107" s="102"/>
      <c r="K107" s="102"/>
      <c r="L107" s="20"/>
      <c r="M107" s="102"/>
      <c r="N107" s="102"/>
      <c r="O107" s="20"/>
      <c r="P107" s="102"/>
      <c r="Q107" s="102"/>
      <c r="R107" s="102"/>
      <c r="S107" s="100"/>
      <c r="T107" s="103"/>
      <c r="U107" s="103"/>
      <c r="V107" s="144"/>
    </row>
    <row r="108" spans="1:22" ht="34.5" customHeight="1">
      <c r="A108" s="104"/>
      <c r="B108" s="101" t="str">
        <f t="shared" si="3"/>
        <v>1-101</v>
      </c>
      <c r="C108" s="105"/>
      <c r="D108" s="105"/>
      <c r="E108" s="100" t="s">
        <v>277</v>
      </c>
      <c r="F108" s="212" t="s">
        <v>278</v>
      </c>
      <c r="G108" s="213"/>
      <c r="H108" s="102"/>
      <c r="I108" s="20"/>
      <c r="J108" s="102"/>
      <c r="K108" s="102"/>
      <c r="L108" s="20"/>
      <c r="M108" s="102"/>
      <c r="N108" s="102"/>
      <c r="O108" s="20"/>
      <c r="P108" s="102"/>
      <c r="Q108" s="165"/>
      <c r="R108" s="127"/>
      <c r="S108" s="100"/>
      <c r="T108" s="103"/>
      <c r="U108" s="103"/>
      <c r="V108" s="157"/>
    </row>
    <row r="109" spans="1:22" ht="34.5" customHeight="1">
      <c r="A109" s="104"/>
      <c r="B109" s="101" t="str">
        <f t="shared" si="3"/>
        <v>1-102</v>
      </c>
      <c r="C109" s="105"/>
      <c r="D109" s="105" t="s">
        <v>289</v>
      </c>
      <c r="E109" s="100" t="s">
        <v>114</v>
      </c>
      <c r="F109" s="167" t="s">
        <v>171</v>
      </c>
      <c r="G109" s="168"/>
      <c r="H109" s="102"/>
      <c r="I109" s="20"/>
      <c r="J109" s="102"/>
      <c r="K109" s="102"/>
      <c r="L109" s="20"/>
      <c r="M109" s="102"/>
      <c r="N109" s="102"/>
      <c r="O109" s="20"/>
      <c r="P109" s="102"/>
      <c r="Q109" s="102"/>
      <c r="R109" s="102"/>
      <c r="S109" s="100"/>
      <c r="T109" s="103"/>
      <c r="U109" s="103"/>
      <c r="V109" s="107"/>
    </row>
    <row r="110" spans="1:22" ht="34.5" customHeight="1">
      <c r="A110" s="104"/>
      <c r="B110" s="101" t="str">
        <f t="shared" si="3"/>
        <v>1-103</v>
      </c>
      <c r="C110" s="105"/>
      <c r="D110" s="100"/>
      <c r="E110" s="100" t="s">
        <v>125</v>
      </c>
      <c r="F110" s="212" t="s">
        <v>133</v>
      </c>
      <c r="G110" s="213"/>
      <c r="H110" s="102"/>
      <c r="I110" s="20"/>
      <c r="J110" s="102"/>
      <c r="K110" s="102"/>
      <c r="L110" s="20"/>
      <c r="M110" s="102"/>
      <c r="N110" s="102"/>
      <c r="O110" s="20"/>
      <c r="P110" s="102"/>
      <c r="Q110" s="102"/>
      <c r="R110" s="102"/>
      <c r="S110" s="100"/>
      <c r="T110" s="103"/>
      <c r="U110" s="103"/>
      <c r="V110" s="110"/>
    </row>
    <row r="111" spans="1:22" ht="34.5" customHeight="1">
      <c r="A111" s="104"/>
      <c r="B111" s="101" t="str">
        <f t="shared" si="3"/>
        <v>1-104</v>
      </c>
      <c r="C111" s="105"/>
      <c r="D111" s="130" t="s">
        <v>115</v>
      </c>
      <c r="E111" s="100" t="s">
        <v>201</v>
      </c>
      <c r="F111" s="212" t="s">
        <v>119</v>
      </c>
      <c r="G111" s="213"/>
      <c r="H111" s="102"/>
      <c r="I111" s="20"/>
      <c r="J111" s="102"/>
      <c r="K111" s="102"/>
      <c r="L111" s="20"/>
      <c r="M111" s="102"/>
      <c r="N111" s="102"/>
      <c r="O111" s="20"/>
      <c r="P111" s="102"/>
      <c r="Q111" s="102"/>
      <c r="R111" s="102"/>
      <c r="S111" s="100"/>
      <c r="T111" s="103"/>
      <c r="U111" s="103"/>
      <c r="V111" s="110"/>
    </row>
    <row r="112" spans="1:22" ht="34.5" customHeight="1">
      <c r="A112" s="104"/>
      <c r="B112" s="101" t="str">
        <f t="shared" si="3"/>
        <v>1-105</v>
      </c>
      <c r="C112" s="105"/>
      <c r="D112" s="100"/>
      <c r="E112" s="100" t="s">
        <v>200</v>
      </c>
      <c r="F112" s="212" t="s">
        <v>303</v>
      </c>
      <c r="G112" s="213"/>
      <c r="H112" s="102"/>
      <c r="I112" s="20"/>
      <c r="J112" s="102"/>
      <c r="K112" s="102"/>
      <c r="L112" s="20"/>
      <c r="M112" s="102"/>
      <c r="N112" s="102"/>
      <c r="O112" s="20"/>
      <c r="P112" s="102"/>
      <c r="Q112" s="165"/>
      <c r="R112" s="102"/>
      <c r="S112" s="100"/>
      <c r="T112" s="103"/>
      <c r="U112" s="103"/>
      <c r="V112" s="126"/>
    </row>
    <row r="113" spans="1:24" ht="34.5" customHeight="1">
      <c r="A113" s="104"/>
      <c r="B113" s="101" t="str">
        <f t="shared" si="3"/>
        <v>1-106</v>
      </c>
      <c r="C113" s="105"/>
      <c r="D113" s="100"/>
      <c r="E113" s="100"/>
      <c r="F113" s="212" t="s">
        <v>305</v>
      </c>
      <c r="G113" s="213"/>
      <c r="H113" s="102"/>
      <c r="I113" s="20"/>
      <c r="J113" s="102"/>
      <c r="K113" s="102"/>
      <c r="L113" s="20"/>
      <c r="M113" s="102"/>
      <c r="N113" s="102"/>
      <c r="O113" s="20"/>
      <c r="P113" s="102"/>
      <c r="Q113" s="165"/>
      <c r="R113" s="102"/>
      <c r="S113" s="100"/>
      <c r="T113" s="103"/>
      <c r="U113" s="103"/>
      <c r="V113" s="162"/>
    </row>
    <row r="114" spans="1:24" ht="57" customHeight="1">
      <c r="A114" s="104"/>
      <c r="B114" s="101" t="str">
        <f t="shared" si="3"/>
        <v>1-107</v>
      </c>
      <c r="C114" s="105"/>
      <c r="D114" s="130" t="s">
        <v>120</v>
      </c>
      <c r="E114" s="100" t="s">
        <v>205</v>
      </c>
      <c r="F114" s="214" t="s">
        <v>316</v>
      </c>
      <c r="G114" s="215"/>
      <c r="H114" s="102"/>
      <c r="I114" s="20"/>
      <c r="J114" s="102"/>
      <c r="K114" s="102"/>
      <c r="L114" s="20"/>
      <c r="M114" s="102"/>
      <c r="N114" s="102"/>
      <c r="O114" s="20"/>
      <c r="P114" s="102"/>
      <c r="Q114" s="102"/>
      <c r="R114" s="102"/>
      <c r="S114" s="100"/>
      <c r="T114" s="103"/>
      <c r="U114" s="103"/>
      <c r="V114" s="110"/>
    </row>
    <row r="115" spans="1:24" ht="45.75" customHeight="1">
      <c r="A115" s="104"/>
      <c r="B115" s="101" t="str">
        <f t="shared" si="3"/>
        <v>1-108</v>
      </c>
      <c r="C115" s="105"/>
      <c r="D115" s="100"/>
      <c r="E115" s="100" t="s">
        <v>204</v>
      </c>
      <c r="F115" s="214" t="s">
        <v>317</v>
      </c>
      <c r="G115" s="215"/>
      <c r="H115" s="102"/>
      <c r="I115" s="20"/>
      <c r="J115" s="102"/>
      <c r="K115" s="102"/>
      <c r="L115" s="20"/>
      <c r="M115" s="102"/>
      <c r="N115" s="102"/>
      <c r="O115" s="20"/>
      <c r="P115" s="102"/>
      <c r="Q115" s="102"/>
      <c r="R115" s="102"/>
      <c r="S115" s="100"/>
      <c r="T115" s="103"/>
      <c r="U115" s="103"/>
      <c r="V115" s="126"/>
    </row>
    <row r="116" spans="1:24" ht="45.75" customHeight="1">
      <c r="A116" s="104"/>
      <c r="B116" s="101" t="str">
        <f t="shared" si="3"/>
        <v>1-109</v>
      </c>
      <c r="C116" s="105"/>
      <c r="D116" s="100"/>
      <c r="E116" s="100" t="s">
        <v>206</v>
      </c>
      <c r="F116" s="212" t="s">
        <v>208</v>
      </c>
      <c r="G116" s="213"/>
      <c r="H116" s="102"/>
      <c r="I116" s="20"/>
      <c r="J116" s="102"/>
      <c r="K116" s="102"/>
      <c r="L116" s="20"/>
      <c r="M116" s="102"/>
      <c r="N116" s="102"/>
      <c r="O116" s="20"/>
      <c r="P116" s="102"/>
      <c r="Q116" s="102"/>
      <c r="R116" s="102"/>
      <c r="S116" s="100"/>
      <c r="T116" s="103"/>
      <c r="U116" s="103"/>
      <c r="V116" s="129"/>
    </row>
    <row r="117" spans="1:24" ht="34.5" customHeight="1">
      <c r="A117" s="104"/>
      <c r="B117" s="101" t="str">
        <f t="shared" si="3"/>
        <v>1-110</v>
      </c>
      <c r="C117" s="100"/>
      <c r="D117" s="100" t="s">
        <v>88</v>
      </c>
      <c r="E117" s="100" t="s">
        <v>172</v>
      </c>
      <c r="F117" s="212" t="s">
        <v>173</v>
      </c>
      <c r="G117" s="213"/>
      <c r="H117" s="102"/>
      <c r="I117" s="20"/>
      <c r="J117" s="102"/>
      <c r="K117" s="102"/>
      <c r="L117" s="20"/>
      <c r="M117" s="102"/>
      <c r="N117" s="102"/>
      <c r="O117" s="20"/>
      <c r="P117" s="102"/>
      <c r="Q117" s="165"/>
      <c r="R117" s="102"/>
      <c r="S117" s="100"/>
      <c r="T117" s="103"/>
      <c r="U117" s="103"/>
      <c r="V117" s="123"/>
      <c r="W117" s="123"/>
      <c r="X117" s="123"/>
    </row>
    <row r="118" spans="1:24" ht="34.5" customHeight="1">
      <c r="A118" s="104"/>
      <c r="B118" s="101" t="str">
        <f t="shared" si="3"/>
        <v>1-111</v>
      </c>
      <c r="C118" s="100"/>
      <c r="D118" s="100" t="s">
        <v>169</v>
      </c>
      <c r="E118" s="100" t="s">
        <v>174</v>
      </c>
      <c r="F118" s="212" t="s">
        <v>168</v>
      </c>
      <c r="G118" s="213"/>
      <c r="H118" s="102"/>
      <c r="I118" s="20"/>
      <c r="J118" s="102"/>
      <c r="K118" s="102"/>
      <c r="L118" s="20"/>
      <c r="M118" s="102"/>
      <c r="N118" s="102"/>
      <c r="O118" s="20"/>
      <c r="P118" s="102"/>
      <c r="Q118" s="102"/>
      <c r="R118" s="102"/>
      <c r="S118" s="100"/>
      <c r="T118" s="103"/>
      <c r="U118" s="103"/>
      <c r="V118" s="123"/>
      <c r="W118" s="123"/>
      <c r="X118" s="123"/>
    </row>
    <row r="119" spans="1:24" ht="34.5" customHeight="1">
      <c r="A119" s="104"/>
      <c r="B119" s="101" t="str">
        <f t="shared" si="3"/>
        <v>1-112</v>
      </c>
      <c r="C119" s="100"/>
      <c r="D119" s="100" t="s">
        <v>175</v>
      </c>
      <c r="E119" s="100" t="s">
        <v>176</v>
      </c>
      <c r="F119" s="212" t="s">
        <v>170</v>
      </c>
      <c r="G119" s="213"/>
      <c r="H119" s="102"/>
      <c r="I119" s="20"/>
      <c r="J119" s="102"/>
      <c r="K119" s="102"/>
      <c r="L119" s="20"/>
      <c r="M119" s="102"/>
      <c r="N119" s="102"/>
      <c r="O119" s="20"/>
      <c r="P119" s="102"/>
      <c r="Q119" s="102"/>
      <c r="R119" s="102"/>
      <c r="S119" s="100"/>
      <c r="T119" s="103"/>
      <c r="U119" s="103"/>
      <c r="V119" s="123"/>
      <c r="W119" s="123"/>
      <c r="X119" s="123"/>
    </row>
    <row r="120" spans="1:24" ht="34.5" customHeight="1">
      <c r="A120" s="104"/>
      <c r="B120" s="101" t="str">
        <f t="shared" si="3"/>
        <v>1-113</v>
      </c>
      <c r="C120" s="128" t="s">
        <v>189</v>
      </c>
      <c r="D120" s="105" t="s">
        <v>190</v>
      </c>
      <c r="E120" s="100" t="s">
        <v>88</v>
      </c>
      <c r="F120" s="212" t="s">
        <v>191</v>
      </c>
      <c r="G120" s="213"/>
      <c r="H120" s="102"/>
      <c r="I120" s="20"/>
      <c r="J120" s="102"/>
      <c r="K120" s="102"/>
      <c r="L120" s="20"/>
      <c r="M120" s="102"/>
      <c r="N120" s="102"/>
      <c r="O120" s="20"/>
      <c r="P120" s="102"/>
      <c r="Q120" s="102"/>
      <c r="R120" s="127"/>
      <c r="S120" s="100"/>
      <c r="T120" s="103"/>
      <c r="U120" s="103"/>
      <c r="V120" s="123"/>
    </row>
    <row r="121" spans="1:24" ht="34.5" customHeight="1">
      <c r="A121" s="104"/>
      <c r="B121" s="101" t="str">
        <f t="shared" si="3"/>
        <v>1-114</v>
      </c>
      <c r="C121" s="128"/>
      <c r="D121" s="105"/>
      <c r="E121" s="100" t="s">
        <v>192</v>
      </c>
      <c r="F121" s="212" t="s">
        <v>194</v>
      </c>
      <c r="G121" s="213"/>
      <c r="H121" s="102"/>
      <c r="I121" s="20"/>
      <c r="J121" s="102"/>
      <c r="K121" s="102"/>
      <c r="L121" s="20"/>
      <c r="M121" s="102"/>
      <c r="N121" s="102"/>
      <c r="O121" s="20"/>
      <c r="P121" s="102"/>
      <c r="Q121" s="102"/>
      <c r="R121" s="127"/>
      <c r="S121" s="100"/>
      <c r="T121" s="103"/>
      <c r="U121" s="103"/>
      <c r="V121" s="123"/>
    </row>
    <row r="122" spans="1:24" ht="34.5" customHeight="1">
      <c r="A122" s="104"/>
      <c r="B122" s="101" t="str">
        <f t="shared" si="3"/>
        <v>1-115</v>
      </c>
      <c r="C122" s="128"/>
      <c r="D122" s="105"/>
      <c r="E122" s="100" t="s">
        <v>193</v>
      </c>
      <c r="F122" s="212" t="s">
        <v>195</v>
      </c>
      <c r="G122" s="213"/>
      <c r="H122" s="102"/>
      <c r="I122" s="20"/>
      <c r="J122" s="102"/>
      <c r="K122" s="102"/>
      <c r="L122" s="20"/>
      <c r="M122" s="102"/>
      <c r="N122" s="102"/>
      <c r="O122" s="20"/>
      <c r="P122" s="102"/>
      <c r="Q122" s="102"/>
      <c r="R122" s="127"/>
      <c r="S122" s="100"/>
      <c r="T122" s="103"/>
      <c r="U122" s="103"/>
      <c r="V122" s="123"/>
    </row>
    <row r="123" spans="1:24" ht="34.5" customHeight="1">
      <c r="A123" s="104"/>
      <c r="B123" s="101" t="str">
        <f t="shared" si="3"/>
        <v>1-116</v>
      </c>
      <c r="C123" s="128" t="s">
        <v>186</v>
      </c>
      <c r="D123" s="105" t="s">
        <v>188</v>
      </c>
      <c r="E123" s="100" t="s">
        <v>118</v>
      </c>
      <c r="F123" s="212" t="s">
        <v>255</v>
      </c>
      <c r="G123" s="213"/>
      <c r="H123" s="102"/>
      <c r="I123" s="20"/>
      <c r="J123" s="102"/>
      <c r="K123" s="102"/>
      <c r="L123" s="20"/>
      <c r="M123" s="102"/>
      <c r="N123" s="102"/>
      <c r="O123" s="20"/>
      <c r="P123" s="102"/>
      <c r="Q123" s="102"/>
      <c r="R123" s="127"/>
      <c r="S123" s="100"/>
      <c r="T123" s="103"/>
      <c r="U123" s="103"/>
      <c r="V123" s="123"/>
    </row>
    <row r="124" spans="1:24" ht="34.5" customHeight="1">
      <c r="A124" s="104"/>
      <c r="B124" s="101" t="str">
        <f t="shared" si="3"/>
        <v>1-117</v>
      </c>
      <c r="C124" s="105"/>
      <c r="D124" s="105"/>
      <c r="E124" s="100" t="s">
        <v>118</v>
      </c>
      <c r="F124" s="212" t="s">
        <v>187</v>
      </c>
      <c r="G124" s="213"/>
      <c r="H124" s="102"/>
      <c r="I124" s="20"/>
      <c r="J124" s="102"/>
      <c r="K124" s="102"/>
      <c r="L124" s="20"/>
      <c r="M124" s="102"/>
      <c r="N124" s="102"/>
      <c r="O124" s="20"/>
      <c r="P124" s="102"/>
      <c r="Q124" s="102"/>
      <c r="R124" s="127"/>
      <c r="S124" s="100"/>
      <c r="T124" s="103"/>
      <c r="U124" s="103"/>
      <c r="V124" s="123"/>
    </row>
    <row r="125" spans="1:24" ht="34.5" customHeight="1">
      <c r="A125" s="104"/>
      <c r="B125" s="101" t="str">
        <f t="shared" si="3"/>
        <v>1-118</v>
      </c>
      <c r="C125" s="128"/>
      <c r="D125" s="105" t="s">
        <v>253</v>
      </c>
      <c r="E125" s="100" t="s">
        <v>118</v>
      </c>
      <c r="F125" s="212" t="s">
        <v>256</v>
      </c>
      <c r="G125" s="213"/>
      <c r="H125" s="102"/>
      <c r="I125" s="20"/>
      <c r="J125" s="20"/>
      <c r="K125" s="102"/>
      <c r="L125" s="20"/>
      <c r="M125" s="20"/>
      <c r="N125" s="102"/>
      <c r="O125" s="20"/>
      <c r="P125" s="20"/>
      <c r="Q125" s="102"/>
      <c r="R125" s="127"/>
      <c r="S125" s="100"/>
      <c r="T125" s="103"/>
      <c r="U125" s="103"/>
      <c r="V125" s="143"/>
    </row>
    <row r="126" spans="1:24" ht="34.5" customHeight="1">
      <c r="A126" s="104"/>
      <c r="B126" s="101" t="str">
        <f t="shared" si="3"/>
        <v>1-119</v>
      </c>
      <c r="C126" s="105"/>
      <c r="D126" s="105"/>
      <c r="E126" s="100" t="s">
        <v>118</v>
      </c>
      <c r="F126" s="212" t="s">
        <v>187</v>
      </c>
      <c r="G126" s="213"/>
      <c r="H126" s="102"/>
      <c r="I126" s="20"/>
      <c r="J126" s="20"/>
      <c r="K126" s="102"/>
      <c r="L126" s="20"/>
      <c r="M126" s="20"/>
      <c r="N126" s="102"/>
      <c r="O126" s="20"/>
      <c r="P126" s="20"/>
      <c r="Q126" s="102"/>
      <c r="R126" s="127"/>
      <c r="S126" s="100"/>
      <c r="T126" s="103"/>
      <c r="U126" s="103"/>
      <c r="V126" s="143"/>
    </row>
    <row r="127" spans="1:24" ht="34.5" customHeight="1">
      <c r="A127" s="104"/>
      <c r="B127" s="101" t="str">
        <f t="shared" si="3"/>
        <v>1-120</v>
      </c>
      <c r="C127" s="128"/>
      <c r="D127" s="105" t="s">
        <v>254</v>
      </c>
      <c r="E127" s="100" t="s">
        <v>118</v>
      </c>
      <c r="F127" s="212" t="s">
        <v>257</v>
      </c>
      <c r="G127" s="213"/>
      <c r="H127" s="102"/>
      <c r="I127" s="20"/>
      <c r="J127" s="20"/>
      <c r="K127" s="102"/>
      <c r="L127" s="20"/>
      <c r="M127" s="20"/>
      <c r="N127" s="102"/>
      <c r="O127" s="20"/>
      <c r="P127" s="20"/>
      <c r="Q127" s="102"/>
      <c r="R127" s="127"/>
      <c r="S127" s="100"/>
      <c r="T127" s="103"/>
      <c r="U127" s="103"/>
      <c r="V127" s="144"/>
    </row>
    <row r="128" spans="1:24" ht="34.5" customHeight="1">
      <c r="A128" s="104"/>
      <c r="B128" s="101" t="str">
        <f t="shared" si="3"/>
        <v>1-121</v>
      </c>
      <c r="C128" s="105"/>
      <c r="D128" s="105"/>
      <c r="E128" s="100" t="s">
        <v>118</v>
      </c>
      <c r="F128" s="212" t="s">
        <v>187</v>
      </c>
      <c r="G128" s="213"/>
      <c r="H128" s="102"/>
      <c r="I128" s="20"/>
      <c r="J128" s="20"/>
      <c r="K128" s="102"/>
      <c r="L128" s="20"/>
      <c r="M128" s="20"/>
      <c r="N128" s="102"/>
      <c r="O128" s="20"/>
      <c r="P128" s="20"/>
      <c r="Q128" s="102"/>
      <c r="R128" s="127"/>
      <c r="S128" s="100"/>
      <c r="T128" s="103"/>
      <c r="U128" s="103"/>
      <c r="V128" s="144"/>
    </row>
    <row r="129" spans="1:22" ht="66.75" customHeight="1">
      <c r="A129" s="104"/>
      <c r="B129" s="101" t="str">
        <f t="shared" si="3"/>
        <v>1-122</v>
      </c>
      <c r="C129" s="105" t="s">
        <v>116</v>
      </c>
      <c r="D129" s="100" t="s">
        <v>291</v>
      </c>
      <c r="E129" s="100" t="s">
        <v>115</v>
      </c>
      <c r="F129" s="212" t="s">
        <v>274</v>
      </c>
      <c r="G129" s="213"/>
      <c r="H129" s="102"/>
      <c r="I129" s="20"/>
      <c r="J129" s="102"/>
      <c r="K129" s="102"/>
      <c r="L129" s="20"/>
      <c r="M129" s="102"/>
      <c r="N129" s="102"/>
      <c r="O129" s="20"/>
      <c r="P129" s="102"/>
      <c r="Q129" s="165"/>
      <c r="R129" s="102"/>
      <c r="S129" s="100"/>
      <c r="T129" s="103"/>
      <c r="U129" s="103"/>
      <c r="V129" s="123"/>
    </row>
    <row r="130" spans="1:22" ht="42.75" customHeight="1">
      <c r="A130" s="104"/>
      <c r="B130" s="101" t="str">
        <f t="shared" si="3"/>
        <v>1-123</v>
      </c>
      <c r="C130" s="105" t="s">
        <v>107</v>
      </c>
      <c r="D130" s="100" t="s">
        <v>291</v>
      </c>
      <c r="E130" s="100" t="s">
        <v>115</v>
      </c>
      <c r="F130" s="212" t="s">
        <v>273</v>
      </c>
      <c r="G130" s="213"/>
      <c r="H130" s="102"/>
      <c r="I130" s="20"/>
      <c r="J130" s="102"/>
      <c r="K130" s="102"/>
      <c r="L130" s="20"/>
      <c r="M130" s="102"/>
      <c r="N130" s="102"/>
      <c r="O130" s="20"/>
      <c r="P130" s="102"/>
      <c r="Q130" s="165"/>
      <c r="R130" s="102"/>
      <c r="S130" s="100"/>
      <c r="T130" s="103"/>
      <c r="U130" s="103"/>
      <c r="V130" s="123"/>
    </row>
    <row r="131" spans="1:22" ht="41.25" customHeight="1">
      <c r="A131" s="104"/>
      <c r="B131" s="101" t="str">
        <f t="shared" si="3"/>
        <v>1-124</v>
      </c>
      <c r="C131" s="105" t="s">
        <v>117</v>
      </c>
      <c r="D131" s="100" t="s">
        <v>118</v>
      </c>
      <c r="E131" s="100" t="s">
        <v>322</v>
      </c>
      <c r="F131" s="212" t="s">
        <v>300</v>
      </c>
      <c r="G131" s="213"/>
      <c r="H131" s="102"/>
      <c r="I131" s="20"/>
      <c r="J131" s="102"/>
      <c r="K131" s="102"/>
      <c r="L131" s="20"/>
      <c r="M131" s="102"/>
      <c r="N131" s="102"/>
      <c r="O131" s="20"/>
      <c r="P131" s="102"/>
      <c r="Q131" s="102"/>
      <c r="R131" s="165"/>
      <c r="S131" s="100"/>
      <c r="T131" s="103"/>
      <c r="U131" s="103"/>
      <c r="V131" s="109"/>
    </row>
    <row r="132" spans="1:22" ht="34.5" customHeight="1">
      <c r="A132" s="104"/>
      <c r="B132" s="161" t="str">
        <f t="shared" si="3"/>
        <v>1-125</v>
      </c>
      <c r="C132" s="130"/>
      <c r="D132" s="100"/>
      <c r="E132" s="100" t="s">
        <v>323</v>
      </c>
      <c r="F132" s="212" t="s">
        <v>299</v>
      </c>
      <c r="G132" s="213"/>
      <c r="H132" s="102"/>
      <c r="I132" s="20"/>
      <c r="J132" s="102"/>
      <c r="K132" s="102"/>
      <c r="L132" s="20"/>
      <c r="M132" s="102"/>
      <c r="N132" s="102"/>
      <c r="O132" s="20"/>
      <c r="P132" s="102"/>
      <c r="Q132" s="102"/>
      <c r="R132" s="165"/>
      <c r="S132" s="100"/>
      <c r="T132" s="103"/>
      <c r="U132" s="103"/>
      <c r="V132" s="160"/>
    </row>
    <row r="133" spans="1:22" ht="47.45" customHeight="1">
      <c r="A133" s="104"/>
      <c r="B133" s="161" t="str">
        <f t="shared" si="3"/>
        <v>1-126</v>
      </c>
      <c r="C133" s="105" t="s">
        <v>179</v>
      </c>
      <c r="D133" s="105" t="s">
        <v>180</v>
      </c>
      <c r="E133" s="100" t="s">
        <v>292</v>
      </c>
      <c r="F133" s="212" t="s">
        <v>318</v>
      </c>
      <c r="G133" s="213"/>
      <c r="H133" s="102"/>
      <c r="I133" s="20"/>
      <c r="J133" s="102"/>
      <c r="K133" s="102"/>
      <c r="L133" s="20"/>
      <c r="M133" s="102"/>
      <c r="N133" s="102"/>
      <c r="O133" s="20"/>
      <c r="P133" s="102"/>
      <c r="Q133" s="165"/>
      <c r="R133" s="127"/>
      <c r="S133" s="100"/>
      <c r="T133" s="103"/>
      <c r="U133" s="103"/>
      <c r="V133" s="123"/>
    </row>
    <row r="134" spans="1:22" ht="47.45" customHeight="1">
      <c r="A134" s="104"/>
      <c r="B134" s="161" t="str">
        <f t="shared" si="3"/>
        <v>1-127</v>
      </c>
      <c r="C134" s="105"/>
      <c r="D134" s="105" t="s">
        <v>182</v>
      </c>
      <c r="E134" s="100" t="s">
        <v>293</v>
      </c>
      <c r="F134" s="212" t="s">
        <v>181</v>
      </c>
      <c r="G134" s="213"/>
      <c r="H134" s="102"/>
      <c r="I134" s="20"/>
      <c r="J134" s="102"/>
      <c r="K134" s="102"/>
      <c r="L134" s="20"/>
      <c r="M134" s="102"/>
      <c r="N134" s="102"/>
      <c r="O134" s="20"/>
      <c r="P134" s="102"/>
      <c r="Q134" s="165"/>
      <c r="R134" s="127"/>
      <c r="S134" s="100"/>
      <c r="T134" s="103"/>
      <c r="U134" s="103"/>
      <c r="V134" s="123"/>
    </row>
    <row r="135" spans="1:22" s="104" customFormat="1" ht="45" customHeight="1">
      <c r="B135" s="161" t="str">
        <f t="shared" si="3"/>
        <v>1-128</v>
      </c>
      <c r="C135" s="105"/>
      <c r="D135" s="105" t="s">
        <v>183</v>
      </c>
      <c r="E135" s="42" t="s">
        <v>320</v>
      </c>
      <c r="F135" s="212" t="s">
        <v>319</v>
      </c>
      <c r="G135" s="213"/>
      <c r="H135" s="102"/>
      <c r="I135" s="20"/>
      <c r="J135" s="102"/>
      <c r="K135" s="102"/>
      <c r="L135" s="20"/>
      <c r="M135" s="102"/>
      <c r="N135" s="102"/>
      <c r="O135" s="20"/>
      <c r="P135" s="102"/>
      <c r="Q135" s="102"/>
      <c r="R135" s="127"/>
      <c r="S135" s="100"/>
      <c r="T135" s="103"/>
      <c r="U135" s="103"/>
      <c r="V135" s="123"/>
    </row>
    <row r="136" spans="1:22" ht="34.5" customHeight="1">
      <c r="A136" s="104"/>
      <c r="B136" s="161" t="str">
        <f t="shared" si="3"/>
        <v>1-129</v>
      </c>
      <c r="C136" s="105"/>
      <c r="D136" s="105" t="s">
        <v>185</v>
      </c>
      <c r="E136" s="100" t="s">
        <v>294</v>
      </c>
      <c r="F136" s="212" t="s">
        <v>184</v>
      </c>
      <c r="G136" s="213"/>
      <c r="H136" s="102"/>
      <c r="I136" s="20"/>
      <c r="J136" s="102"/>
      <c r="K136" s="102"/>
      <c r="L136" s="20"/>
      <c r="M136" s="102"/>
      <c r="N136" s="102"/>
      <c r="O136" s="20"/>
      <c r="P136" s="102"/>
      <c r="Q136" s="127"/>
      <c r="R136" s="127"/>
      <c r="S136" s="100"/>
      <c r="T136" s="103"/>
      <c r="U136" s="103"/>
      <c r="V136" s="123"/>
    </row>
    <row r="137" spans="1:22" ht="34.5" customHeight="1">
      <c r="A137" s="104"/>
      <c r="B137" s="161" t="str">
        <f t="shared" si="3"/>
        <v>1-130</v>
      </c>
      <c r="C137" s="105" t="s">
        <v>308</v>
      </c>
      <c r="D137" s="105" t="s">
        <v>309</v>
      </c>
      <c r="E137" s="105" t="s">
        <v>310</v>
      </c>
      <c r="F137" s="212" t="s">
        <v>311</v>
      </c>
      <c r="G137" s="213"/>
      <c r="H137" s="102"/>
      <c r="I137" s="20"/>
      <c r="J137" s="102"/>
      <c r="K137" s="102"/>
      <c r="L137" s="20"/>
      <c r="M137" s="102"/>
      <c r="N137" s="102"/>
      <c r="O137" s="20"/>
      <c r="P137" s="102"/>
      <c r="Q137" s="102"/>
      <c r="R137" s="127"/>
      <c r="S137" s="100"/>
      <c r="T137" s="103"/>
      <c r="U137" s="103"/>
      <c r="V137" s="164"/>
    </row>
    <row r="138" spans="1:22" s="104" customFormat="1">
      <c r="B138" s="23"/>
      <c r="C138" s="24"/>
      <c r="D138" s="24"/>
      <c r="E138" s="24"/>
      <c r="F138" s="225"/>
      <c r="G138" s="225"/>
      <c r="H138" s="169"/>
      <c r="I138" s="26"/>
      <c r="J138" s="169"/>
      <c r="K138" s="121"/>
      <c r="L138" s="122"/>
      <c r="M138" s="121"/>
      <c r="N138" s="121"/>
      <c r="O138" s="122"/>
      <c r="P138" s="121"/>
    </row>
    <row r="139" spans="1:22" s="104" customFormat="1">
      <c r="B139" s="23"/>
      <c r="C139" s="24"/>
      <c r="D139" s="24"/>
      <c r="E139" s="24"/>
      <c r="F139" s="24"/>
      <c r="G139" s="25"/>
      <c r="H139" s="107"/>
      <c r="I139" s="26"/>
      <c r="J139" s="107"/>
      <c r="K139" s="117"/>
      <c r="L139" s="26"/>
      <c r="M139" s="117"/>
      <c r="N139" s="117"/>
      <c r="O139" s="26"/>
      <c r="P139" s="117"/>
    </row>
    <row r="140" spans="1:22" s="104" customFormat="1">
      <c r="B140" s="23"/>
      <c r="C140" s="24"/>
      <c r="D140" s="24"/>
      <c r="E140" s="24"/>
      <c r="F140" s="24"/>
      <c r="G140" s="25"/>
      <c r="H140" s="107"/>
      <c r="I140" s="26"/>
      <c r="J140" s="107"/>
      <c r="K140" s="117"/>
      <c r="L140" s="27"/>
    </row>
  </sheetData>
  <autoFilter ref="A7:R137">
    <filterColumn colId="5" showButton="0"/>
  </autoFilter>
  <mergeCells count="124">
    <mergeCell ref="F136:G136"/>
    <mergeCell ref="F138:G138"/>
    <mergeCell ref="F123:G123"/>
    <mergeCell ref="F124:G124"/>
    <mergeCell ref="F10:G10"/>
    <mergeCell ref="F125:G125"/>
    <mergeCell ref="F126:G126"/>
    <mergeCell ref="F133:G133"/>
    <mergeCell ref="F134:G134"/>
    <mergeCell ref="F135:G135"/>
    <mergeCell ref="F69:G69"/>
    <mergeCell ref="F70:G70"/>
    <mergeCell ref="F75:G75"/>
    <mergeCell ref="F120:G120"/>
    <mergeCell ref="F76:G76"/>
    <mergeCell ref="F59:G59"/>
    <mergeCell ref="F108:G108"/>
    <mergeCell ref="F66:G66"/>
    <mergeCell ref="F77:G77"/>
    <mergeCell ref="F121:G121"/>
    <mergeCell ref="F132:G132"/>
    <mergeCell ref="F117:G117"/>
    <mergeCell ref="F118:G118"/>
    <mergeCell ref="F119:G119"/>
    <mergeCell ref="F127:G127"/>
    <mergeCell ref="F128:G128"/>
    <mergeCell ref="F107:G107"/>
    <mergeCell ref="F115:G115"/>
    <mergeCell ref="F112:G112"/>
    <mergeCell ref="F110:G110"/>
    <mergeCell ref="F129:G129"/>
    <mergeCell ref="F34:G34"/>
    <mergeCell ref="F41:G41"/>
    <mergeCell ref="F40:G40"/>
    <mergeCell ref="F45:G45"/>
    <mergeCell ref="F42:G42"/>
    <mergeCell ref="F61:G61"/>
    <mergeCell ref="F52:G52"/>
    <mergeCell ref="F35:G35"/>
    <mergeCell ref="F46:G46"/>
    <mergeCell ref="F55:G55"/>
    <mergeCell ref="F36:G36"/>
    <mergeCell ref="F37:G37"/>
    <mergeCell ref="F38:G38"/>
    <mergeCell ref="F47:G47"/>
    <mergeCell ref="F39:G39"/>
    <mergeCell ref="F44:G44"/>
    <mergeCell ref="F81:G81"/>
    <mergeCell ref="F60:G60"/>
    <mergeCell ref="F58:G58"/>
    <mergeCell ref="F51:G51"/>
    <mergeCell ref="F50:G50"/>
    <mergeCell ref="F49:G49"/>
    <mergeCell ref="F53:G53"/>
    <mergeCell ref="F54:G54"/>
    <mergeCell ref="F122:G122"/>
    <mergeCell ref="F116:G116"/>
    <mergeCell ref="F79:G79"/>
    <mergeCell ref="F80:G80"/>
    <mergeCell ref="F100:G100"/>
    <mergeCell ref="F103:G103"/>
    <mergeCell ref="F106:G106"/>
    <mergeCell ref="S6:U6"/>
    <mergeCell ref="R6:R7"/>
    <mergeCell ref="F82:G82"/>
    <mergeCell ref="F84:G84"/>
    <mergeCell ref="F86:G86"/>
    <mergeCell ref="F27:G27"/>
    <mergeCell ref="F28:G28"/>
    <mergeCell ref="F29:G29"/>
    <mergeCell ref="F56:G56"/>
    <mergeCell ref="F57:G57"/>
    <mergeCell ref="F83:G83"/>
    <mergeCell ref="F85:G85"/>
    <mergeCell ref="F43:G43"/>
    <mergeCell ref="F13:G13"/>
    <mergeCell ref="F30:G30"/>
    <mergeCell ref="H6:J6"/>
    <mergeCell ref="F31:G31"/>
    <mergeCell ref="N6:P6"/>
    <mergeCell ref="F32:G32"/>
    <mergeCell ref="F33:G33"/>
    <mergeCell ref="K6:M6"/>
    <mergeCell ref="F48:G48"/>
    <mergeCell ref="F24:G24"/>
    <mergeCell ref="F12:G12"/>
    <mergeCell ref="B6:B7"/>
    <mergeCell ref="C6:C7"/>
    <mergeCell ref="E6:E7"/>
    <mergeCell ref="F6:G7"/>
    <mergeCell ref="F25:G25"/>
    <mergeCell ref="F26:G26"/>
    <mergeCell ref="F8:G8"/>
    <mergeCell ref="F14:G14"/>
    <mergeCell ref="F17:G17"/>
    <mergeCell ref="F18:G18"/>
    <mergeCell ref="D6:D7"/>
    <mergeCell ref="F19:G19"/>
    <mergeCell ref="F20:G20"/>
    <mergeCell ref="F23:G23"/>
    <mergeCell ref="Q6:Q7"/>
    <mergeCell ref="F137:G137"/>
    <mergeCell ref="F94:G94"/>
    <mergeCell ref="F114:G114"/>
    <mergeCell ref="F96:G96"/>
    <mergeCell ref="F98:G98"/>
    <mergeCell ref="F97:G97"/>
    <mergeCell ref="F62:G62"/>
    <mergeCell ref="F65:G65"/>
    <mergeCell ref="F78:G78"/>
    <mergeCell ref="F67:G67"/>
    <mergeCell ref="F113:G113"/>
    <mergeCell ref="F71:G71"/>
    <mergeCell ref="F72:G72"/>
    <mergeCell ref="F73:G73"/>
    <mergeCell ref="F74:G74"/>
    <mergeCell ref="F68:G68"/>
    <mergeCell ref="F64:G64"/>
    <mergeCell ref="F63:G63"/>
    <mergeCell ref="F88:G88"/>
    <mergeCell ref="F91:G91"/>
    <mergeCell ref="F131:G131"/>
    <mergeCell ref="F130:G130"/>
    <mergeCell ref="F111:G111"/>
  </mergeCells>
  <phoneticPr fontId="28"/>
  <dataValidations count="1">
    <dataValidation type="list" allowBlank="1" showInputMessage="1" showErrorMessage="1" sqref="H110 K109 H8 H60 K9 H10 K114:K115 K105 N8:N68 K101:K102 K11:K23 K29 K31:K35 K37:K42 K44:K46 K48:K52 H48 K56 K64:K65 K82:K84 K87:K89 K91:K92 K94:K95 K97:K98 N71:N115 N117:N122 N129:N136">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73"/>
  <sheetViews>
    <sheetView workbookViewId="0"/>
  </sheetViews>
  <sheetFormatPr defaultRowHeight="13.5"/>
  <cols>
    <col min="1" max="1" width="2.875" customWidth="1"/>
    <col min="2" max="2" width="30.75" customWidth="1"/>
    <col min="3" max="3" width="49.875" customWidth="1"/>
    <col min="4" max="4" width="18.375" bestFit="1" customWidth="1"/>
    <col min="5" max="5" width="15.5" customWidth="1"/>
    <col min="6" max="6" width="69.5" bestFit="1" customWidth="1"/>
    <col min="7" max="7" width="13.125" customWidth="1"/>
  </cols>
  <sheetData>
    <row r="1" spans="1:6">
      <c r="A1" s="142" t="s">
        <v>132</v>
      </c>
    </row>
    <row r="2" spans="1:6">
      <c r="A2" s="142"/>
    </row>
    <row r="3" spans="1:6">
      <c r="A3" s="156" t="s">
        <v>272</v>
      </c>
    </row>
    <row r="4" spans="1:6">
      <c r="D4" s="226"/>
      <c r="E4" s="226"/>
    </row>
    <row r="5" spans="1:6">
      <c r="A5" s="141" t="s">
        <v>234</v>
      </c>
      <c r="B5" s="141"/>
      <c r="C5" s="141"/>
      <c r="D5" s="229" t="s">
        <v>152</v>
      </c>
      <c r="E5" s="229"/>
    </row>
    <row r="6" spans="1:6">
      <c r="B6" t="s">
        <v>250</v>
      </c>
    </row>
    <row r="7" spans="1:6">
      <c r="B7" s="115" t="s">
        <v>129</v>
      </c>
      <c r="C7" s="115" t="s">
        <v>142</v>
      </c>
      <c r="D7" s="227"/>
      <c r="E7" s="228"/>
      <c r="F7" s="115" t="s">
        <v>143</v>
      </c>
    </row>
    <row r="8" spans="1:6">
      <c r="A8" s="113"/>
      <c r="B8" s="116" t="s">
        <v>211</v>
      </c>
      <c r="C8" s="131" t="s">
        <v>222</v>
      </c>
      <c r="D8" s="148"/>
      <c r="E8" s="149"/>
      <c r="F8" s="114"/>
    </row>
    <row r="9" spans="1:6">
      <c r="A9" s="113"/>
      <c r="B9" s="116" t="s">
        <v>212</v>
      </c>
      <c r="C9" s="131" t="s">
        <v>228</v>
      </c>
      <c r="D9" s="148"/>
      <c r="E9" s="149"/>
      <c r="F9" s="114"/>
    </row>
    <row r="10" spans="1:6">
      <c r="A10" s="113"/>
      <c r="B10" s="116" t="s">
        <v>213</v>
      </c>
      <c r="C10" s="131" t="s">
        <v>229</v>
      </c>
      <c r="D10" s="148"/>
      <c r="E10" s="149"/>
      <c r="F10" s="114"/>
    </row>
    <row r="11" spans="1:6">
      <c r="A11" s="113"/>
      <c r="B11" s="116" t="s">
        <v>214</v>
      </c>
      <c r="C11" s="131" t="s">
        <v>223</v>
      </c>
      <c r="D11" s="148"/>
      <c r="E11" s="149"/>
      <c r="F11" s="114"/>
    </row>
    <row r="12" spans="1:6">
      <c r="A12" s="113"/>
      <c r="B12" s="116" t="s">
        <v>215</v>
      </c>
      <c r="C12" s="131" t="s">
        <v>224</v>
      </c>
      <c r="D12" s="148"/>
      <c r="E12" s="149"/>
      <c r="F12" s="114"/>
    </row>
    <row r="13" spans="1:6">
      <c r="A13" s="113"/>
      <c r="B13" s="116" t="s">
        <v>216</v>
      </c>
      <c r="C13" s="131" t="s">
        <v>225</v>
      </c>
      <c r="D13" s="148"/>
      <c r="E13" s="149"/>
      <c r="F13" s="114"/>
    </row>
    <row r="14" spans="1:6">
      <c r="A14" s="113"/>
      <c r="B14" s="116" t="s">
        <v>217</v>
      </c>
      <c r="C14" s="131" t="s">
        <v>226</v>
      </c>
      <c r="D14" s="148"/>
      <c r="E14" s="149"/>
      <c r="F14" s="114"/>
    </row>
    <row r="15" spans="1:6">
      <c r="A15" s="113"/>
      <c r="B15" s="116" t="s">
        <v>218</v>
      </c>
      <c r="C15" s="131" t="s">
        <v>230</v>
      </c>
      <c r="D15" s="148"/>
      <c r="E15" s="149"/>
      <c r="F15" s="114"/>
    </row>
    <row r="16" spans="1:6">
      <c r="A16" s="113"/>
      <c r="B16" s="116" t="s">
        <v>219</v>
      </c>
      <c r="C16" s="131" t="s">
        <v>231</v>
      </c>
      <c r="D16" s="148"/>
      <c r="E16" s="149"/>
      <c r="F16" s="114"/>
    </row>
    <row r="17" spans="1:6">
      <c r="A17" s="113"/>
      <c r="B17" s="116" t="s">
        <v>220</v>
      </c>
      <c r="C17" s="131" t="s">
        <v>227</v>
      </c>
      <c r="D17" s="148"/>
      <c r="E17" s="149"/>
      <c r="F17" s="114"/>
    </row>
    <row r="18" spans="1:6">
      <c r="A18" s="113"/>
      <c r="B18" s="131" t="s">
        <v>221</v>
      </c>
      <c r="C18" s="131" t="s">
        <v>232</v>
      </c>
      <c r="D18" s="148"/>
      <c r="E18" s="149"/>
      <c r="F18" s="114"/>
    </row>
    <row r="19" spans="1:6">
      <c r="A19" s="141"/>
      <c r="B19" s="141"/>
      <c r="C19" s="141"/>
    </row>
    <row r="20" spans="1:6">
      <c r="A20" s="112"/>
      <c r="B20" s="137" t="s">
        <v>207</v>
      </c>
      <c r="C20" s="138"/>
      <c r="D20" s="139"/>
      <c r="E20" s="139"/>
      <c r="F20" s="140"/>
    </row>
    <row r="21" spans="1:6">
      <c r="B21" s="115" t="s">
        <v>129</v>
      </c>
      <c r="C21" s="115" t="s">
        <v>142</v>
      </c>
      <c r="D21" s="227"/>
      <c r="E21" s="228"/>
      <c r="F21" s="115" t="s">
        <v>143</v>
      </c>
    </row>
    <row r="22" spans="1:6">
      <c r="A22" s="113"/>
      <c r="B22" s="145" t="s">
        <v>235</v>
      </c>
      <c r="C22" s="145" t="s">
        <v>236</v>
      </c>
      <c r="D22" s="148"/>
      <c r="E22" s="150"/>
      <c r="F22" s="146" t="s">
        <v>245</v>
      </c>
    </row>
    <row r="23" spans="1:6">
      <c r="A23" s="113"/>
      <c r="B23" s="145" t="s">
        <v>237</v>
      </c>
      <c r="C23" s="145"/>
      <c r="D23" s="148"/>
      <c r="E23" s="150"/>
      <c r="F23" s="146"/>
    </row>
    <row r="24" spans="1:6">
      <c r="A24" s="112"/>
      <c r="B24" s="151" t="s">
        <v>238</v>
      </c>
      <c r="C24" s="145" t="s">
        <v>241</v>
      </c>
      <c r="D24" s="148"/>
      <c r="E24" s="150"/>
      <c r="F24" s="146" t="s">
        <v>244</v>
      </c>
    </row>
    <row r="25" spans="1:6">
      <c r="A25" s="112"/>
      <c r="B25" s="151" t="s">
        <v>239</v>
      </c>
      <c r="C25" s="145" t="s">
        <v>242</v>
      </c>
      <c r="D25" s="148"/>
      <c r="E25" s="150"/>
      <c r="F25" s="146" t="s">
        <v>244</v>
      </c>
    </row>
    <row r="26" spans="1:6">
      <c r="A26" s="112"/>
      <c r="B26" s="151" t="s">
        <v>240</v>
      </c>
      <c r="C26" s="145" t="s">
        <v>243</v>
      </c>
      <c r="D26" s="148"/>
      <c r="E26" s="150"/>
      <c r="F26" s="146" t="s">
        <v>244</v>
      </c>
    </row>
    <row r="27" spans="1:6">
      <c r="A27" s="112"/>
      <c r="B27" s="152"/>
      <c r="C27" s="153"/>
      <c r="D27" s="154"/>
      <c r="E27" s="154"/>
      <c r="F27" s="155"/>
    </row>
    <row r="28" spans="1:6">
      <c r="A28" s="141" t="s">
        <v>246</v>
      </c>
      <c r="B28" s="141"/>
      <c r="C28" s="141"/>
    </row>
    <row r="29" spans="1:6">
      <c r="B29" t="s">
        <v>251</v>
      </c>
    </row>
    <row r="30" spans="1:6">
      <c r="B30" s="115" t="s">
        <v>129</v>
      </c>
      <c r="C30" s="115" t="s">
        <v>142</v>
      </c>
      <c r="D30" s="227"/>
      <c r="E30" s="228"/>
      <c r="F30" s="115" t="s">
        <v>143</v>
      </c>
    </row>
    <row r="31" spans="1:6">
      <c r="A31" s="113"/>
      <c r="B31" s="116" t="s">
        <v>211</v>
      </c>
      <c r="C31" s="131" t="s">
        <v>222</v>
      </c>
      <c r="D31" s="148"/>
      <c r="E31" s="149"/>
      <c r="F31" s="114"/>
    </row>
    <row r="32" spans="1:6">
      <c r="A32" s="113"/>
      <c r="B32" s="116" t="s">
        <v>212</v>
      </c>
      <c r="C32" s="131" t="s">
        <v>228</v>
      </c>
      <c r="D32" s="148"/>
      <c r="E32" s="149"/>
      <c r="F32" s="114"/>
    </row>
    <row r="33" spans="1:6">
      <c r="A33" s="113"/>
      <c r="B33" s="116" t="s">
        <v>213</v>
      </c>
      <c r="C33" s="131" t="s">
        <v>229</v>
      </c>
      <c r="D33" s="148"/>
      <c r="E33" s="149"/>
      <c r="F33" s="114"/>
    </row>
    <row r="34" spans="1:6">
      <c r="A34" s="113"/>
      <c r="B34" s="116" t="s">
        <v>214</v>
      </c>
      <c r="C34" s="131" t="s">
        <v>223</v>
      </c>
      <c r="D34" s="148"/>
      <c r="E34" s="149"/>
      <c r="F34" s="114"/>
    </row>
    <row r="35" spans="1:6">
      <c r="A35" s="113"/>
      <c r="B35" s="116" t="s">
        <v>215</v>
      </c>
      <c r="C35" s="131" t="s">
        <v>224</v>
      </c>
      <c r="D35" s="148"/>
      <c r="E35" s="149"/>
      <c r="F35" s="114"/>
    </row>
    <row r="36" spans="1:6">
      <c r="A36" s="113"/>
      <c r="B36" s="116" t="s">
        <v>216</v>
      </c>
      <c r="C36" s="131" t="s">
        <v>225</v>
      </c>
      <c r="D36" s="148"/>
      <c r="E36" s="149"/>
      <c r="F36" s="114"/>
    </row>
    <row r="37" spans="1:6">
      <c r="A37" s="113"/>
      <c r="B37" s="116" t="s">
        <v>217</v>
      </c>
      <c r="C37" s="131" t="s">
        <v>226</v>
      </c>
      <c r="D37" s="148"/>
      <c r="E37" s="149"/>
      <c r="F37" s="114"/>
    </row>
    <row r="38" spans="1:6">
      <c r="A38" s="113"/>
      <c r="B38" s="116" t="s">
        <v>218</v>
      </c>
      <c r="C38" s="131" t="s">
        <v>230</v>
      </c>
      <c r="D38" s="148"/>
      <c r="E38" s="149"/>
      <c r="F38" s="114"/>
    </row>
    <row r="39" spans="1:6">
      <c r="A39" s="113"/>
      <c r="B39" s="116" t="s">
        <v>219</v>
      </c>
      <c r="C39" s="131" t="s">
        <v>231</v>
      </c>
      <c r="D39" s="148"/>
      <c r="E39" s="149"/>
      <c r="F39" s="114"/>
    </row>
    <row r="40" spans="1:6">
      <c r="A40" s="113"/>
      <c r="B40" s="116" t="s">
        <v>220</v>
      </c>
      <c r="C40" s="131" t="s">
        <v>227</v>
      </c>
      <c r="D40" s="148"/>
      <c r="E40" s="149"/>
      <c r="F40" s="114"/>
    </row>
    <row r="41" spans="1:6">
      <c r="A41" s="113"/>
      <c r="B41" s="131" t="s">
        <v>221</v>
      </c>
      <c r="C41" s="131" t="s">
        <v>232</v>
      </c>
      <c r="D41" s="148"/>
      <c r="E41" s="149"/>
      <c r="F41" s="114"/>
    </row>
    <row r="42" spans="1:6">
      <c r="A42" s="141"/>
      <c r="B42" s="141"/>
      <c r="C42" s="141"/>
    </row>
    <row r="43" spans="1:6">
      <c r="A43" s="112"/>
      <c r="B43" s="137" t="s">
        <v>207</v>
      </c>
      <c r="C43" s="138"/>
      <c r="D43" s="139"/>
      <c r="E43" s="139"/>
      <c r="F43" s="140"/>
    </row>
    <row r="44" spans="1:6">
      <c r="B44" s="115" t="s">
        <v>129</v>
      </c>
      <c r="C44" s="115" t="s">
        <v>142</v>
      </c>
      <c r="D44" s="227"/>
      <c r="E44" s="228"/>
      <c r="F44" s="115" t="s">
        <v>143</v>
      </c>
    </row>
    <row r="45" spans="1:6">
      <c r="A45" s="113"/>
      <c r="B45" s="145" t="s">
        <v>235</v>
      </c>
      <c r="C45" s="145" t="s">
        <v>236</v>
      </c>
      <c r="D45" s="148"/>
      <c r="E45" s="150"/>
      <c r="F45" s="146" t="s">
        <v>245</v>
      </c>
    </row>
    <row r="46" spans="1:6">
      <c r="A46" s="141"/>
      <c r="B46" s="141"/>
      <c r="C46" s="141"/>
    </row>
    <row r="47" spans="1:6">
      <c r="A47" s="141" t="s">
        <v>141</v>
      </c>
      <c r="B47" s="141"/>
      <c r="C47" s="141"/>
    </row>
    <row r="48" spans="1:6">
      <c r="B48" t="s">
        <v>252</v>
      </c>
    </row>
    <row r="49" spans="1:6">
      <c r="B49" s="115" t="s">
        <v>129</v>
      </c>
      <c r="C49" s="115" t="s">
        <v>142</v>
      </c>
      <c r="D49" s="125" t="s">
        <v>130</v>
      </c>
      <c r="E49" s="125" t="s">
        <v>131</v>
      </c>
      <c r="F49" s="115" t="s">
        <v>143</v>
      </c>
    </row>
    <row r="50" spans="1:6">
      <c r="A50" s="113"/>
      <c r="B50" s="116" t="s">
        <v>211</v>
      </c>
      <c r="C50" s="131" t="s">
        <v>222</v>
      </c>
      <c r="D50" s="132"/>
      <c r="E50" s="132"/>
      <c r="F50" s="114"/>
    </row>
    <row r="51" spans="1:6">
      <c r="A51" s="113"/>
      <c r="B51" s="116" t="s">
        <v>212</v>
      </c>
      <c r="C51" s="131" t="s">
        <v>228</v>
      </c>
      <c r="D51" s="132"/>
      <c r="E51" s="132"/>
      <c r="F51" s="114"/>
    </row>
    <row r="52" spans="1:6">
      <c r="A52" s="113"/>
      <c r="B52" s="116" t="s">
        <v>213</v>
      </c>
      <c r="C52" s="131" t="s">
        <v>229</v>
      </c>
      <c r="D52" s="132"/>
      <c r="E52" s="132"/>
      <c r="F52" s="114"/>
    </row>
    <row r="53" spans="1:6">
      <c r="A53" s="113"/>
      <c r="B53" s="116" t="s">
        <v>214</v>
      </c>
      <c r="C53" s="131" t="s">
        <v>223</v>
      </c>
      <c r="D53" s="132"/>
      <c r="E53" s="132"/>
      <c r="F53" s="114"/>
    </row>
    <row r="54" spans="1:6">
      <c r="A54" s="113"/>
      <c r="B54" s="116" t="s">
        <v>215</v>
      </c>
      <c r="C54" s="131" t="s">
        <v>224</v>
      </c>
      <c r="D54" s="132"/>
      <c r="E54" s="132"/>
      <c r="F54" s="114"/>
    </row>
    <row r="55" spans="1:6">
      <c r="A55" s="113"/>
      <c r="B55" s="116" t="s">
        <v>216</v>
      </c>
      <c r="C55" s="131" t="s">
        <v>225</v>
      </c>
      <c r="D55" s="132"/>
      <c r="E55" s="132"/>
      <c r="F55" s="114"/>
    </row>
    <row r="56" spans="1:6">
      <c r="A56" s="113"/>
      <c r="B56" s="116" t="s">
        <v>217</v>
      </c>
      <c r="C56" s="131" t="s">
        <v>226</v>
      </c>
      <c r="D56" s="132"/>
      <c r="E56" s="132"/>
      <c r="F56" s="114"/>
    </row>
    <row r="57" spans="1:6">
      <c r="A57" s="113"/>
      <c r="B57" s="116" t="s">
        <v>218</v>
      </c>
      <c r="C57" s="131" t="s">
        <v>230</v>
      </c>
      <c r="D57" s="132"/>
      <c r="E57" s="132"/>
      <c r="F57" s="114"/>
    </row>
    <row r="58" spans="1:6">
      <c r="A58" s="113"/>
      <c r="B58" s="116" t="s">
        <v>219</v>
      </c>
      <c r="C58" s="131" t="s">
        <v>231</v>
      </c>
      <c r="D58" s="132"/>
      <c r="E58" s="132"/>
      <c r="F58" s="114"/>
    </row>
    <row r="59" spans="1:6">
      <c r="A59" s="113"/>
      <c r="B59" s="116" t="s">
        <v>220</v>
      </c>
      <c r="C59" s="131" t="s">
        <v>227</v>
      </c>
      <c r="D59" s="132"/>
      <c r="E59" s="132"/>
      <c r="F59" s="114"/>
    </row>
    <row r="60" spans="1:6">
      <c r="A60" s="113"/>
      <c r="B60" s="131" t="s">
        <v>221</v>
      </c>
      <c r="C60" s="131" t="s">
        <v>232</v>
      </c>
      <c r="D60" s="132"/>
      <c r="E60" s="132"/>
      <c r="F60" s="114"/>
    </row>
    <row r="61" spans="1:6">
      <c r="A61" s="112"/>
      <c r="B61" s="133"/>
      <c r="C61" s="134"/>
      <c r="D61" s="135"/>
      <c r="E61" s="135"/>
      <c r="F61" s="136"/>
    </row>
    <row r="62" spans="1:6">
      <c r="A62" s="112"/>
      <c r="B62" s="137" t="s">
        <v>207</v>
      </c>
      <c r="C62" s="138"/>
      <c r="D62" s="139"/>
      <c r="E62" s="139"/>
      <c r="F62" s="140"/>
    </row>
    <row r="63" spans="1:6">
      <c r="B63" s="115" t="s">
        <v>129</v>
      </c>
      <c r="C63" s="115" t="s">
        <v>142</v>
      </c>
      <c r="D63" s="125" t="s">
        <v>130</v>
      </c>
      <c r="E63" s="125" t="s">
        <v>131</v>
      </c>
      <c r="F63" s="115" t="s">
        <v>143</v>
      </c>
    </row>
    <row r="64" spans="1:6">
      <c r="A64" s="113"/>
      <c r="B64" s="145" t="s">
        <v>144</v>
      </c>
      <c r="C64" s="145" t="s">
        <v>126</v>
      </c>
      <c r="D64" s="132"/>
      <c r="E64" s="132"/>
      <c r="F64" s="146" t="s">
        <v>145</v>
      </c>
    </row>
    <row r="65" spans="1:6">
      <c r="A65" s="113"/>
      <c r="B65" s="145" t="s">
        <v>146</v>
      </c>
      <c r="C65" s="145" t="s">
        <v>127</v>
      </c>
      <c r="D65" s="132"/>
      <c r="E65" s="132"/>
      <c r="F65" s="146" t="s">
        <v>209</v>
      </c>
    </row>
    <row r="66" spans="1:6">
      <c r="A66" s="112"/>
      <c r="B66" s="145" t="s">
        <v>147</v>
      </c>
      <c r="C66" s="145" t="s">
        <v>128</v>
      </c>
      <c r="D66" s="132"/>
      <c r="E66" s="132"/>
      <c r="F66" s="146" t="s">
        <v>209</v>
      </c>
    </row>
    <row r="67" spans="1:6">
      <c r="A67" s="112"/>
      <c r="B67" s="145" t="s">
        <v>148</v>
      </c>
      <c r="C67" s="145" t="s">
        <v>149</v>
      </c>
      <c r="D67" s="132"/>
      <c r="E67" s="147"/>
      <c r="F67" s="146" t="s">
        <v>150</v>
      </c>
    </row>
    <row r="68" spans="1:6">
      <c r="A68" s="112"/>
      <c r="B68" s="145" t="s">
        <v>151</v>
      </c>
      <c r="C68" s="145" t="s">
        <v>153</v>
      </c>
      <c r="D68" s="132"/>
      <c r="E68" s="132"/>
      <c r="F68" s="146" t="s">
        <v>209</v>
      </c>
    </row>
    <row r="69" spans="1:6">
      <c r="A69" s="113"/>
      <c r="B69" s="145" t="s">
        <v>156</v>
      </c>
      <c r="C69" s="145" t="s">
        <v>154</v>
      </c>
      <c r="D69" s="132"/>
      <c r="E69" s="132"/>
      <c r="F69" s="146" t="s">
        <v>155</v>
      </c>
    </row>
    <row r="70" spans="1:6">
      <c r="A70" s="112"/>
      <c r="B70" s="145" t="s">
        <v>157</v>
      </c>
      <c r="C70" s="145" t="s">
        <v>159</v>
      </c>
      <c r="D70" s="147"/>
      <c r="E70" s="132"/>
      <c r="F70" s="146" t="s">
        <v>160</v>
      </c>
    </row>
    <row r="71" spans="1:6" ht="27">
      <c r="A71" s="112"/>
      <c r="B71" s="145" t="s">
        <v>158</v>
      </c>
      <c r="C71" s="145" t="s">
        <v>210</v>
      </c>
      <c r="D71" s="147"/>
      <c r="E71" s="132"/>
      <c r="F71" s="146" t="s">
        <v>209</v>
      </c>
    </row>
    <row r="72" spans="1:6">
      <c r="A72" s="112"/>
      <c r="B72" s="116" t="s">
        <v>161</v>
      </c>
      <c r="C72" s="116" t="s">
        <v>163</v>
      </c>
      <c r="D72" s="132"/>
      <c r="E72" s="124"/>
      <c r="F72" s="114" t="s">
        <v>164</v>
      </c>
    </row>
    <row r="73" spans="1:6">
      <c r="A73" s="112"/>
      <c r="B73" s="116" t="s">
        <v>162</v>
      </c>
      <c r="C73" s="116" t="s">
        <v>165</v>
      </c>
      <c r="D73" s="132"/>
      <c r="E73" s="124"/>
      <c r="F73" s="114" t="s">
        <v>166</v>
      </c>
    </row>
  </sheetData>
  <mergeCells count="6">
    <mergeCell ref="D4:E4"/>
    <mergeCell ref="D7:E7"/>
    <mergeCell ref="D21:E21"/>
    <mergeCell ref="D30:E30"/>
    <mergeCell ref="D44:E44"/>
    <mergeCell ref="D5:E5"/>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34" t="s">
        <v>4</v>
      </c>
      <c r="C6" s="230" t="s">
        <v>30</v>
      </c>
      <c r="D6" s="230" t="s">
        <v>56</v>
      </c>
      <c r="E6" s="57"/>
      <c r="F6" s="235" t="s">
        <v>7</v>
      </c>
      <c r="G6" s="236"/>
      <c r="H6" s="224" t="s">
        <v>12</v>
      </c>
      <c r="I6" s="224"/>
      <c r="J6" s="224"/>
      <c r="K6" s="223" t="s">
        <v>14</v>
      </c>
      <c r="L6" s="223"/>
      <c r="M6" s="223"/>
      <c r="N6" s="237"/>
      <c r="O6" s="237"/>
      <c r="P6" s="237"/>
    </row>
    <row r="7" spans="1:17">
      <c r="B7" s="217"/>
      <c r="C7" s="211"/>
      <c r="D7" s="211"/>
      <c r="E7" s="58"/>
      <c r="F7" s="221"/>
      <c r="G7" s="222"/>
      <c r="H7" s="45" t="s">
        <v>8</v>
      </c>
      <c r="I7" s="45" t="s">
        <v>9</v>
      </c>
      <c r="J7" s="45" t="s">
        <v>10</v>
      </c>
      <c r="K7" s="30"/>
      <c r="L7" s="32"/>
      <c r="M7" s="33"/>
      <c r="N7" s="44"/>
      <c r="O7" s="44"/>
      <c r="P7" s="44"/>
      <c r="Q7" s="3" t="s">
        <v>23</v>
      </c>
    </row>
    <row r="8" spans="1:17">
      <c r="B8" s="38" t="s">
        <v>15</v>
      </c>
      <c r="C8" s="29" t="s">
        <v>31</v>
      </c>
      <c r="D8" s="28" t="s">
        <v>33</v>
      </c>
      <c r="E8" s="39"/>
      <c r="F8" s="212" t="s">
        <v>28</v>
      </c>
      <c r="G8" s="213"/>
      <c r="H8" s="53"/>
      <c r="I8" s="54"/>
      <c r="J8" s="53"/>
      <c r="K8" s="39"/>
      <c r="L8" s="34"/>
      <c r="M8" s="35"/>
      <c r="N8" s="44"/>
      <c r="O8" s="44"/>
      <c r="P8" s="44"/>
      <c r="Q8" s="3" t="s">
        <v>24</v>
      </c>
    </row>
    <row r="9" spans="1:17">
      <c r="B9" s="16"/>
      <c r="C9" s="40"/>
      <c r="D9" s="29" t="s">
        <v>33</v>
      </c>
      <c r="E9" s="49"/>
      <c r="F9" s="238" t="s">
        <v>29</v>
      </c>
      <c r="G9" s="239"/>
      <c r="H9" s="47"/>
      <c r="I9" s="48"/>
      <c r="J9" s="47"/>
      <c r="K9" s="49"/>
      <c r="L9" s="55"/>
      <c r="M9" s="56"/>
      <c r="N9" s="44"/>
      <c r="O9" s="44"/>
      <c r="P9" s="44"/>
      <c r="Q9" s="3" t="s">
        <v>25</v>
      </c>
    </row>
    <row r="10" spans="1:17" s="15" customFormat="1">
      <c r="B10" s="38" t="s">
        <v>16</v>
      </c>
      <c r="C10" s="46" t="s">
        <v>32</v>
      </c>
      <c r="D10" s="18" t="s">
        <v>35</v>
      </c>
      <c r="E10" s="59"/>
      <c r="F10" s="212" t="s">
        <v>36</v>
      </c>
      <c r="G10" s="231"/>
      <c r="H10" s="53"/>
      <c r="I10" s="54"/>
      <c r="J10" s="53"/>
      <c r="K10" s="31"/>
      <c r="L10" s="36"/>
      <c r="M10" s="37"/>
      <c r="N10" s="1"/>
      <c r="O10" s="1"/>
      <c r="P10" s="1"/>
      <c r="Q10" s="3" t="s">
        <v>26</v>
      </c>
    </row>
    <row r="11" spans="1:17" s="15" customFormat="1">
      <c r="B11" s="16"/>
      <c r="C11" s="17"/>
      <c r="D11" s="18" t="s">
        <v>37</v>
      </c>
      <c r="E11" s="59"/>
      <c r="F11" s="212" t="s">
        <v>38</v>
      </c>
      <c r="G11" s="231"/>
      <c r="H11" s="19"/>
      <c r="I11" s="20"/>
      <c r="J11" s="19"/>
      <c r="K11" s="31"/>
      <c r="L11" s="36"/>
      <c r="M11" s="37"/>
      <c r="N11" s="1"/>
      <c r="O11" s="1"/>
      <c r="P11" s="1"/>
      <c r="Q11" s="3" t="s">
        <v>27</v>
      </c>
    </row>
    <row r="12" spans="1:17" s="15" customFormat="1" ht="27" customHeight="1">
      <c r="B12" s="16"/>
      <c r="C12" s="17"/>
      <c r="D12" s="18" t="s">
        <v>39</v>
      </c>
      <c r="E12" s="59"/>
      <c r="F12" s="212" t="s">
        <v>40</v>
      </c>
      <c r="G12" s="213"/>
      <c r="H12" s="19"/>
      <c r="I12" s="20"/>
      <c r="J12" s="19"/>
      <c r="K12" s="31"/>
      <c r="L12" s="36"/>
      <c r="M12" s="37"/>
      <c r="N12" s="1"/>
      <c r="O12" s="1"/>
      <c r="P12" s="1"/>
      <c r="Q12" s="15" t="s">
        <v>61</v>
      </c>
    </row>
    <row r="13" spans="1:17" s="15" customFormat="1" ht="27" customHeight="1">
      <c r="B13" s="16"/>
      <c r="C13" s="17"/>
      <c r="D13" s="18" t="s">
        <v>41</v>
      </c>
      <c r="E13" s="59"/>
      <c r="F13" s="212" t="s">
        <v>44</v>
      </c>
      <c r="G13" s="213"/>
      <c r="H13" s="19"/>
      <c r="I13" s="20"/>
      <c r="J13" s="19"/>
      <c r="K13" s="39"/>
      <c r="L13" s="36"/>
      <c r="M13" s="37"/>
      <c r="N13" s="1"/>
      <c r="O13" s="1"/>
      <c r="P13" s="1"/>
    </row>
    <row r="14" spans="1:17" s="15" customFormat="1" ht="27" customHeight="1">
      <c r="B14" s="21"/>
      <c r="C14" s="22"/>
      <c r="D14" s="18" t="s">
        <v>42</v>
      </c>
      <c r="E14" s="59"/>
      <c r="F14" s="212" t="s">
        <v>43</v>
      </c>
      <c r="G14" s="213"/>
      <c r="H14" s="19"/>
      <c r="I14" s="20"/>
      <c r="J14" s="19"/>
      <c r="K14" s="31"/>
      <c r="L14" s="36"/>
      <c r="M14" s="37"/>
      <c r="N14" s="1"/>
      <c r="O14" s="1"/>
      <c r="P14" s="1"/>
    </row>
    <row r="15" spans="1:17" s="15" customFormat="1" ht="27" customHeight="1">
      <c r="B15" s="41" t="s">
        <v>18</v>
      </c>
      <c r="C15" s="18" t="s">
        <v>45</v>
      </c>
      <c r="D15" s="18" t="s">
        <v>46</v>
      </c>
      <c r="E15" s="59"/>
      <c r="F15" s="212" t="s">
        <v>47</v>
      </c>
      <c r="G15" s="231"/>
      <c r="H15" s="53"/>
      <c r="I15" s="54"/>
      <c r="J15" s="53"/>
      <c r="K15" s="31"/>
      <c r="L15" s="36"/>
      <c r="M15" s="37"/>
      <c r="N15" s="1"/>
      <c r="O15" s="1"/>
      <c r="P15" s="1"/>
    </row>
    <row r="16" spans="1:17" s="15" customFormat="1" ht="27" customHeight="1">
      <c r="B16" s="41" t="s">
        <v>19</v>
      </c>
      <c r="C16" s="18" t="s">
        <v>48</v>
      </c>
      <c r="D16" s="18" t="s">
        <v>49</v>
      </c>
      <c r="E16" s="59"/>
      <c r="F16" s="212" t="s">
        <v>50</v>
      </c>
      <c r="G16" s="231"/>
      <c r="H16" s="54"/>
      <c r="I16" s="54"/>
      <c r="J16" s="53"/>
      <c r="K16" s="31"/>
      <c r="L16" s="36"/>
      <c r="M16" s="37"/>
      <c r="N16" s="1"/>
      <c r="O16" s="1"/>
      <c r="P16" s="1"/>
    </row>
    <row r="17" spans="2:16" s="15" customFormat="1" ht="27" customHeight="1">
      <c r="B17" s="21" t="s">
        <v>20</v>
      </c>
      <c r="C17" s="18" t="s">
        <v>51</v>
      </c>
      <c r="D17" s="18" t="s">
        <v>52</v>
      </c>
      <c r="E17" s="60"/>
      <c r="F17" s="232" t="s">
        <v>53</v>
      </c>
      <c r="G17" s="233"/>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34" t="s">
        <v>4</v>
      </c>
      <c r="C22" s="230" t="s">
        <v>30</v>
      </c>
      <c r="D22" s="230" t="s">
        <v>34</v>
      </c>
      <c r="E22" s="230" t="s">
        <v>58</v>
      </c>
      <c r="F22" s="235" t="s">
        <v>7</v>
      </c>
      <c r="G22" s="236"/>
      <c r="H22" s="224" t="s">
        <v>12</v>
      </c>
      <c r="I22" s="224"/>
      <c r="J22" s="224"/>
      <c r="K22" s="223" t="s">
        <v>14</v>
      </c>
      <c r="L22" s="223"/>
      <c r="M22" s="223"/>
    </row>
    <row r="23" spans="2:16">
      <c r="B23" s="217"/>
      <c r="C23" s="211"/>
      <c r="D23" s="211"/>
      <c r="E23" s="211"/>
      <c r="F23" s="221"/>
      <c r="G23" s="222"/>
      <c r="H23" s="45" t="s">
        <v>8</v>
      </c>
      <c r="I23" s="45" t="s">
        <v>9</v>
      </c>
      <c r="J23" s="45" t="s">
        <v>10</v>
      </c>
      <c r="K23" s="30"/>
      <c r="L23" s="32"/>
      <c r="M23" s="33"/>
    </row>
    <row r="24" spans="2:16" ht="40.5">
      <c r="B24" s="38" t="s">
        <v>15</v>
      </c>
      <c r="C24" s="29" t="s">
        <v>55</v>
      </c>
      <c r="D24" s="42" t="s">
        <v>57</v>
      </c>
      <c r="E24" s="43" t="s">
        <v>59</v>
      </c>
      <c r="F24" s="212" t="s">
        <v>60</v>
      </c>
      <c r="G24" s="213"/>
      <c r="H24" s="53"/>
      <c r="I24" s="54"/>
      <c r="J24" s="53"/>
      <c r="K24" s="39"/>
      <c r="L24" s="34"/>
      <c r="M24" s="35"/>
    </row>
    <row r="25" spans="2:16">
      <c r="B25" s="41" t="s">
        <v>16</v>
      </c>
      <c r="C25" s="18"/>
      <c r="D25" s="18"/>
      <c r="E25" s="59"/>
      <c r="F25" s="212"/>
      <c r="G25" s="231"/>
      <c r="H25" s="53"/>
      <c r="I25" s="54"/>
      <c r="J25" s="53"/>
      <c r="K25" s="31"/>
      <c r="L25" s="36"/>
      <c r="M25" s="37"/>
    </row>
    <row r="26" spans="2:16">
      <c r="B26" s="41"/>
      <c r="C26" s="18"/>
      <c r="D26" s="18"/>
      <c r="E26" s="59"/>
      <c r="F26" s="212"/>
      <c r="G26" s="231"/>
      <c r="H26" s="19"/>
      <c r="I26" s="20"/>
      <c r="J26" s="19"/>
      <c r="K26" s="31"/>
      <c r="L26" s="36"/>
      <c r="M26" s="37"/>
    </row>
    <row r="27" spans="2:16">
      <c r="B27" s="41"/>
      <c r="C27" s="18"/>
      <c r="D27" s="18"/>
      <c r="E27" s="59"/>
      <c r="F27" s="212"/>
      <c r="G27" s="213"/>
      <c r="H27" s="19"/>
      <c r="I27" s="20"/>
      <c r="J27" s="19"/>
      <c r="K27" s="31"/>
      <c r="L27" s="36"/>
      <c r="M27" s="37"/>
    </row>
    <row r="28" spans="2:16">
      <c r="B28" s="41"/>
      <c r="C28" s="18"/>
      <c r="D28" s="18"/>
      <c r="E28" s="59"/>
      <c r="F28" s="212"/>
      <c r="G28" s="213"/>
      <c r="H28" s="19"/>
      <c r="I28" s="20"/>
      <c r="J28" s="19"/>
      <c r="K28" s="39"/>
      <c r="L28" s="36"/>
      <c r="M28" s="37"/>
    </row>
    <row r="29" spans="2:16">
      <c r="B29" s="41"/>
      <c r="C29" s="18"/>
      <c r="D29" s="18"/>
      <c r="E29" s="59"/>
      <c r="F29" s="212"/>
      <c r="G29" s="213"/>
      <c r="H29" s="19"/>
      <c r="I29" s="20"/>
      <c r="J29" s="19"/>
      <c r="K29" s="31"/>
      <c r="L29" s="36"/>
      <c r="M29" s="37"/>
    </row>
    <row r="30" spans="2:16">
      <c r="B30" s="41" t="s">
        <v>18</v>
      </c>
      <c r="C30" s="18"/>
      <c r="D30" s="18"/>
      <c r="E30" s="59"/>
      <c r="F30" s="212"/>
      <c r="G30" s="231"/>
      <c r="H30" s="53"/>
      <c r="I30" s="54"/>
      <c r="J30" s="53"/>
      <c r="K30" s="31"/>
      <c r="L30" s="36"/>
      <c r="M30" s="37"/>
    </row>
    <row r="31" spans="2:16">
      <c r="B31" s="41" t="s">
        <v>19</v>
      </c>
      <c r="C31" s="18"/>
      <c r="D31" s="18"/>
      <c r="E31" s="59"/>
      <c r="F31" s="212"/>
      <c r="G31" s="231"/>
      <c r="H31" s="54"/>
      <c r="I31" s="54"/>
      <c r="J31" s="53"/>
      <c r="K31" s="31"/>
      <c r="L31" s="36"/>
      <c r="M31" s="37"/>
    </row>
    <row r="32" spans="2:16">
      <c r="B32" s="21" t="s">
        <v>20</v>
      </c>
      <c r="C32" s="18"/>
      <c r="D32" s="18"/>
      <c r="E32" s="60"/>
      <c r="F32" s="232"/>
      <c r="G32" s="233"/>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2019-01-09T07:00:46Z</dcterms:modified>
</cp:coreProperties>
</file>