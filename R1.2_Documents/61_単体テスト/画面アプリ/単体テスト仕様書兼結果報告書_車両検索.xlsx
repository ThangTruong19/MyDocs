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sato.nakamura.SYSTEM-EXE\Desktop\komtrax-r13\R1.2_ビジネスアプリ対応\61_単体テスト\画面アプリ\"/>
    </mc:Choice>
  </mc:AlternateContent>
  <xr:revisionPtr revIDLastSave="0" documentId="13_ncr:1_{BF123E2D-5FEB-44DF-8F16-8CAB412C6223}" xr6:coauthVersionLast="47" xr6:coauthVersionMax="47" xr10:uidLastSave="{00000000-0000-0000-0000-000000000000}"/>
  <bookViews>
    <workbookView xWindow="11190" yWindow="1140" windowWidth="22305" windowHeight="13890" tabRatio="816" activeTab="1" xr2:uid="{00000000-000D-0000-FFFF-FFFF00000000}"/>
  </bookViews>
  <sheets>
    <sheet name="改訂履歴" sheetId="21" r:id="rId1"/>
    <sheet name="テストケース" sheetId="25" r:id="rId2"/>
  </sheets>
  <externalReferences>
    <externalReference r:id="rId3"/>
    <externalReference r:id="rId4"/>
    <externalReference r:id="rId5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1" hidden="1">{"'オンボード'!$A$1:$BZ$70"}</definedName>
    <definedName name="__B1" localSheetId="0" hidden="1">{"'オンボード'!$A$1:$BZ$70"}</definedName>
    <definedName name="__B1" hidden="1">{"'オンボード'!$A$1:$BZ$70"}</definedName>
    <definedName name="__IO1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xlnm._FilterDatabase" localSheetId="1" hidden="1">テストケース!#REF!</definedName>
    <definedName name="_Key1" localSheetId="1" hidden="1">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1" hidden="1">#REF!</definedName>
    <definedName name="_Sort" localSheetId="0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hidden="1">#REF!</definedName>
    <definedName name="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1" hidden="1">#REF!</definedName>
    <definedName name="aa" localSheetId="0" hidden="1">#REF!</definedName>
    <definedName name="aa" hidden="1">#REF!</definedName>
    <definedName name="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1" hidden="1">{"'オンボード'!$A$1:$BZ$70"}</definedName>
    <definedName name="AQ" localSheetId="0" hidden="1">{"'オンボード'!$A$1:$BZ$70"}</definedName>
    <definedName name="AQ" hidden="1">{"'オンボード'!$A$1:$BZ$70"}</definedName>
    <definedName name="b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1" hidden="1">#REF!</definedName>
    <definedName name="bbb" localSheetId="0" hidden="1">#REF!</definedName>
    <definedName name="bbb" hidden="1">#REF!</definedName>
    <definedName name="BBBBB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1" hidden="1">{#N/A,#N/A,FALSE,"製造PC120";#N/A,#N/A,FALSE,"製造PC200";#N/A,#N/A,FALSE,"製造PC288US";#N/A,#N/A,FALSE,"製造PC300"}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1" hidden="1">{"'オンボード'!$A$1:$BZ$70"}</definedName>
    <definedName name="ｆ" localSheetId="0" hidden="1">{"'オンボード'!$A$1:$BZ$70"}</definedName>
    <definedName name="ｆ" hidden="1">{"'オンボード'!$A$1:$BZ$70"}</definedName>
    <definedName name="fff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1" hidden="1">{"'オンボード'!$A$1:$BZ$70"}</definedName>
    <definedName name="ｈ" localSheetId="0" hidden="1">{"'オンボード'!$A$1:$BZ$70"}</definedName>
    <definedName name="ｈ" hidden="1">{"'オンボード'!$A$1:$BZ$70"}</definedName>
    <definedName name="header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1" hidden="1">{"'オンボード'!$A$1:$BZ$70"}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xlnm.Print_Titles" localSheetId="1">テストケース!$1:$3</definedName>
    <definedName name="Ｑ" localSheetId="1" hidden="1">{#N/A,#N/A,FALSE,"製造PC120";#N/A,#N/A,FALSE,"製造PC200";#N/A,#N/A,FALSE,"製造PC288US";#N/A,#N/A,FALSE,"製造PC300"}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1" hidden="1">#REF!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1" hidden="1">{"'オンボード'!$A$1:$BZ$70"}</definedName>
    <definedName name="TTT" localSheetId="0" hidden="1">{"'オンボード'!$A$1:$BZ$70"}</definedName>
    <definedName name="TTT" hidden="1">{"'オンボード'!$A$1:$BZ$70"}</definedName>
    <definedName name="WMSDW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1" hidden="1">{#N/A,#N/A,FALSE,"製造PC120";#N/A,#N/A,FALSE,"製造PC200";#N/A,#N/A,FALSE,"製造PC288US";#N/A,#N/A,FALSE,"製造PC300"}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1" hidden="1">{"'オンボード'!$A$1:$BZ$70"}</definedName>
    <definedName name="WWW" localSheetId="0" hidden="1">{"'オンボード'!$A$1:$BZ$70"}</definedName>
    <definedName name="WWW" hidden="1">{"'オンボード'!$A$1:$BZ$70"}</definedName>
    <definedName name="xxx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1" hidden="1">{"'オンボード'!$A$1:$BZ$70"}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1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1" hidden="1">#REF!</definedName>
    <definedName name="ｻｰﾎﾞﾚｽ性能" localSheetId="0" hidden="1">#REF!</definedName>
    <definedName name="ｻｰﾎﾞﾚｽ性能" hidden="1">#REF!</definedName>
    <definedName name="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1" hidden="1">{"'オンボード'!$A$1:$BZ$70"}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1" hidden="1">{"'オンボード'!$A$1:$BZ$70"}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1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1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1" hidden="1">{"'オンボード'!$A$1:$BZ$70"}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1" hidden="1">{"'オンボード'!$A$1:$BZ$70"}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8" i="25" l="1"/>
  <c r="A77" i="25"/>
  <c r="A74" i="25"/>
  <c r="S76" i="25"/>
  <c r="S75" i="25"/>
  <c r="S73" i="25"/>
  <c r="S72" i="25"/>
  <c r="A54" i="25"/>
  <c r="A53" i="25"/>
  <c r="A47" i="25"/>
  <c r="A45" i="25"/>
  <c r="A46" i="25"/>
  <c r="A63" i="25" l="1"/>
  <c r="A27" i="25"/>
  <c r="A28" i="25"/>
  <c r="A29" i="25"/>
  <c r="A42" i="25" l="1"/>
  <c r="A39" i="25"/>
  <c r="A40" i="25"/>
  <c r="A41" i="25"/>
  <c r="A43" i="25"/>
  <c r="A44" i="25"/>
  <c r="A48" i="25"/>
  <c r="A49" i="25"/>
  <c r="A50" i="25"/>
  <c r="A7" i="25"/>
  <c r="S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6" i="25"/>
  <c r="A64" i="25"/>
  <c r="A33" i="25"/>
  <c r="A34" i="25"/>
  <c r="A35" i="25"/>
  <c r="A36" i="25"/>
  <c r="A37" i="25"/>
  <c r="A38" i="25"/>
  <c r="A51" i="25"/>
  <c r="A52" i="25"/>
  <c r="A55" i="25"/>
  <c r="A56" i="25"/>
  <c r="A57" i="25"/>
  <c r="A58" i="25"/>
  <c r="A59" i="25"/>
  <c r="A60" i="25"/>
  <c r="A61" i="25"/>
  <c r="A62" i="25"/>
  <c r="A32" i="25"/>
  <c r="S14" i="25"/>
  <c r="S13" i="25"/>
  <c r="S6" i="25"/>
  <c r="S5" i="25"/>
  <c r="S4" i="25"/>
  <c r="A71" i="25" l="1"/>
  <c r="A70" i="25"/>
  <c r="A67" i="25"/>
  <c r="S69" i="25"/>
  <c r="S68" i="25"/>
  <c r="S66" i="25"/>
  <c r="S65" i="25"/>
  <c r="S38" i="25"/>
  <c r="A26" i="25" l="1"/>
  <c r="S35" i="25" l="1"/>
  <c r="S25" i="25" l="1"/>
  <c r="S24" i="25"/>
  <c r="F2" i="25" l="1"/>
  <c r="S37" i="25"/>
  <c r="S36" i="25"/>
  <c r="S34" i="25"/>
  <c r="S33" i="25"/>
  <c r="S32" i="25"/>
  <c r="S29" i="25"/>
  <c r="S28" i="25"/>
  <c r="S26" i="25" l="1"/>
  <c r="S31" i="25" l="1"/>
  <c r="S30" i="25"/>
  <c r="J2" i="25" l="1"/>
  <c r="K2" i="25"/>
  <c r="H2" i="25"/>
  <c r="I2" i="25"/>
  <c r="L2" i="25"/>
  <c r="G2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k-kohara</author>
  </authors>
  <commentList>
    <comment ref="L1" authorId="0" shapeId="0" xr:uid="{00000000-0006-0000-0500-000001000000}">
      <text>
        <r>
          <rPr>
            <sz val="11"/>
            <color indexed="81"/>
            <rFont val="Meiryo UI"/>
            <family val="3"/>
            <charset val="128"/>
          </rPr>
          <t>NG→OK の件数</t>
        </r>
      </text>
    </comment>
  </commentList>
</comments>
</file>

<file path=xl/sharedStrings.xml><?xml version="1.0" encoding="utf-8"?>
<sst xmlns="http://schemas.openxmlformats.org/spreadsheetml/2006/main" count="354" uniqueCount="196">
  <si>
    <t>ALL</t>
  </si>
  <si>
    <t>OK</t>
  </si>
  <si>
    <t>項番</t>
  </si>
  <si>
    <t>中項目</t>
  </si>
  <si>
    <t>確認項目</t>
  </si>
  <si>
    <t>予想結果</t>
  </si>
  <si>
    <t>判定</t>
  </si>
  <si>
    <t>確認日</t>
  </si>
  <si>
    <t>確認者</t>
  </si>
  <si>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</si>
  <si>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</si>
  <si>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</si>
  <si>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</si>
  <si>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小項目</t>
    <rPh sb="0" eb="1">
      <t>ショウ</t>
    </rPh>
    <phoneticPr fontId="16"/>
  </si>
  <si>
    <t>（大項目2）</t>
    <phoneticPr fontId="17"/>
  </si>
  <si>
    <t>-</t>
  </si>
  <si>
    <t>備考</t>
    <rPh sb="0" eb="2">
      <t>ビコウ</t>
    </rPh>
    <phoneticPr fontId="16"/>
  </si>
  <si>
    <t>（大項目1）</t>
    <phoneticPr fontId="17"/>
  </si>
  <si>
    <t>（大項目3）</t>
    <phoneticPr fontId="17"/>
  </si>
  <si>
    <t>NG</t>
    <phoneticPr fontId="17"/>
  </si>
  <si>
    <t>NG済</t>
    <phoneticPr fontId="17"/>
  </si>
  <si>
    <t>保留</t>
    <rPh sb="0" eb="2">
      <t>ホリュウ</t>
    </rPh>
    <phoneticPr fontId="17"/>
  </si>
  <si>
    <t>NT</t>
    <phoneticPr fontId="17"/>
  </si>
  <si>
    <t>未実施</t>
    <rPh sb="0" eb="3">
      <t>ミジッシ</t>
    </rPh>
    <phoneticPr fontId="17"/>
  </si>
  <si>
    <t>（大項目4）</t>
    <phoneticPr fontId="17"/>
  </si>
  <si>
    <t>■結合テスト仕様書</t>
    <rPh sb="6" eb="9">
      <t>シヨウショ</t>
    </rPh>
    <phoneticPr fontId="16"/>
  </si>
  <si>
    <t>予備1</t>
    <rPh sb="0" eb="2">
      <t>ヨビ</t>
    </rPh>
    <phoneticPr fontId="16"/>
  </si>
  <si>
    <t>予備2</t>
    <rPh sb="0" eb="2">
      <t>ヨビ</t>
    </rPh>
    <phoneticPr fontId="16"/>
  </si>
  <si>
    <t>予備3</t>
    <rPh sb="0" eb="2">
      <t>ヨビ</t>
    </rPh>
    <phoneticPr fontId="16"/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</si>
  <si>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</si>
  <si>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</si>
  <si>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</si>
  <si>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新規作成</t>
    <rPh sb="0" eb="2">
      <t>シンキ</t>
    </rPh>
    <rPh sb="2" eb="4">
      <t>サクセイ</t>
    </rPh>
    <phoneticPr fontId="14"/>
  </si>
  <si>
    <t>（EXE）ｘｘｘ</t>
    <phoneticPr fontId="14"/>
  </si>
  <si>
    <t>テスト結果（１回目）</t>
    <phoneticPr fontId="16"/>
  </si>
  <si>
    <t>テスト結果（２回目）</t>
    <phoneticPr fontId="16"/>
  </si>
  <si>
    <t>テスト結果（３回目）</t>
    <phoneticPr fontId="16"/>
  </si>
  <si>
    <t>画面表示</t>
    <rPh sb="0" eb="4">
      <t>ガメンヒョウジ</t>
    </rPh>
    <phoneticPr fontId="16"/>
  </si>
  <si>
    <t>予想結果</t>
    <phoneticPr fontId="16"/>
  </si>
  <si>
    <t>右上「閉じる」「/開く」部分</t>
    <rPh sb="0" eb="2">
      <t>ミギウエ</t>
    </rPh>
    <rPh sb="3" eb="4">
      <t>ト</t>
    </rPh>
    <rPh sb="9" eb="10">
      <t>ヒラ</t>
    </rPh>
    <rPh sb="12" eb="14">
      <t>ブブン</t>
    </rPh>
    <phoneticPr fontId="28"/>
  </si>
  <si>
    <t>「閉じる」クリック時</t>
    <rPh sb="1" eb="2">
      <t>ト</t>
    </rPh>
    <rPh sb="9" eb="10">
      <t>ジ</t>
    </rPh>
    <phoneticPr fontId="28"/>
  </si>
  <si>
    <t>検索条件アコーディオンが閉じること</t>
    <rPh sb="0" eb="4">
      <t>ケンサクジョウケン</t>
    </rPh>
    <rPh sb="12" eb="13">
      <t>ト</t>
    </rPh>
    <phoneticPr fontId="28"/>
  </si>
  <si>
    <t>「開く」クリック時</t>
    <rPh sb="1" eb="2">
      <t>ヒラ</t>
    </rPh>
    <rPh sb="8" eb="9">
      <t>ジ</t>
    </rPh>
    <phoneticPr fontId="28"/>
  </si>
  <si>
    <t>検索条件アコーディオンが開くこと</t>
    <rPh sb="0" eb="4">
      <t>ケンサクジョウケン</t>
    </rPh>
    <rPh sb="12" eb="13">
      <t>ヒラ</t>
    </rPh>
    <phoneticPr fontId="28"/>
  </si>
  <si>
    <t>検索条件部操作</t>
    <rPh sb="0" eb="4">
      <t>ケンサクジョウケン</t>
    </rPh>
    <rPh sb="4" eb="5">
      <t>ブ</t>
    </rPh>
    <rPh sb="5" eb="7">
      <t>ソウサ</t>
    </rPh>
    <phoneticPr fontId="16"/>
  </si>
  <si>
    <t>プルダウンメニューの内容</t>
    <rPh sb="10" eb="12">
      <t>ナイヨウ</t>
    </rPh>
    <phoneticPr fontId="16"/>
  </si>
  <si>
    <t>バリデーション</t>
    <phoneticPr fontId="16"/>
  </si>
  <si>
    <t>表示件数部操作</t>
    <rPh sb="0" eb="5">
      <t>ヒョウジケンスウブ</t>
    </rPh>
    <rPh sb="5" eb="7">
      <t>ソウサ</t>
    </rPh>
    <phoneticPr fontId="16"/>
  </si>
  <si>
    <t>表示件数</t>
    <rPh sb="0" eb="4">
      <t>ヒョウジケンスウ</t>
    </rPh>
    <phoneticPr fontId="16"/>
  </si>
  <si>
    <t>プルダウンメニューの操作</t>
    <rPh sb="10" eb="12">
      <t>ソウサ</t>
    </rPh>
    <phoneticPr fontId="16"/>
  </si>
  <si>
    <t>ページ番号</t>
    <rPh sb="3" eb="5">
      <t>バンゴウ</t>
    </rPh>
    <phoneticPr fontId="16"/>
  </si>
  <si>
    <t>ページ移動</t>
    <rPh sb="3" eb="5">
      <t>イドウ</t>
    </rPh>
    <phoneticPr fontId="16"/>
  </si>
  <si>
    <r>
      <rPr>
        <sz val="11"/>
        <rFont val="Segoe UI Symbol"/>
        <family val="3"/>
      </rPr>
      <t>◀</t>
    </r>
    <r>
      <rPr>
        <sz val="11"/>
        <rFont val="游ゴシック"/>
        <family val="3"/>
        <charset val="128"/>
      </rPr>
      <t>ボタン</t>
    </r>
    <phoneticPr fontId="16"/>
  </si>
  <si>
    <t>▶ボタン</t>
    <phoneticPr fontId="16"/>
  </si>
  <si>
    <t>クリック時のソート</t>
    <rPh sb="4" eb="5">
      <t>ジ</t>
    </rPh>
    <phoneticPr fontId="16"/>
  </si>
  <si>
    <t>一覧の項目</t>
    <rPh sb="0" eb="2">
      <t>イチラン</t>
    </rPh>
    <rPh sb="3" eb="5">
      <t>コウモク</t>
    </rPh>
    <phoneticPr fontId="16"/>
  </si>
  <si>
    <t>画面操作（全体）</t>
    <rPh sb="0" eb="4">
      <t>ガメンソウサ</t>
    </rPh>
    <rPh sb="5" eb="7">
      <t>ゼンタイ</t>
    </rPh>
    <phoneticPr fontId="16"/>
  </si>
  <si>
    <t>初期表示（全体）</t>
    <rPh sb="0" eb="2">
      <t>ショキ</t>
    </rPh>
    <rPh sb="2" eb="4">
      <t>ヒョウジ</t>
    </rPh>
    <rPh sb="5" eb="7">
      <t>ゼンタイ</t>
    </rPh>
    <phoneticPr fontId="16"/>
  </si>
  <si>
    <t>検索条件</t>
    <rPh sb="0" eb="2">
      <t>ケンサク</t>
    </rPh>
    <rPh sb="2" eb="4">
      <t>ジョウケン</t>
    </rPh>
    <phoneticPr fontId="16"/>
  </si>
  <si>
    <t>一覧</t>
    <rPh sb="0" eb="2">
      <t>イチラン</t>
    </rPh>
    <phoneticPr fontId="16"/>
  </si>
  <si>
    <t>チェックボックス</t>
    <phoneticPr fontId="16"/>
  </si>
  <si>
    <t>キャンセルボタン</t>
    <phoneticPr fontId="16"/>
  </si>
  <si>
    <t>OKボタン</t>
    <phoneticPr fontId="16"/>
  </si>
  <si>
    <t>表示位置</t>
    <rPh sb="0" eb="4">
      <t>ヒョウジイチ</t>
    </rPh>
    <phoneticPr fontId="16"/>
  </si>
  <si>
    <t>設計書と比較して表示位置等が一致していること</t>
    <rPh sb="4" eb="6">
      <t>ヒカク</t>
    </rPh>
    <rPh sb="8" eb="10">
      <t>ヒョウジ</t>
    </rPh>
    <rPh sb="10" eb="12">
      <t>イチ</t>
    </rPh>
    <rPh sb="12" eb="13">
      <t>ナド</t>
    </rPh>
    <rPh sb="14" eb="16">
      <t>イッチ</t>
    </rPh>
    <phoneticPr fontId="16"/>
  </si>
  <si>
    <t>デザイン崩れ</t>
    <rPh sb="4" eb="5">
      <t>クズ</t>
    </rPh>
    <phoneticPr fontId="16"/>
  </si>
  <si>
    <t>デザイン崩れが発生していないこと</t>
    <rPh sb="4" eb="5">
      <t>クズ</t>
    </rPh>
    <rPh sb="7" eb="9">
      <t>ハッセイ</t>
    </rPh>
    <phoneticPr fontId="16"/>
  </si>
  <si>
    <t>ブラウザタブ</t>
    <phoneticPr fontId="16"/>
  </si>
  <si>
    <t>ブラウザタブのタブが正しく表示されること</t>
    <rPh sb="10" eb="11">
      <t>タダ</t>
    </rPh>
    <rPh sb="13" eb="15">
      <t>ヒョウジ</t>
    </rPh>
    <phoneticPr fontId="3"/>
  </si>
  <si>
    <t>ヘッダ</t>
    <phoneticPr fontId="16"/>
  </si>
  <si>
    <t>KOMTRAXロゴ</t>
    <phoneticPr fontId="16"/>
  </si>
  <si>
    <t>ホームボタン</t>
    <phoneticPr fontId="16"/>
  </si>
  <si>
    <t>KOMTRAXロゴクリック時</t>
    <rPh sb="13" eb="14">
      <t>ジ</t>
    </rPh>
    <phoneticPr fontId="16"/>
  </si>
  <si>
    <t>ホームボタンクリック時</t>
    <rPh sb="10" eb="11">
      <t>ジ</t>
    </rPh>
    <phoneticPr fontId="16"/>
  </si>
  <si>
    <t>トップ画面へ遷移すること</t>
    <rPh sb="3" eb="5">
      <t>ガメン</t>
    </rPh>
    <rPh sb="6" eb="8">
      <t>センイ</t>
    </rPh>
    <phoneticPr fontId="16"/>
  </si>
  <si>
    <t>ユーザ情報</t>
    <rPh sb="3" eb="5">
      <t>ジョウホウ</t>
    </rPh>
    <phoneticPr fontId="16"/>
  </si>
  <si>
    <t>ユーザ情報クリック時</t>
    <rPh sb="3" eb="5">
      <t>ジョウホウ</t>
    </rPh>
    <rPh sb="9" eb="10">
      <t>ジ</t>
    </rPh>
    <phoneticPr fontId="16"/>
  </si>
  <si>
    <t>管理</t>
    <rPh sb="0" eb="2">
      <t>カンリ</t>
    </rPh>
    <phoneticPr fontId="16"/>
  </si>
  <si>
    <t>管理クリック時</t>
    <rPh sb="0" eb="2">
      <t>カンリ</t>
    </rPh>
    <rPh sb="6" eb="7">
      <t>ジ</t>
    </rPh>
    <phoneticPr fontId="16"/>
  </si>
  <si>
    <t>グループ変更、ユーザアカウント、サインアウトボタンが表示されること</t>
    <rPh sb="4" eb="6">
      <t>ヘンコウ</t>
    </rPh>
    <rPh sb="26" eb="28">
      <t>ヒョウジ</t>
    </rPh>
    <phoneticPr fontId="16"/>
  </si>
  <si>
    <t>管理メニューが表示されること</t>
    <rPh sb="0" eb="2">
      <t>カンリ</t>
    </rPh>
    <rPh sb="7" eb="9">
      <t>ヒョウジ</t>
    </rPh>
    <phoneticPr fontId="16"/>
  </si>
  <si>
    <t>環境設定クリック時</t>
    <rPh sb="0" eb="4">
      <t>カンキョウセッテイ</t>
    </rPh>
    <rPh sb="8" eb="9">
      <t>ジ</t>
    </rPh>
    <phoneticPr fontId="16"/>
  </si>
  <si>
    <t>環境設定</t>
    <rPh sb="0" eb="4">
      <t>カンキョウセッテイ</t>
    </rPh>
    <phoneticPr fontId="16"/>
  </si>
  <si>
    <t>環境設定メニューが表示されること</t>
    <rPh sb="0" eb="4">
      <t>カンキョウセッテイ</t>
    </rPh>
    <rPh sb="9" eb="11">
      <t>ヒョウジ</t>
    </rPh>
    <phoneticPr fontId="16"/>
  </si>
  <si>
    <t>右サイドメニューが折りたたまれた状態で表示されること</t>
    <rPh sb="0" eb="1">
      <t>ミギ</t>
    </rPh>
    <phoneticPr fontId="16"/>
  </si>
  <si>
    <t>フォーカス</t>
    <phoneticPr fontId="16"/>
  </si>
  <si>
    <t>初期フォーカス</t>
    <rPh sb="0" eb="2">
      <t>ショキ</t>
    </rPh>
    <phoneticPr fontId="16"/>
  </si>
  <si>
    <t>初期フォーカスの位置</t>
    <rPh sb="0" eb="2">
      <t>ショキ</t>
    </rPh>
    <rPh sb="8" eb="10">
      <t>イチ</t>
    </rPh>
    <phoneticPr fontId="16"/>
  </si>
  <si>
    <t>初期フォーカスの位置がKOMTRAXロゴになること</t>
    <rPh sb="0" eb="2">
      <t>ショキ</t>
    </rPh>
    <rPh sb="8" eb="10">
      <t>イチ</t>
    </rPh>
    <phoneticPr fontId="16"/>
  </si>
  <si>
    <t>Tabボタン</t>
    <phoneticPr fontId="16"/>
  </si>
  <si>
    <t>Tabボタンによるフォーカスの移動</t>
    <rPh sb="15" eb="17">
      <t>イドウ</t>
    </rPh>
    <phoneticPr fontId="16"/>
  </si>
  <si>
    <t>KOMTRAXロゴのヘッダから右へ遷移し、その後下のコンポーネントに移動し、左から右へ移動する。これを繰り返すこと</t>
    <rPh sb="15" eb="16">
      <t>ミギ</t>
    </rPh>
    <rPh sb="17" eb="19">
      <t>センイ</t>
    </rPh>
    <rPh sb="23" eb="24">
      <t>ゴ</t>
    </rPh>
    <rPh sb="24" eb="25">
      <t>シタ</t>
    </rPh>
    <rPh sb="34" eb="36">
      <t>イドウ</t>
    </rPh>
    <rPh sb="38" eb="39">
      <t>ヒダリ</t>
    </rPh>
    <rPh sb="41" eb="42">
      <t>ミギ</t>
    </rPh>
    <rPh sb="43" eb="45">
      <t>イドウ</t>
    </rPh>
    <rPh sb="51" eb="52">
      <t>ク</t>
    </rPh>
    <rPh sb="53" eb="54">
      <t>カエ</t>
    </rPh>
    <phoneticPr fontId="16"/>
  </si>
  <si>
    <t>（大項目5）</t>
    <phoneticPr fontId="17"/>
  </si>
  <si>
    <t>画面操作（他画面共通）</t>
    <rPh sb="0" eb="4">
      <t>ガメンソウサ</t>
    </rPh>
    <rPh sb="5" eb="10">
      <t>タガメンキョウツウ</t>
    </rPh>
    <phoneticPr fontId="16"/>
  </si>
  <si>
    <t>一覧画面スクロール</t>
    <rPh sb="0" eb="2">
      <t>イチラン</t>
    </rPh>
    <rPh sb="2" eb="4">
      <t>ガメン</t>
    </rPh>
    <phoneticPr fontId="16"/>
  </si>
  <si>
    <t>一覧縦横スクロール</t>
    <rPh sb="0" eb="2">
      <t>イチラン</t>
    </rPh>
    <rPh sb="2" eb="4">
      <t>タテヨコ</t>
    </rPh>
    <phoneticPr fontId="16"/>
  </si>
  <si>
    <t>一覧の縦横スクロールが正しく表示されていること</t>
    <rPh sb="0" eb="2">
      <t>イチラン</t>
    </rPh>
    <rPh sb="3" eb="5">
      <t>タテヨコ</t>
    </rPh>
    <rPh sb="11" eb="12">
      <t>タダ</t>
    </rPh>
    <rPh sb="14" eb="16">
      <t>ヒョウジ</t>
    </rPh>
    <phoneticPr fontId="3"/>
  </si>
  <si>
    <t>ページサイズ変更</t>
    <rPh sb="6" eb="8">
      <t>ヘンコウ</t>
    </rPh>
    <phoneticPr fontId="16"/>
  </si>
  <si>
    <t>表示崩れ</t>
    <rPh sb="0" eb="3">
      <t>ヒョウジクズ</t>
    </rPh>
    <phoneticPr fontId="16"/>
  </si>
  <si>
    <t>ページサイズ変更時の表示崩れ</t>
    <rPh sb="6" eb="9">
      <t>ヘンコウジ</t>
    </rPh>
    <rPh sb="10" eb="13">
      <t>ヒョウジクズ</t>
    </rPh>
    <phoneticPr fontId="16"/>
  </si>
  <si>
    <t>ページサイズを変更した際に致命的な表示崩れが発生しないこと</t>
    <rPh sb="7" eb="9">
      <t>ヘンコウ</t>
    </rPh>
    <rPh sb="11" eb="12">
      <t>サイ</t>
    </rPh>
    <rPh sb="13" eb="16">
      <t>チメイテキ</t>
    </rPh>
    <rPh sb="17" eb="20">
      <t>ヒョウジクズ</t>
    </rPh>
    <rPh sb="22" eb="24">
      <t>ハッセイ</t>
    </rPh>
    <phoneticPr fontId="16"/>
  </si>
  <si>
    <t>操作中は常にデバッグツールを開き操作時にJSエラーが発生しないこと</t>
    <rPh sb="0" eb="2">
      <t>ソウサ</t>
    </rPh>
    <rPh sb="2" eb="3">
      <t>チュウ</t>
    </rPh>
    <rPh sb="4" eb="5">
      <t>ツネ</t>
    </rPh>
    <rPh sb="14" eb="15">
      <t>ヒラ</t>
    </rPh>
    <rPh sb="16" eb="18">
      <t>ソウサ</t>
    </rPh>
    <rPh sb="18" eb="19">
      <t>ジ</t>
    </rPh>
    <rPh sb="26" eb="28">
      <t>ハッセイ</t>
    </rPh>
    <phoneticPr fontId="3"/>
  </si>
  <si>
    <t>テスト中留意事項</t>
    <rPh sb="3" eb="4">
      <t>チュウ</t>
    </rPh>
    <rPh sb="4" eb="8">
      <t>リュウイジコウ</t>
    </rPh>
    <phoneticPr fontId="16"/>
  </si>
  <si>
    <t>テスト中の留意事項</t>
    <rPh sb="3" eb="4">
      <t>チュウ</t>
    </rPh>
    <rPh sb="5" eb="9">
      <t>リュウイジコウ</t>
    </rPh>
    <phoneticPr fontId="16"/>
  </si>
  <si>
    <t>確認項目</t>
    <phoneticPr fontId="16"/>
  </si>
  <si>
    <t>デバッグツールを開き、操作中にJSエラーが発生しないこと</t>
    <rPh sb="8" eb="9">
      <t>ヒラ</t>
    </rPh>
    <rPh sb="11" eb="14">
      <t>ソウサチュウ</t>
    </rPh>
    <rPh sb="21" eb="23">
      <t>ハッセイ</t>
    </rPh>
    <phoneticPr fontId="16"/>
  </si>
  <si>
    <t>初期表示</t>
    <rPh sb="0" eb="4">
      <t>ショキヒョウジ</t>
    </rPh>
    <phoneticPr fontId="16"/>
  </si>
  <si>
    <t>ヘッダ表示項目</t>
    <rPh sb="3" eb="7">
      <t>ヒョウジコウモク</t>
    </rPh>
    <phoneticPr fontId="16"/>
  </si>
  <si>
    <t>検索条件表示項目</t>
    <rPh sb="0" eb="2">
      <t>ケンサク</t>
    </rPh>
    <rPh sb="2" eb="4">
      <t>ジョウケン</t>
    </rPh>
    <rPh sb="4" eb="8">
      <t>ヒョウジコウモク</t>
    </rPh>
    <phoneticPr fontId="16"/>
  </si>
  <si>
    <t>表示件数表示項目</t>
    <rPh sb="0" eb="4">
      <t>ヒョウジケンスウ</t>
    </rPh>
    <rPh sb="4" eb="8">
      <t>ヒョウジコウモク</t>
    </rPh>
    <phoneticPr fontId="16"/>
  </si>
  <si>
    <t>一覧表示項目</t>
    <rPh sb="0" eb="2">
      <t>イチラン</t>
    </rPh>
    <rPh sb="2" eb="6">
      <t>ヒョウジコウモク</t>
    </rPh>
    <phoneticPr fontId="16"/>
  </si>
  <si>
    <t>右サイドメニュー表示</t>
    <rPh sb="0" eb="1">
      <t>ミギ</t>
    </rPh>
    <rPh sb="8" eb="10">
      <t>ヒョウジ</t>
    </rPh>
    <phoneticPr fontId="16"/>
  </si>
  <si>
    <t>下記の内容が表示されること
KOMTRAXロゴ、ホームボタン、ユーザ情報、管理、環境設定</t>
    <rPh sb="0" eb="2">
      <t>カキ</t>
    </rPh>
    <rPh sb="3" eb="5">
      <t>ナイヨウ</t>
    </rPh>
    <rPh sb="6" eb="8">
      <t>ヒョウジ</t>
    </rPh>
    <rPh sb="34" eb="36">
      <t>ジョウホウ</t>
    </rPh>
    <rPh sb="37" eb="39">
      <t>カンリ</t>
    </rPh>
    <rPh sb="40" eb="44">
      <t>カンキョウセッテイ</t>
    </rPh>
    <phoneticPr fontId="16"/>
  </si>
  <si>
    <t>セキュリティ</t>
    <phoneticPr fontId="16"/>
  </si>
  <si>
    <t>ブラウザバック時</t>
    <rPh sb="7" eb="8">
      <t>ジ</t>
    </rPh>
    <phoneticPr fontId="16"/>
  </si>
  <si>
    <t>ブラウザバック時の挙動</t>
    <rPh sb="7" eb="8">
      <t>ジ</t>
    </rPh>
    <rPh sb="9" eb="11">
      <t>キョドウ</t>
    </rPh>
    <phoneticPr fontId="16"/>
  </si>
  <si>
    <t>ブラウザバックを行った際に何らかの問題が発生しないこと</t>
    <rPh sb="13" eb="14">
      <t>ナン</t>
    </rPh>
    <rPh sb="17" eb="19">
      <t>モンダイ</t>
    </rPh>
    <rPh sb="20" eb="22">
      <t>ハッセイ</t>
    </rPh>
    <phoneticPr fontId="16"/>
  </si>
  <si>
    <t>不正パラメータで呼び出した際に問題が発生しないこと</t>
    <phoneticPr fontId="16"/>
  </si>
  <si>
    <t>パラメータ呼び出し</t>
    <rPh sb="5" eb="6">
      <t>ヨ</t>
    </rPh>
    <rPh sb="7" eb="8">
      <t>ダ</t>
    </rPh>
    <phoneticPr fontId="16"/>
  </si>
  <si>
    <t>不正パラメータで呼び出した際の挙動</t>
    <rPh sb="0" eb="2">
      <t>フセイ</t>
    </rPh>
    <rPh sb="8" eb="9">
      <t>ヨ</t>
    </rPh>
    <rPh sb="10" eb="11">
      <t>ダ</t>
    </rPh>
    <rPh sb="13" eb="14">
      <t>サイ</t>
    </rPh>
    <rPh sb="15" eb="17">
      <t>キョドウ</t>
    </rPh>
    <phoneticPr fontId="16"/>
  </si>
  <si>
    <t>二重送信の制御が行われていること</t>
    <phoneticPr fontId="16"/>
  </si>
  <si>
    <t>二重送信</t>
    <rPh sb="0" eb="4">
      <t>ニジュウソウシン</t>
    </rPh>
    <phoneticPr fontId="16"/>
  </si>
  <si>
    <t>二重送信の制御</t>
    <rPh sb="0" eb="4">
      <t>ニジュウソウシン</t>
    </rPh>
    <rPh sb="5" eb="7">
      <t>セイギョ</t>
    </rPh>
    <phoneticPr fontId="16"/>
  </si>
  <si>
    <t>処理時間</t>
    <rPh sb="0" eb="4">
      <t>ショリジカン</t>
    </rPh>
    <phoneticPr fontId="16"/>
  </si>
  <si>
    <t>処理時間の確認</t>
    <rPh sb="0" eb="4">
      <t>ショリジカン</t>
    </rPh>
    <rPh sb="5" eb="7">
      <t>カクニン</t>
    </rPh>
    <phoneticPr fontId="16"/>
  </si>
  <si>
    <t>各々の処理時間について、１秒以上かかるものがないこと</t>
    <rPh sb="0" eb="2">
      <t>オノオノ</t>
    </rPh>
    <rPh sb="3" eb="7">
      <t>ショリジカン</t>
    </rPh>
    <rPh sb="13" eb="16">
      <t>ビョウイジョウ</t>
    </rPh>
    <phoneticPr fontId="3"/>
  </si>
  <si>
    <t>下記の内容が表示されること
テキスト： 表示位置（〇〇件中X件～X件を表示）
プルダウンメニュー: 表示件数
テキストボックス、ボタン: ページ切り替え
ボタン: データ送信要求、一括設定取得要求</t>
    <rPh sb="20" eb="24">
      <t>ヒョウジイチ</t>
    </rPh>
    <rPh sb="27" eb="28">
      <t>ケン</t>
    </rPh>
    <rPh sb="28" eb="29">
      <t>チュウ</t>
    </rPh>
    <rPh sb="30" eb="31">
      <t>ケン</t>
    </rPh>
    <rPh sb="33" eb="34">
      <t>ケン</t>
    </rPh>
    <rPh sb="35" eb="37">
      <t>ヒョウジ</t>
    </rPh>
    <rPh sb="85" eb="89">
      <t>ソウシンヨウキュウ</t>
    </rPh>
    <phoneticPr fontId="16"/>
  </si>
  <si>
    <t>下記の項目のデータテーブルが表示されること
チェックボックス、機種、形式、機番、端末モード区分、編集、通信機種、担当DB、顧客、カスタマイズ用途、バージョン、変更状態</t>
    <rPh sb="0" eb="2">
      <t>カキ</t>
    </rPh>
    <rPh sb="3" eb="5">
      <t>コウモク</t>
    </rPh>
    <rPh sb="14" eb="16">
      <t>ヒョウジ</t>
    </rPh>
    <rPh sb="31" eb="33">
      <t>キシュ</t>
    </rPh>
    <rPh sb="34" eb="36">
      <t>ケイシキ</t>
    </rPh>
    <rPh sb="37" eb="39">
      <t>キバン</t>
    </rPh>
    <rPh sb="48" eb="50">
      <t>ヘンシュウ</t>
    </rPh>
    <rPh sb="79" eb="83">
      <t>ヘンコウジョウタイ</t>
    </rPh>
    <phoneticPr fontId="16"/>
  </si>
  <si>
    <t>機種</t>
    <rPh sb="0" eb="2">
      <t>キシュ</t>
    </rPh>
    <phoneticPr fontId="16"/>
  </si>
  <si>
    <t>機番</t>
    <rPh sb="0" eb="2">
      <t>キバン</t>
    </rPh>
    <phoneticPr fontId="16"/>
  </si>
  <si>
    <t>端末モード区分</t>
    <rPh sb="0" eb="2">
      <t>タンマツ</t>
    </rPh>
    <rPh sb="5" eb="7">
      <t>クブン</t>
    </rPh>
    <phoneticPr fontId="16"/>
  </si>
  <si>
    <t>担当DB</t>
    <rPh sb="0" eb="2">
      <t>タントウ</t>
    </rPh>
    <phoneticPr fontId="16"/>
  </si>
  <si>
    <t>顧客</t>
    <rPh sb="0" eb="2">
      <t>コキャク</t>
    </rPh>
    <phoneticPr fontId="16"/>
  </si>
  <si>
    <t>形式</t>
    <rPh sb="0" eb="2">
      <t>ケイシキ</t>
    </rPh>
    <phoneticPr fontId="16"/>
  </si>
  <si>
    <t>通信機種</t>
    <rPh sb="0" eb="4">
      <t>ツウシンキシュ</t>
    </rPh>
    <phoneticPr fontId="16"/>
  </si>
  <si>
    <t>カスタマイズ用途定義</t>
    <rPh sb="6" eb="10">
      <t>ヨウトテイギ</t>
    </rPh>
    <phoneticPr fontId="16"/>
  </si>
  <si>
    <t>カスタマイズ用途定義リスト</t>
    <rPh sb="6" eb="10">
      <t>ヨウトテイギ</t>
    </rPh>
    <phoneticPr fontId="16"/>
  </si>
  <si>
    <t>変更状態</t>
    <rPh sb="0" eb="4">
      <t>ヘンコウジョウタイ</t>
    </rPh>
    <phoneticPr fontId="16"/>
  </si>
  <si>
    <t>入力文字数が最大20文字であること</t>
    <rPh sb="0" eb="2">
      <t>ニュウリョク</t>
    </rPh>
    <rPh sb="2" eb="5">
      <t>モジスウ</t>
    </rPh>
    <rPh sb="6" eb="8">
      <t>サイダイ</t>
    </rPh>
    <rPh sb="10" eb="12">
      <t>モジ</t>
    </rPh>
    <phoneticPr fontId="16"/>
  </si>
  <si>
    <t>入力文字数が最大15文字であること</t>
    <rPh sb="0" eb="2">
      <t>ニュウリョク</t>
    </rPh>
    <rPh sb="2" eb="5">
      <t>モジスウ</t>
    </rPh>
    <rPh sb="6" eb="8">
      <t>サイダイ</t>
    </rPh>
    <rPh sb="10" eb="12">
      <t>モジ</t>
    </rPh>
    <phoneticPr fontId="16"/>
  </si>
  <si>
    <t>入力文字数が最大41文字であること</t>
    <rPh sb="0" eb="2">
      <t>ニュウリョク</t>
    </rPh>
    <rPh sb="2" eb="5">
      <t>モジスウ</t>
    </rPh>
    <rPh sb="6" eb="8">
      <t>サイダイ</t>
    </rPh>
    <rPh sb="10" eb="12">
      <t>モジ</t>
    </rPh>
    <phoneticPr fontId="16"/>
  </si>
  <si>
    <t>端末モードの項目を選択できること</t>
    <rPh sb="0" eb="2">
      <t>タンマツ</t>
    </rPh>
    <rPh sb="6" eb="8">
      <t>コウモク</t>
    </rPh>
    <rPh sb="9" eb="11">
      <t>センタク</t>
    </rPh>
    <phoneticPr fontId="16"/>
  </si>
  <si>
    <t>ラジオボタン</t>
    <phoneticPr fontId="16"/>
  </si>
  <si>
    <t>通信機種の項目を選択できること</t>
    <rPh sb="0" eb="4">
      <t>ツウシンキシュ</t>
    </rPh>
    <rPh sb="5" eb="7">
      <t>コウモク</t>
    </rPh>
    <rPh sb="8" eb="10">
      <t>センタク</t>
    </rPh>
    <phoneticPr fontId="16"/>
  </si>
  <si>
    <t>担当DBの項目を選択できること</t>
    <rPh sb="0" eb="2">
      <t>タントウ</t>
    </rPh>
    <rPh sb="5" eb="7">
      <t>コウモク</t>
    </rPh>
    <rPh sb="8" eb="10">
      <t>センタク</t>
    </rPh>
    <phoneticPr fontId="16"/>
  </si>
  <si>
    <t>顧客項目を選択できること</t>
    <rPh sb="0" eb="2">
      <t>コキャク</t>
    </rPh>
    <rPh sb="2" eb="4">
      <t>コウモク</t>
    </rPh>
    <rPh sb="5" eb="7">
      <t>センタク</t>
    </rPh>
    <phoneticPr fontId="16"/>
  </si>
  <si>
    <t>カスタマイズ用途定義を選択できること</t>
    <rPh sb="6" eb="10">
      <t>ヨウトテイギ</t>
    </rPh>
    <rPh sb="11" eb="13">
      <t>センタク</t>
    </rPh>
    <phoneticPr fontId="16"/>
  </si>
  <si>
    <t>カスタマイズ用途定義リストの項目を選択できること</t>
    <rPh sb="6" eb="8">
      <t>ヨウト</t>
    </rPh>
    <rPh sb="8" eb="10">
      <t>テイギ</t>
    </rPh>
    <rPh sb="14" eb="16">
      <t>コウモク</t>
    </rPh>
    <rPh sb="17" eb="19">
      <t>センタク</t>
    </rPh>
    <phoneticPr fontId="16"/>
  </si>
  <si>
    <t>変更状態の項目を選択できること</t>
    <rPh sb="0" eb="4">
      <t>ヘンコウジョウタイ</t>
    </rPh>
    <rPh sb="5" eb="7">
      <t>コウモク</t>
    </rPh>
    <rPh sb="8" eb="10">
      <t>センタク</t>
    </rPh>
    <phoneticPr fontId="16"/>
  </si>
  <si>
    <t>下記の内容が表示されること
アコーディオン部分タイトル: 検索条件
テキストボックス: 機種、形式、機番
プルダウンメニュー: 端末モード区分、通信機種、担当DB、顧客、変更状態
ラジオボタン: カスタマイズ用途定義
テキスト: 注記1、注記2
ボタン: 入力内容をリセット、検索、一括変更用テンプレート</t>
    <rPh sb="0" eb="2">
      <t>カキ</t>
    </rPh>
    <rPh sb="3" eb="5">
      <t>ナイヨウ</t>
    </rPh>
    <rPh sb="6" eb="8">
      <t>ヒョウジ</t>
    </rPh>
    <rPh sb="21" eb="22">
      <t>ブ</t>
    </rPh>
    <rPh sb="22" eb="23">
      <t>ブン</t>
    </rPh>
    <rPh sb="29" eb="33">
      <t>ケンサクジョウケン</t>
    </rPh>
    <rPh sb="44" eb="46">
      <t>キシュ</t>
    </rPh>
    <rPh sb="47" eb="49">
      <t>ケイシキ</t>
    </rPh>
    <rPh sb="50" eb="52">
      <t>キバン</t>
    </rPh>
    <rPh sb="64" eb="66">
      <t>タンマツ</t>
    </rPh>
    <rPh sb="69" eb="71">
      <t>クブン</t>
    </rPh>
    <rPh sb="72" eb="76">
      <t>ツウシンキシュ</t>
    </rPh>
    <rPh sb="77" eb="79">
      <t>タントウ</t>
    </rPh>
    <rPh sb="82" eb="84">
      <t>コキャク</t>
    </rPh>
    <rPh sb="85" eb="89">
      <t>ヘンコウジョウタイ</t>
    </rPh>
    <rPh sb="104" eb="108">
      <t>ヨウトテイギ</t>
    </rPh>
    <rPh sb="128" eb="132">
      <t>ニュウリョクナイヨウ</t>
    </rPh>
    <rPh sb="138" eb="140">
      <t>ケンサク</t>
    </rPh>
    <rPh sb="141" eb="146">
      <t>イッカツヘンコウヨウ</t>
    </rPh>
    <phoneticPr fontId="28"/>
  </si>
  <si>
    <t>『すべて』を選択した場合、カスタマイズ用途定義リストを非表示、
『リストから選択』が選択された場合のみカスタマイズ用途定義リスト表示すること</t>
    <rPh sb="6" eb="8">
      <t>センタク</t>
    </rPh>
    <rPh sb="10" eb="12">
      <t>バアイ</t>
    </rPh>
    <rPh sb="19" eb="23">
      <t>ヨウトテイギ</t>
    </rPh>
    <rPh sb="27" eb="30">
      <t>ヒヒョウジ</t>
    </rPh>
    <phoneticPr fontId="16"/>
  </si>
  <si>
    <t>各テキストボタンおよびプルダウンメニューについて、検索状態が保存されている場合、それが復元されること</t>
    <rPh sb="0" eb="1">
      <t>カク</t>
    </rPh>
    <rPh sb="25" eb="29">
      <t>ケンサクジョウタイ</t>
    </rPh>
    <rPh sb="30" eb="32">
      <t>ホゾン</t>
    </rPh>
    <rPh sb="37" eb="39">
      <t>バアイ</t>
    </rPh>
    <rPh sb="43" eb="45">
      <t>フクゲン</t>
    </rPh>
    <phoneticPr fontId="16"/>
  </si>
  <si>
    <t>検索状態の保存・復元</t>
    <rPh sb="0" eb="4">
      <t>ケンサクジョウタイ</t>
    </rPh>
    <rPh sb="5" eb="7">
      <t>ホゾン</t>
    </rPh>
    <rPh sb="8" eb="10">
      <t>フクゲン</t>
    </rPh>
    <phoneticPr fontId="16"/>
  </si>
  <si>
    <t>検索の実行</t>
    <rPh sb="0" eb="2">
      <t>ケンサク</t>
    </rPh>
    <rPh sb="3" eb="5">
      <t>ジッコウ</t>
    </rPh>
    <phoneticPr fontId="16"/>
  </si>
  <si>
    <t>入力内容をリセット</t>
    <rPh sb="0" eb="4">
      <t>ニュウリョクナイヨウ</t>
    </rPh>
    <phoneticPr fontId="16"/>
  </si>
  <si>
    <t>検索ボタン</t>
    <phoneticPr fontId="16"/>
  </si>
  <si>
    <t>リセット確認モーダルが表示されること</t>
    <rPh sb="4" eb="6">
      <t>カクニン</t>
    </rPh>
    <rPh sb="11" eb="13">
      <t>ヒョウジ</t>
    </rPh>
    <phoneticPr fontId="16"/>
  </si>
  <si>
    <t>一括変更用テンプレートDLボタン</t>
    <phoneticPr fontId="16"/>
  </si>
  <si>
    <t>一括変更用テンプレートDL</t>
    <phoneticPr fontId="16"/>
  </si>
  <si>
    <t>一括変更用テンプレートDLの実行</t>
    <rPh sb="14" eb="16">
      <t>ジッコウ</t>
    </rPh>
    <phoneticPr fontId="16"/>
  </si>
  <si>
    <t>更新用テンプレートがダウンロードされること</t>
    <phoneticPr fontId="16"/>
  </si>
  <si>
    <t>データ送信要求ボタン</t>
    <rPh sb="3" eb="7">
      <t>ソウシンヨウキュウ</t>
    </rPh>
    <phoneticPr fontId="16"/>
  </si>
  <si>
    <t>データ送信要求</t>
    <rPh sb="3" eb="7">
      <t>ソウシンヨウキュウ</t>
    </rPh>
    <phoneticPr fontId="16"/>
  </si>
  <si>
    <t>カスタマイズデータ送信要求画面へ遷移すること</t>
    <rPh sb="9" eb="11">
      <t>ソウシン</t>
    </rPh>
    <rPh sb="11" eb="13">
      <t>ヨウキュウ</t>
    </rPh>
    <rPh sb="13" eb="15">
      <t>ガメン</t>
    </rPh>
    <rPh sb="16" eb="18">
      <t>センイ</t>
    </rPh>
    <phoneticPr fontId="16"/>
  </si>
  <si>
    <t>一括設定取得要求ボタン</t>
    <rPh sb="0" eb="8">
      <t>イッカツセッテイシュトクヨウキュウ</t>
    </rPh>
    <phoneticPr fontId="16"/>
  </si>
  <si>
    <t>一括設定取得要求</t>
    <phoneticPr fontId="16"/>
  </si>
  <si>
    <t>カスタマイズ設定取得要求モーダルが表示されること</t>
    <phoneticPr fontId="16"/>
  </si>
  <si>
    <t>全選択/解除</t>
    <phoneticPr fontId="16"/>
  </si>
  <si>
    <t>表示中のチェックボックスが全選択/解除されること</t>
    <phoneticPr fontId="16"/>
  </si>
  <si>
    <t>一覧の編集ボタン</t>
    <rPh sb="0" eb="2">
      <t>イチラン</t>
    </rPh>
    <rPh sb="3" eb="5">
      <t>ヘンシュウ</t>
    </rPh>
    <phoneticPr fontId="16"/>
  </si>
  <si>
    <t>編集</t>
    <rPh sb="0" eb="2">
      <t>ヘンシュウ</t>
    </rPh>
    <phoneticPr fontId="16"/>
  </si>
  <si>
    <t>画面遷移</t>
    <rPh sb="0" eb="4">
      <t>ガメンセンイ</t>
    </rPh>
    <phoneticPr fontId="16"/>
  </si>
  <si>
    <t>表示</t>
    <rPh sb="0" eb="2">
      <t>ヒョウジ</t>
    </rPh>
    <phoneticPr fontId="16"/>
  </si>
  <si>
    <t>次世代モードの車両のみボタンが表示されること</t>
    <rPh sb="0" eb="3">
      <t>ジセダイ</t>
    </rPh>
    <rPh sb="7" eb="9">
      <t>シャリョウ</t>
    </rPh>
    <rPh sb="15" eb="17">
      <t>ヒョウジ</t>
    </rPh>
    <phoneticPr fontId="16"/>
  </si>
  <si>
    <t>車両カスタマイズ用途定義詳細画面に遷移すること</t>
    <rPh sb="0" eb="2">
      <t>シャリョウ</t>
    </rPh>
    <rPh sb="8" eb="10">
      <t>ヨウト</t>
    </rPh>
    <rPh sb="10" eb="12">
      <t>テイギ</t>
    </rPh>
    <rPh sb="12" eb="14">
      <t>ショウサイ</t>
    </rPh>
    <rPh sb="14" eb="16">
      <t>ガメン</t>
    </rPh>
    <rPh sb="17" eb="19">
      <t>センイ</t>
    </rPh>
    <phoneticPr fontId="16"/>
  </si>
  <si>
    <t>クリックした項目による昇順、降順でのソート表示が行われること
このとき、リストのチェック状態は保持されること</t>
    <rPh sb="6" eb="8">
      <t>コウモク</t>
    </rPh>
    <rPh sb="11" eb="13">
      <t>ショウジュン</t>
    </rPh>
    <rPh sb="14" eb="16">
      <t>コウジュン</t>
    </rPh>
    <rPh sb="21" eb="23">
      <t>ヒョウジ</t>
    </rPh>
    <rPh sb="24" eb="25">
      <t>オコナ</t>
    </rPh>
    <phoneticPr fontId="16"/>
  </si>
  <si>
    <t>入力した検索条件で検索結果一覧テーブルを表示すること
このとき、リストのチェック状態はリセットされること</t>
    <phoneticPr fontId="16"/>
  </si>
  <si>
    <t>プルダウンメニューから件数を選択し、変更後に一覧部の表示件数が変更されること
このとき、リストのチェック状態は保持されること</t>
    <rPh sb="11" eb="13">
      <t>ケンスウ</t>
    </rPh>
    <rPh sb="14" eb="16">
      <t>センタク</t>
    </rPh>
    <rPh sb="18" eb="21">
      <t>ヘンコウゴ</t>
    </rPh>
    <rPh sb="22" eb="24">
      <t>イチラン</t>
    </rPh>
    <rPh sb="24" eb="25">
      <t>ブ</t>
    </rPh>
    <rPh sb="26" eb="30">
      <t>ヒョウジケンスウ</t>
    </rPh>
    <rPh sb="31" eb="33">
      <t>ヘンコウ</t>
    </rPh>
    <phoneticPr fontId="16"/>
  </si>
  <si>
    <t>ページ番号をへ変更した後に一覧部の表示内容が変更されること
このとき、リストのチェック状態は保持されること</t>
    <rPh sb="3" eb="5">
      <t>バンゴウ</t>
    </rPh>
    <rPh sb="7" eb="9">
      <t>ヘンコウ</t>
    </rPh>
    <rPh sb="11" eb="12">
      <t>ゴ</t>
    </rPh>
    <rPh sb="13" eb="15">
      <t>イチラン</t>
    </rPh>
    <rPh sb="15" eb="16">
      <t>ブ</t>
    </rPh>
    <rPh sb="17" eb="19">
      <t>ヒョウジ</t>
    </rPh>
    <rPh sb="19" eb="21">
      <t>ナイヨウ</t>
    </rPh>
    <rPh sb="22" eb="24">
      <t>ヘンコウ</t>
    </rPh>
    <phoneticPr fontId="16"/>
  </si>
  <si>
    <t>1つ前のページの一覧が表示されること
このとき、リストのチェック状態は保持されること</t>
    <rPh sb="2" eb="3">
      <t>マエ</t>
    </rPh>
    <rPh sb="8" eb="10">
      <t>イチラン</t>
    </rPh>
    <rPh sb="11" eb="13">
      <t>ヒョウジ</t>
    </rPh>
    <phoneticPr fontId="16"/>
  </si>
  <si>
    <t>1つ後のページの一覧が表示されること
このとき、リストのチェック状態は保持されること</t>
    <rPh sb="2" eb="3">
      <t>アト</t>
    </rPh>
    <rPh sb="8" eb="10">
      <t>イチラン</t>
    </rPh>
    <rPh sb="11" eb="13">
      <t>ヒョウジ</t>
    </rPh>
    <phoneticPr fontId="16"/>
  </si>
  <si>
    <t>初期表示（リセット確認モーダル）</t>
    <rPh sb="0" eb="4">
      <t>ショキヒョウジ</t>
    </rPh>
    <rPh sb="9" eb="11">
      <t>カクニン</t>
    </rPh>
    <phoneticPr fontId="16"/>
  </si>
  <si>
    <t>リセット確認モーダル</t>
    <rPh sb="4" eb="6">
      <t>カクニン</t>
    </rPh>
    <phoneticPr fontId="16"/>
  </si>
  <si>
    <t>下記の内容が表示されること
テキスト: リセット確認のメッセージ文言
ボタン: 閉じる、OK</t>
    <rPh sb="0" eb="2">
      <t>カキ</t>
    </rPh>
    <rPh sb="3" eb="5">
      <t>ナイヨウ</t>
    </rPh>
    <rPh sb="6" eb="8">
      <t>ヒョウジ</t>
    </rPh>
    <rPh sb="24" eb="26">
      <t>カクニン</t>
    </rPh>
    <rPh sb="32" eb="34">
      <t>モンゴン</t>
    </rPh>
    <rPh sb="40" eb="41">
      <t>ト</t>
    </rPh>
    <phoneticPr fontId="28"/>
  </si>
  <si>
    <t>画面操作（リセット確認モーダル）</t>
    <rPh sb="0" eb="4">
      <t>ガメンソウサ</t>
    </rPh>
    <phoneticPr fontId="16"/>
  </si>
  <si>
    <t>閉じるボタン</t>
    <rPh sb="0" eb="1">
      <t>ト</t>
    </rPh>
    <phoneticPr fontId="16"/>
  </si>
  <si>
    <t>リセットをキャンセルし、モーダルが閉じること</t>
    <phoneticPr fontId="16"/>
  </si>
  <si>
    <t>検索条件を初期値に戻し、車両一覧テーブルを表示すること</t>
    <phoneticPr fontId="16"/>
  </si>
  <si>
    <t>（大項目6）</t>
    <phoneticPr fontId="17"/>
  </si>
  <si>
    <t>（大項目7）</t>
    <phoneticPr fontId="17"/>
  </si>
  <si>
    <t>初期表示（カスタマイズ設定取得要求モーダル）</t>
    <rPh sb="0" eb="4">
      <t>ショキヒョウジ</t>
    </rPh>
    <rPh sb="11" eb="17">
      <t>セッテイシュトクヨウキュウ</t>
    </rPh>
    <phoneticPr fontId="16"/>
  </si>
  <si>
    <t>画面操作（カスタマイズ設定取得要求モーダル）</t>
    <rPh sb="0" eb="4">
      <t>ガメンソウサ</t>
    </rPh>
    <phoneticPr fontId="16"/>
  </si>
  <si>
    <t>カスタマイズ設定取得要求モーダル</t>
    <phoneticPr fontId="16"/>
  </si>
  <si>
    <t>下記の内容が表示されること
テキスト: 要求確認のメッセージ文言
ボタン: キャンセル、OK</t>
    <rPh sb="0" eb="2">
      <t>カキ</t>
    </rPh>
    <rPh sb="3" eb="5">
      <t>ナイヨウ</t>
    </rPh>
    <rPh sb="6" eb="8">
      <t>ヒョウジ</t>
    </rPh>
    <rPh sb="20" eb="22">
      <t>ヨウキュウ</t>
    </rPh>
    <rPh sb="22" eb="24">
      <t>カクニン</t>
    </rPh>
    <rPh sb="30" eb="32">
      <t>モンゴン</t>
    </rPh>
    <phoneticPr fontId="28"/>
  </si>
  <si>
    <t>カスタマイズ設定取得をキャンセルし、モーダルが閉じること</t>
    <phoneticPr fontId="16"/>
  </si>
  <si>
    <t>カスタマイズ設定取得を実行し、車両一覧テーブルを表示すること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</si>
</sst>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0_);[Red]\(0\)"/>
    <numFmt numFmtId="203" formatCode="mm/dd"/>
  </numFmts>
  <fonts count="155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color indexed="81"/>
      <name val="Meiryo UI"/>
      <family val="3"/>
      <charset val="128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b/>
      <sz val="11"/>
      <name val="游ゴシック"/>
      <family val="3"/>
      <charset val="128"/>
    </font>
    <font>
      <sz val="11"/>
      <color theme="0"/>
      <name val="游ゴシック"/>
      <family val="3"/>
      <charset val="128"/>
    </font>
    <font>
      <sz val="11"/>
      <name val="Segoe UI Symbol"/>
      <family val="3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82">
    <xf numFmtId="0" fontId="0" fillId="0" borderId="0"/>
    <xf numFmtId="0" fontId="13" fillId="0" borderId="0">
      <alignment vertical="center"/>
    </xf>
    <xf numFmtId="0" fontId="18" fillId="0" borderId="0">
      <alignment vertical="center"/>
    </xf>
    <xf numFmtId="0" fontId="21" fillId="0" borderId="0"/>
    <xf numFmtId="177" fontId="22" fillId="0" borderId="0" applyFont="0" applyFill="0" applyBorder="0" applyAlignment="0" applyProtection="0"/>
    <xf numFmtId="9" fontId="22" fillId="33" borderId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3" fillId="0" borderId="0" applyFill="0" applyBorder="0" applyProtection="0">
      <alignment horizontal="left" vertical="center"/>
      <protection locked="0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178" fontId="29" fillId="0" borderId="0" applyFill="0" applyBorder="0" applyAlignment="0"/>
    <xf numFmtId="179" fontId="30" fillId="0" borderId="0" applyFill="0" applyBorder="0" applyAlignment="0"/>
    <xf numFmtId="180" fontId="30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2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32" fillId="0" borderId="0" applyNumberFormat="0" applyAlignment="0">
      <alignment horizontal="left"/>
    </xf>
    <xf numFmtId="0" fontId="22" fillId="0" borderId="0" applyFont="0" applyFill="0" applyBorder="0" applyAlignment="0" applyProtection="0"/>
    <xf numFmtId="179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6" fontId="31" fillId="0" borderId="0" applyFont="0" applyFill="0" applyBorder="0" applyAlignment="0" applyProtection="0"/>
    <xf numFmtId="187" fontId="21" fillId="48" borderId="0" applyFont="0" applyBorder="0"/>
    <xf numFmtId="0" fontId="23" fillId="48" borderId="0" applyFont="0" applyBorder="0"/>
    <xf numFmtId="0" fontId="31" fillId="0" borderId="0" applyFont="0" applyFill="0" applyBorder="0" applyAlignment="0" applyProtection="0"/>
    <xf numFmtId="14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30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33" fillId="0" borderId="0" applyNumberFormat="0" applyAlignment="0">
      <alignment horizontal="left"/>
    </xf>
    <xf numFmtId="0" fontId="34" fillId="0" borderId="0">
      <alignment horizontal="left"/>
    </xf>
    <xf numFmtId="2" fontId="3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38" fontId="36" fillId="48" borderId="0" applyNumberFormat="0" applyBorder="0" applyAlignment="0" applyProtection="0"/>
    <xf numFmtId="38" fontId="23" fillId="48" borderId="0" applyNumberFormat="0" applyBorder="0" applyAlignment="0" applyProtection="0"/>
    <xf numFmtId="0" fontId="37" fillId="0" borderId="0"/>
    <xf numFmtId="0" fontId="38" fillId="0" borderId="10" applyNumberFormat="0" applyAlignment="0" applyProtection="0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10" fontId="36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30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42" fillId="0" borderId="0"/>
    <xf numFmtId="37" fontId="23" fillId="0" borderId="0"/>
    <xf numFmtId="188" fontId="21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2" fillId="0" borderId="0"/>
    <xf numFmtId="0" fontId="23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3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30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4" fontId="34" fillId="0" borderId="0">
      <alignment horizontal="right"/>
    </xf>
    <xf numFmtId="0" fontId="44" fillId="0" borderId="0" applyNumberFormat="0" applyFont="0" applyFill="0" applyBorder="0" applyAlignment="0" applyProtection="0">
      <alignment horizontal="left"/>
    </xf>
    <xf numFmtId="0" fontId="45" fillId="0" borderId="13">
      <alignment horizontal="center"/>
    </xf>
    <xf numFmtId="4" fontId="46" fillId="0" borderId="0">
      <alignment horizontal="right"/>
    </xf>
    <xf numFmtId="30" fontId="47" fillId="0" borderId="0" applyNumberFormat="0" applyFill="0" applyBorder="0" applyAlignment="0" applyProtection="0">
      <alignment horizontal="left"/>
    </xf>
    <xf numFmtId="0" fontId="23" fillId="0" borderId="0"/>
    <xf numFmtId="0" fontId="48" fillId="0" borderId="0">
      <alignment horizontal="left"/>
    </xf>
    <xf numFmtId="0" fontId="23" fillId="0" borderId="0"/>
    <xf numFmtId="0" fontId="49" fillId="0" borderId="0"/>
    <xf numFmtId="40" fontId="50" fillId="0" borderId="0" applyBorder="0">
      <alignment horizontal="right"/>
    </xf>
    <xf numFmtId="49" fontId="29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1" fillId="0" borderId="0">
      <alignment horizontal="center"/>
    </xf>
    <xf numFmtId="0" fontId="31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2" fillId="0" borderId="0"/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196" fontId="22" fillId="0" borderId="0" applyFont="0" applyFill="0" applyBorder="0" applyAlignment="0" applyProtection="0"/>
    <xf numFmtId="197" fontId="3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center"/>
    </xf>
    <xf numFmtId="9" fontId="23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30" fillId="0" borderId="0"/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2" fillId="0" borderId="0" applyFont="0" applyFill="0" applyBorder="0" applyAlignment="0" applyProtection="0"/>
    <xf numFmtId="4" fontId="30" fillId="0" borderId="0" applyFont="0" applyFill="0" applyBorder="0" applyAlignment="0" applyProtection="0"/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69" fillId="0" borderId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/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8" fillId="0" borderId="0"/>
    <xf numFmtId="49" fontId="13" fillId="0" borderId="11" applyBorder="0" applyProtection="0">
      <alignment horizontal="left" vertical="top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93" fontId="91" fillId="0" borderId="0" applyFont="0" applyFill="0" applyBorder="0" applyAlignment="0" applyProtection="0"/>
    <xf numFmtId="198" fontId="91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2" fillId="0" borderId="0" applyFont="0" applyFill="0" applyBorder="0" applyAlignment="0" applyProtection="0"/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7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8" fillId="0" borderId="0">
      <alignment vertical="center"/>
    </xf>
    <xf numFmtId="0" fontId="13" fillId="0" borderId="0"/>
    <xf numFmtId="0" fontId="13" fillId="0" borderId="0"/>
    <xf numFmtId="0" fontId="19" fillId="0" borderId="0">
      <alignment vertical="center"/>
    </xf>
    <xf numFmtId="0" fontId="22" fillId="0" borderId="0"/>
    <xf numFmtId="0" fontId="13" fillId="0" borderId="0">
      <alignment vertical="center"/>
    </xf>
    <xf numFmtId="0" fontId="22" fillId="0" borderId="0"/>
    <xf numFmtId="0" fontId="25" fillId="0" borderId="0">
      <alignment vertical="center"/>
    </xf>
    <xf numFmtId="0" fontId="22" fillId="0" borderId="0"/>
    <xf numFmtId="0" fontId="2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19" fillId="0" borderId="0">
      <alignment vertical="center"/>
    </xf>
    <xf numFmtId="0" fontId="22" fillId="0" borderId="0"/>
    <xf numFmtId="0" fontId="1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9" fillId="0" borderId="28" applyBorder="0"/>
    <xf numFmtId="49" fontId="69" fillId="0" borderId="0"/>
    <xf numFmtId="0" fontId="100" fillId="0" borderId="0"/>
    <xf numFmtId="201" fontId="23" fillId="0" borderId="0"/>
    <xf numFmtId="0" fontId="101" fillId="0" borderId="0">
      <alignment vertical="center"/>
    </xf>
    <xf numFmtId="0" fontId="102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5" fillId="34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50" borderId="0" applyNumberFormat="0" applyBorder="0" applyAlignment="0" applyProtection="0">
      <alignment vertical="center"/>
    </xf>
    <xf numFmtId="0" fontId="107" fillId="51" borderId="0" applyNumberFormat="0" applyBorder="0" applyAlignment="0" applyProtection="0">
      <alignment vertical="center"/>
    </xf>
    <xf numFmtId="0" fontId="107" fillId="5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53" borderId="0" applyNumberFormat="0" applyBorder="0" applyAlignment="0" applyProtection="0">
      <alignment vertical="center"/>
    </xf>
    <xf numFmtId="0" fontId="108" fillId="54" borderId="17" applyNumberFormat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10" fillId="0" borderId="19" applyNumberFormat="0" applyFill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7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8" fillId="38" borderId="0" applyNumberFormat="0" applyBorder="0" applyAlignment="0" applyProtection="0">
      <alignment vertical="center"/>
    </xf>
    <xf numFmtId="0" fontId="117" fillId="57" borderId="0" applyNumberFormat="0" applyBorder="0" applyAlignment="0" applyProtection="0">
      <alignment vertical="center"/>
    </xf>
    <xf numFmtId="0" fontId="118" fillId="39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20" fillId="44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20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20" fillId="47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7" fontId="42" fillId="0" borderId="0"/>
    <xf numFmtId="0" fontId="119" fillId="50" borderId="0" applyNumberFormat="0" applyBorder="0" applyAlignment="0" applyProtection="0">
      <alignment vertical="center"/>
    </xf>
    <xf numFmtId="0" fontId="120" fillId="5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20" fillId="5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3" borderId="0" applyNumberFormat="0" applyBorder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4" borderId="17" applyNumberFormat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24" fillId="55" borderId="0" applyNumberFormat="0" applyBorder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26" fillId="0" borderId="19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35" borderId="0" applyNumberFormat="0" applyBorder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33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34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35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7" fillId="0" borderId="0">
      <alignment vertical="center"/>
    </xf>
    <xf numFmtId="0" fontId="13" fillId="0" borderId="0">
      <alignment vertical="center"/>
    </xf>
    <xf numFmtId="0" fontId="118" fillId="0" borderId="0">
      <alignment vertical="center"/>
    </xf>
    <xf numFmtId="0" fontId="144" fillId="36" borderId="0" applyNumberFormat="0" applyBorder="0" applyAlignment="0" applyProtection="0">
      <alignment vertical="center"/>
    </xf>
    <xf numFmtId="0" fontId="145" fillId="36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9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9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2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6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5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7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8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/>
    <xf numFmtId="14" fontId="150" fillId="0" borderId="0" xfId="496" applyNumberFormat="1" applyFont="1" applyAlignment="1">
      <alignment vertical="center"/>
    </xf>
    <xf numFmtId="49" fontId="150" fillId="0" borderId="0" xfId="496" applyNumberFormat="1" applyFont="1" applyAlignment="1">
      <alignment vertical="center"/>
    </xf>
    <xf numFmtId="0" fontId="150" fillId="0" borderId="0" xfId="496" applyFont="1" applyAlignment="1">
      <alignment vertical="center"/>
    </xf>
    <xf numFmtId="14" fontId="150" fillId="59" borderId="14" xfId="496" applyNumberFormat="1" applyFont="1" applyFill="1" applyBorder="1" applyAlignment="1">
      <alignment horizontal="center" vertical="center"/>
    </xf>
    <xf numFmtId="49" fontId="150" fillId="59" borderId="14" xfId="496" applyNumberFormat="1" applyFont="1" applyFill="1" applyBorder="1" applyAlignment="1">
      <alignment horizontal="center" vertical="center"/>
    </xf>
    <xf numFmtId="14" fontId="150" fillId="0" borderId="14" xfId="496" applyNumberFormat="1" applyFont="1" applyBorder="1" applyAlignment="1">
      <alignment horizontal="center" vertical="center"/>
    </xf>
    <xf numFmtId="49" fontId="150" fillId="0" borderId="14" xfId="496" applyNumberFormat="1" applyFont="1" applyBorder="1" applyAlignment="1">
      <alignment horizontal="center" vertical="center"/>
    </xf>
    <xf numFmtId="49" fontId="150" fillId="0" borderId="14" xfId="496" applyNumberFormat="1" applyFont="1" applyBorder="1" applyAlignment="1">
      <alignment vertical="center"/>
    </xf>
    <xf numFmtId="49" fontId="150" fillId="0" borderId="14" xfId="496" applyNumberFormat="1" applyFont="1" applyBorder="1" applyAlignment="1">
      <alignment vertical="center" wrapText="1"/>
    </xf>
    <xf numFmtId="49" fontId="151" fillId="0" borderId="14" xfId="496" applyNumberFormat="1" applyFont="1" applyBorder="1" applyAlignment="1">
      <alignment vertical="center" wrapText="1"/>
    </xf>
    <xf numFmtId="0" fontId="152" fillId="0" borderId="0" xfId="1" applyFont="1" applyFill="1" applyBorder="1" applyAlignment="1">
      <alignment vertical="center"/>
    </xf>
    <xf numFmtId="0" fontId="150" fillId="0" borderId="0" xfId="1" applyFont="1" applyAlignment="1">
      <alignment vertical="center"/>
    </xf>
    <xf numFmtId="0" fontId="152" fillId="60" borderId="14" xfId="1" applyFont="1" applyFill="1" applyBorder="1" applyAlignment="1">
      <alignment horizontal="center" vertical="center" wrapText="1"/>
    </xf>
    <xf numFmtId="0" fontId="152" fillId="60" borderId="14" xfId="1" applyFont="1" applyFill="1" applyBorder="1" applyAlignment="1">
      <alignment horizontal="center" vertical="center"/>
    </xf>
    <xf numFmtId="0" fontId="150" fillId="0" borderId="0" xfId="1" applyFont="1" applyFill="1" applyBorder="1" applyAlignment="1">
      <alignment vertical="center"/>
    </xf>
    <xf numFmtId="49" fontId="150" fillId="0" borderId="0" xfId="1" applyNumberFormat="1" applyFont="1" applyAlignment="1">
      <alignment vertical="center"/>
    </xf>
    <xf numFmtId="202" fontId="150" fillId="0" borderId="14" xfId="1" applyNumberFormat="1" applyFont="1" applyBorder="1" applyAlignment="1">
      <alignment vertical="center" wrapText="1"/>
    </xf>
    <xf numFmtId="202" fontId="150" fillId="0" borderId="14" xfId="1877" applyNumberFormat="1" applyFont="1" applyBorder="1" applyAlignment="1">
      <alignment vertical="center"/>
    </xf>
    <xf numFmtId="0" fontId="150" fillId="0" borderId="14" xfId="1878" applyFont="1" applyBorder="1" applyAlignment="1">
      <alignment vertical="center"/>
    </xf>
    <xf numFmtId="0" fontId="150" fillId="0" borderId="14" xfId="1877" applyFont="1" applyBorder="1" applyAlignment="1">
      <alignment vertical="center"/>
    </xf>
    <xf numFmtId="202" fontId="150" fillId="0" borderId="0" xfId="1" applyNumberFormat="1" applyFont="1" applyFill="1" applyBorder="1" applyAlignment="1">
      <alignment vertical="center"/>
    </xf>
    <xf numFmtId="0" fontId="150" fillId="0" borderId="0" xfId="1" applyFont="1" applyBorder="1" applyAlignment="1">
      <alignment vertical="center" wrapText="1"/>
    </xf>
    <xf numFmtId="0" fontId="152" fillId="59" borderId="14" xfId="1" applyFont="1" applyFill="1" applyBorder="1" applyAlignment="1">
      <alignment vertical="center"/>
    </xf>
    <xf numFmtId="0" fontId="150" fillId="59" borderId="14" xfId="1" applyFont="1" applyFill="1" applyBorder="1" applyAlignment="1">
      <alignment vertical="center"/>
    </xf>
    <xf numFmtId="0" fontId="150" fillId="59" borderId="14" xfId="1" applyFont="1" applyFill="1" applyBorder="1" applyAlignment="1">
      <alignment vertical="center" wrapText="1"/>
    </xf>
    <xf numFmtId="0" fontId="150" fillId="59" borderId="29" xfId="1" applyFont="1" applyFill="1" applyBorder="1" applyAlignment="1">
      <alignment horizontal="center" vertical="center"/>
    </xf>
    <xf numFmtId="0" fontId="150" fillId="59" borderId="15" xfId="1" applyFont="1" applyFill="1" applyBorder="1" applyAlignment="1">
      <alignment horizontal="center" vertical="center"/>
    </xf>
    <xf numFmtId="0" fontId="150" fillId="59" borderId="30" xfId="1" applyFont="1" applyFill="1" applyBorder="1" applyAlignment="1">
      <alignment horizontal="center" vertical="center"/>
    </xf>
    <xf numFmtId="0" fontId="150" fillId="59" borderId="14" xfId="1" applyFont="1" applyFill="1" applyBorder="1" applyAlignment="1">
      <alignment horizontal="center" vertical="center" wrapText="1"/>
    </xf>
    <xf numFmtId="0" fontId="153" fillId="0" borderId="0" xfId="1878" applyFont="1" applyAlignment="1">
      <alignment vertical="center"/>
    </xf>
    <xf numFmtId="49" fontId="150" fillId="59" borderId="14" xfId="1" applyNumberFormat="1" applyFont="1" applyFill="1" applyBorder="1" applyAlignment="1">
      <alignment horizontal="center" vertical="center"/>
    </xf>
    <xf numFmtId="0" fontId="150" fillId="59" borderId="14" xfId="1" applyFont="1" applyFill="1" applyBorder="1" applyAlignment="1">
      <alignment horizontal="center" vertical="center"/>
    </xf>
    <xf numFmtId="0" fontId="150" fillId="0" borderId="14" xfId="1" applyNumberFormat="1" applyFont="1" applyFill="1" applyBorder="1" applyAlignment="1">
      <alignment vertical="center"/>
    </xf>
    <xf numFmtId="0" fontId="150" fillId="0" borderId="14" xfId="1" applyFont="1" applyFill="1" applyBorder="1" applyAlignment="1">
      <alignment vertical="center" wrapText="1"/>
    </xf>
    <xf numFmtId="0" fontId="150" fillId="0" borderId="14" xfId="927" applyFont="1" applyFill="1" applyBorder="1" applyAlignment="1" applyProtection="1">
      <alignment horizontal="center" vertical="center"/>
    </xf>
    <xf numFmtId="203" fontId="150" fillId="0" borderId="14" xfId="1" applyNumberFormat="1" applyFont="1" applyFill="1" applyBorder="1" applyAlignment="1">
      <alignment horizontal="center" vertical="center"/>
    </xf>
    <xf numFmtId="0" fontId="150" fillId="0" borderId="14" xfId="1" applyFont="1" applyFill="1" applyBorder="1" applyAlignment="1">
      <alignment horizontal="center" vertical="center"/>
    </xf>
    <xf numFmtId="0" fontId="150" fillId="0" borderId="14" xfId="1" applyFont="1" applyFill="1" applyBorder="1" applyAlignment="1">
      <alignment vertical="center"/>
    </xf>
    <xf numFmtId="0" fontId="150" fillId="58" borderId="14" xfId="1" applyFont="1" applyFill="1" applyBorder="1" applyAlignment="1">
      <alignment vertical="center" wrapText="1"/>
    </xf>
    <xf numFmtId="202" fontId="150" fillId="0" borderId="0" xfId="1" applyNumberFormat="1" applyFont="1" applyAlignment="1">
      <alignment vertical="center"/>
    </xf>
    <xf numFmtId="0" fontId="153" fillId="0" borderId="0" xfId="1" applyFont="1" applyAlignment="1">
      <alignment vertical="center"/>
    </xf>
    <xf numFmtId="0" fontId="150" fillId="0" borderId="14" xfId="1" applyFont="1" applyBorder="1" applyAlignment="1">
      <alignment vertical="center"/>
    </xf>
    <xf numFmtId="0" fontId="150" fillId="0" borderId="0" xfId="1" applyFont="1" applyFill="1" applyBorder="1" applyAlignment="1">
      <alignment vertical="center"/>
    </xf>
  </cellXfs>
  <cellStyles count="1882">
    <cellStyle name="_x000a_shell=progma" xfId="3" xr:uid="{00000000-0005-0000-0000-000000000000}"/>
    <cellStyle name="_x000c_" xfId="4" xr:uid="{00000000-0005-0000-0000-000001000000}"/>
    <cellStyle name="_x000c_ 2" xfId="571" xr:uid="{00000000-0005-0000-0000-000002000000}"/>
    <cellStyle name="_x000c_ 3" xfId="893" xr:uid="{00000000-0005-0000-0000-000003000000}"/>
    <cellStyle name="=C:\WINDOWS\SYSTEM32\COMMAND.COM" xfId="5" xr:uid="{00000000-0005-0000-0000-000004000000}"/>
    <cellStyle name="\¦ÏÝÌnCp[N" xfId="6" xr:uid="{00000000-0005-0000-0000-000005000000}"/>
    <cellStyle name="nCp[N" xfId="7" xr:uid="{00000000-0005-0000-0000-000006000000}"/>
    <cellStyle name="W__{_10E§" xfId="8" xr:uid="{00000000-0005-0000-0000-000007000000}"/>
    <cellStyle name="1" xfId="9" xr:uid="{00000000-0005-0000-0000-000008000000}"/>
    <cellStyle name="20% - アクセント 1 2" xfId="10" xr:uid="{00000000-0005-0000-0000-000009000000}"/>
    <cellStyle name="20% - アクセント 1 2 2" xfId="11" xr:uid="{00000000-0005-0000-0000-00000A000000}"/>
    <cellStyle name="20% - アクセント 1 2 3" xfId="577" xr:uid="{00000000-0005-0000-0000-00000B000000}"/>
    <cellStyle name="20% - アクセント 1 3" xfId="12" xr:uid="{00000000-0005-0000-0000-00000C000000}"/>
    <cellStyle name="20% - アクセント 1 3 2" xfId="13" xr:uid="{00000000-0005-0000-0000-00000D000000}"/>
    <cellStyle name="20% - アクセント 1 3 3" xfId="578" xr:uid="{00000000-0005-0000-0000-00000E000000}"/>
    <cellStyle name="20% - アクセント 1 4" xfId="536" xr:uid="{00000000-0005-0000-0000-00000F000000}"/>
    <cellStyle name="20% - アクセント 2 2" xfId="14" xr:uid="{00000000-0005-0000-0000-000010000000}"/>
    <cellStyle name="20% - アクセント 2 2 2" xfId="15" xr:uid="{00000000-0005-0000-0000-000011000000}"/>
    <cellStyle name="20% - アクセント 2 2 3" xfId="579" xr:uid="{00000000-0005-0000-0000-000012000000}"/>
    <cellStyle name="20% - アクセント 2 3" xfId="16" xr:uid="{00000000-0005-0000-0000-000013000000}"/>
    <cellStyle name="20% - アクセント 2 3 2" xfId="17" xr:uid="{00000000-0005-0000-0000-000014000000}"/>
    <cellStyle name="20% - アクセント 2 3 3" xfId="580" xr:uid="{00000000-0005-0000-0000-000015000000}"/>
    <cellStyle name="20% - アクセント 2 4" xfId="537" xr:uid="{00000000-0005-0000-0000-000016000000}"/>
    <cellStyle name="20% - アクセント 3 2" xfId="18" xr:uid="{00000000-0005-0000-0000-000017000000}"/>
    <cellStyle name="20% - アクセント 3 2 2" xfId="19" xr:uid="{00000000-0005-0000-0000-000018000000}"/>
    <cellStyle name="20% - アクセント 3 2 3" xfId="581" xr:uid="{00000000-0005-0000-0000-000019000000}"/>
    <cellStyle name="20% - アクセント 3 3" xfId="20" xr:uid="{00000000-0005-0000-0000-00001A000000}"/>
    <cellStyle name="20% - アクセント 3 3 2" xfId="21" xr:uid="{00000000-0005-0000-0000-00001B000000}"/>
    <cellStyle name="20% - アクセント 3 3 3" xfId="582" xr:uid="{00000000-0005-0000-0000-00001C000000}"/>
    <cellStyle name="20% - アクセント 3 4" xfId="538" xr:uid="{00000000-0005-0000-0000-00001D000000}"/>
    <cellStyle name="20% - アクセント 4 2" xfId="22" xr:uid="{00000000-0005-0000-0000-00001E000000}"/>
    <cellStyle name="20% - アクセント 4 2 2" xfId="23" xr:uid="{00000000-0005-0000-0000-00001F000000}"/>
    <cellStyle name="20% - アクセント 4 2 3" xfId="583" xr:uid="{00000000-0005-0000-0000-000020000000}"/>
    <cellStyle name="20% - アクセント 4 3" xfId="24" xr:uid="{00000000-0005-0000-0000-000021000000}"/>
    <cellStyle name="20% - アクセント 4 3 2" xfId="25" xr:uid="{00000000-0005-0000-0000-000022000000}"/>
    <cellStyle name="20% - アクセント 4 3 3" xfId="584" xr:uid="{00000000-0005-0000-0000-000023000000}"/>
    <cellStyle name="20% - アクセント 4 4" xfId="539" xr:uid="{00000000-0005-0000-0000-000024000000}"/>
    <cellStyle name="20% - アクセント 5 2" xfId="26" xr:uid="{00000000-0005-0000-0000-000025000000}"/>
    <cellStyle name="20% - アクセント 5 2 2" xfId="27" xr:uid="{00000000-0005-0000-0000-000026000000}"/>
    <cellStyle name="20% - アクセント 5 2 3" xfId="585" xr:uid="{00000000-0005-0000-0000-000027000000}"/>
    <cellStyle name="20% - アクセント 5 3" xfId="28" xr:uid="{00000000-0005-0000-0000-000028000000}"/>
    <cellStyle name="20% - アクセント 5 3 2" xfId="29" xr:uid="{00000000-0005-0000-0000-000029000000}"/>
    <cellStyle name="20% - アクセント 5 3 3" xfId="586" xr:uid="{00000000-0005-0000-0000-00002A000000}"/>
    <cellStyle name="20% - アクセント 5 4" xfId="540" xr:uid="{00000000-0005-0000-0000-00002B000000}"/>
    <cellStyle name="20% - アクセント 6 2" xfId="30" xr:uid="{00000000-0005-0000-0000-00002C000000}"/>
    <cellStyle name="20% - アクセント 6 2 2" xfId="31" xr:uid="{00000000-0005-0000-0000-00002D000000}"/>
    <cellStyle name="20% - アクセント 6 2 3" xfId="587" xr:uid="{00000000-0005-0000-0000-00002E000000}"/>
    <cellStyle name="20% - アクセント 6 3" xfId="32" xr:uid="{00000000-0005-0000-0000-00002F000000}"/>
    <cellStyle name="20% - アクセント 6 3 2" xfId="33" xr:uid="{00000000-0005-0000-0000-000030000000}"/>
    <cellStyle name="20% - アクセント 6 3 3" xfId="588" xr:uid="{00000000-0005-0000-0000-000031000000}"/>
    <cellStyle name="20% - アクセント 6 4" xfId="541" xr:uid="{00000000-0005-0000-0000-000032000000}"/>
    <cellStyle name="40% - アクセント 1 2" xfId="34" xr:uid="{00000000-0005-0000-0000-000033000000}"/>
    <cellStyle name="40% - アクセント 1 2 2" xfId="35" xr:uid="{00000000-0005-0000-0000-000034000000}"/>
    <cellStyle name="40% - アクセント 1 2 3" xfId="589" xr:uid="{00000000-0005-0000-0000-000035000000}"/>
    <cellStyle name="40% - アクセント 1 3" xfId="36" xr:uid="{00000000-0005-0000-0000-000036000000}"/>
    <cellStyle name="40% - アクセント 1 3 2" xfId="37" xr:uid="{00000000-0005-0000-0000-000037000000}"/>
    <cellStyle name="40% - アクセント 1 3 3" xfId="590" xr:uid="{00000000-0005-0000-0000-000038000000}"/>
    <cellStyle name="40% - アクセント 1 4" xfId="542" xr:uid="{00000000-0005-0000-0000-000039000000}"/>
    <cellStyle name="40% - アクセント 2 2" xfId="38" xr:uid="{00000000-0005-0000-0000-00003A000000}"/>
    <cellStyle name="40% - アクセント 2 2 2" xfId="39" xr:uid="{00000000-0005-0000-0000-00003B000000}"/>
    <cellStyle name="40% - アクセント 2 2 3" xfId="591" xr:uid="{00000000-0005-0000-0000-00003C000000}"/>
    <cellStyle name="40% - アクセント 2 3" xfId="40" xr:uid="{00000000-0005-0000-0000-00003D000000}"/>
    <cellStyle name="40% - アクセント 2 3 2" xfId="41" xr:uid="{00000000-0005-0000-0000-00003E000000}"/>
    <cellStyle name="40% - アクセント 2 3 3" xfId="592" xr:uid="{00000000-0005-0000-0000-00003F000000}"/>
    <cellStyle name="40% - アクセント 2 4" xfId="543" xr:uid="{00000000-0005-0000-0000-000040000000}"/>
    <cellStyle name="40% - アクセント 3 2" xfId="42" xr:uid="{00000000-0005-0000-0000-000041000000}"/>
    <cellStyle name="40% - アクセント 3 2 2" xfId="43" xr:uid="{00000000-0005-0000-0000-000042000000}"/>
    <cellStyle name="40% - アクセント 3 2 3" xfId="593" xr:uid="{00000000-0005-0000-0000-000043000000}"/>
    <cellStyle name="40% - アクセント 3 3" xfId="44" xr:uid="{00000000-0005-0000-0000-000044000000}"/>
    <cellStyle name="40% - アクセント 3 3 2" xfId="45" xr:uid="{00000000-0005-0000-0000-000045000000}"/>
    <cellStyle name="40% - アクセント 3 3 3" xfId="594" xr:uid="{00000000-0005-0000-0000-000046000000}"/>
    <cellStyle name="40% - アクセント 3 4" xfId="544" xr:uid="{00000000-0005-0000-0000-000047000000}"/>
    <cellStyle name="40% - アクセント 4 2" xfId="46" xr:uid="{00000000-0005-0000-0000-000048000000}"/>
    <cellStyle name="40% - アクセント 4 2 2" xfId="47" xr:uid="{00000000-0005-0000-0000-000049000000}"/>
    <cellStyle name="40% - アクセント 4 2 3" xfId="595" xr:uid="{00000000-0005-0000-0000-00004A000000}"/>
    <cellStyle name="40% - アクセント 4 3" xfId="48" xr:uid="{00000000-0005-0000-0000-00004B000000}"/>
    <cellStyle name="40% - アクセント 4 3 2" xfId="49" xr:uid="{00000000-0005-0000-0000-00004C000000}"/>
    <cellStyle name="40% - アクセント 4 3 3" xfId="596" xr:uid="{00000000-0005-0000-0000-00004D000000}"/>
    <cellStyle name="40% - アクセント 4 4" xfId="545" xr:uid="{00000000-0005-0000-0000-00004E000000}"/>
    <cellStyle name="40% - アクセント 5 2" xfId="50" xr:uid="{00000000-0005-0000-0000-00004F000000}"/>
    <cellStyle name="40% - アクセント 5 2 2" xfId="51" xr:uid="{00000000-0005-0000-0000-000050000000}"/>
    <cellStyle name="40% - アクセント 5 2 3" xfId="597" xr:uid="{00000000-0005-0000-0000-000051000000}"/>
    <cellStyle name="40% - アクセント 5 3" xfId="52" xr:uid="{00000000-0005-0000-0000-000052000000}"/>
    <cellStyle name="40% - アクセント 5 3 2" xfId="53" xr:uid="{00000000-0005-0000-0000-000053000000}"/>
    <cellStyle name="40% - アクセント 5 3 3" xfId="598" xr:uid="{00000000-0005-0000-0000-000054000000}"/>
    <cellStyle name="40% - アクセント 5 4" xfId="546" xr:uid="{00000000-0005-0000-0000-000055000000}"/>
    <cellStyle name="40% - アクセント 6 2" xfId="54" xr:uid="{00000000-0005-0000-0000-000056000000}"/>
    <cellStyle name="40% - アクセント 6 2 2" xfId="55" xr:uid="{00000000-0005-0000-0000-000057000000}"/>
    <cellStyle name="40% - アクセント 6 2 3" xfId="599" xr:uid="{00000000-0005-0000-0000-000058000000}"/>
    <cellStyle name="40% - アクセント 6 3" xfId="56" xr:uid="{00000000-0005-0000-0000-000059000000}"/>
    <cellStyle name="40% - アクセント 6 3 2" xfId="57" xr:uid="{00000000-0005-0000-0000-00005A000000}"/>
    <cellStyle name="40% - アクセント 6 3 3" xfId="600" xr:uid="{00000000-0005-0000-0000-00005B000000}"/>
    <cellStyle name="40% - アクセント 6 4" xfId="547" xr:uid="{00000000-0005-0000-0000-00005C000000}"/>
    <cellStyle name="60% - アクセント 1 2" xfId="58" xr:uid="{00000000-0005-0000-0000-00005D000000}"/>
    <cellStyle name="60% - アクセント 1 2 2" xfId="59" xr:uid="{00000000-0005-0000-0000-00005E000000}"/>
    <cellStyle name="60% - アクセント 1 2 3" xfId="601" xr:uid="{00000000-0005-0000-0000-00005F000000}"/>
    <cellStyle name="60% - アクセント 1 3" xfId="60" xr:uid="{00000000-0005-0000-0000-000060000000}"/>
    <cellStyle name="60% - アクセント 1 3 2" xfId="61" xr:uid="{00000000-0005-0000-0000-000061000000}"/>
    <cellStyle name="60% - アクセント 1 3 3" xfId="602" xr:uid="{00000000-0005-0000-0000-000062000000}"/>
    <cellStyle name="60% - アクセント 1 4" xfId="548" xr:uid="{00000000-0005-0000-0000-000063000000}"/>
    <cellStyle name="60% - アクセント 2 2" xfId="62" xr:uid="{00000000-0005-0000-0000-000064000000}"/>
    <cellStyle name="60% - アクセント 2 2 2" xfId="63" xr:uid="{00000000-0005-0000-0000-000065000000}"/>
    <cellStyle name="60% - アクセント 2 2 3" xfId="603" xr:uid="{00000000-0005-0000-0000-000066000000}"/>
    <cellStyle name="60% - アクセント 2 3" xfId="64" xr:uid="{00000000-0005-0000-0000-000067000000}"/>
    <cellStyle name="60% - アクセント 2 3 2" xfId="65" xr:uid="{00000000-0005-0000-0000-000068000000}"/>
    <cellStyle name="60% - アクセント 2 3 3" xfId="604" xr:uid="{00000000-0005-0000-0000-000069000000}"/>
    <cellStyle name="60% - アクセント 2 4" xfId="549" xr:uid="{00000000-0005-0000-0000-00006A000000}"/>
    <cellStyle name="60% - アクセント 3 2" xfId="66" xr:uid="{00000000-0005-0000-0000-00006B000000}"/>
    <cellStyle name="60% - アクセント 3 2 2" xfId="67" xr:uid="{00000000-0005-0000-0000-00006C000000}"/>
    <cellStyle name="60% - アクセント 3 2 3" xfId="605" xr:uid="{00000000-0005-0000-0000-00006D000000}"/>
    <cellStyle name="60% - アクセント 3 3" xfId="68" xr:uid="{00000000-0005-0000-0000-00006E000000}"/>
    <cellStyle name="60% - アクセント 3 3 2" xfId="69" xr:uid="{00000000-0005-0000-0000-00006F000000}"/>
    <cellStyle name="60% - アクセント 3 3 3" xfId="606" xr:uid="{00000000-0005-0000-0000-000070000000}"/>
    <cellStyle name="60% - アクセント 3 4" xfId="550" xr:uid="{00000000-0005-0000-0000-000071000000}"/>
    <cellStyle name="60% - アクセント 4 2" xfId="70" xr:uid="{00000000-0005-0000-0000-000072000000}"/>
    <cellStyle name="60% - アクセント 4 2 2" xfId="71" xr:uid="{00000000-0005-0000-0000-000073000000}"/>
    <cellStyle name="60% - アクセント 4 2 3" xfId="607" xr:uid="{00000000-0005-0000-0000-000074000000}"/>
    <cellStyle name="60% - アクセント 4 3" xfId="72" xr:uid="{00000000-0005-0000-0000-000075000000}"/>
    <cellStyle name="60% - アクセント 4 3 2" xfId="73" xr:uid="{00000000-0005-0000-0000-000076000000}"/>
    <cellStyle name="60% - アクセント 4 3 3" xfId="608" xr:uid="{00000000-0005-0000-0000-000077000000}"/>
    <cellStyle name="60% - アクセント 4 4" xfId="551" xr:uid="{00000000-0005-0000-0000-000078000000}"/>
    <cellStyle name="60% - アクセント 5 2" xfId="74" xr:uid="{00000000-0005-0000-0000-000079000000}"/>
    <cellStyle name="60% - アクセント 5 2 2" xfId="75" xr:uid="{00000000-0005-0000-0000-00007A000000}"/>
    <cellStyle name="60% - アクセント 5 2 3" xfId="609" xr:uid="{00000000-0005-0000-0000-00007B000000}"/>
    <cellStyle name="60% - アクセント 5 3" xfId="76" xr:uid="{00000000-0005-0000-0000-00007C000000}"/>
    <cellStyle name="60% - アクセント 5 3 2" xfId="77" xr:uid="{00000000-0005-0000-0000-00007D000000}"/>
    <cellStyle name="60% - アクセント 5 3 3" xfId="610" xr:uid="{00000000-0005-0000-0000-00007E000000}"/>
    <cellStyle name="60% - アクセント 5 4" xfId="552" xr:uid="{00000000-0005-0000-0000-00007F000000}"/>
    <cellStyle name="60% - アクセント 6 2" xfId="78" xr:uid="{00000000-0005-0000-0000-000080000000}"/>
    <cellStyle name="60% - アクセント 6 2 2" xfId="79" xr:uid="{00000000-0005-0000-0000-000081000000}"/>
    <cellStyle name="60% - アクセント 6 2 3" xfId="611" xr:uid="{00000000-0005-0000-0000-000082000000}"/>
    <cellStyle name="60% - アクセント 6 3" xfId="80" xr:uid="{00000000-0005-0000-0000-000083000000}"/>
    <cellStyle name="60% - アクセント 6 3 2" xfId="81" xr:uid="{00000000-0005-0000-0000-000084000000}"/>
    <cellStyle name="60% - アクセント 6 3 3" xfId="612" xr:uid="{00000000-0005-0000-0000-000085000000}"/>
    <cellStyle name="60% - アクセント 6 4" xfId="553" xr:uid="{00000000-0005-0000-0000-000086000000}"/>
    <cellStyle name="Calc Currency (0)" xfId="82" xr:uid="{00000000-0005-0000-0000-000087000000}"/>
    <cellStyle name="Calc Currency (2)" xfId="83" xr:uid="{00000000-0005-0000-0000-000088000000}"/>
    <cellStyle name="Calc Percent (0)" xfId="84" xr:uid="{00000000-0005-0000-0000-000089000000}"/>
    <cellStyle name="Calc Percent (1)" xfId="85" xr:uid="{00000000-0005-0000-0000-00008A000000}"/>
    <cellStyle name="Calc Percent (1) 2" xfId="86" xr:uid="{00000000-0005-0000-0000-00008B000000}"/>
    <cellStyle name="Calc Percent (2)" xfId="87" xr:uid="{00000000-0005-0000-0000-00008C000000}"/>
    <cellStyle name="Calc Percent (2) 2" xfId="88" xr:uid="{00000000-0005-0000-0000-00008D000000}"/>
    <cellStyle name="Calc Units (0)" xfId="89" xr:uid="{00000000-0005-0000-0000-00008E000000}"/>
    <cellStyle name="Calc Units (0) 2" xfId="90" xr:uid="{00000000-0005-0000-0000-00008F000000}"/>
    <cellStyle name="Calc Units (1)" xfId="91" xr:uid="{00000000-0005-0000-0000-000090000000}"/>
    <cellStyle name="Calc Units (2)" xfId="92" xr:uid="{00000000-0005-0000-0000-000091000000}"/>
    <cellStyle name="Comma [0]_#6 Temps &amp; Contractors" xfId="93" xr:uid="{00000000-0005-0000-0000-000092000000}"/>
    <cellStyle name="Comma [00]" xfId="94" xr:uid="{00000000-0005-0000-0000-000093000000}"/>
    <cellStyle name="Comma [00] 2" xfId="95" xr:uid="{00000000-0005-0000-0000-000094000000}"/>
    <cellStyle name="Comma_#6 Temps &amp; Contractors" xfId="96" xr:uid="{00000000-0005-0000-0000-000095000000}"/>
    <cellStyle name="Comma0" xfId="97" xr:uid="{00000000-0005-0000-0000-000096000000}"/>
    <cellStyle name="Copied" xfId="98" xr:uid="{00000000-0005-0000-0000-000097000000}"/>
    <cellStyle name="Currency [0]_#6 Temps &amp; Contractors" xfId="99" xr:uid="{00000000-0005-0000-0000-000098000000}"/>
    <cellStyle name="Currency [00]" xfId="100" xr:uid="{00000000-0005-0000-0000-000099000000}"/>
    <cellStyle name="Currency_#6 Temps &amp; Contractors" xfId="101" xr:uid="{00000000-0005-0000-0000-00009A000000}"/>
    <cellStyle name="Currency0" xfId="102" xr:uid="{00000000-0005-0000-0000-00009B000000}"/>
    <cellStyle name="custom" xfId="103" xr:uid="{00000000-0005-0000-0000-00009C000000}"/>
    <cellStyle name="custom 2" xfId="104" xr:uid="{00000000-0005-0000-0000-00009D000000}"/>
    <cellStyle name="Date" xfId="105" xr:uid="{00000000-0005-0000-0000-00009E000000}"/>
    <cellStyle name="Date Short" xfId="106" xr:uid="{00000000-0005-0000-0000-00009F000000}"/>
    <cellStyle name="Enter Currency (0)" xfId="107" xr:uid="{00000000-0005-0000-0000-0000A0000000}"/>
    <cellStyle name="Enter Currency (0) 2" xfId="108" xr:uid="{00000000-0005-0000-0000-0000A1000000}"/>
    <cellStyle name="Enter Currency (2)" xfId="109" xr:uid="{00000000-0005-0000-0000-0000A2000000}"/>
    <cellStyle name="Enter Units (0)" xfId="110" xr:uid="{00000000-0005-0000-0000-0000A3000000}"/>
    <cellStyle name="Enter Units (0) 2" xfId="111" xr:uid="{00000000-0005-0000-0000-0000A4000000}"/>
    <cellStyle name="Enter Units (1)" xfId="112" xr:uid="{00000000-0005-0000-0000-0000A5000000}"/>
    <cellStyle name="Enter Units (2)" xfId="113" xr:uid="{00000000-0005-0000-0000-0000A6000000}"/>
    <cellStyle name="Entered" xfId="114" xr:uid="{00000000-0005-0000-0000-0000A7000000}"/>
    <cellStyle name="entry" xfId="115" xr:uid="{00000000-0005-0000-0000-0000A8000000}"/>
    <cellStyle name="Fixed" xfId="116" xr:uid="{00000000-0005-0000-0000-0000A9000000}"/>
    <cellStyle name="Followed Hyperlink" xfId="117" xr:uid="{00000000-0005-0000-0000-0000AA000000}"/>
    <cellStyle name="Grey" xfId="118" xr:uid="{00000000-0005-0000-0000-0000AB000000}"/>
    <cellStyle name="Grey 2" xfId="119" xr:uid="{00000000-0005-0000-0000-0000AC000000}"/>
    <cellStyle name="header" xfId="120" xr:uid="{00000000-0005-0000-0000-0000AD000000}"/>
    <cellStyle name="Header1" xfId="121" xr:uid="{00000000-0005-0000-0000-0000AE000000}"/>
    <cellStyle name="Header2" xfId="122" xr:uid="{00000000-0005-0000-0000-0000AF000000}"/>
    <cellStyle name="Header2 2" xfId="123" xr:uid="{00000000-0005-0000-0000-0000B0000000}"/>
    <cellStyle name="Header2 2 2" xfId="124" xr:uid="{00000000-0005-0000-0000-0000B1000000}"/>
    <cellStyle name="Header2 2 2 2" xfId="125" xr:uid="{00000000-0005-0000-0000-0000B2000000}"/>
    <cellStyle name="Header2 2 2 2 2" xfId="126" xr:uid="{00000000-0005-0000-0000-0000B3000000}"/>
    <cellStyle name="Header2 2 2 2 2 2" xfId="739" xr:uid="{00000000-0005-0000-0000-0000B4000000}"/>
    <cellStyle name="Header2 2 2 2 2 2 2" xfId="1437" xr:uid="{00000000-0005-0000-0000-0000B5000000}"/>
    <cellStyle name="Header2 2 2 2 2 3" xfId="1295" xr:uid="{00000000-0005-0000-0000-0000B6000000}"/>
    <cellStyle name="Header2 2 2 2 3" xfId="127" xr:uid="{00000000-0005-0000-0000-0000B7000000}"/>
    <cellStyle name="Header2 2 2 2 3 2" xfId="740" xr:uid="{00000000-0005-0000-0000-0000B8000000}"/>
    <cellStyle name="Header2 2 2 2 3 2 2" xfId="1438" xr:uid="{00000000-0005-0000-0000-0000B9000000}"/>
    <cellStyle name="Header2 2 2 2 3 3" xfId="1296" xr:uid="{00000000-0005-0000-0000-0000BA000000}"/>
    <cellStyle name="Header2 2 2 2 4" xfId="128" xr:uid="{00000000-0005-0000-0000-0000BB000000}"/>
    <cellStyle name="Header2 2 2 2 4 2" xfId="741" xr:uid="{00000000-0005-0000-0000-0000BC000000}"/>
    <cellStyle name="Header2 2 2 2 4 2 2" xfId="1439" xr:uid="{00000000-0005-0000-0000-0000BD000000}"/>
    <cellStyle name="Header2 2 2 2 4 3" xfId="1297" xr:uid="{00000000-0005-0000-0000-0000BE000000}"/>
    <cellStyle name="Header2 2 2 2 5" xfId="613" xr:uid="{00000000-0005-0000-0000-0000BF000000}"/>
    <cellStyle name="Header2 2 2 2 5 2" xfId="742" xr:uid="{00000000-0005-0000-0000-0000C0000000}"/>
    <cellStyle name="Header2 2 2 2 5 2 2" xfId="1440" xr:uid="{00000000-0005-0000-0000-0000C1000000}"/>
    <cellStyle name="Header2 2 2 2 5 3" xfId="1375" xr:uid="{00000000-0005-0000-0000-0000C2000000}"/>
    <cellStyle name="Header2 2 2 2 6" xfId="728" xr:uid="{00000000-0005-0000-0000-0000C3000000}"/>
    <cellStyle name="Header2 2 2 2 6 2" xfId="1430" xr:uid="{00000000-0005-0000-0000-0000C4000000}"/>
    <cellStyle name="Header2 2 2 2 7" xfId="1294" xr:uid="{00000000-0005-0000-0000-0000C5000000}"/>
    <cellStyle name="Header2 2 2 3" xfId="614" xr:uid="{00000000-0005-0000-0000-0000C6000000}"/>
    <cellStyle name="Header2 2 2 3 2" xfId="743" xr:uid="{00000000-0005-0000-0000-0000C7000000}"/>
    <cellStyle name="Header2 2 2 3 2 2" xfId="1441" xr:uid="{00000000-0005-0000-0000-0000C8000000}"/>
    <cellStyle name="Header2 2 2 3 3" xfId="1376" xr:uid="{00000000-0005-0000-0000-0000C9000000}"/>
    <cellStyle name="Header2 2 2 4" xfId="709" xr:uid="{00000000-0005-0000-0000-0000CA000000}"/>
    <cellStyle name="Header2 2 2 4 2" xfId="1415" xr:uid="{00000000-0005-0000-0000-0000CB000000}"/>
    <cellStyle name="Header2 2 2 5" xfId="1293" xr:uid="{00000000-0005-0000-0000-0000CC000000}"/>
    <cellStyle name="Header2 2 3" xfId="129" xr:uid="{00000000-0005-0000-0000-0000CD000000}"/>
    <cellStyle name="Header2 2 3 2" xfId="130" xr:uid="{00000000-0005-0000-0000-0000CE000000}"/>
    <cellStyle name="Header2 2 3 2 2" xfId="744" xr:uid="{00000000-0005-0000-0000-0000CF000000}"/>
    <cellStyle name="Header2 2 3 2 2 2" xfId="1442" xr:uid="{00000000-0005-0000-0000-0000D0000000}"/>
    <cellStyle name="Header2 2 3 2 3" xfId="1299" xr:uid="{00000000-0005-0000-0000-0000D1000000}"/>
    <cellStyle name="Header2 2 3 3" xfId="131" xr:uid="{00000000-0005-0000-0000-0000D2000000}"/>
    <cellStyle name="Header2 2 3 3 2" xfId="745" xr:uid="{00000000-0005-0000-0000-0000D3000000}"/>
    <cellStyle name="Header2 2 3 3 2 2" xfId="1443" xr:uid="{00000000-0005-0000-0000-0000D4000000}"/>
    <cellStyle name="Header2 2 3 3 3" xfId="1300" xr:uid="{00000000-0005-0000-0000-0000D5000000}"/>
    <cellStyle name="Header2 2 3 4" xfId="132" xr:uid="{00000000-0005-0000-0000-0000D6000000}"/>
    <cellStyle name="Header2 2 3 4 2" xfId="746" xr:uid="{00000000-0005-0000-0000-0000D7000000}"/>
    <cellStyle name="Header2 2 3 4 2 2" xfId="1444" xr:uid="{00000000-0005-0000-0000-0000D8000000}"/>
    <cellStyle name="Header2 2 3 4 3" xfId="1301" xr:uid="{00000000-0005-0000-0000-0000D9000000}"/>
    <cellStyle name="Header2 2 3 5" xfId="615" xr:uid="{00000000-0005-0000-0000-0000DA000000}"/>
    <cellStyle name="Header2 2 3 5 2" xfId="747" xr:uid="{00000000-0005-0000-0000-0000DB000000}"/>
    <cellStyle name="Header2 2 3 5 2 2" xfId="1445" xr:uid="{00000000-0005-0000-0000-0000DC000000}"/>
    <cellStyle name="Header2 2 3 5 3" xfId="1377" xr:uid="{00000000-0005-0000-0000-0000DD000000}"/>
    <cellStyle name="Header2 2 3 6" xfId="725" xr:uid="{00000000-0005-0000-0000-0000DE000000}"/>
    <cellStyle name="Header2 2 3 6 2" xfId="1427" xr:uid="{00000000-0005-0000-0000-0000DF000000}"/>
    <cellStyle name="Header2 2 3 7" xfId="1298" xr:uid="{00000000-0005-0000-0000-0000E0000000}"/>
    <cellStyle name="Header2 2 4" xfId="616" xr:uid="{00000000-0005-0000-0000-0000E1000000}"/>
    <cellStyle name="Header2 2 4 2" xfId="748" xr:uid="{00000000-0005-0000-0000-0000E2000000}"/>
    <cellStyle name="Header2 2 4 2 2" xfId="1446" xr:uid="{00000000-0005-0000-0000-0000E3000000}"/>
    <cellStyle name="Header2 2 4 3" xfId="1378" xr:uid="{00000000-0005-0000-0000-0000E4000000}"/>
    <cellStyle name="Header2 2 5" xfId="722" xr:uid="{00000000-0005-0000-0000-0000E5000000}"/>
    <cellStyle name="Header2 2 5 2" xfId="1424" xr:uid="{00000000-0005-0000-0000-0000E6000000}"/>
    <cellStyle name="Header2 2 6" xfId="1292" xr:uid="{00000000-0005-0000-0000-0000E7000000}"/>
    <cellStyle name="Header2 3" xfId="133" xr:uid="{00000000-0005-0000-0000-0000E8000000}"/>
    <cellStyle name="Header2 3 2" xfId="134" xr:uid="{00000000-0005-0000-0000-0000E9000000}"/>
    <cellStyle name="Header2 3 2 2" xfId="135" xr:uid="{00000000-0005-0000-0000-0000EA000000}"/>
    <cellStyle name="Header2 3 2 2 2" xfId="749" xr:uid="{00000000-0005-0000-0000-0000EB000000}"/>
    <cellStyle name="Header2 3 2 2 2 2" xfId="1447" xr:uid="{00000000-0005-0000-0000-0000EC000000}"/>
    <cellStyle name="Header2 3 2 2 3" xfId="1304" xr:uid="{00000000-0005-0000-0000-0000ED000000}"/>
    <cellStyle name="Header2 3 2 3" xfId="136" xr:uid="{00000000-0005-0000-0000-0000EE000000}"/>
    <cellStyle name="Header2 3 2 3 2" xfId="750" xr:uid="{00000000-0005-0000-0000-0000EF000000}"/>
    <cellStyle name="Header2 3 2 3 2 2" xfId="1448" xr:uid="{00000000-0005-0000-0000-0000F0000000}"/>
    <cellStyle name="Header2 3 2 3 3" xfId="1305" xr:uid="{00000000-0005-0000-0000-0000F1000000}"/>
    <cellStyle name="Header2 3 2 4" xfId="137" xr:uid="{00000000-0005-0000-0000-0000F2000000}"/>
    <cellStyle name="Header2 3 2 4 2" xfId="751" xr:uid="{00000000-0005-0000-0000-0000F3000000}"/>
    <cellStyle name="Header2 3 2 4 2 2" xfId="1449" xr:uid="{00000000-0005-0000-0000-0000F4000000}"/>
    <cellStyle name="Header2 3 2 4 3" xfId="1306" xr:uid="{00000000-0005-0000-0000-0000F5000000}"/>
    <cellStyle name="Header2 3 2 5" xfId="617" xr:uid="{00000000-0005-0000-0000-0000F6000000}"/>
    <cellStyle name="Header2 3 2 5 2" xfId="752" xr:uid="{00000000-0005-0000-0000-0000F7000000}"/>
    <cellStyle name="Header2 3 2 5 2 2" xfId="1450" xr:uid="{00000000-0005-0000-0000-0000F8000000}"/>
    <cellStyle name="Header2 3 2 5 3" xfId="1379" xr:uid="{00000000-0005-0000-0000-0000F9000000}"/>
    <cellStyle name="Header2 3 2 6" xfId="729" xr:uid="{00000000-0005-0000-0000-0000FA000000}"/>
    <cellStyle name="Header2 3 2 6 2" xfId="1431" xr:uid="{00000000-0005-0000-0000-0000FB000000}"/>
    <cellStyle name="Header2 3 2 7" xfId="1303" xr:uid="{00000000-0005-0000-0000-0000FC000000}"/>
    <cellStyle name="Header2 3 3" xfId="618" xr:uid="{00000000-0005-0000-0000-0000FD000000}"/>
    <cellStyle name="Header2 3 3 2" xfId="753" xr:uid="{00000000-0005-0000-0000-0000FE000000}"/>
    <cellStyle name="Header2 3 3 2 2" xfId="1451" xr:uid="{00000000-0005-0000-0000-0000FF000000}"/>
    <cellStyle name="Header2 3 3 3" xfId="1380" xr:uid="{00000000-0005-0000-0000-000000010000}"/>
    <cellStyle name="Header2 3 4" xfId="719" xr:uid="{00000000-0005-0000-0000-000001010000}"/>
    <cellStyle name="Header2 3 4 2" xfId="1421" xr:uid="{00000000-0005-0000-0000-000002010000}"/>
    <cellStyle name="Header2 3 5" xfId="1302" xr:uid="{00000000-0005-0000-0000-000003010000}"/>
    <cellStyle name="Header2 4" xfId="138" xr:uid="{00000000-0005-0000-0000-000004010000}"/>
    <cellStyle name="Header2 4 2" xfId="139" xr:uid="{00000000-0005-0000-0000-000005010000}"/>
    <cellStyle name="Header2 4 2 2" xfId="140" xr:uid="{00000000-0005-0000-0000-000006010000}"/>
    <cellStyle name="Header2 4 2 2 2" xfId="754" xr:uid="{00000000-0005-0000-0000-000007010000}"/>
    <cellStyle name="Header2 4 2 2 2 2" xfId="1452" xr:uid="{00000000-0005-0000-0000-000008010000}"/>
    <cellStyle name="Header2 4 2 2 3" xfId="1309" xr:uid="{00000000-0005-0000-0000-000009010000}"/>
    <cellStyle name="Header2 4 2 3" xfId="141" xr:uid="{00000000-0005-0000-0000-00000A010000}"/>
    <cellStyle name="Header2 4 2 3 2" xfId="755" xr:uid="{00000000-0005-0000-0000-00000B010000}"/>
    <cellStyle name="Header2 4 2 3 2 2" xfId="1453" xr:uid="{00000000-0005-0000-0000-00000C010000}"/>
    <cellStyle name="Header2 4 2 3 3" xfId="1310" xr:uid="{00000000-0005-0000-0000-00000D010000}"/>
    <cellStyle name="Header2 4 2 4" xfId="142" xr:uid="{00000000-0005-0000-0000-00000E010000}"/>
    <cellStyle name="Header2 4 2 4 2" xfId="756" xr:uid="{00000000-0005-0000-0000-00000F010000}"/>
    <cellStyle name="Header2 4 2 4 2 2" xfId="1454" xr:uid="{00000000-0005-0000-0000-000010010000}"/>
    <cellStyle name="Header2 4 2 4 3" xfId="1311" xr:uid="{00000000-0005-0000-0000-000011010000}"/>
    <cellStyle name="Header2 4 2 5" xfId="619" xr:uid="{00000000-0005-0000-0000-000012010000}"/>
    <cellStyle name="Header2 4 2 5 2" xfId="757" xr:uid="{00000000-0005-0000-0000-000013010000}"/>
    <cellStyle name="Header2 4 2 5 2 2" xfId="1455" xr:uid="{00000000-0005-0000-0000-000014010000}"/>
    <cellStyle name="Header2 4 2 5 3" xfId="1381" xr:uid="{00000000-0005-0000-0000-000015010000}"/>
    <cellStyle name="Header2 4 2 6" xfId="730" xr:uid="{00000000-0005-0000-0000-000016010000}"/>
    <cellStyle name="Header2 4 2 6 2" xfId="1432" xr:uid="{00000000-0005-0000-0000-000017010000}"/>
    <cellStyle name="Header2 4 2 7" xfId="1308" xr:uid="{00000000-0005-0000-0000-000018010000}"/>
    <cellStyle name="Header2 4 3" xfId="620" xr:uid="{00000000-0005-0000-0000-000019010000}"/>
    <cellStyle name="Header2 4 3 2" xfId="758" xr:uid="{00000000-0005-0000-0000-00001A010000}"/>
    <cellStyle name="Header2 4 3 2 2" xfId="1456" xr:uid="{00000000-0005-0000-0000-00001B010000}"/>
    <cellStyle name="Header2 4 3 3" xfId="1382" xr:uid="{00000000-0005-0000-0000-00001C010000}"/>
    <cellStyle name="Header2 4 4" xfId="720" xr:uid="{00000000-0005-0000-0000-00001D010000}"/>
    <cellStyle name="Header2 4 4 2" xfId="1422" xr:uid="{00000000-0005-0000-0000-00001E010000}"/>
    <cellStyle name="Header2 4 5" xfId="1307" xr:uid="{00000000-0005-0000-0000-00001F010000}"/>
    <cellStyle name="Header2 5" xfId="143" xr:uid="{00000000-0005-0000-0000-000020010000}"/>
    <cellStyle name="Header2 5 2" xfId="144" xr:uid="{00000000-0005-0000-0000-000021010000}"/>
    <cellStyle name="Header2 5 2 2" xfId="759" xr:uid="{00000000-0005-0000-0000-000022010000}"/>
    <cellStyle name="Header2 5 2 2 2" xfId="1457" xr:uid="{00000000-0005-0000-0000-000023010000}"/>
    <cellStyle name="Header2 5 2 3" xfId="1313" xr:uid="{00000000-0005-0000-0000-000024010000}"/>
    <cellStyle name="Header2 5 3" xfId="145" xr:uid="{00000000-0005-0000-0000-000025010000}"/>
    <cellStyle name="Header2 5 3 2" xfId="760" xr:uid="{00000000-0005-0000-0000-000026010000}"/>
    <cellStyle name="Header2 5 3 2 2" xfId="1458" xr:uid="{00000000-0005-0000-0000-000027010000}"/>
    <cellStyle name="Header2 5 3 3" xfId="1314" xr:uid="{00000000-0005-0000-0000-000028010000}"/>
    <cellStyle name="Header2 5 4" xfId="146" xr:uid="{00000000-0005-0000-0000-000029010000}"/>
    <cellStyle name="Header2 5 4 2" xfId="761" xr:uid="{00000000-0005-0000-0000-00002A010000}"/>
    <cellStyle name="Header2 5 4 2 2" xfId="1459" xr:uid="{00000000-0005-0000-0000-00002B010000}"/>
    <cellStyle name="Header2 5 4 3" xfId="1315" xr:uid="{00000000-0005-0000-0000-00002C010000}"/>
    <cellStyle name="Header2 5 5" xfId="621" xr:uid="{00000000-0005-0000-0000-00002D010000}"/>
    <cellStyle name="Header2 5 5 2" xfId="762" xr:uid="{00000000-0005-0000-0000-00002E010000}"/>
    <cellStyle name="Header2 5 5 2 2" xfId="1460" xr:uid="{00000000-0005-0000-0000-00002F010000}"/>
    <cellStyle name="Header2 5 5 3" xfId="1383" xr:uid="{00000000-0005-0000-0000-000030010000}"/>
    <cellStyle name="Header2 5 6" xfId="723" xr:uid="{00000000-0005-0000-0000-000031010000}"/>
    <cellStyle name="Header2 5 6 2" xfId="1425" xr:uid="{00000000-0005-0000-0000-000032010000}"/>
    <cellStyle name="Header2 5 7" xfId="1312" xr:uid="{00000000-0005-0000-0000-000033010000}"/>
    <cellStyle name="Header2 6" xfId="622" xr:uid="{00000000-0005-0000-0000-000034010000}"/>
    <cellStyle name="Header2 6 2" xfId="763" xr:uid="{00000000-0005-0000-0000-000035010000}"/>
    <cellStyle name="Header2 6 2 2" xfId="1461" xr:uid="{00000000-0005-0000-0000-000036010000}"/>
    <cellStyle name="Header2 6 3" xfId="1384" xr:uid="{00000000-0005-0000-0000-000037010000}"/>
    <cellStyle name="Header2 7" xfId="688" xr:uid="{00000000-0005-0000-0000-000038010000}"/>
    <cellStyle name="Header2 7 2" xfId="1400" xr:uid="{00000000-0005-0000-0000-000039010000}"/>
    <cellStyle name="Header2 8" xfId="1291" xr:uid="{00000000-0005-0000-0000-00003A010000}"/>
    <cellStyle name="Heading 1" xfId="147" xr:uid="{00000000-0005-0000-0000-00003B010000}"/>
    <cellStyle name="Heading 2" xfId="148" xr:uid="{00000000-0005-0000-0000-00003C010000}"/>
    <cellStyle name="Hyperlink" xfId="149" xr:uid="{00000000-0005-0000-0000-00003D010000}"/>
    <cellStyle name="Input [yellow]" xfId="150" xr:uid="{00000000-0005-0000-0000-00003E010000}"/>
    <cellStyle name="Input [yellow] 2" xfId="151" xr:uid="{00000000-0005-0000-0000-00003F010000}"/>
    <cellStyle name="Input [yellow] 2 2" xfId="152" xr:uid="{00000000-0005-0000-0000-000040010000}"/>
    <cellStyle name="Input [yellow] 2 2 2" xfId="153" xr:uid="{00000000-0005-0000-0000-000041010000}"/>
    <cellStyle name="Input [yellow] 2 3" xfId="154" xr:uid="{00000000-0005-0000-0000-000042010000}"/>
    <cellStyle name="Input [yellow] 3" xfId="155" xr:uid="{00000000-0005-0000-0000-000043010000}"/>
    <cellStyle name="Input [yellow] 3 2" xfId="156" xr:uid="{00000000-0005-0000-0000-000044010000}"/>
    <cellStyle name="Input [yellow] 4" xfId="157" xr:uid="{00000000-0005-0000-0000-000045010000}"/>
    <cellStyle name="Input [yellow] 4 2" xfId="158" xr:uid="{00000000-0005-0000-0000-000046010000}"/>
    <cellStyle name="Input [yellow] 5" xfId="159" xr:uid="{00000000-0005-0000-0000-000047010000}"/>
    <cellStyle name="Input [yellow] 5 2" xfId="160" xr:uid="{00000000-0005-0000-0000-000048010000}"/>
    <cellStyle name="Input [yellow] 6" xfId="161" xr:uid="{00000000-0005-0000-0000-000049010000}"/>
    <cellStyle name="Input [yellow] 7" xfId="162" xr:uid="{00000000-0005-0000-0000-00004A010000}"/>
    <cellStyle name="Input [yellow] 8" xfId="163" xr:uid="{00000000-0005-0000-0000-00004B010000}"/>
    <cellStyle name="Link Currency (0)" xfId="164" xr:uid="{00000000-0005-0000-0000-00004C010000}"/>
    <cellStyle name="Link Currency (0) 2" xfId="165" xr:uid="{00000000-0005-0000-0000-00004D010000}"/>
    <cellStyle name="Link Currency (2)" xfId="166" xr:uid="{00000000-0005-0000-0000-00004E010000}"/>
    <cellStyle name="Link Units (0)" xfId="167" xr:uid="{00000000-0005-0000-0000-00004F010000}"/>
    <cellStyle name="Link Units (0) 2" xfId="168" xr:uid="{00000000-0005-0000-0000-000050010000}"/>
    <cellStyle name="Link Units (1)" xfId="169" xr:uid="{00000000-0005-0000-0000-000051010000}"/>
    <cellStyle name="Link Units (2)" xfId="170" xr:uid="{00000000-0005-0000-0000-000052010000}"/>
    <cellStyle name="Migliaia (0)_CALCOLI (3)" xfId="171" xr:uid="{00000000-0005-0000-0000-000053010000}"/>
    <cellStyle name="Migliaia_CALCOLI (3)" xfId="172" xr:uid="{00000000-0005-0000-0000-000054010000}"/>
    <cellStyle name="no dec" xfId="173" xr:uid="{00000000-0005-0000-0000-000055010000}"/>
    <cellStyle name="no dec 2" xfId="174" xr:uid="{00000000-0005-0000-0000-000056010000}"/>
    <cellStyle name="no dec 2 2" xfId="623" xr:uid="{00000000-0005-0000-0000-000057010000}"/>
    <cellStyle name="Normal - Style1" xfId="175" xr:uid="{00000000-0005-0000-0000-000058010000}"/>
    <cellStyle name="Normal - Style1 2" xfId="176" xr:uid="{00000000-0005-0000-0000-000059010000}"/>
    <cellStyle name="Normal - スタイル1" xfId="177" xr:uid="{00000000-0005-0000-0000-00005A010000}"/>
    <cellStyle name="Normal - スタイル2" xfId="178" xr:uid="{00000000-0005-0000-0000-00005B010000}"/>
    <cellStyle name="Normal - スタイル3" xfId="179" xr:uid="{00000000-0005-0000-0000-00005C010000}"/>
    <cellStyle name="Normal - スタイル4" xfId="180" xr:uid="{00000000-0005-0000-0000-00005D010000}"/>
    <cellStyle name="Normal - スタイル5" xfId="181" xr:uid="{00000000-0005-0000-0000-00005E010000}"/>
    <cellStyle name="Normal - スタイル6" xfId="182" xr:uid="{00000000-0005-0000-0000-00005F010000}"/>
    <cellStyle name="Normal - スタイル7" xfId="183" xr:uid="{00000000-0005-0000-0000-000060010000}"/>
    <cellStyle name="Normal - スタイル8" xfId="184" xr:uid="{00000000-0005-0000-0000-000061010000}"/>
    <cellStyle name="Normal_# 41-Market &amp;Trends" xfId="185" xr:uid="{00000000-0005-0000-0000-000062010000}"/>
    <cellStyle name="Normale_CALCOLI (3)" xfId="186" xr:uid="{00000000-0005-0000-0000-000063010000}"/>
    <cellStyle name="ParaBirimi [0]_RESULTS" xfId="187" xr:uid="{00000000-0005-0000-0000-000064010000}"/>
    <cellStyle name="ParaBirimi_RESULTS" xfId="188" xr:uid="{00000000-0005-0000-0000-000065010000}"/>
    <cellStyle name="Percent [0]" xfId="189" xr:uid="{00000000-0005-0000-0000-000066010000}"/>
    <cellStyle name="Percent [0] 2" xfId="190" xr:uid="{00000000-0005-0000-0000-000067010000}"/>
    <cellStyle name="Percent [00]" xfId="191" xr:uid="{00000000-0005-0000-0000-000068010000}"/>
    <cellStyle name="Percent [00] 2" xfId="192" xr:uid="{00000000-0005-0000-0000-000069010000}"/>
    <cellStyle name="Percent [2]" xfId="193" xr:uid="{00000000-0005-0000-0000-00006A010000}"/>
    <cellStyle name="Percent [2] 2" xfId="194" xr:uid="{00000000-0005-0000-0000-00006B010000}"/>
    <cellStyle name="Percent_#6 Temps &amp; Contractors" xfId="195" xr:uid="{00000000-0005-0000-0000-00006C010000}"/>
    <cellStyle name="PrePop Currency (0)" xfId="196" xr:uid="{00000000-0005-0000-0000-00006D010000}"/>
    <cellStyle name="PrePop Currency (0) 2" xfId="197" xr:uid="{00000000-0005-0000-0000-00006E010000}"/>
    <cellStyle name="PrePop Currency (2)" xfId="198" xr:uid="{00000000-0005-0000-0000-00006F010000}"/>
    <cellStyle name="PrePop Units (0)" xfId="199" xr:uid="{00000000-0005-0000-0000-000070010000}"/>
    <cellStyle name="PrePop Units (0) 2" xfId="200" xr:uid="{00000000-0005-0000-0000-000071010000}"/>
    <cellStyle name="PrePop Units (1)" xfId="201" xr:uid="{00000000-0005-0000-0000-000072010000}"/>
    <cellStyle name="PrePop Units (2)" xfId="202" xr:uid="{00000000-0005-0000-0000-000073010000}"/>
    <cellStyle name="price" xfId="203" xr:uid="{00000000-0005-0000-0000-000074010000}"/>
    <cellStyle name="PSChar" xfId="204" xr:uid="{00000000-0005-0000-0000-000075010000}"/>
    <cellStyle name="PSHeading" xfId="205" xr:uid="{00000000-0005-0000-0000-000076010000}"/>
    <cellStyle name="revised" xfId="206" xr:uid="{00000000-0005-0000-0000-000077010000}"/>
    <cellStyle name="RevList" xfId="207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8" xr:uid="{00000000-0005-0000-0000-000079010000}"/>
    <cellStyle name="section" xfId="209" xr:uid="{00000000-0005-0000-0000-00007A010000}"/>
    <cellStyle name="Standard_FRA" xfId="210" xr:uid="{00000000-0005-0000-0000-00007B010000}"/>
    <cellStyle name="subhead" xfId="211" xr:uid="{00000000-0005-0000-0000-00007C010000}"/>
    <cellStyle name="Subtotal" xfId="212" xr:uid="{00000000-0005-0000-0000-00007D010000}"/>
    <cellStyle name="Text Indent A" xfId="213" xr:uid="{00000000-0005-0000-0000-00007E010000}"/>
    <cellStyle name="Text Indent B" xfId="214" xr:uid="{00000000-0005-0000-0000-00007F010000}"/>
    <cellStyle name="Text Indent B 2" xfId="215" xr:uid="{00000000-0005-0000-0000-000080010000}"/>
    <cellStyle name="Text Indent C" xfId="216" xr:uid="{00000000-0005-0000-0000-000081010000}"/>
    <cellStyle name="Text Indent C 2" xfId="217" xr:uid="{00000000-0005-0000-0000-000082010000}"/>
    <cellStyle name="title" xfId="218" xr:uid="{00000000-0005-0000-0000-000083010000}"/>
    <cellStyle name="Total" xfId="219" xr:uid="{00000000-0005-0000-0000-000084010000}"/>
    <cellStyle name="Valuta (0)_2001-2004 KUE PLAN 22-01-01" xfId="220" xr:uid="{00000000-0005-0000-0000-000085010000}"/>
    <cellStyle name="Valuta_2001-2004 KUE PLAN 22-01-01" xfId="221" xr:uid="{00000000-0005-0000-0000-000086010000}"/>
    <cellStyle name="Virg・ [0]_RESULTS" xfId="222" xr:uid="{00000000-0005-0000-0000-000087010000}"/>
    <cellStyle name="Virg・_RESULTS" xfId="223" xr:uid="{00000000-0005-0000-0000-000088010000}"/>
    <cellStyle name="Worksheet" xfId="224" xr:uid="{00000000-0005-0000-0000-000089010000}"/>
    <cellStyle name="アクセント 1 2" xfId="225" xr:uid="{00000000-0005-0000-0000-00008A010000}"/>
    <cellStyle name="アクセント 1 2 2" xfId="226" xr:uid="{00000000-0005-0000-0000-00008B010000}"/>
    <cellStyle name="アクセント 1 2 3" xfId="624" xr:uid="{00000000-0005-0000-0000-00008C010000}"/>
    <cellStyle name="アクセント 1 3" xfId="227" xr:uid="{00000000-0005-0000-0000-00008D010000}"/>
    <cellStyle name="アクセント 1 3 2" xfId="228" xr:uid="{00000000-0005-0000-0000-00008E010000}"/>
    <cellStyle name="アクセント 1 3 3" xfId="625" xr:uid="{00000000-0005-0000-0000-00008F010000}"/>
    <cellStyle name="アクセント 1 4" xfId="554" xr:uid="{00000000-0005-0000-0000-000090010000}"/>
    <cellStyle name="アクセント 2 2" xfId="229" xr:uid="{00000000-0005-0000-0000-000091010000}"/>
    <cellStyle name="アクセント 2 2 2" xfId="230" xr:uid="{00000000-0005-0000-0000-000092010000}"/>
    <cellStyle name="アクセント 2 2 3" xfId="626" xr:uid="{00000000-0005-0000-0000-000093010000}"/>
    <cellStyle name="アクセント 2 3" xfId="231" xr:uid="{00000000-0005-0000-0000-000094010000}"/>
    <cellStyle name="アクセント 2 3 2" xfId="232" xr:uid="{00000000-0005-0000-0000-000095010000}"/>
    <cellStyle name="アクセント 2 3 3" xfId="627" xr:uid="{00000000-0005-0000-0000-000096010000}"/>
    <cellStyle name="アクセント 2 4" xfId="555" xr:uid="{00000000-0005-0000-0000-000097010000}"/>
    <cellStyle name="アクセント 3 2" xfId="233" xr:uid="{00000000-0005-0000-0000-000098010000}"/>
    <cellStyle name="アクセント 3 2 2" xfId="234" xr:uid="{00000000-0005-0000-0000-000099010000}"/>
    <cellStyle name="アクセント 3 2 3" xfId="628" xr:uid="{00000000-0005-0000-0000-00009A010000}"/>
    <cellStyle name="アクセント 3 3" xfId="235" xr:uid="{00000000-0005-0000-0000-00009B010000}"/>
    <cellStyle name="アクセント 3 3 2" xfId="236" xr:uid="{00000000-0005-0000-0000-00009C010000}"/>
    <cellStyle name="アクセント 3 3 3" xfId="629" xr:uid="{00000000-0005-0000-0000-00009D010000}"/>
    <cellStyle name="アクセント 3 4" xfId="556" xr:uid="{00000000-0005-0000-0000-00009E010000}"/>
    <cellStyle name="アクセント 4 2" xfId="237" xr:uid="{00000000-0005-0000-0000-00009F010000}"/>
    <cellStyle name="アクセント 4 2 2" xfId="238" xr:uid="{00000000-0005-0000-0000-0000A0010000}"/>
    <cellStyle name="アクセント 4 2 3" xfId="630" xr:uid="{00000000-0005-0000-0000-0000A1010000}"/>
    <cellStyle name="アクセント 4 3" xfId="239" xr:uid="{00000000-0005-0000-0000-0000A2010000}"/>
    <cellStyle name="アクセント 4 3 2" xfId="240" xr:uid="{00000000-0005-0000-0000-0000A3010000}"/>
    <cellStyle name="アクセント 4 3 3" xfId="631" xr:uid="{00000000-0005-0000-0000-0000A4010000}"/>
    <cellStyle name="アクセント 4 4" xfId="557" xr:uid="{00000000-0005-0000-0000-0000A5010000}"/>
    <cellStyle name="アクセント 5 2" xfId="241" xr:uid="{00000000-0005-0000-0000-0000A6010000}"/>
    <cellStyle name="アクセント 5 2 2" xfId="242" xr:uid="{00000000-0005-0000-0000-0000A7010000}"/>
    <cellStyle name="アクセント 5 2 3" xfId="632" xr:uid="{00000000-0005-0000-0000-0000A8010000}"/>
    <cellStyle name="アクセント 5 3" xfId="243" xr:uid="{00000000-0005-0000-0000-0000A9010000}"/>
    <cellStyle name="アクセント 5 3 2" xfId="244" xr:uid="{00000000-0005-0000-0000-0000AA010000}"/>
    <cellStyle name="アクセント 5 3 3" xfId="633" xr:uid="{00000000-0005-0000-0000-0000AB010000}"/>
    <cellStyle name="アクセント 5 4" xfId="558" xr:uid="{00000000-0005-0000-0000-0000AC010000}"/>
    <cellStyle name="アクセント 6 2" xfId="245" xr:uid="{00000000-0005-0000-0000-0000AD010000}"/>
    <cellStyle name="アクセント 6 2 2" xfId="246" xr:uid="{00000000-0005-0000-0000-0000AE010000}"/>
    <cellStyle name="アクセント 6 2 3" xfId="634" xr:uid="{00000000-0005-0000-0000-0000AF010000}"/>
    <cellStyle name="アクセント 6 3" xfId="247" xr:uid="{00000000-0005-0000-0000-0000B0010000}"/>
    <cellStyle name="アクセント 6 3 2" xfId="248" xr:uid="{00000000-0005-0000-0000-0000B1010000}"/>
    <cellStyle name="アクセント 6 3 3" xfId="635" xr:uid="{00000000-0005-0000-0000-0000B2010000}"/>
    <cellStyle name="アクセント 6 4" xfId="559" xr:uid="{00000000-0005-0000-0000-0000B3010000}"/>
    <cellStyle name="アンダーライン" xfId="249" xr:uid="{00000000-0005-0000-0000-0000B4010000}"/>
    <cellStyle name="イタリック" xfId="250" xr:uid="{00000000-0005-0000-0000-0000B5010000}"/>
    <cellStyle name="タイトル 2" xfId="251" xr:uid="{00000000-0005-0000-0000-0000B6010000}"/>
    <cellStyle name="タイトル 2 2" xfId="252" xr:uid="{00000000-0005-0000-0000-0000B7010000}"/>
    <cellStyle name="タイトル 3" xfId="253" xr:uid="{00000000-0005-0000-0000-0000B8010000}"/>
    <cellStyle name="タイトル 3 2" xfId="254" xr:uid="{00000000-0005-0000-0000-0000B9010000}"/>
    <cellStyle name="チェック セル 2" xfId="255" xr:uid="{00000000-0005-0000-0000-0000BA010000}"/>
    <cellStyle name="チェック セル 2 2" xfId="256" xr:uid="{00000000-0005-0000-0000-0000BB010000}"/>
    <cellStyle name="チェック セル 2 3" xfId="636" xr:uid="{00000000-0005-0000-0000-0000BC010000}"/>
    <cellStyle name="チェック セル 3" xfId="257" xr:uid="{00000000-0005-0000-0000-0000BD010000}"/>
    <cellStyle name="チェック セル 3 2" xfId="258" xr:uid="{00000000-0005-0000-0000-0000BE010000}"/>
    <cellStyle name="チェック セル 3 3" xfId="637" xr:uid="{00000000-0005-0000-0000-0000BF010000}"/>
    <cellStyle name="チェック セル 4" xfId="560" xr:uid="{00000000-0005-0000-0000-0000C0010000}"/>
    <cellStyle name="どちらでもない 2" xfId="259" xr:uid="{00000000-0005-0000-0000-0000C1010000}"/>
    <cellStyle name="どちらでもない 2 2" xfId="260" xr:uid="{00000000-0005-0000-0000-0000C2010000}"/>
    <cellStyle name="どちらでもない 2 3" xfId="638" xr:uid="{00000000-0005-0000-0000-0000C3010000}"/>
    <cellStyle name="どちらでもない 3" xfId="261" xr:uid="{00000000-0005-0000-0000-0000C4010000}"/>
    <cellStyle name="どちらでもない 3 2" xfId="262" xr:uid="{00000000-0005-0000-0000-0000C5010000}"/>
    <cellStyle name="どちらでもない 3 3" xfId="639" xr:uid="{00000000-0005-0000-0000-0000C6010000}"/>
    <cellStyle name="どちらでもない 4" xfId="561" xr:uid="{00000000-0005-0000-0000-0000C7010000}"/>
    <cellStyle name="ﾄ褊褂燾・[0]_PERSONAL" xfId="263" xr:uid="{00000000-0005-0000-0000-0000C8010000}"/>
    <cellStyle name="ﾄ褊褂燾饑PERSONAL" xfId="264" xr:uid="{00000000-0005-0000-0000-0000C9010000}"/>
    <cellStyle name="ハイパーリンク" xfId="927" builtinId="8" customBuiltin="1"/>
    <cellStyle name="ハイパーリンク 2" xfId="265" xr:uid="{00000000-0005-0000-0000-0000CB010000}"/>
    <cellStyle name="ハイパーリンク 2 2" xfId="266" xr:uid="{00000000-0005-0000-0000-0000CC010000}"/>
    <cellStyle name="ハイパーリンク 3" xfId="267" xr:uid="{00000000-0005-0000-0000-0000CD010000}"/>
    <cellStyle name="ハイパーリンク 4" xfId="268" xr:uid="{00000000-0005-0000-0000-0000CE010000}"/>
    <cellStyle name="パ－セント" xfId="269" xr:uid="{00000000-0005-0000-0000-0000CF010000}"/>
    <cellStyle name="ボールド" xfId="270" xr:uid="{00000000-0005-0000-0000-0000D0010000}"/>
    <cellStyle name="ﾎ磊隆_PERSONAL" xfId="271" xr:uid="{00000000-0005-0000-0000-0000D1010000}"/>
    <cellStyle name="メモ 2" xfId="272" xr:uid="{00000000-0005-0000-0000-0000D2010000}"/>
    <cellStyle name="メモ 2 2" xfId="273" xr:uid="{00000000-0005-0000-0000-0000D3010000}"/>
    <cellStyle name="メモ 2 2 2" xfId="274" xr:uid="{00000000-0005-0000-0000-0000D4010000}"/>
    <cellStyle name="メモ 2 2 2 2" xfId="275" xr:uid="{00000000-0005-0000-0000-0000D5010000}"/>
    <cellStyle name="メモ 2 2 2 2 2" xfId="764" xr:uid="{00000000-0005-0000-0000-0000D6010000}"/>
    <cellStyle name="メモ 2 2 2 2 2 2" xfId="1462" xr:uid="{00000000-0005-0000-0000-0000D7010000}"/>
    <cellStyle name="メモ 2 2 2 3" xfId="276" xr:uid="{00000000-0005-0000-0000-0000D8010000}"/>
    <cellStyle name="メモ 2 2 2 3 2" xfId="765" xr:uid="{00000000-0005-0000-0000-0000D9010000}"/>
    <cellStyle name="メモ 2 2 2 3 2 2" xfId="1463" xr:uid="{00000000-0005-0000-0000-0000DA010000}"/>
    <cellStyle name="メモ 2 2 2 4" xfId="277" xr:uid="{00000000-0005-0000-0000-0000DB010000}"/>
    <cellStyle name="メモ 2 2 2 4 2" xfId="766" xr:uid="{00000000-0005-0000-0000-0000DC010000}"/>
    <cellStyle name="メモ 2 2 2 4 2 2" xfId="1464" xr:uid="{00000000-0005-0000-0000-0000DD010000}"/>
    <cellStyle name="メモ 2 2 2 5" xfId="726" xr:uid="{00000000-0005-0000-0000-0000DE010000}"/>
    <cellStyle name="メモ 2 2 2 5 2" xfId="1428" xr:uid="{00000000-0005-0000-0000-0000DF010000}"/>
    <cellStyle name="メモ 2 2 3" xfId="278" xr:uid="{00000000-0005-0000-0000-0000E0010000}"/>
    <cellStyle name="メモ 2 2 3 2" xfId="767" xr:uid="{00000000-0005-0000-0000-0000E1010000}"/>
    <cellStyle name="メモ 2 2 3 2 2" xfId="1465" xr:uid="{00000000-0005-0000-0000-0000E2010000}"/>
    <cellStyle name="メモ 2 2 4" xfId="279" xr:uid="{00000000-0005-0000-0000-0000E3010000}"/>
    <cellStyle name="メモ 2 2 4 2" xfId="768" xr:uid="{00000000-0005-0000-0000-0000E4010000}"/>
    <cellStyle name="メモ 2 2 4 2 2" xfId="1466" xr:uid="{00000000-0005-0000-0000-0000E5010000}"/>
    <cellStyle name="メモ 2 2 5" xfId="280" xr:uid="{00000000-0005-0000-0000-0000E6010000}"/>
    <cellStyle name="メモ 2 2 5 2" xfId="769" xr:uid="{00000000-0005-0000-0000-0000E7010000}"/>
    <cellStyle name="メモ 2 2 5 2 2" xfId="1467" xr:uid="{00000000-0005-0000-0000-0000E8010000}"/>
    <cellStyle name="メモ 2 2 6" xfId="721" xr:uid="{00000000-0005-0000-0000-0000E9010000}"/>
    <cellStyle name="メモ 2 2 6 2" xfId="1423" xr:uid="{00000000-0005-0000-0000-0000EA010000}"/>
    <cellStyle name="メモ 2 3" xfId="281" xr:uid="{00000000-0005-0000-0000-0000EB010000}"/>
    <cellStyle name="メモ 2 3 2" xfId="282" xr:uid="{00000000-0005-0000-0000-0000EC010000}"/>
    <cellStyle name="メモ 2 3 2 2" xfId="770" xr:uid="{00000000-0005-0000-0000-0000ED010000}"/>
    <cellStyle name="メモ 2 3 2 2 2" xfId="1468" xr:uid="{00000000-0005-0000-0000-0000EE010000}"/>
    <cellStyle name="メモ 2 3 3" xfId="283" xr:uid="{00000000-0005-0000-0000-0000EF010000}"/>
    <cellStyle name="メモ 2 3 3 2" xfId="771" xr:uid="{00000000-0005-0000-0000-0000F0010000}"/>
    <cellStyle name="メモ 2 3 3 2 2" xfId="1469" xr:uid="{00000000-0005-0000-0000-0000F1010000}"/>
    <cellStyle name="メモ 2 3 4" xfId="284" xr:uid="{00000000-0005-0000-0000-0000F2010000}"/>
    <cellStyle name="メモ 2 3 4 2" xfId="772" xr:uid="{00000000-0005-0000-0000-0000F3010000}"/>
    <cellStyle name="メモ 2 3 4 2 2" xfId="1470" xr:uid="{00000000-0005-0000-0000-0000F4010000}"/>
    <cellStyle name="メモ 2 3 5" xfId="696" xr:uid="{00000000-0005-0000-0000-0000F5010000}"/>
    <cellStyle name="メモ 2 3 5 2" xfId="1406" xr:uid="{00000000-0005-0000-0000-0000F6010000}"/>
    <cellStyle name="メモ 2 4" xfId="640" xr:uid="{00000000-0005-0000-0000-0000F7010000}"/>
    <cellStyle name="メモ 2 4 2" xfId="773" xr:uid="{00000000-0005-0000-0000-0000F8010000}"/>
    <cellStyle name="メモ 2 4 2 2" xfId="1471" xr:uid="{00000000-0005-0000-0000-0000F9010000}"/>
    <cellStyle name="メモ 3" xfId="285" xr:uid="{00000000-0005-0000-0000-0000FA010000}"/>
    <cellStyle name="メモ 3 2" xfId="286" xr:uid="{00000000-0005-0000-0000-0000FB010000}"/>
    <cellStyle name="メモ 3 2 2" xfId="287" xr:uid="{00000000-0005-0000-0000-0000FC010000}"/>
    <cellStyle name="メモ 3 2 2 2" xfId="288" xr:uid="{00000000-0005-0000-0000-0000FD010000}"/>
    <cellStyle name="メモ 3 2 2 2 2" xfId="774" xr:uid="{00000000-0005-0000-0000-0000FE010000}"/>
    <cellStyle name="メモ 3 2 2 2 2 2" xfId="1472" xr:uid="{00000000-0005-0000-0000-0000FF010000}"/>
    <cellStyle name="メモ 3 2 2 3" xfId="289" xr:uid="{00000000-0005-0000-0000-000000020000}"/>
    <cellStyle name="メモ 3 2 2 3 2" xfId="775" xr:uid="{00000000-0005-0000-0000-000001020000}"/>
    <cellStyle name="メモ 3 2 2 3 2 2" xfId="1473" xr:uid="{00000000-0005-0000-0000-000002020000}"/>
    <cellStyle name="メモ 3 2 2 4" xfId="290" xr:uid="{00000000-0005-0000-0000-000003020000}"/>
    <cellStyle name="メモ 3 2 2 4 2" xfId="776" xr:uid="{00000000-0005-0000-0000-000004020000}"/>
    <cellStyle name="メモ 3 2 2 4 2 2" xfId="1474" xr:uid="{00000000-0005-0000-0000-000005020000}"/>
    <cellStyle name="メモ 3 2 2 5" xfId="727" xr:uid="{00000000-0005-0000-0000-000006020000}"/>
    <cellStyle name="メモ 3 2 2 5 2" xfId="1429" xr:uid="{00000000-0005-0000-0000-000007020000}"/>
    <cellStyle name="メモ 3 2 3" xfId="291" xr:uid="{00000000-0005-0000-0000-000008020000}"/>
    <cellStyle name="メモ 3 2 3 2" xfId="777" xr:uid="{00000000-0005-0000-0000-000009020000}"/>
    <cellStyle name="メモ 3 2 3 2 2" xfId="1475" xr:uid="{00000000-0005-0000-0000-00000A020000}"/>
    <cellStyle name="メモ 3 2 4" xfId="292" xr:uid="{00000000-0005-0000-0000-00000B020000}"/>
    <cellStyle name="メモ 3 2 4 2" xfId="778" xr:uid="{00000000-0005-0000-0000-00000C020000}"/>
    <cellStyle name="メモ 3 2 4 2 2" xfId="1476" xr:uid="{00000000-0005-0000-0000-00000D020000}"/>
    <cellStyle name="メモ 3 2 5" xfId="293" xr:uid="{00000000-0005-0000-0000-00000E020000}"/>
    <cellStyle name="メモ 3 2 5 2" xfId="779" xr:uid="{00000000-0005-0000-0000-00000F020000}"/>
    <cellStyle name="メモ 3 2 5 2 2" xfId="1477" xr:uid="{00000000-0005-0000-0000-000010020000}"/>
    <cellStyle name="メモ 3 2 6" xfId="718" xr:uid="{00000000-0005-0000-0000-000011020000}"/>
    <cellStyle name="メモ 3 2 6 2" xfId="1420" xr:uid="{00000000-0005-0000-0000-000012020000}"/>
    <cellStyle name="メモ 3 3" xfId="294" xr:uid="{00000000-0005-0000-0000-000013020000}"/>
    <cellStyle name="メモ 3 3 2" xfId="295" xr:uid="{00000000-0005-0000-0000-000014020000}"/>
    <cellStyle name="メモ 3 3 2 2" xfId="780" xr:uid="{00000000-0005-0000-0000-000015020000}"/>
    <cellStyle name="メモ 3 3 2 2 2" xfId="1478" xr:uid="{00000000-0005-0000-0000-000016020000}"/>
    <cellStyle name="メモ 3 3 3" xfId="296" xr:uid="{00000000-0005-0000-0000-000017020000}"/>
    <cellStyle name="メモ 3 3 3 2" xfId="781" xr:uid="{00000000-0005-0000-0000-000018020000}"/>
    <cellStyle name="メモ 3 3 3 2 2" xfId="1479" xr:uid="{00000000-0005-0000-0000-000019020000}"/>
    <cellStyle name="メモ 3 3 4" xfId="297" xr:uid="{00000000-0005-0000-0000-00001A020000}"/>
    <cellStyle name="メモ 3 3 4 2" xfId="782" xr:uid="{00000000-0005-0000-0000-00001B020000}"/>
    <cellStyle name="メモ 3 3 4 2 2" xfId="1480" xr:uid="{00000000-0005-0000-0000-00001C020000}"/>
    <cellStyle name="メモ 3 3 5" xfId="697" xr:uid="{00000000-0005-0000-0000-00001D020000}"/>
    <cellStyle name="メモ 3 3 5 2" xfId="1407" xr:uid="{00000000-0005-0000-0000-00001E020000}"/>
    <cellStyle name="メモ 3 4" xfId="641" xr:uid="{00000000-0005-0000-0000-00001F020000}"/>
    <cellStyle name="メモ 3 4 2" xfId="783" xr:uid="{00000000-0005-0000-0000-000020020000}"/>
    <cellStyle name="メモ 3 4 2 2" xfId="1481" xr:uid="{00000000-0005-0000-0000-000021020000}"/>
    <cellStyle name="メモ 4" xfId="298" xr:uid="{00000000-0005-0000-0000-000022020000}"/>
    <cellStyle name="メモ 4 2" xfId="784" xr:uid="{00000000-0005-0000-0000-000023020000}"/>
    <cellStyle name="メモ 4 2 2" xfId="1482" xr:uid="{00000000-0005-0000-0000-000024020000}"/>
    <cellStyle name="メモ 5" xfId="299" xr:uid="{00000000-0005-0000-0000-000025020000}"/>
    <cellStyle name="メモ 5 2" xfId="785" xr:uid="{00000000-0005-0000-0000-000026020000}"/>
    <cellStyle name="メモ 5 2 2" xfId="1483" xr:uid="{00000000-0005-0000-0000-000027020000}"/>
    <cellStyle name="メモ 6" xfId="300" xr:uid="{00000000-0005-0000-0000-000028020000}"/>
    <cellStyle name="メモ 6 2" xfId="786" xr:uid="{00000000-0005-0000-0000-000029020000}"/>
    <cellStyle name="メモ 6 2 2" xfId="1484" xr:uid="{00000000-0005-0000-0000-00002A020000}"/>
    <cellStyle name="メモ 7" xfId="689" xr:uid="{00000000-0005-0000-0000-00002B020000}"/>
    <cellStyle name="メモ 7 2" xfId="1401" xr:uid="{00000000-0005-0000-0000-00002C020000}"/>
    <cellStyle name="ﾔ竟瑙糺・[0]_PERSONAL" xfId="301" xr:uid="{00000000-0005-0000-0000-00002D020000}"/>
    <cellStyle name="ﾔ竟瑙糺饑PERSONAL" xfId="302" xr:uid="{00000000-0005-0000-0000-00002E020000}"/>
    <cellStyle name="リンク セル 2" xfId="303" xr:uid="{00000000-0005-0000-0000-00002F020000}"/>
    <cellStyle name="リンク セル 2 2" xfId="304" xr:uid="{00000000-0005-0000-0000-000030020000}"/>
    <cellStyle name="リンク セル 2 3" xfId="642" xr:uid="{00000000-0005-0000-0000-000031020000}"/>
    <cellStyle name="リンク セル 3" xfId="305" xr:uid="{00000000-0005-0000-0000-000032020000}"/>
    <cellStyle name="リンク セル 3 2" xfId="306" xr:uid="{00000000-0005-0000-0000-000033020000}"/>
    <cellStyle name="リンク セル 3 3" xfId="643" xr:uid="{00000000-0005-0000-0000-000034020000}"/>
    <cellStyle name="リンク セル 4" xfId="644" xr:uid="{00000000-0005-0000-0000-000035020000}"/>
    <cellStyle name="リンク セル 5" xfId="562" xr:uid="{00000000-0005-0000-0000-000036020000}"/>
    <cellStyle name="悪い 2" xfId="307" xr:uid="{00000000-0005-0000-0000-000037020000}"/>
    <cellStyle name="悪い 2 2" xfId="308" xr:uid="{00000000-0005-0000-0000-000038020000}"/>
    <cellStyle name="悪い 2 3" xfId="645" xr:uid="{00000000-0005-0000-0000-000039020000}"/>
    <cellStyle name="悪い 3" xfId="309" xr:uid="{00000000-0005-0000-0000-00003A020000}"/>
    <cellStyle name="悪い 3 2" xfId="310" xr:uid="{00000000-0005-0000-0000-00003B020000}"/>
    <cellStyle name="悪い 3 3" xfId="646" xr:uid="{00000000-0005-0000-0000-00003C020000}"/>
    <cellStyle name="悪い 4" xfId="563" xr:uid="{00000000-0005-0000-0000-00003D020000}"/>
    <cellStyle name="案" xfId="311" xr:uid="{00000000-0005-0000-0000-00003E020000}"/>
    <cellStyle name="案_IPA仕訳(統一会計)" xfId="312" xr:uid="{00000000-0005-0000-0000-00003F020000}"/>
    <cellStyle name="案_IPA仕訳一覧（勘定科目別要件）" xfId="313" xr:uid="{00000000-0005-0000-0000-000040020000}"/>
    <cellStyle name="型番" xfId="314" xr:uid="{00000000-0005-0000-0000-000041020000}"/>
    <cellStyle name="計算 2" xfId="315" xr:uid="{00000000-0005-0000-0000-000042020000}"/>
    <cellStyle name="計算 2 2" xfId="316" xr:uid="{00000000-0005-0000-0000-000043020000}"/>
    <cellStyle name="計算 2 2 2" xfId="317" xr:uid="{00000000-0005-0000-0000-000044020000}"/>
    <cellStyle name="計算 2 2 2 2" xfId="318" xr:uid="{00000000-0005-0000-0000-000045020000}"/>
    <cellStyle name="計算 2 2 2 2 2" xfId="787" xr:uid="{00000000-0005-0000-0000-000046020000}"/>
    <cellStyle name="計算 2 2 2 2 2 2" xfId="1485" xr:uid="{00000000-0005-0000-0000-000047020000}"/>
    <cellStyle name="計算 2 2 2 3" xfId="319" xr:uid="{00000000-0005-0000-0000-000048020000}"/>
    <cellStyle name="計算 2 2 2 3 2" xfId="788" xr:uid="{00000000-0005-0000-0000-000049020000}"/>
    <cellStyle name="計算 2 2 2 3 2 2" xfId="1486" xr:uid="{00000000-0005-0000-0000-00004A020000}"/>
    <cellStyle name="計算 2 2 2 4" xfId="320" xr:uid="{00000000-0005-0000-0000-00004B020000}"/>
    <cellStyle name="計算 2 2 2 4 2" xfId="789" xr:uid="{00000000-0005-0000-0000-00004C020000}"/>
    <cellStyle name="計算 2 2 2 4 2 2" xfId="1487" xr:uid="{00000000-0005-0000-0000-00004D020000}"/>
    <cellStyle name="計算 2 2 2 5" xfId="731" xr:uid="{00000000-0005-0000-0000-00004E020000}"/>
    <cellStyle name="計算 2 2 2 5 2" xfId="1433" xr:uid="{00000000-0005-0000-0000-00004F020000}"/>
    <cellStyle name="計算 2 2 3" xfId="321" xr:uid="{00000000-0005-0000-0000-000050020000}"/>
    <cellStyle name="計算 2 2 3 2" xfId="790" xr:uid="{00000000-0005-0000-0000-000051020000}"/>
    <cellStyle name="計算 2 2 3 2 2" xfId="1488" xr:uid="{00000000-0005-0000-0000-000052020000}"/>
    <cellStyle name="計算 2 2 4" xfId="322" xr:uid="{00000000-0005-0000-0000-000053020000}"/>
    <cellStyle name="計算 2 2 4 2" xfId="791" xr:uid="{00000000-0005-0000-0000-000054020000}"/>
    <cellStyle name="計算 2 2 4 2 2" xfId="1489" xr:uid="{00000000-0005-0000-0000-000055020000}"/>
    <cellStyle name="計算 2 2 5" xfId="323" xr:uid="{00000000-0005-0000-0000-000056020000}"/>
    <cellStyle name="計算 2 2 5 2" xfId="792" xr:uid="{00000000-0005-0000-0000-000057020000}"/>
    <cellStyle name="計算 2 2 5 2 2" xfId="1490" xr:uid="{00000000-0005-0000-0000-000058020000}"/>
    <cellStyle name="計算 2 2 6" xfId="717" xr:uid="{00000000-0005-0000-0000-000059020000}"/>
    <cellStyle name="計算 2 2 6 2" xfId="1419" xr:uid="{00000000-0005-0000-0000-00005A020000}"/>
    <cellStyle name="計算 2 3" xfId="324" xr:uid="{00000000-0005-0000-0000-00005B020000}"/>
    <cellStyle name="計算 2 3 2" xfId="325" xr:uid="{00000000-0005-0000-0000-00005C020000}"/>
    <cellStyle name="計算 2 3 2 2" xfId="793" xr:uid="{00000000-0005-0000-0000-00005D020000}"/>
    <cellStyle name="計算 2 3 2 2 2" xfId="1491" xr:uid="{00000000-0005-0000-0000-00005E020000}"/>
    <cellStyle name="計算 2 3 3" xfId="326" xr:uid="{00000000-0005-0000-0000-00005F020000}"/>
    <cellStyle name="計算 2 3 3 2" xfId="794" xr:uid="{00000000-0005-0000-0000-000060020000}"/>
    <cellStyle name="計算 2 3 3 2 2" xfId="1492" xr:uid="{00000000-0005-0000-0000-000061020000}"/>
    <cellStyle name="計算 2 3 4" xfId="327" xr:uid="{00000000-0005-0000-0000-000062020000}"/>
    <cellStyle name="計算 2 3 4 2" xfId="795" xr:uid="{00000000-0005-0000-0000-000063020000}"/>
    <cellStyle name="計算 2 3 4 2 2" xfId="1493" xr:uid="{00000000-0005-0000-0000-000064020000}"/>
    <cellStyle name="計算 2 3 5" xfId="698" xr:uid="{00000000-0005-0000-0000-000065020000}"/>
    <cellStyle name="計算 2 3 5 2" xfId="1408" xr:uid="{00000000-0005-0000-0000-000066020000}"/>
    <cellStyle name="計算 2 4" xfId="647" xr:uid="{00000000-0005-0000-0000-000067020000}"/>
    <cellStyle name="計算 2 4 2" xfId="796" xr:uid="{00000000-0005-0000-0000-000068020000}"/>
    <cellStyle name="計算 2 4 2 2" xfId="1494" xr:uid="{00000000-0005-0000-0000-000069020000}"/>
    <cellStyle name="計算 3" xfId="328" xr:uid="{00000000-0005-0000-0000-00006A020000}"/>
    <cellStyle name="計算 3 2" xfId="329" xr:uid="{00000000-0005-0000-0000-00006B020000}"/>
    <cellStyle name="計算 3 2 2" xfId="330" xr:uid="{00000000-0005-0000-0000-00006C020000}"/>
    <cellStyle name="計算 3 2 2 2" xfId="331" xr:uid="{00000000-0005-0000-0000-00006D020000}"/>
    <cellStyle name="計算 3 2 2 2 2" xfId="797" xr:uid="{00000000-0005-0000-0000-00006E020000}"/>
    <cellStyle name="計算 3 2 2 2 2 2" xfId="1495" xr:uid="{00000000-0005-0000-0000-00006F020000}"/>
    <cellStyle name="計算 3 2 2 3" xfId="332" xr:uid="{00000000-0005-0000-0000-000070020000}"/>
    <cellStyle name="計算 3 2 2 3 2" xfId="798" xr:uid="{00000000-0005-0000-0000-000071020000}"/>
    <cellStyle name="計算 3 2 2 3 2 2" xfId="1496" xr:uid="{00000000-0005-0000-0000-000072020000}"/>
    <cellStyle name="計算 3 2 2 4" xfId="333" xr:uid="{00000000-0005-0000-0000-000073020000}"/>
    <cellStyle name="計算 3 2 2 4 2" xfId="799" xr:uid="{00000000-0005-0000-0000-000074020000}"/>
    <cellStyle name="計算 3 2 2 4 2 2" xfId="1497" xr:uid="{00000000-0005-0000-0000-000075020000}"/>
    <cellStyle name="計算 3 2 2 5" xfId="732" xr:uid="{00000000-0005-0000-0000-000076020000}"/>
    <cellStyle name="計算 3 2 2 5 2" xfId="1434" xr:uid="{00000000-0005-0000-0000-000077020000}"/>
    <cellStyle name="計算 3 2 3" xfId="334" xr:uid="{00000000-0005-0000-0000-000078020000}"/>
    <cellStyle name="計算 3 2 3 2" xfId="800" xr:uid="{00000000-0005-0000-0000-000079020000}"/>
    <cellStyle name="計算 3 2 3 2 2" xfId="1498" xr:uid="{00000000-0005-0000-0000-00007A020000}"/>
    <cellStyle name="計算 3 2 4" xfId="335" xr:uid="{00000000-0005-0000-0000-00007B020000}"/>
    <cellStyle name="計算 3 2 4 2" xfId="801" xr:uid="{00000000-0005-0000-0000-00007C020000}"/>
    <cellStyle name="計算 3 2 4 2 2" xfId="1499" xr:uid="{00000000-0005-0000-0000-00007D020000}"/>
    <cellStyle name="計算 3 2 5" xfId="336" xr:uid="{00000000-0005-0000-0000-00007E020000}"/>
    <cellStyle name="計算 3 2 5 2" xfId="802" xr:uid="{00000000-0005-0000-0000-00007F020000}"/>
    <cellStyle name="計算 3 2 5 2 2" xfId="1500" xr:uid="{00000000-0005-0000-0000-000080020000}"/>
    <cellStyle name="計算 3 2 6" xfId="716" xr:uid="{00000000-0005-0000-0000-000081020000}"/>
    <cellStyle name="計算 3 2 6 2" xfId="1418" xr:uid="{00000000-0005-0000-0000-000082020000}"/>
    <cellStyle name="計算 3 3" xfId="337" xr:uid="{00000000-0005-0000-0000-000083020000}"/>
    <cellStyle name="計算 3 3 2" xfId="338" xr:uid="{00000000-0005-0000-0000-000084020000}"/>
    <cellStyle name="計算 3 3 2 2" xfId="803" xr:uid="{00000000-0005-0000-0000-000085020000}"/>
    <cellStyle name="計算 3 3 2 2 2" xfId="1501" xr:uid="{00000000-0005-0000-0000-000086020000}"/>
    <cellStyle name="計算 3 3 3" xfId="339" xr:uid="{00000000-0005-0000-0000-000087020000}"/>
    <cellStyle name="計算 3 3 3 2" xfId="804" xr:uid="{00000000-0005-0000-0000-000088020000}"/>
    <cellStyle name="計算 3 3 3 2 2" xfId="1502" xr:uid="{00000000-0005-0000-0000-000089020000}"/>
    <cellStyle name="計算 3 3 4" xfId="340" xr:uid="{00000000-0005-0000-0000-00008A020000}"/>
    <cellStyle name="計算 3 3 4 2" xfId="805" xr:uid="{00000000-0005-0000-0000-00008B020000}"/>
    <cellStyle name="計算 3 3 4 2 2" xfId="1503" xr:uid="{00000000-0005-0000-0000-00008C020000}"/>
    <cellStyle name="計算 3 3 5" xfId="699" xr:uid="{00000000-0005-0000-0000-00008D020000}"/>
    <cellStyle name="計算 3 3 5 2" xfId="1409" xr:uid="{00000000-0005-0000-0000-00008E020000}"/>
    <cellStyle name="計算 3 4" xfId="648" xr:uid="{00000000-0005-0000-0000-00008F020000}"/>
    <cellStyle name="計算 3 4 2" xfId="806" xr:uid="{00000000-0005-0000-0000-000090020000}"/>
    <cellStyle name="計算 3 4 2 2" xfId="1504" xr:uid="{00000000-0005-0000-0000-000091020000}"/>
    <cellStyle name="計算 4" xfId="341" xr:uid="{00000000-0005-0000-0000-000092020000}"/>
    <cellStyle name="計算 4 2" xfId="807" xr:uid="{00000000-0005-0000-0000-000093020000}"/>
    <cellStyle name="計算 4 2 2" xfId="1505" xr:uid="{00000000-0005-0000-0000-000094020000}"/>
    <cellStyle name="計算 5" xfId="342" xr:uid="{00000000-0005-0000-0000-000095020000}"/>
    <cellStyle name="計算 5 2" xfId="808" xr:uid="{00000000-0005-0000-0000-000096020000}"/>
    <cellStyle name="計算 5 2 2" xfId="1506" xr:uid="{00000000-0005-0000-0000-000097020000}"/>
    <cellStyle name="計算 6" xfId="343" xr:uid="{00000000-0005-0000-0000-000098020000}"/>
    <cellStyle name="計算 6 2" xfId="809" xr:uid="{00000000-0005-0000-0000-000099020000}"/>
    <cellStyle name="計算 6 2 2" xfId="1507" xr:uid="{00000000-0005-0000-0000-00009A020000}"/>
    <cellStyle name="計算 7" xfId="690" xr:uid="{00000000-0005-0000-0000-00009B020000}"/>
    <cellStyle name="計算 7 2" xfId="1402" xr:uid="{00000000-0005-0000-0000-00009C020000}"/>
    <cellStyle name="警告文 2" xfId="344" xr:uid="{00000000-0005-0000-0000-00009D020000}"/>
    <cellStyle name="警告文 2 2" xfId="345" xr:uid="{00000000-0005-0000-0000-00009E020000}"/>
    <cellStyle name="警告文 2 3" xfId="649" xr:uid="{00000000-0005-0000-0000-00009F020000}"/>
    <cellStyle name="警告文 3" xfId="346" xr:uid="{00000000-0005-0000-0000-0000A0020000}"/>
    <cellStyle name="警告文 3 2" xfId="347" xr:uid="{00000000-0005-0000-0000-0000A1020000}"/>
    <cellStyle name="警告文 3 3" xfId="650" xr:uid="{00000000-0005-0000-0000-0000A2020000}"/>
    <cellStyle name="警告文 4" xfId="564" xr:uid="{00000000-0005-0000-0000-0000A3020000}"/>
    <cellStyle name="桁蟻唇Ｆ [0.00]_laroux" xfId="348" xr:uid="{00000000-0005-0000-0000-0000A4020000}"/>
    <cellStyle name="桁蟻唇Ｆ_laroux" xfId="349" xr:uid="{00000000-0005-0000-0000-0000A5020000}"/>
    <cellStyle name="桁区切り 2" xfId="350" xr:uid="{00000000-0005-0000-0000-0000A6020000}"/>
    <cellStyle name="桁区切り 2 10" xfId="1764" xr:uid="{00000000-0005-0000-0000-0000A7020000}"/>
    <cellStyle name="桁区切り 2 11" xfId="1184" xr:uid="{00000000-0005-0000-0000-0000A8020000}"/>
    <cellStyle name="桁区切り 2 12" xfId="1071" xr:uid="{00000000-0005-0000-0000-0000A9020000}"/>
    <cellStyle name="桁区切り 2 2" xfId="351" xr:uid="{00000000-0005-0000-0000-0000AA020000}"/>
    <cellStyle name="桁区切り 2 2 10" xfId="1072" xr:uid="{00000000-0005-0000-0000-0000AB020000}"/>
    <cellStyle name="桁区切り 2 2 2" xfId="810" xr:uid="{00000000-0005-0000-0000-0000AC020000}"/>
    <cellStyle name="桁区切り 2 2 2 2" xfId="915" xr:uid="{00000000-0005-0000-0000-0000AD020000}"/>
    <cellStyle name="桁区切り 2 2 2 2 2" xfId="1026" xr:uid="{00000000-0005-0000-0000-0000AE020000}"/>
    <cellStyle name="桁区切り 2 2 2 2 2 2" xfId="1609" xr:uid="{00000000-0005-0000-0000-0000AF020000}"/>
    <cellStyle name="桁区切り 2 2 2 2 3" xfId="1719" xr:uid="{00000000-0005-0000-0000-0000B0020000}"/>
    <cellStyle name="桁区切り 2 2 2 2 4" xfId="1829" xr:uid="{00000000-0005-0000-0000-0000B1020000}"/>
    <cellStyle name="桁区切り 2 2 2 2 5" xfId="1214" xr:uid="{00000000-0005-0000-0000-0000B2020000}"/>
    <cellStyle name="桁区切り 2 2 2 2 6" xfId="1136" xr:uid="{00000000-0005-0000-0000-0000B3020000}"/>
    <cellStyle name="桁区切り 2 2 2 3" xfId="928" xr:uid="{00000000-0005-0000-0000-0000B4020000}"/>
    <cellStyle name="桁区切り 2 2 2 3 2" xfId="1059" xr:uid="{00000000-0005-0000-0000-0000B5020000}"/>
    <cellStyle name="桁区切り 2 2 2 3 2 2" xfId="1642" xr:uid="{00000000-0005-0000-0000-0000B6020000}"/>
    <cellStyle name="桁区切り 2 2 2 3 3" xfId="1752" xr:uid="{00000000-0005-0000-0000-0000B7020000}"/>
    <cellStyle name="桁区切り 2 2 2 3 4" xfId="1862" xr:uid="{00000000-0005-0000-0000-0000B8020000}"/>
    <cellStyle name="桁区切り 2 2 2 3 5" xfId="1215" xr:uid="{00000000-0005-0000-0000-0000B9020000}"/>
    <cellStyle name="桁区切り 2 2 2 3 6" xfId="1169" xr:uid="{00000000-0005-0000-0000-0000BA020000}"/>
    <cellStyle name="桁区切り 2 2 2 4" xfId="994" xr:uid="{00000000-0005-0000-0000-0000BB020000}"/>
    <cellStyle name="桁区切り 2 2 2 4 2" xfId="1508" xr:uid="{00000000-0005-0000-0000-0000BC020000}"/>
    <cellStyle name="桁区切り 2 2 2 5" xfId="1687" xr:uid="{00000000-0005-0000-0000-0000BD020000}"/>
    <cellStyle name="桁区切り 2 2 2 6" xfId="1797" xr:uid="{00000000-0005-0000-0000-0000BE020000}"/>
    <cellStyle name="桁区切り 2 2 2 7" xfId="1202" xr:uid="{00000000-0005-0000-0000-0000BF020000}"/>
    <cellStyle name="桁区切り 2 2 2 8" xfId="1104" xr:uid="{00000000-0005-0000-0000-0000C0020000}"/>
    <cellStyle name="桁区切り 2 2 3" xfId="651" xr:uid="{00000000-0005-0000-0000-0000C1020000}"/>
    <cellStyle name="桁区切り 2 2 3 2" xfId="978" xr:uid="{00000000-0005-0000-0000-0000C2020000}"/>
    <cellStyle name="桁区切り 2 2 3 2 2" xfId="1385" xr:uid="{00000000-0005-0000-0000-0000C3020000}"/>
    <cellStyle name="桁区切り 2 2 3 3" xfId="1671" xr:uid="{00000000-0005-0000-0000-0000C4020000}"/>
    <cellStyle name="桁区切り 2 2 3 4" xfId="1781" xr:uid="{00000000-0005-0000-0000-0000C5020000}"/>
    <cellStyle name="桁区切り 2 2 3 5" xfId="1216" xr:uid="{00000000-0005-0000-0000-0000C6020000}"/>
    <cellStyle name="桁区切り 2 2 3 6" xfId="1088" xr:uid="{00000000-0005-0000-0000-0000C7020000}"/>
    <cellStyle name="桁区切り 2 2 4" xfId="899" xr:uid="{00000000-0005-0000-0000-0000C8020000}"/>
    <cellStyle name="桁区切り 2 2 4 2" xfId="1010" xr:uid="{00000000-0005-0000-0000-0000C9020000}"/>
    <cellStyle name="桁区切り 2 2 4 2 2" xfId="1593" xr:uid="{00000000-0005-0000-0000-0000CA020000}"/>
    <cellStyle name="桁区切り 2 2 4 3" xfId="1703" xr:uid="{00000000-0005-0000-0000-0000CB020000}"/>
    <cellStyle name="桁区切り 2 2 4 4" xfId="1813" xr:uid="{00000000-0005-0000-0000-0000CC020000}"/>
    <cellStyle name="桁区切り 2 2 4 5" xfId="1217" xr:uid="{00000000-0005-0000-0000-0000CD020000}"/>
    <cellStyle name="桁区切り 2 2 4 6" xfId="1120" xr:uid="{00000000-0005-0000-0000-0000CE020000}"/>
    <cellStyle name="桁区切り 2 2 5" xfId="929" xr:uid="{00000000-0005-0000-0000-0000CF020000}"/>
    <cellStyle name="桁区切り 2 2 5 2" xfId="1043" xr:uid="{00000000-0005-0000-0000-0000D0020000}"/>
    <cellStyle name="桁区切り 2 2 5 2 2" xfId="1626" xr:uid="{00000000-0005-0000-0000-0000D1020000}"/>
    <cellStyle name="桁区切り 2 2 5 3" xfId="1736" xr:uid="{00000000-0005-0000-0000-0000D2020000}"/>
    <cellStyle name="桁区切り 2 2 5 4" xfId="1846" xr:uid="{00000000-0005-0000-0000-0000D3020000}"/>
    <cellStyle name="桁区切り 2 2 5 5" xfId="1218" xr:uid="{00000000-0005-0000-0000-0000D4020000}"/>
    <cellStyle name="桁区切り 2 2 5 6" xfId="1153" xr:uid="{00000000-0005-0000-0000-0000D5020000}"/>
    <cellStyle name="桁区切り 2 2 6" xfId="962" xr:uid="{00000000-0005-0000-0000-0000D6020000}"/>
    <cellStyle name="桁区切り 2 2 6 2" xfId="1317" xr:uid="{00000000-0005-0000-0000-0000D7020000}"/>
    <cellStyle name="桁区切り 2 2 7" xfId="1655" xr:uid="{00000000-0005-0000-0000-0000D8020000}"/>
    <cellStyle name="桁区切り 2 2 8" xfId="1765" xr:uid="{00000000-0005-0000-0000-0000D9020000}"/>
    <cellStyle name="桁区切り 2 2 9" xfId="1186" xr:uid="{00000000-0005-0000-0000-0000DA020000}"/>
    <cellStyle name="桁区切り 2 3" xfId="652" xr:uid="{00000000-0005-0000-0000-0000DB020000}"/>
    <cellStyle name="桁区切り 2 3 2" xfId="811" xr:uid="{00000000-0005-0000-0000-0000DC020000}"/>
    <cellStyle name="桁区切り 2 3 2 2" xfId="916" xr:uid="{00000000-0005-0000-0000-0000DD020000}"/>
    <cellStyle name="桁区切り 2 3 2 2 2" xfId="1027" xr:uid="{00000000-0005-0000-0000-0000DE020000}"/>
    <cellStyle name="桁区切り 2 3 2 2 2 2" xfId="1610" xr:uid="{00000000-0005-0000-0000-0000DF020000}"/>
    <cellStyle name="桁区切り 2 3 2 2 3" xfId="1720" xr:uid="{00000000-0005-0000-0000-0000E0020000}"/>
    <cellStyle name="桁区切り 2 3 2 2 4" xfId="1830" xr:uid="{00000000-0005-0000-0000-0000E1020000}"/>
    <cellStyle name="桁区切り 2 3 2 2 5" xfId="1219" xr:uid="{00000000-0005-0000-0000-0000E2020000}"/>
    <cellStyle name="桁区切り 2 3 2 2 6" xfId="1137" xr:uid="{00000000-0005-0000-0000-0000E3020000}"/>
    <cellStyle name="桁区切り 2 3 2 3" xfId="930" xr:uid="{00000000-0005-0000-0000-0000E4020000}"/>
    <cellStyle name="桁区切り 2 3 2 3 2" xfId="1060" xr:uid="{00000000-0005-0000-0000-0000E5020000}"/>
    <cellStyle name="桁区切り 2 3 2 3 2 2" xfId="1643" xr:uid="{00000000-0005-0000-0000-0000E6020000}"/>
    <cellStyle name="桁区切り 2 3 2 3 3" xfId="1753" xr:uid="{00000000-0005-0000-0000-0000E7020000}"/>
    <cellStyle name="桁区切り 2 3 2 3 4" xfId="1863" xr:uid="{00000000-0005-0000-0000-0000E8020000}"/>
    <cellStyle name="桁区切り 2 3 2 3 5" xfId="1220" xr:uid="{00000000-0005-0000-0000-0000E9020000}"/>
    <cellStyle name="桁区切り 2 3 2 3 6" xfId="1170" xr:uid="{00000000-0005-0000-0000-0000EA020000}"/>
    <cellStyle name="桁区切り 2 3 2 4" xfId="995" xr:uid="{00000000-0005-0000-0000-0000EB020000}"/>
    <cellStyle name="桁区切り 2 3 2 4 2" xfId="1509" xr:uid="{00000000-0005-0000-0000-0000EC020000}"/>
    <cellStyle name="桁区切り 2 3 2 5" xfId="1688" xr:uid="{00000000-0005-0000-0000-0000ED020000}"/>
    <cellStyle name="桁区切り 2 3 2 6" xfId="1798" xr:uid="{00000000-0005-0000-0000-0000EE020000}"/>
    <cellStyle name="桁区切り 2 3 2 7" xfId="1203" xr:uid="{00000000-0005-0000-0000-0000EF020000}"/>
    <cellStyle name="桁区切り 2 3 2 8" xfId="1105" xr:uid="{00000000-0005-0000-0000-0000F0020000}"/>
    <cellStyle name="桁区切り 2 3 3" xfId="900" xr:uid="{00000000-0005-0000-0000-0000F1020000}"/>
    <cellStyle name="桁区切り 2 3 3 2" xfId="1011" xr:uid="{00000000-0005-0000-0000-0000F2020000}"/>
    <cellStyle name="桁区切り 2 3 3 2 2" xfId="1594" xr:uid="{00000000-0005-0000-0000-0000F3020000}"/>
    <cellStyle name="桁区切り 2 3 3 3" xfId="1704" xr:uid="{00000000-0005-0000-0000-0000F4020000}"/>
    <cellStyle name="桁区切り 2 3 3 4" xfId="1814" xr:uid="{00000000-0005-0000-0000-0000F5020000}"/>
    <cellStyle name="桁区切り 2 3 3 5" xfId="1221" xr:uid="{00000000-0005-0000-0000-0000F6020000}"/>
    <cellStyle name="桁区切り 2 3 3 6" xfId="1121" xr:uid="{00000000-0005-0000-0000-0000F7020000}"/>
    <cellStyle name="桁区切り 2 3 4" xfId="931" xr:uid="{00000000-0005-0000-0000-0000F8020000}"/>
    <cellStyle name="桁区切り 2 3 4 2" xfId="1044" xr:uid="{00000000-0005-0000-0000-0000F9020000}"/>
    <cellStyle name="桁区切り 2 3 4 2 2" xfId="1627" xr:uid="{00000000-0005-0000-0000-0000FA020000}"/>
    <cellStyle name="桁区切り 2 3 4 3" xfId="1737" xr:uid="{00000000-0005-0000-0000-0000FB020000}"/>
    <cellStyle name="桁区切り 2 3 4 4" xfId="1847" xr:uid="{00000000-0005-0000-0000-0000FC020000}"/>
    <cellStyle name="桁区切り 2 3 4 5" xfId="1222" xr:uid="{00000000-0005-0000-0000-0000FD020000}"/>
    <cellStyle name="桁区切り 2 3 4 6" xfId="1154" xr:uid="{00000000-0005-0000-0000-0000FE020000}"/>
    <cellStyle name="桁区切り 2 3 5" xfId="979" xr:uid="{00000000-0005-0000-0000-0000FF020000}"/>
    <cellStyle name="桁区切り 2 3 5 2" xfId="1386" xr:uid="{00000000-0005-0000-0000-000000030000}"/>
    <cellStyle name="桁区切り 2 3 6" xfId="1672" xr:uid="{00000000-0005-0000-0000-000001030000}"/>
    <cellStyle name="桁区切り 2 3 7" xfId="1782" xr:uid="{00000000-0005-0000-0000-000002030000}"/>
    <cellStyle name="桁区切り 2 3 8" xfId="1187" xr:uid="{00000000-0005-0000-0000-000003030000}"/>
    <cellStyle name="桁区切り 2 3 9" xfId="1089" xr:uid="{00000000-0005-0000-0000-000004030000}"/>
    <cellStyle name="桁区切り 2 4" xfId="708" xr:uid="{00000000-0005-0000-0000-000005030000}"/>
    <cellStyle name="桁区切り 2 4 2" xfId="913" xr:uid="{00000000-0005-0000-0000-000006030000}"/>
    <cellStyle name="桁区切り 2 4 2 2" xfId="1024" xr:uid="{00000000-0005-0000-0000-000007030000}"/>
    <cellStyle name="桁区切り 2 4 2 2 2" xfId="1607" xr:uid="{00000000-0005-0000-0000-000008030000}"/>
    <cellStyle name="桁区切り 2 4 2 3" xfId="1717" xr:uid="{00000000-0005-0000-0000-000009030000}"/>
    <cellStyle name="桁区切り 2 4 2 4" xfId="1827" xr:uid="{00000000-0005-0000-0000-00000A030000}"/>
    <cellStyle name="桁区切り 2 4 2 5" xfId="1223" xr:uid="{00000000-0005-0000-0000-00000B030000}"/>
    <cellStyle name="桁区切り 2 4 2 6" xfId="1134" xr:uid="{00000000-0005-0000-0000-00000C030000}"/>
    <cellStyle name="桁区切り 2 4 3" xfId="932" xr:uid="{00000000-0005-0000-0000-00000D030000}"/>
    <cellStyle name="桁区切り 2 4 3 2" xfId="1057" xr:uid="{00000000-0005-0000-0000-00000E030000}"/>
    <cellStyle name="桁区切り 2 4 3 2 2" xfId="1640" xr:uid="{00000000-0005-0000-0000-00000F030000}"/>
    <cellStyle name="桁区切り 2 4 3 3" xfId="1750" xr:uid="{00000000-0005-0000-0000-000010030000}"/>
    <cellStyle name="桁区切り 2 4 3 4" xfId="1860" xr:uid="{00000000-0005-0000-0000-000011030000}"/>
    <cellStyle name="桁区切り 2 4 3 5" xfId="1224" xr:uid="{00000000-0005-0000-0000-000012030000}"/>
    <cellStyle name="桁区切り 2 4 3 6" xfId="1167" xr:uid="{00000000-0005-0000-0000-000013030000}"/>
    <cellStyle name="桁区切り 2 4 4" xfId="992" xr:uid="{00000000-0005-0000-0000-000014030000}"/>
    <cellStyle name="桁区切り 2 4 4 2" xfId="1414" xr:uid="{00000000-0005-0000-0000-000015030000}"/>
    <cellStyle name="桁区切り 2 4 5" xfId="1685" xr:uid="{00000000-0005-0000-0000-000016030000}"/>
    <cellStyle name="桁区切り 2 4 6" xfId="1795" xr:uid="{00000000-0005-0000-0000-000017030000}"/>
    <cellStyle name="桁区切り 2 4 7" xfId="1200" xr:uid="{00000000-0005-0000-0000-000018030000}"/>
    <cellStyle name="桁区切り 2 4 8" xfId="1102" xr:uid="{00000000-0005-0000-0000-000019030000}"/>
    <cellStyle name="桁区切り 2 5" xfId="575" xr:uid="{00000000-0005-0000-0000-00001A030000}"/>
    <cellStyle name="桁区切り 2 5 2" xfId="976" xr:uid="{00000000-0005-0000-0000-00001B030000}"/>
    <cellStyle name="桁区切り 2 5 2 2" xfId="1373" xr:uid="{00000000-0005-0000-0000-00001C030000}"/>
    <cellStyle name="桁区切り 2 5 3" xfId="1669" xr:uid="{00000000-0005-0000-0000-00001D030000}"/>
    <cellStyle name="桁区切り 2 5 4" xfId="1779" xr:uid="{00000000-0005-0000-0000-00001E030000}"/>
    <cellStyle name="桁区切り 2 5 5" xfId="1225" xr:uid="{00000000-0005-0000-0000-00001F030000}"/>
    <cellStyle name="桁区切り 2 5 6" xfId="1086" xr:uid="{00000000-0005-0000-0000-000020030000}"/>
    <cellStyle name="桁区切り 2 6" xfId="897" xr:uid="{00000000-0005-0000-0000-000021030000}"/>
    <cellStyle name="桁区切り 2 6 2" xfId="1008" xr:uid="{00000000-0005-0000-0000-000022030000}"/>
    <cellStyle name="桁区切り 2 6 2 2" xfId="1591" xr:uid="{00000000-0005-0000-0000-000023030000}"/>
    <cellStyle name="桁区切り 2 6 3" xfId="1701" xr:uid="{00000000-0005-0000-0000-000024030000}"/>
    <cellStyle name="桁区切り 2 6 4" xfId="1811" xr:uid="{00000000-0005-0000-0000-000025030000}"/>
    <cellStyle name="桁区切り 2 6 5" xfId="1226" xr:uid="{00000000-0005-0000-0000-000026030000}"/>
    <cellStyle name="桁区切り 2 6 6" xfId="1118" xr:uid="{00000000-0005-0000-0000-000027030000}"/>
    <cellStyle name="桁区切り 2 7" xfId="933" xr:uid="{00000000-0005-0000-0000-000028030000}"/>
    <cellStyle name="桁区切り 2 7 2" xfId="1041" xr:uid="{00000000-0005-0000-0000-000029030000}"/>
    <cellStyle name="桁区切り 2 7 2 2" xfId="1624" xr:uid="{00000000-0005-0000-0000-00002A030000}"/>
    <cellStyle name="桁区切り 2 7 3" xfId="1734" xr:uid="{00000000-0005-0000-0000-00002B030000}"/>
    <cellStyle name="桁区切り 2 7 4" xfId="1844" xr:uid="{00000000-0005-0000-0000-00002C030000}"/>
    <cellStyle name="桁区切り 2 7 5" xfId="1227" xr:uid="{00000000-0005-0000-0000-00002D030000}"/>
    <cellStyle name="桁区切り 2 7 6" xfId="1151" xr:uid="{00000000-0005-0000-0000-00002E030000}"/>
    <cellStyle name="桁区切り 2 8" xfId="961" xr:uid="{00000000-0005-0000-0000-00002F030000}"/>
    <cellStyle name="桁区切り 2 8 2" xfId="1316" xr:uid="{00000000-0005-0000-0000-000030030000}"/>
    <cellStyle name="桁区切り 2 9" xfId="1654" xr:uid="{00000000-0005-0000-0000-000031030000}"/>
    <cellStyle name="見出し 1 2" xfId="352" xr:uid="{00000000-0005-0000-0000-000032030000}"/>
    <cellStyle name="見出し 1 2 2" xfId="353" xr:uid="{00000000-0005-0000-0000-000033030000}"/>
    <cellStyle name="見出し 1 2 3" xfId="653" xr:uid="{00000000-0005-0000-0000-000034030000}"/>
    <cellStyle name="見出し 1 3" xfId="354" xr:uid="{00000000-0005-0000-0000-000035030000}"/>
    <cellStyle name="見出し 1 3 2" xfId="355" xr:uid="{00000000-0005-0000-0000-000036030000}"/>
    <cellStyle name="見出し 1 3 3" xfId="654" xr:uid="{00000000-0005-0000-0000-000037030000}"/>
    <cellStyle name="見出し 1 4" xfId="565" xr:uid="{00000000-0005-0000-0000-000038030000}"/>
    <cellStyle name="見出し 2 2" xfId="356" xr:uid="{00000000-0005-0000-0000-000039030000}"/>
    <cellStyle name="見出し 2 2 2" xfId="357" xr:uid="{00000000-0005-0000-0000-00003A030000}"/>
    <cellStyle name="見出し 2 2 3" xfId="655" xr:uid="{00000000-0005-0000-0000-00003B030000}"/>
    <cellStyle name="見出し 2 3" xfId="358" xr:uid="{00000000-0005-0000-0000-00003C030000}"/>
    <cellStyle name="見出し 2 3 2" xfId="359" xr:uid="{00000000-0005-0000-0000-00003D030000}"/>
    <cellStyle name="見出し 2 3 3" xfId="656" xr:uid="{00000000-0005-0000-0000-00003E030000}"/>
    <cellStyle name="見出し 2 4" xfId="566" xr:uid="{00000000-0005-0000-0000-00003F030000}"/>
    <cellStyle name="見出し 3 2" xfId="360" xr:uid="{00000000-0005-0000-0000-000040030000}"/>
    <cellStyle name="見出し 3 2 2" xfId="361" xr:uid="{00000000-0005-0000-0000-000041030000}"/>
    <cellStyle name="見出し 3 2 3" xfId="657" xr:uid="{00000000-0005-0000-0000-000042030000}"/>
    <cellStyle name="見出し 3 3" xfId="362" xr:uid="{00000000-0005-0000-0000-000043030000}"/>
    <cellStyle name="見出し 3 3 2" xfId="363" xr:uid="{00000000-0005-0000-0000-000044030000}"/>
    <cellStyle name="見出し 3 3 3" xfId="658" xr:uid="{00000000-0005-0000-0000-000045030000}"/>
    <cellStyle name="見出し 3 4" xfId="567" xr:uid="{00000000-0005-0000-0000-000046030000}"/>
    <cellStyle name="見出し 4 2" xfId="364" xr:uid="{00000000-0005-0000-0000-000047030000}"/>
    <cellStyle name="見出し 4 2 2" xfId="365" xr:uid="{00000000-0005-0000-0000-000048030000}"/>
    <cellStyle name="見出し 4 2 3" xfId="659" xr:uid="{00000000-0005-0000-0000-000049030000}"/>
    <cellStyle name="見出し 4 3" xfId="366" xr:uid="{00000000-0005-0000-0000-00004A030000}"/>
    <cellStyle name="見出し 4 3 2" xfId="367" xr:uid="{00000000-0005-0000-0000-00004B030000}"/>
    <cellStyle name="見出し 4 3 3" xfId="660" xr:uid="{00000000-0005-0000-0000-00004C030000}"/>
    <cellStyle name="見出し 4 4" xfId="568" xr:uid="{00000000-0005-0000-0000-00004D030000}"/>
    <cellStyle name="取り消し線" xfId="368" xr:uid="{00000000-0005-0000-0000-00004E030000}"/>
    <cellStyle name="集計 2" xfId="369" xr:uid="{00000000-0005-0000-0000-00004F030000}"/>
    <cellStyle name="集計 2 2" xfId="370" xr:uid="{00000000-0005-0000-0000-000050030000}"/>
    <cellStyle name="集計 2 2 2" xfId="371" xr:uid="{00000000-0005-0000-0000-000051030000}"/>
    <cellStyle name="集計 2 2 2 2" xfId="372" xr:uid="{00000000-0005-0000-0000-000052030000}"/>
    <cellStyle name="集計 2 2 2 2 2" xfId="812" xr:uid="{00000000-0005-0000-0000-000053030000}"/>
    <cellStyle name="集計 2 2 2 2 2 2" xfId="1510" xr:uid="{00000000-0005-0000-0000-000054030000}"/>
    <cellStyle name="集計 2 2 2 2 3" xfId="1318" xr:uid="{00000000-0005-0000-0000-000055030000}"/>
    <cellStyle name="集計 2 2 2 3" xfId="373" xr:uid="{00000000-0005-0000-0000-000056030000}"/>
    <cellStyle name="集計 2 2 2 3 2" xfId="813" xr:uid="{00000000-0005-0000-0000-000057030000}"/>
    <cellStyle name="集計 2 2 2 3 2 2" xfId="1511" xr:uid="{00000000-0005-0000-0000-000058030000}"/>
    <cellStyle name="集計 2 2 2 3 3" xfId="1319" xr:uid="{00000000-0005-0000-0000-000059030000}"/>
    <cellStyle name="集計 2 2 2 4" xfId="374" xr:uid="{00000000-0005-0000-0000-00005A030000}"/>
    <cellStyle name="集計 2 2 2 4 2" xfId="814" xr:uid="{00000000-0005-0000-0000-00005B030000}"/>
    <cellStyle name="集計 2 2 2 4 2 2" xfId="1512" xr:uid="{00000000-0005-0000-0000-00005C030000}"/>
    <cellStyle name="集計 2 2 2 4 3" xfId="1320" xr:uid="{00000000-0005-0000-0000-00005D030000}"/>
    <cellStyle name="集計 2 2 2 5" xfId="733" xr:uid="{00000000-0005-0000-0000-00005E030000}"/>
    <cellStyle name="集計 2 2 3" xfId="375" xr:uid="{00000000-0005-0000-0000-00005F030000}"/>
    <cellStyle name="集計 2 2 3 2" xfId="815" xr:uid="{00000000-0005-0000-0000-000060030000}"/>
    <cellStyle name="集計 2 2 3 2 2" xfId="1513" xr:uid="{00000000-0005-0000-0000-000061030000}"/>
    <cellStyle name="集計 2 2 3 3" xfId="1321" xr:uid="{00000000-0005-0000-0000-000062030000}"/>
    <cellStyle name="集計 2 2 4" xfId="376" xr:uid="{00000000-0005-0000-0000-000063030000}"/>
    <cellStyle name="集計 2 2 4 2" xfId="816" xr:uid="{00000000-0005-0000-0000-000064030000}"/>
    <cellStyle name="集計 2 2 4 2 2" xfId="1514" xr:uid="{00000000-0005-0000-0000-000065030000}"/>
    <cellStyle name="集計 2 2 4 3" xfId="1322" xr:uid="{00000000-0005-0000-0000-000066030000}"/>
    <cellStyle name="集計 2 2 5" xfId="377" xr:uid="{00000000-0005-0000-0000-000067030000}"/>
    <cellStyle name="集計 2 2 5 2" xfId="817" xr:uid="{00000000-0005-0000-0000-000068030000}"/>
    <cellStyle name="集計 2 2 5 2 2" xfId="1515" xr:uid="{00000000-0005-0000-0000-000069030000}"/>
    <cellStyle name="集計 2 2 5 3" xfId="1323" xr:uid="{00000000-0005-0000-0000-00006A030000}"/>
    <cellStyle name="集計 2 2 6" xfId="715" xr:uid="{00000000-0005-0000-0000-00006B030000}"/>
    <cellStyle name="集計 2 3" xfId="378" xr:uid="{00000000-0005-0000-0000-00006C030000}"/>
    <cellStyle name="集計 2 3 2" xfId="379" xr:uid="{00000000-0005-0000-0000-00006D030000}"/>
    <cellStyle name="集計 2 3 2 2" xfId="818" xr:uid="{00000000-0005-0000-0000-00006E030000}"/>
    <cellStyle name="集計 2 3 2 2 2" xfId="1516" xr:uid="{00000000-0005-0000-0000-00006F030000}"/>
    <cellStyle name="集計 2 3 2 3" xfId="1324" xr:uid="{00000000-0005-0000-0000-000070030000}"/>
    <cellStyle name="集計 2 3 3" xfId="380" xr:uid="{00000000-0005-0000-0000-000071030000}"/>
    <cellStyle name="集計 2 3 3 2" xfId="819" xr:uid="{00000000-0005-0000-0000-000072030000}"/>
    <cellStyle name="集計 2 3 3 2 2" xfId="1517" xr:uid="{00000000-0005-0000-0000-000073030000}"/>
    <cellStyle name="集計 2 3 3 3" xfId="1325" xr:uid="{00000000-0005-0000-0000-000074030000}"/>
    <cellStyle name="集計 2 3 4" xfId="381" xr:uid="{00000000-0005-0000-0000-000075030000}"/>
    <cellStyle name="集計 2 3 4 2" xfId="820" xr:uid="{00000000-0005-0000-0000-000076030000}"/>
    <cellStyle name="集計 2 3 4 2 2" xfId="1518" xr:uid="{00000000-0005-0000-0000-000077030000}"/>
    <cellStyle name="集計 2 3 4 3" xfId="1326" xr:uid="{00000000-0005-0000-0000-000078030000}"/>
    <cellStyle name="集計 2 3 5" xfId="700" xr:uid="{00000000-0005-0000-0000-000079030000}"/>
    <cellStyle name="集計 2 4" xfId="661" xr:uid="{00000000-0005-0000-0000-00007A030000}"/>
    <cellStyle name="集計 2 4 2" xfId="821" xr:uid="{00000000-0005-0000-0000-00007B030000}"/>
    <cellStyle name="集計 2 4 2 2" xfId="1519" xr:uid="{00000000-0005-0000-0000-00007C030000}"/>
    <cellStyle name="集計 2 4 3" xfId="1387" xr:uid="{00000000-0005-0000-0000-00007D030000}"/>
    <cellStyle name="集計 3" xfId="382" xr:uid="{00000000-0005-0000-0000-00007E030000}"/>
    <cellStyle name="集計 3 2" xfId="383" xr:uid="{00000000-0005-0000-0000-00007F030000}"/>
    <cellStyle name="集計 3 2 2" xfId="384" xr:uid="{00000000-0005-0000-0000-000080030000}"/>
    <cellStyle name="集計 3 2 2 2" xfId="385" xr:uid="{00000000-0005-0000-0000-000081030000}"/>
    <cellStyle name="集計 3 2 2 2 2" xfId="822" xr:uid="{00000000-0005-0000-0000-000082030000}"/>
    <cellStyle name="集計 3 2 2 2 2 2" xfId="1520" xr:uid="{00000000-0005-0000-0000-000083030000}"/>
    <cellStyle name="集計 3 2 2 2 3" xfId="1327" xr:uid="{00000000-0005-0000-0000-000084030000}"/>
    <cellStyle name="集計 3 2 2 3" xfId="386" xr:uid="{00000000-0005-0000-0000-000085030000}"/>
    <cellStyle name="集計 3 2 2 3 2" xfId="823" xr:uid="{00000000-0005-0000-0000-000086030000}"/>
    <cellStyle name="集計 3 2 2 3 2 2" xfId="1521" xr:uid="{00000000-0005-0000-0000-000087030000}"/>
    <cellStyle name="集計 3 2 2 3 3" xfId="1328" xr:uid="{00000000-0005-0000-0000-000088030000}"/>
    <cellStyle name="集計 3 2 2 4" xfId="387" xr:uid="{00000000-0005-0000-0000-000089030000}"/>
    <cellStyle name="集計 3 2 2 4 2" xfId="824" xr:uid="{00000000-0005-0000-0000-00008A030000}"/>
    <cellStyle name="集計 3 2 2 4 2 2" xfId="1522" xr:uid="{00000000-0005-0000-0000-00008B030000}"/>
    <cellStyle name="集計 3 2 2 4 3" xfId="1329" xr:uid="{00000000-0005-0000-0000-00008C030000}"/>
    <cellStyle name="集計 3 2 2 5" xfId="734" xr:uid="{00000000-0005-0000-0000-00008D030000}"/>
    <cellStyle name="集計 3 2 3" xfId="388" xr:uid="{00000000-0005-0000-0000-00008E030000}"/>
    <cellStyle name="集計 3 2 3 2" xfId="825" xr:uid="{00000000-0005-0000-0000-00008F030000}"/>
    <cellStyle name="集計 3 2 3 2 2" xfId="1523" xr:uid="{00000000-0005-0000-0000-000090030000}"/>
    <cellStyle name="集計 3 2 3 3" xfId="1330" xr:uid="{00000000-0005-0000-0000-000091030000}"/>
    <cellStyle name="集計 3 2 4" xfId="389" xr:uid="{00000000-0005-0000-0000-000092030000}"/>
    <cellStyle name="集計 3 2 4 2" xfId="826" xr:uid="{00000000-0005-0000-0000-000093030000}"/>
    <cellStyle name="集計 3 2 4 2 2" xfId="1524" xr:uid="{00000000-0005-0000-0000-000094030000}"/>
    <cellStyle name="集計 3 2 4 3" xfId="1331" xr:uid="{00000000-0005-0000-0000-000095030000}"/>
    <cellStyle name="集計 3 2 5" xfId="390" xr:uid="{00000000-0005-0000-0000-000096030000}"/>
    <cellStyle name="集計 3 2 5 2" xfId="827" xr:uid="{00000000-0005-0000-0000-000097030000}"/>
    <cellStyle name="集計 3 2 5 2 2" xfId="1525" xr:uid="{00000000-0005-0000-0000-000098030000}"/>
    <cellStyle name="集計 3 2 5 3" xfId="1332" xr:uid="{00000000-0005-0000-0000-000099030000}"/>
    <cellStyle name="集計 3 2 6" xfId="714" xr:uid="{00000000-0005-0000-0000-00009A030000}"/>
    <cellStyle name="集計 3 3" xfId="391" xr:uid="{00000000-0005-0000-0000-00009B030000}"/>
    <cellStyle name="集計 3 3 2" xfId="392" xr:uid="{00000000-0005-0000-0000-00009C030000}"/>
    <cellStyle name="集計 3 3 2 2" xfId="828" xr:uid="{00000000-0005-0000-0000-00009D030000}"/>
    <cellStyle name="集計 3 3 2 2 2" xfId="1526" xr:uid="{00000000-0005-0000-0000-00009E030000}"/>
    <cellStyle name="集計 3 3 2 3" xfId="1333" xr:uid="{00000000-0005-0000-0000-00009F030000}"/>
    <cellStyle name="集計 3 3 3" xfId="393" xr:uid="{00000000-0005-0000-0000-0000A0030000}"/>
    <cellStyle name="集計 3 3 3 2" xfId="829" xr:uid="{00000000-0005-0000-0000-0000A1030000}"/>
    <cellStyle name="集計 3 3 3 2 2" xfId="1527" xr:uid="{00000000-0005-0000-0000-0000A2030000}"/>
    <cellStyle name="集計 3 3 3 3" xfId="1334" xr:uid="{00000000-0005-0000-0000-0000A3030000}"/>
    <cellStyle name="集計 3 3 4" xfId="394" xr:uid="{00000000-0005-0000-0000-0000A4030000}"/>
    <cellStyle name="集計 3 3 4 2" xfId="830" xr:uid="{00000000-0005-0000-0000-0000A5030000}"/>
    <cellStyle name="集計 3 3 4 2 2" xfId="1528" xr:uid="{00000000-0005-0000-0000-0000A6030000}"/>
    <cellStyle name="集計 3 3 4 3" xfId="1335" xr:uid="{00000000-0005-0000-0000-0000A7030000}"/>
    <cellStyle name="集計 3 3 5" xfId="701" xr:uid="{00000000-0005-0000-0000-0000A8030000}"/>
    <cellStyle name="集計 3 4" xfId="662" xr:uid="{00000000-0005-0000-0000-0000A9030000}"/>
    <cellStyle name="集計 3 4 2" xfId="831" xr:uid="{00000000-0005-0000-0000-0000AA030000}"/>
    <cellStyle name="集計 3 4 2 2" xfId="1529" xr:uid="{00000000-0005-0000-0000-0000AB030000}"/>
    <cellStyle name="集計 3 4 3" xfId="1388" xr:uid="{00000000-0005-0000-0000-0000AC030000}"/>
    <cellStyle name="集計 4" xfId="395" xr:uid="{00000000-0005-0000-0000-0000AD030000}"/>
    <cellStyle name="集計 4 2" xfId="832" xr:uid="{00000000-0005-0000-0000-0000AE030000}"/>
    <cellStyle name="集計 4 2 2" xfId="1530" xr:uid="{00000000-0005-0000-0000-0000AF030000}"/>
    <cellStyle name="集計 4 3" xfId="1336" xr:uid="{00000000-0005-0000-0000-0000B0030000}"/>
    <cellStyle name="集計 5" xfId="396" xr:uid="{00000000-0005-0000-0000-0000B1030000}"/>
    <cellStyle name="集計 5 2" xfId="833" xr:uid="{00000000-0005-0000-0000-0000B2030000}"/>
    <cellStyle name="集計 5 2 2" xfId="1531" xr:uid="{00000000-0005-0000-0000-0000B3030000}"/>
    <cellStyle name="集計 5 3" xfId="1337" xr:uid="{00000000-0005-0000-0000-0000B4030000}"/>
    <cellStyle name="集計 6" xfId="397" xr:uid="{00000000-0005-0000-0000-0000B5030000}"/>
    <cellStyle name="集計 6 2" xfId="834" xr:uid="{00000000-0005-0000-0000-0000B6030000}"/>
    <cellStyle name="集計 6 2 2" xfId="1532" xr:uid="{00000000-0005-0000-0000-0000B7030000}"/>
    <cellStyle name="集計 6 3" xfId="1338" xr:uid="{00000000-0005-0000-0000-0000B8030000}"/>
    <cellStyle name="集計 7" xfId="691" xr:uid="{00000000-0005-0000-0000-0000B9030000}"/>
    <cellStyle name="出力 2" xfId="398" xr:uid="{00000000-0005-0000-0000-0000BA030000}"/>
    <cellStyle name="出力 2 2" xfId="399" xr:uid="{00000000-0005-0000-0000-0000BB030000}"/>
    <cellStyle name="出力 2 2 2" xfId="400" xr:uid="{00000000-0005-0000-0000-0000BC030000}"/>
    <cellStyle name="出力 2 2 2 2" xfId="401" xr:uid="{00000000-0005-0000-0000-0000BD030000}"/>
    <cellStyle name="出力 2 2 2 2 2" xfId="835" xr:uid="{00000000-0005-0000-0000-0000BE030000}"/>
    <cellStyle name="出力 2 2 2 2 2 2" xfId="1533" xr:uid="{00000000-0005-0000-0000-0000BF030000}"/>
    <cellStyle name="出力 2 2 2 2 3" xfId="1339" xr:uid="{00000000-0005-0000-0000-0000C0030000}"/>
    <cellStyle name="出力 2 2 2 3" xfId="402" xr:uid="{00000000-0005-0000-0000-0000C1030000}"/>
    <cellStyle name="出力 2 2 2 3 2" xfId="836" xr:uid="{00000000-0005-0000-0000-0000C2030000}"/>
    <cellStyle name="出力 2 2 2 3 2 2" xfId="1534" xr:uid="{00000000-0005-0000-0000-0000C3030000}"/>
    <cellStyle name="出力 2 2 2 3 3" xfId="1340" xr:uid="{00000000-0005-0000-0000-0000C4030000}"/>
    <cellStyle name="出力 2 2 2 4" xfId="403" xr:uid="{00000000-0005-0000-0000-0000C5030000}"/>
    <cellStyle name="出力 2 2 2 4 2" xfId="837" xr:uid="{00000000-0005-0000-0000-0000C6030000}"/>
    <cellStyle name="出力 2 2 2 4 2 2" xfId="1535" xr:uid="{00000000-0005-0000-0000-0000C7030000}"/>
    <cellStyle name="出力 2 2 2 4 3" xfId="1341" xr:uid="{00000000-0005-0000-0000-0000C8030000}"/>
    <cellStyle name="出力 2 2 2 5" xfId="735" xr:uid="{00000000-0005-0000-0000-0000C9030000}"/>
    <cellStyle name="出力 2 2 3" xfId="404" xr:uid="{00000000-0005-0000-0000-0000CA030000}"/>
    <cellStyle name="出力 2 2 3 2" xfId="838" xr:uid="{00000000-0005-0000-0000-0000CB030000}"/>
    <cellStyle name="出力 2 2 3 2 2" xfId="1536" xr:uid="{00000000-0005-0000-0000-0000CC030000}"/>
    <cellStyle name="出力 2 2 3 3" xfId="1342" xr:uid="{00000000-0005-0000-0000-0000CD030000}"/>
    <cellStyle name="出力 2 2 4" xfId="405" xr:uid="{00000000-0005-0000-0000-0000CE030000}"/>
    <cellStyle name="出力 2 2 4 2" xfId="839" xr:uid="{00000000-0005-0000-0000-0000CF030000}"/>
    <cellStyle name="出力 2 2 4 2 2" xfId="1537" xr:uid="{00000000-0005-0000-0000-0000D0030000}"/>
    <cellStyle name="出力 2 2 4 3" xfId="1343" xr:uid="{00000000-0005-0000-0000-0000D1030000}"/>
    <cellStyle name="出力 2 2 5" xfId="406" xr:uid="{00000000-0005-0000-0000-0000D2030000}"/>
    <cellStyle name="出力 2 2 5 2" xfId="840" xr:uid="{00000000-0005-0000-0000-0000D3030000}"/>
    <cellStyle name="出力 2 2 5 2 2" xfId="1538" xr:uid="{00000000-0005-0000-0000-0000D4030000}"/>
    <cellStyle name="出力 2 2 5 3" xfId="1344" xr:uid="{00000000-0005-0000-0000-0000D5030000}"/>
    <cellStyle name="出力 2 2 6" xfId="713" xr:uid="{00000000-0005-0000-0000-0000D6030000}"/>
    <cellStyle name="出力 2 3" xfId="407" xr:uid="{00000000-0005-0000-0000-0000D7030000}"/>
    <cellStyle name="出力 2 3 2" xfId="408" xr:uid="{00000000-0005-0000-0000-0000D8030000}"/>
    <cellStyle name="出力 2 3 2 2" xfId="841" xr:uid="{00000000-0005-0000-0000-0000D9030000}"/>
    <cellStyle name="出力 2 3 2 2 2" xfId="1539" xr:uid="{00000000-0005-0000-0000-0000DA030000}"/>
    <cellStyle name="出力 2 3 2 3" xfId="1345" xr:uid="{00000000-0005-0000-0000-0000DB030000}"/>
    <cellStyle name="出力 2 3 3" xfId="409" xr:uid="{00000000-0005-0000-0000-0000DC030000}"/>
    <cellStyle name="出力 2 3 3 2" xfId="842" xr:uid="{00000000-0005-0000-0000-0000DD030000}"/>
    <cellStyle name="出力 2 3 3 2 2" xfId="1540" xr:uid="{00000000-0005-0000-0000-0000DE030000}"/>
    <cellStyle name="出力 2 3 3 3" xfId="1346" xr:uid="{00000000-0005-0000-0000-0000DF030000}"/>
    <cellStyle name="出力 2 3 4" xfId="410" xr:uid="{00000000-0005-0000-0000-0000E0030000}"/>
    <cellStyle name="出力 2 3 4 2" xfId="843" xr:uid="{00000000-0005-0000-0000-0000E1030000}"/>
    <cellStyle name="出力 2 3 4 2 2" xfId="1541" xr:uid="{00000000-0005-0000-0000-0000E2030000}"/>
    <cellStyle name="出力 2 3 4 3" xfId="1347" xr:uid="{00000000-0005-0000-0000-0000E3030000}"/>
    <cellStyle name="出力 2 3 5" xfId="702" xr:uid="{00000000-0005-0000-0000-0000E4030000}"/>
    <cellStyle name="出力 2 4" xfId="663" xr:uid="{00000000-0005-0000-0000-0000E5030000}"/>
    <cellStyle name="出力 2 4 2" xfId="844" xr:uid="{00000000-0005-0000-0000-0000E6030000}"/>
    <cellStyle name="出力 2 4 2 2" xfId="1542" xr:uid="{00000000-0005-0000-0000-0000E7030000}"/>
    <cellStyle name="出力 2 4 3" xfId="1389" xr:uid="{00000000-0005-0000-0000-0000E8030000}"/>
    <cellStyle name="出力 3" xfId="411" xr:uid="{00000000-0005-0000-0000-0000E9030000}"/>
    <cellStyle name="出力 3 2" xfId="412" xr:uid="{00000000-0005-0000-0000-0000EA030000}"/>
    <cellStyle name="出力 3 2 2" xfId="413" xr:uid="{00000000-0005-0000-0000-0000EB030000}"/>
    <cellStyle name="出力 3 2 2 2" xfId="414" xr:uid="{00000000-0005-0000-0000-0000EC030000}"/>
    <cellStyle name="出力 3 2 2 2 2" xfId="845" xr:uid="{00000000-0005-0000-0000-0000ED030000}"/>
    <cellStyle name="出力 3 2 2 2 2 2" xfId="1543" xr:uid="{00000000-0005-0000-0000-0000EE030000}"/>
    <cellStyle name="出力 3 2 2 2 3" xfId="1348" xr:uid="{00000000-0005-0000-0000-0000EF030000}"/>
    <cellStyle name="出力 3 2 2 3" xfId="415" xr:uid="{00000000-0005-0000-0000-0000F0030000}"/>
    <cellStyle name="出力 3 2 2 3 2" xfId="846" xr:uid="{00000000-0005-0000-0000-0000F1030000}"/>
    <cellStyle name="出力 3 2 2 3 2 2" xfId="1544" xr:uid="{00000000-0005-0000-0000-0000F2030000}"/>
    <cellStyle name="出力 3 2 2 3 3" xfId="1349" xr:uid="{00000000-0005-0000-0000-0000F3030000}"/>
    <cellStyle name="出力 3 2 2 4" xfId="416" xr:uid="{00000000-0005-0000-0000-0000F4030000}"/>
    <cellStyle name="出力 3 2 2 4 2" xfId="847" xr:uid="{00000000-0005-0000-0000-0000F5030000}"/>
    <cellStyle name="出力 3 2 2 4 2 2" xfId="1545" xr:uid="{00000000-0005-0000-0000-0000F6030000}"/>
    <cellStyle name="出力 3 2 2 4 3" xfId="1350" xr:uid="{00000000-0005-0000-0000-0000F7030000}"/>
    <cellStyle name="出力 3 2 2 5" xfId="736" xr:uid="{00000000-0005-0000-0000-0000F8030000}"/>
    <cellStyle name="出力 3 2 3" xfId="417" xr:uid="{00000000-0005-0000-0000-0000F9030000}"/>
    <cellStyle name="出力 3 2 3 2" xfId="848" xr:uid="{00000000-0005-0000-0000-0000FA030000}"/>
    <cellStyle name="出力 3 2 3 2 2" xfId="1546" xr:uid="{00000000-0005-0000-0000-0000FB030000}"/>
    <cellStyle name="出力 3 2 3 3" xfId="1351" xr:uid="{00000000-0005-0000-0000-0000FC030000}"/>
    <cellStyle name="出力 3 2 4" xfId="418" xr:uid="{00000000-0005-0000-0000-0000FD030000}"/>
    <cellStyle name="出力 3 2 4 2" xfId="849" xr:uid="{00000000-0005-0000-0000-0000FE030000}"/>
    <cellStyle name="出力 3 2 4 2 2" xfId="1547" xr:uid="{00000000-0005-0000-0000-0000FF030000}"/>
    <cellStyle name="出力 3 2 4 3" xfId="1352" xr:uid="{00000000-0005-0000-0000-000000040000}"/>
    <cellStyle name="出力 3 2 5" xfId="419" xr:uid="{00000000-0005-0000-0000-000001040000}"/>
    <cellStyle name="出力 3 2 5 2" xfId="850" xr:uid="{00000000-0005-0000-0000-000002040000}"/>
    <cellStyle name="出力 3 2 5 2 2" xfId="1548" xr:uid="{00000000-0005-0000-0000-000003040000}"/>
    <cellStyle name="出力 3 2 5 3" xfId="1353" xr:uid="{00000000-0005-0000-0000-000004040000}"/>
    <cellStyle name="出力 3 2 6" xfId="712" xr:uid="{00000000-0005-0000-0000-000005040000}"/>
    <cellStyle name="出力 3 3" xfId="420" xr:uid="{00000000-0005-0000-0000-000006040000}"/>
    <cellStyle name="出力 3 3 2" xfId="421" xr:uid="{00000000-0005-0000-0000-000007040000}"/>
    <cellStyle name="出力 3 3 2 2" xfId="851" xr:uid="{00000000-0005-0000-0000-000008040000}"/>
    <cellStyle name="出力 3 3 2 2 2" xfId="1549" xr:uid="{00000000-0005-0000-0000-000009040000}"/>
    <cellStyle name="出力 3 3 2 3" xfId="1354" xr:uid="{00000000-0005-0000-0000-00000A040000}"/>
    <cellStyle name="出力 3 3 3" xfId="422" xr:uid="{00000000-0005-0000-0000-00000B040000}"/>
    <cellStyle name="出力 3 3 3 2" xfId="852" xr:uid="{00000000-0005-0000-0000-00000C040000}"/>
    <cellStyle name="出力 3 3 3 2 2" xfId="1550" xr:uid="{00000000-0005-0000-0000-00000D040000}"/>
    <cellStyle name="出力 3 3 3 3" xfId="1355" xr:uid="{00000000-0005-0000-0000-00000E040000}"/>
    <cellStyle name="出力 3 3 4" xfId="423" xr:uid="{00000000-0005-0000-0000-00000F040000}"/>
    <cellStyle name="出力 3 3 4 2" xfId="853" xr:uid="{00000000-0005-0000-0000-000010040000}"/>
    <cellStyle name="出力 3 3 4 2 2" xfId="1551" xr:uid="{00000000-0005-0000-0000-000011040000}"/>
    <cellStyle name="出力 3 3 4 3" xfId="1356" xr:uid="{00000000-0005-0000-0000-000012040000}"/>
    <cellStyle name="出力 3 3 5" xfId="703" xr:uid="{00000000-0005-0000-0000-000013040000}"/>
    <cellStyle name="出力 3 4" xfId="664" xr:uid="{00000000-0005-0000-0000-000014040000}"/>
    <cellStyle name="出力 3 4 2" xfId="854" xr:uid="{00000000-0005-0000-0000-000015040000}"/>
    <cellStyle name="出力 3 4 2 2" xfId="1552" xr:uid="{00000000-0005-0000-0000-000016040000}"/>
    <cellStyle name="出力 3 4 3" xfId="1390" xr:uid="{00000000-0005-0000-0000-000017040000}"/>
    <cellStyle name="出力 4" xfId="424" xr:uid="{00000000-0005-0000-0000-000018040000}"/>
    <cellStyle name="出力 4 2" xfId="855" xr:uid="{00000000-0005-0000-0000-000019040000}"/>
    <cellStyle name="出力 4 2 2" xfId="1553" xr:uid="{00000000-0005-0000-0000-00001A040000}"/>
    <cellStyle name="出力 4 3" xfId="1357" xr:uid="{00000000-0005-0000-0000-00001B040000}"/>
    <cellStyle name="出力 5" xfId="425" xr:uid="{00000000-0005-0000-0000-00001C040000}"/>
    <cellStyle name="出力 5 2" xfId="856" xr:uid="{00000000-0005-0000-0000-00001D040000}"/>
    <cellStyle name="出力 5 2 2" xfId="1554" xr:uid="{00000000-0005-0000-0000-00001E040000}"/>
    <cellStyle name="出力 5 3" xfId="1358" xr:uid="{00000000-0005-0000-0000-00001F040000}"/>
    <cellStyle name="出力 6" xfId="426" xr:uid="{00000000-0005-0000-0000-000020040000}"/>
    <cellStyle name="出力 6 2" xfId="857" xr:uid="{00000000-0005-0000-0000-000021040000}"/>
    <cellStyle name="出力 6 2 2" xfId="1555" xr:uid="{00000000-0005-0000-0000-000022040000}"/>
    <cellStyle name="出力 6 3" xfId="1359" xr:uid="{00000000-0005-0000-0000-000023040000}"/>
    <cellStyle name="出力 7" xfId="692" xr:uid="{00000000-0005-0000-0000-000024040000}"/>
    <cellStyle name="上詰め" xfId="427" xr:uid="{00000000-0005-0000-0000-000025040000}"/>
    <cellStyle name="上詰め 2" xfId="428" xr:uid="{00000000-0005-0000-0000-000026040000}"/>
    <cellStyle name="上詰め＋折返し" xfId="429" xr:uid="{00000000-0005-0000-0000-000027040000}"/>
    <cellStyle name="上詰め＋折返し 2" xfId="430" xr:uid="{00000000-0005-0000-0000-000028040000}"/>
    <cellStyle name="上詰め＋折返し 2 2" xfId="858" xr:uid="{00000000-0005-0000-0000-000029040000}"/>
    <cellStyle name="上詰め＋折返し 3" xfId="431" xr:uid="{00000000-0005-0000-0000-00002A040000}"/>
    <cellStyle name="上詰め＋折返し 3 2" xfId="859" xr:uid="{00000000-0005-0000-0000-00002B040000}"/>
    <cellStyle name="上詰め＋折返し 4" xfId="432" xr:uid="{00000000-0005-0000-0000-00002C040000}"/>
    <cellStyle name="上詰め＋折返し 4 2" xfId="860" xr:uid="{00000000-0005-0000-0000-00002D040000}"/>
    <cellStyle name="上詰め＋折返し 5" xfId="693" xr:uid="{00000000-0005-0000-0000-00002E040000}"/>
    <cellStyle name="上詰め＋折返し 5 2" xfId="1403" xr:uid="{00000000-0005-0000-0000-00002F040000}"/>
    <cellStyle name="常规_TGI-D6611-PrjCode-nn SDP_ENO-R0703-Record of Customer Visiting and Interviewing(中英文对照模板)" xfId="433" xr:uid="{00000000-0005-0000-0000-000030040000}"/>
    <cellStyle name="水城" xfId="434" xr:uid="{00000000-0005-0000-0000-000031040000}"/>
    <cellStyle name="説明文 2" xfId="435" xr:uid="{00000000-0005-0000-0000-000032040000}"/>
    <cellStyle name="説明文 2 2" xfId="436" xr:uid="{00000000-0005-0000-0000-000033040000}"/>
    <cellStyle name="説明文 2 3" xfId="665" xr:uid="{00000000-0005-0000-0000-000034040000}"/>
    <cellStyle name="説明文 3" xfId="437" xr:uid="{00000000-0005-0000-0000-000035040000}"/>
    <cellStyle name="説明文 3 2" xfId="438" xr:uid="{00000000-0005-0000-0000-000036040000}"/>
    <cellStyle name="説明文 3 3" xfId="666" xr:uid="{00000000-0005-0000-0000-000037040000}"/>
    <cellStyle name="説明文 4" xfId="569" xr:uid="{00000000-0005-0000-0000-000038040000}"/>
    <cellStyle name="脱浦 [0.00]_，T×I" xfId="439" xr:uid="{00000000-0005-0000-0000-000039040000}"/>
    <cellStyle name="脱浦_，T×I" xfId="440" xr:uid="{00000000-0005-0000-0000-00003A040000}"/>
    <cellStyle name="中央詰め" xfId="441" xr:uid="{00000000-0005-0000-0000-00003B040000}"/>
    <cellStyle name="中央詰め 2" xfId="442" xr:uid="{00000000-0005-0000-0000-00003C040000}"/>
    <cellStyle name="中央詰め＋折返し" xfId="443" xr:uid="{00000000-0005-0000-0000-00003D040000}"/>
    <cellStyle name="中央詰め＋折返し 2" xfId="444" xr:uid="{00000000-0005-0000-0000-00003E040000}"/>
    <cellStyle name="通浦 [0.00]_laroux" xfId="445" xr:uid="{00000000-0005-0000-0000-00003F040000}"/>
    <cellStyle name="通浦_laroux" xfId="446" xr:uid="{00000000-0005-0000-0000-000040040000}"/>
    <cellStyle name="通貨 [1.00]_ｵｰﾅｰと共同生産事業所の責任分担_１０月度品質保証会議資料" xfId="447" xr:uid="{00000000-0005-0000-0000-000041040000}"/>
    <cellStyle name="通貨 [Ȱ.00]_laࡲoux_（様式２）共同生産責任作業分担表" xfId="448" xr:uid="{00000000-0005-0000-0000-000042040000}"/>
    <cellStyle name="入力 2" xfId="449" xr:uid="{00000000-0005-0000-0000-000043040000}"/>
    <cellStyle name="入力 2 2" xfId="450" xr:uid="{00000000-0005-0000-0000-000044040000}"/>
    <cellStyle name="入力 2 2 2" xfId="451" xr:uid="{00000000-0005-0000-0000-000045040000}"/>
    <cellStyle name="入力 2 2 2 2" xfId="452" xr:uid="{00000000-0005-0000-0000-000046040000}"/>
    <cellStyle name="入力 2 2 2 2 2" xfId="861" xr:uid="{00000000-0005-0000-0000-000047040000}"/>
    <cellStyle name="入力 2 2 2 2 2 2" xfId="1556" xr:uid="{00000000-0005-0000-0000-000048040000}"/>
    <cellStyle name="入力 2 2 2 3" xfId="453" xr:uid="{00000000-0005-0000-0000-000049040000}"/>
    <cellStyle name="入力 2 2 2 3 2" xfId="862" xr:uid="{00000000-0005-0000-0000-00004A040000}"/>
    <cellStyle name="入力 2 2 2 3 2 2" xfId="1557" xr:uid="{00000000-0005-0000-0000-00004B040000}"/>
    <cellStyle name="入力 2 2 2 4" xfId="454" xr:uid="{00000000-0005-0000-0000-00004C040000}"/>
    <cellStyle name="入力 2 2 2 4 2" xfId="863" xr:uid="{00000000-0005-0000-0000-00004D040000}"/>
    <cellStyle name="入力 2 2 2 4 2 2" xfId="1558" xr:uid="{00000000-0005-0000-0000-00004E040000}"/>
    <cellStyle name="入力 2 2 2 5" xfId="737" xr:uid="{00000000-0005-0000-0000-00004F040000}"/>
    <cellStyle name="入力 2 2 2 5 2" xfId="1435" xr:uid="{00000000-0005-0000-0000-000050040000}"/>
    <cellStyle name="入力 2 2 3" xfId="455" xr:uid="{00000000-0005-0000-0000-000051040000}"/>
    <cellStyle name="入力 2 2 3 2" xfId="864" xr:uid="{00000000-0005-0000-0000-000052040000}"/>
    <cellStyle name="入力 2 2 3 2 2" xfId="1559" xr:uid="{00000000-0005-0000-0000-000053040000}"/>
    <cellStyle name="入力 2 2 4" xfId="456" xr:uid="{00000000-0005-0000-0000-000054040000}"/>
    <cellStyle name="入力 2 2 4 2" xfId="865" xr:uid="{00000000-0005-0000-0000-000055040000}"/>
    <cellStyle name="入力 2 2 4 2 2" xfId="1560" xr:uid="{00000000-0005-0000-0000-000056040000}"/>
    <cellStyle name="入力 2 2 5" xfId="457" xr:uid="{00000000-0005-0000-0000-000057040000}"/>
    <cellStyle name="入力 2 2 5 2" xfId="866" xr:uid="{00000000-0005-0000-0000-000058040000}"/>
    <cellStyle name="入力 2 2 5 2 2" xfId="1561" xr:uid="{00000000-0005-0000-0000-000059040000}"/>
    <cellStyle name="入力 2 2 6" xfId="711" xr:uid="{00000000-0005-0000-0000-00005A040000}"/>
    <cellStyle name="入力 2 2 6 2" xfId="1417" xr:uid="{00000000-0005-0000-0000-00005B040000}"/>
    <cellStyle name="入力 2 3" xfId="458" xr:uid="{00000000-0005-0000-0000-00005C040000}"/>
    <cellStyle name="入力 2 3 2" xfId="459" xr:uid="{00000000-0005-0000-0000-00005D040000}"/>
    <cellStyle name="入力 2 3 2 2" xfId="867" xr:uid="{00000000-0005-0000-0000-00005E040000}"/>
    <cellStyle name="入力 2 3 2 2 2" xfId="1562" xr:uid="{00000000-0005-0000-0000-00005F040000}"/>
    <cellStyle name="入力 2 3 3" xfId="460" xr:uid="{00000000-0005-0000-0000-000060040000}"/>
    <cellStyle name="入力 2 3 3 2" xfId="868" xr:uid="{00000000-0005-0000-0000-000061040000}"/>
    <cellStyle name="入力 2 3 3 2 2" xfId="1563" xr:uid="{00000000-0005-0000-0000-000062040000}"/>
    <cellStyle name="入力 2 3 4" xfId="461" xr:uid="{00000000-0005-0000-0000-000063040000}"/>
    <cellStyle name="入力 2 3 4 2" xfId="869" xr:uid="{00000000-0005-0000-0000-000064040000}"/>
    <cellStyle name="入力 2 3 4 2 2" xfId="1564" xr:uid="{00000000-0005-0000-0000-000065040000}"/>
    <cellStyle name="入力 2 3 5" xfId="704" xr:uid="{00000000-0005-0000-0000-000066040000}"/>
    <cellStyle name="入力 2 3 5 2" xfId="1410" xr:uid="{00000000-0005-0000-0000-000067040000}"/>
    <cellStyle name="入力 2 4" xfId="667" xr:uid="{00000000-0005-0000-0000-000068040000}"/>
    <cellStyle name="入力 2 4 2" xfId="870" xr:uid="{00000000-0005-0000-0000-000069040000}"/>
    <cellStyle name="入力 2 4 2 2" xfId="1565" xr:uid="{00000000-0005-0000-0000-00006A040000}"/>
    <cellStyle name="入力 3" xfId="462" xr:uid="{00000000-0005-0000-0000-00006B040000}"/>
    <cellStyle name="入力 3 2" xfId="463" xr:uid="{00000000-0005-0000-0000-00006C040000}"/>
    <cellStyle name="入力 3 2 2" xfId="464" xr:uid="{00000000-0005-0000-0000-00006D040000}"/>
    <cellStyle name="入力 3 2 2 2" xfId="465" xr:uid="{00000000-0005-0000-0000-00006E040000}"/>
    <cellStyle name="入力 3 2 2 2 2" xfId="871" xr:uid="{00000000-0005-0000-0000-00006F040000}"/>
    <cellStyle name="入力 3 2 2 2 2 2" xfId="1566" xr:uid="{00000000-0005-0000-0000-000070040000}"/>
    <cellStyle name="入力 3 2 2 3" xfId="466" xr:uid="{00000000-0005-0000-0000-000071040000}"/>
    <cellStyle name="入力 3 2 2 3 2" xfId="872" xr:uid="{00000000-0005-0000-0000-000072040000}"/>
    <cellStyle name="入力 3 2 2 3 2 2" xfId="1567" xr:uid="{00000000-0005-0000-0000-000073040000}"/>
    <cellStyle name="入力 3 2 2 4" xfId="467" xr:uid="{00000000-0005-0000-0000-000074040000}"/>
    <cellStyle name="入力 3 2 2 4 2" xfId="873" xr:uid="{00000000-0005-0000-0000-000075040000}"/>
    <cellStyle name="入力 3 2 2 4 2 2" xfId="1568" xr:uid="{00000000-0005-0000-0000-000076040000}"/>
    <cellStyle name="入力 3 2 2 5" xfId="738" xr:uid="{00000000-0005-0000-0000-000077040000}"/>
    <cellStyle name="入力 3 2 2 5 2" xfId="1436" xr:uid="{00000000-0005-0000-0000-000078040000}"/>
    <cellStyle name="入力 3 2 3" xfId="468" xr:uid="{00000000-0005-0000-0000-000079040000}"/>
    <cellStyle name="入力 3 2 3 2" xfId="874" xr:uid="{00000000-0005-0000-0000-00007A040000}"/>
    <cellStyle name="入力 3 2 3 2 2" xfId="1569" xr:uid="{00000000-0005-0000-0000-00007B040000}"/>
    <cellStyle name="入力 3 2 4" xfId="469" xr:uid="{00000000-0005-0000-0000-00007C040000}"/>
    <cellStyle name="入力 3 2 4 2" xfId="875" xr:uid="{00000000-0005-0000-0000-00007D040000}"/>
    <cellStyle name="入力 3 2 4 2 2" xfId="1570" xr:uid="{00000000-0005-0000-0000-00007E040000}"/>
    <cellStyle name="入力 3 2 5" xfId="470" xr:uid="{00000000-0005-0000-0000-00007F040000}"/>
    <cellStyle name="入力 3 2 5 2" xfId="876" xr:uid="{00000000-0005-0000-0000-000080040000}"/>
    <cellStyle name="入力 3 2 5 2 2" xfId="1571" xr:uid="{00000000-0005-0000-0000-000081040000}"/>
    <cellStyle name="入力 3 2 6" xfId="710" xr:uid="{00000000-0005-0000-0000-000082040000}"/>
    <cellStyle name="入力 3 2 6 2" xfId="1416" xr:uid="{00000000-0005-0000-0000-000083040000}"/>
    <cellStyle name="入力 3 3" xfId="471" xr:uid="{00000000-0005-0000-0000-000084040000}"/>
    <cellStyle name="入力 3 3 2" xfId="472" xr:uid="{00000000-0005-0000-0000-000085040000}"/>
    <cellStyle name="入力 3 3 2 2" xfId="877" xr:uid="{00000000-0005-0000-0000-000086040000}"/>
    <cellStyle name="入力 3 3 2 2 2" xfId="1572" xr:uid="{00000000-0005-0000-0000-000087040000}"/>
    <cellStyle name="入力 3 3 3" xfId="473" xr:uid="{00000000-0005-0000-0000-000088040000}"/>
    <cellStyle name="入力 3 3 3 2" xfId="878" xr:uid="{00000000-0005-0000-0000-000089040000}"/>
    <cellStyle name="入力 3 3 3 2 2" xfId="1573" xr:uid="{00000000-0005-0000-0000-00008A040000}"/>
    <cellStyle name="入力 3 3 4" xfId="474" xr:uid="{00000000-0005-0000-0000-00008B040000}"/>
    <cellStyle name="入力 3 3 4 2" xfId="879" xr:uid="{00000000-0005-0000-0000-00008C040000}"/>
    <cellStyle name="入力 3 3 4 2 2" xfId="1574" xr:uid="{00000000-0005-0000-0000-00008D040000}"/>
    <cellStyle name="入力 3 3 5" xfId="705" xr:uid="{00000000-0005-0000-0000-00008E040000}"/>
    <cellStyle name="入力 3 3 5 2" xfId="1411" xr:uid="{00000000-0005-0000-0000-00008F040000}"/>
    <cellStyle name="入力 3 4" xfId="668" xr:uid="{00000000-0005-0000-0000-000090040000}"/>
    <cellStyle name="入力 3 4 2" xfId="880" xr:uid="{00000000-0005-0000-0000-000091040000}"/>
    <cellStyle name="入力 3 4 2 2" xfId="1575" xr:uid="{00000000-0005-0000-0000-000092040000}"/>
    <cellStyle name="入力 4" xfId="475" xr:uid="{00000000-0005-0000-0000-000093040000}"/>
    <cellStyle name="入力 4 2" xfId="881" xr:uid="{00000000-0005-0000-0000-000094040000}"/>
    <cellStyle name="入力 4 2 2" xfId="1576" xr:uid="{00000000-0005-0000-0000-000095040000}"/>
    <cellStyle name="入力 5" xfId="476" xr:uid="{00000000-0005-0000-0000-000096040000}"/>
    <cellStyle name="入力 5 2" xfId="882" xr:uid="{00000000-0005-0000-0000-000097040000}"/>
    <cellStyle name="入力 5 2 2" xfId="1577" xr:uid="{00000000-0005-0000-0000-000098040000}"/>
    <cellStyle name="入力 6" xfId="477" xr:uid="{00000000-0005-0000-0000-000099040000}"/>
    <cellStyle name="入力 6 2" xfId="883" xr:uid="{00000000-0005-0000-0000-00009A040000}"/>
    <cellStyle name="入力 6 2 2" xfId="1578" xr:uid="{00000000-0005-0000-0000-00009B040000}"/>
    <cellStyle name="入力 7" xfId="694" xr:uid="{00000000-0005-0000-0000-00009C040000}"/>
    <cellStyle name="入力 7 2" xfId="1404" xr:uid="{00000000-0005-0000-0000-00009D040000}"/>
    <cellStyle name="標準" xfId="0" builtinId="0"/>
    <cellStyle name="標準 10" xfId="478" xr:uid="{00000000-0005-0000-0000-00009F040000}"/>
    <cellStyle name="標準 10 2" xfId="479" xr:uid="{00000000-0005-0000-0000-0000A0040000}"/>
    <cellStyle name="標準 11" xfId="480" xr:uid="{00000000-0005-0000-0000-0000A1040000}"/>
    <cellStyle name="標準 11 2" xfId="481" xr:uid="{00000000-0005-0000-0000-0000A2040000}"/>
    <cellStyle name="標準 12" xfId="482" xr:uid="{00000000-0005-0000-0000-0000A3040000}"/>
    <cellStyle name="標準 12 10" xfId="1766" xr:uid="{00000000-0005-0000-0000-0000A4040000}"/>
    <cellStyle name="標準 12 11" xfId="1181" xr:uid="{00000000-0005-0000-0000-0000A5040000}"/>
    <cellStyle name="標準 12 12" xfId="1073" xr:uid="{00000000-0005-0000-0000-0000A6040000}"/>
    <cellStyle name="標準 12 2" xfId="483" xr:uid="{00000000-0005-0000-0000-0000A7040000}"/>
    <cellStyle name="標準 12 2 10" xfId="1074" xr:uid="{00000000-0005-0000-0000-0000A8040000}"/>
    <cellStyle name="標準 12 2 2" xfId="884" xr:uid="{00000000-0005-0000-0000-0000A9040000}"/>
    <cellStyle name="標準 12 2 2 2" xfId="917" xr:uid="{00000000-0005-0000-0000-0000AA040000}"/>
    <cellStyle name="標準 12 2 2 2 2" xfId="1028" xr:uid="{00000000-0005-0000-0000-0000AB040000}"/>
    <cellStyle name="標準 12 2 2 2 2 2" xfId="1611" xr:uid="{00000000-0005-0000-0000-0000AC040000}"/>
    <cellStyle name="標準 12 2 2 2 3" xfId="1721" xr:uid="{00000000-0005-0000-0000-0000AD040000}"/>
    <cellStyle name="標準 12 2 2 2 4" xfId="1831" xr:uid="{00000000-0005-0000-0000-0000AE040000}"/>
    <cellStyle name="標準 12 2 2 2 5" xfId="1228" xr:uid="{00000000-0005-0000-0000-0000AF040000}"/>
    <cellStyle name="標準 12 2 2 2 6" xfId="1138" xr:uid="{00000000-0005-0000-0000-0000B0040000}"/>
    <cellStyle name="標準 12 2 2 3" xfId="934" xr:uid="{00000000-0005-0000-0000-0000B1040000}"/>
    <cellStyle name="標準 12 2 2 3 2" xfId="1061" xr:uid="{00000000-0005-0000-0000-0000B2040000}"/>
    <cellStyle name="標準 12 2 2 3 2 2" xfId="1644" xr:uid="{00000000-0005-0000-0000-0000B3040000}"/>
    <cellStyle name="標準 12 2 2 3 3" xfId="1754" xr:uid="{00000000-0005-0000-0000-0000B4040000}"/>
    <cellStyle name="標準 12 2 2 3 4" xfId="1864" xr:uid="{00000000-0005-0000-0000-0000B5040000}"/>
    <cellStyle name="標準 12 2 2 3 5" xfId="1229" xr:uid="{00000000-0005-0000-0000-0000B6040000}"/>
    <cellStyle name="標準 12 2 2 3 6" xfId="1171" xr:uid="{00000000-0005-0000-0000-0000B7040000}"/>
    <cellStyle name="標準 12 2 2 4" xfId="996" xr:uid="{00000000-0005-0000-0000-0000B8040000}"/>
    <cellStyle name="標準 12 2 2 4 2" xfId="1579" xr:uid="{00000000-0005-0000-0000-0000B9040000}"/>
    <cellStyle name="標準 12 2 2 5" xfId="1689" xr:uid="{00000000-0005-0000-0000-0000BA040000}"/>
    <cellStyle name="標準 12 2 2 6" xfId="1799" xr:uid="{00000000-0005-0000-0000-0000BB040000}"/>
    <cellStyle name="標準 12 2 2 7" xfId="1204" xr:uid="{00000000-0005-0000-0000-0000BC040000}"/>
    <cellStyle name="標準 12 2 2 8" xfId="1106" xr:uid="{00000000-0005-0000-0000-0000BD040000}"/>
    <cellStyle name="標準 12 2 3" xfId="669" xr:uid="{00000000-0005-0000-0000-0000BE040000}"/>
    <cellStyle name="標準 12 2 3 2" xfId="980" xr:uid="{00000000-0005-0000-0000-0000BF040000}"/>
    <cellStyle name="標準 12 2 3 2 2" xfId="1391" xr:uid="{00000000-0005-0000-0000-0000C0040000}"/>
    <cellStyle name="標準 12 2 3 3" xfId="1673" xr:uid="{00000000-0005-0000-0000-0000C1040000}"/>
    <cellStyle name="標準 12 2 3 4" xfId="1783" xr:uid="{00000000-0005-0000-0000-0000C2040000}"/>
    <cellStyle name="標準 12 2 3 5" xfId="1230" xr:uid="{00000000-0005-0000-0000-0000C3040000}"/>
    <cellStyle name="標準 12 2 3 6" xfId="1090" xr:uid="{00000000-0005-0000-0000-0000C4040000}"/>
    <cellStyle name="標準 12 2 4" xfId="901" xr:uid="{00000000-0005-0000-0000-0000C5040000}"/>
    <cellStyle name="標準 12 2 4 2" xfId="1012" xr:uid="{00000000-0005-0000-0000-0000C6040000}"/>
    <cellStyle name="標準 12 2 4 2 2" xfId="1595" xr:uid="{00000000-0005-0000-0000-0000C7040000}"/>
    <cellStyle name="標準 12 2 4 3" xfId="1705" xr:uid="{00000000-0005-0000-0000-0000C8040000}"/>
    <cellStyle name="標準 12 2 4 4" xfId="1815" xr:uid="{00000000-0005-0000-0000-0000C9040000}"/>
    <cellStyle name="標準 12 2 4 5" xfId="1231" xr:uid="{00000000-0005-0000-0000-0000CA040000}"/>
    <cellStyle name="標準 12 2 4 6" xfId="1122" xr:uid="{00000000-0005-0000-0000-0000CB040000}"/>
    <cellStyle name="標準 12 2 5" xfId="935" xr:uid="{00000000-0005-0000-0000-0000CC040000}"/>
    <cellStyle name="標準 12 2 5 2" xfId="1045" xr:uid="{00000000-0005-0000-0000-0000CD040000}"/>
    <cellStyle name="標準 12 2 5 2 2" xfId="1628" xr:uid="{00000000-0005-0000-0000-0000CE040000}"/>
    <cellStyle name="標準 12 2 5 3" xfId="1738" xr:uid="{00000000-0005-0000-0000-0000CF040000}"/>
    <cellStyle name="標準 12 2 5 4" xfId="1848" xr:uid="{00000000-0005-0000-0000-0000D0040000}"/>
    <cellStyle name="標準 12 2 5 5" xfId="1232" xr:uid="{00000000-0005-0000-0000-0000D1040000}"/>
    <cellStyle name="標準 12 2 5 6" xfId="1155" xr:uid="{00000000-0005-0000-0000-0000D2040000}"/>
    <cellStyle name="標準 12 2 6" xfId="964" xr:uid="{00000000-0005-0000-0000-0000D3040000}"/>
    <cellStyle name="標準 12 2 6 2" xfId="1361" xr:uid="{00000000-0005-0000-0000-0000D4040000}"/>
    <cellStyle name="標準 12 2 7" xfId="1657" xr:uid="{00000000-0005-0000-0000-0000D5040000}"/>
    <cellStyle name="標準 12 2 8" xfId="1767" xr:uid="{00000000-0005-0000-0000-0000D6040000}"/>
    <cellStyle name="標準 12 2 9" xfId="1188" xr:uid="{00000000-0005-0000-0000-0000D7040000}"/>
    <cellStyle name="標準 12 3" xfId="534" xr:uid="{00000000-0005-0000-0000-0000D8040000}"/>
    <cellStyle name="標準 12 3 10" xfId="1081" xr:uid="{00000000-0005-0000-0000-0000D9040000}"/>
    <cellStyle name="標準 12 3 2" xfId="885" xr:uid="{00000000-0005-0000-0000-0000DA040000}"/>
    <cellStyle name="標準 12 3 2 2" xfId="918" xr:uid="{00000000-0005-0000-0000-0000DB040000}"/>
    <cellStyle name="標準 12 3 2 2 2" xfId="1029" xr:uid="{00000000-0005-0000-0000-0000DC040000}"/>
    <cellStyle name="標準 12 3 2 2 2 2" xfId="1612" xr:uid="{00000000-0005-0000-0000-0000DD040000}"/>
    <cellStyle name="標準 12 3 2 2 3" xfId="1722" xr:uid="{00000000-0005-0000-0000-0000DE040000}"/>
    <cellStyle name="標準 12 3 2 2 4" xfId="1832" xr:uid="{00000000-0005-0000-0000-0000DF040000}"/>
    <cellStyle name="標準 12 3 2 2 5" xfId="1233" xr:uid="{00000000-0005-0000-0000-0000E0040000}"/>
    <cellStyle name="標準 12 3 2 2 6" xfId="1139" xr:uid="{00000000-0005-0000-0000-0000E1040000}"/>
    <cellStyle name="標準 12 3 2 3" xfId="936" xr:uid="{00000000-0005-0000-0000-0000E2040000}"/>
    <cellStyle name="標準 12 3 2 3 2" xfId="1062" xr:uid="{00000000-0005-0000-0000-0000E3040000}"/>
    <cellStyle name="標準 12 3 2 3 2 2" xfId="1645" xr:uid="{00000000-0005-0000-0000-0000E4040000}"/>
    <cellStyle name="標準 12 3 2 3 3" xfId="1755" xr:uid="{00000000-0005-0000-0000-0000E5040000}"/>
    <cellStyle name="標準 12 3 2 3 4" xfId="1865" xr:uid="{00000000-0005-0000-0000-0000E6040000}"/>
    <cellStyle name="標準 12 3 2 3 5" xfId="1234" xr:uid="{00000000-0005-0000-0000-0000E7040000}"/>
    <cellStyle name="標準 12 3 2 3 6" xfId="1172" xr:uid="{00000000-0005-0000-0000-0000E8040000}"/>
    <cellStyle name="標準 12 3 2 4" xfId="997" xr:uid="{00000000-0005-0000-0000-0000E9040000}"/>
    <cellStyle name="標準 12 3 2 4 2" xfId="1580" xr:uid="{00000000-0005-0000-0000-0000EA040000}"/>
    <cellStyle name="標準 12 3 2 5" xfId="1690" xr:uid="{00000000-0005-0000-0000-0000EB040000}"/>
    <cellStyle name="標準 12 3 2 6" xfId="1800" xr:uid="{00000000-0005-0000-0000-0000EC040000}"/>
    <cellStyle name="標準 12 3 2 7" xfId="1205" xr:uid="{00000000-0005-0000-0000-0000ED040000}"/>
    <cellStyle name="標準 12 3 2 8" xfId="1107" xr:uid="{00000000-0005-0000-0000-0000EE040000}"/>
    <cellStyle name="標準 12 3 3" xfId="670" xr:uid="{00000000-0005-0000-0000-0000EF040000}"/>
    <cellStyle name="標準 12 3 3 2" xfId="981" xr:uid="{00000000-0005-0000-0000-0000F0040000}"/>
    <cellStyle name="標準 12 3 3 2 2" xfId="1392" xr:uid="{00000000-0005-0000-0000-0000F1040000}"/>
    <cellStyle name="標準 12 3 3 3" xfId="1674" xr:uid="{00000000-0005-0000-0000-0000F2040000}"/>
    <cellStyle name="標準 12 3 3 4" xfId="1784" xr:uid="{00000000-0005-0000-0000-0000F3040000}"/>
    <cellStyle name="標準 12 3 3 5" xfId="1235" xr:uid="{00000000-0005-0000-0000-0000F4040000}"/>
    <cellStyle name="標準 12 3 3 6" xfId="1091" xr:uid="{00000000-0005-0000-0000-0000F5040000}"/>
    <cellStyle name="標準 12 3 4" xfId="902" xr:uid="{00000000-0005-0000-0000-0000F6040000}"/>
    <cellStyle name="標準 12 3 4 2" xfId="1013" xr:uid="{00000000-0005-0000-0000-0000F7040000}"/>
    <cellStyle name="標準 12 3 4 2 2" xfId="1596" xr:uid="{00000000-0005-0000-0000-0000F8040000}"/>
    <cellStyle name="標準 12 3 4 3" xfId="1706" xr:uid="{00000000-0005-0000-0000-0000F9040000}"/>
    <cellStyle name="標準 12 3 4 4" xfId="1816" xr:uid="{00000000-0005-0000-0000-0000FA040000}"/>
    <cellStyle name="標準 12 3 4 5" xfId="1236" xr:uid="{00000000-0005-0000-0000-0000FB040000}"/>
    <cellStyle name="標準 12 3 4 6" xfId="1123" xr:uid="{00000000-0005-0000-0000-0000FC040000}"/>
    <cellStyle name="標準 12 3 5" xfId="937" xr:uid="{00000000-0005-0000-0000-0000FD040000}"/>
    <cellStyle name="標準 12 3 5 2" xfId="1046" xr:uid="{00000000-0005-0000-0000-0000FE040000}"/>
    <cellStyle name="標準 12 3 5 2 2" xfId="1629" xr:uid="{00000000-0005-0000-0000-0000FF040000}"/>
    <cellStyle name="標準 12 3 5 3" xfId="1739" xr:uid="{00000000-0005-0000-0000-000000050000}"/>
    <cellStyle name="標準 12 3 5 4" xfId="1849" xr:uid="{00000000-0005-0000-0000-000001050000}"/>
    <cellStyle name="標準 12 3 5 5" xfId="1237" xr:uid="{00000000-0005-0000-0000-000002050000}"/>
    <cellStyle name="標準 12 3 5 6" xfId="1156" xr:uid="{00000000-0005-0000-0000-000003050000}"/>
    <cellStyle name="標準 12 3 6" xfId="971" xr:uid="{00000000-0005-0000-0000-000004050000}"/>
    <cellStyle name="標準 12 3 6 2" xfId="1368" xr:uid="{00000000-0005-0000-0000-000005050000}"/>
    <cellStyle name="標準 12 3 7" xfId="1664" xr:uid="{00000000-0005-0000-0000-000006050000}"/>
    <cellStyle name="標準 12 3 8" xfId="1774" xr:uid="{00000000-0005-0000-0000-000007050000}"/>
    <cellStyle name="標準 12 3 9" xfId="1189" xr:uid="{00000000-0005-0000-0000-000008050000}"/>
    <cellStyle name="標準 12 4" xfId="695" xr:uid="{00000000-0005-0000-0000-000009050000}"/>
    <cellStyle name="標準 12 4 2" xfId="910" xr:uid="{00000000-0005-0000-0000-00000A050000}"/>
    <cellStyle name="標準 12 4 2 2" xfId="1021" xr:uid="{00000000-0005-0000-0000-00000B050000}"/>
    <cellStyle name="標準 12 4 2 2 2" xfId="1604" xr:uid="{00000000-0005-0000-0000-00000C050000}"/>
    <cellStyle name="標準 12 4 2 3" xfId="1714" xr:uid="{00000000-0005-0000-0000-00000D050000}"/>
    <cellStyle name="標準 12 4 2 4" xfId="1824" xr:uid="{00000000-0005-0000-0000-00000E050000}"/>
    <cellStyle name="標準 12 4 2 5" xfId="1238" xr:uid="{00000000-0005-0000-0000-00000F050000}"/>
    <cellStyle name="標準 12 4 2 6" xfId="1131" xr:uid="{00000000-0005-0000-0000-000010050000}"/>
    <cellStyle name="標準 12 4 3" xfId="938" xr:uid="{00000000-0005-0000-0000-000011050000}"/>
    <cellStyle name="標準 12 4 3 2" xfId="1054" xr:uid="{00000000-0005-0000-0000-000012050000}"/>
    <cellStyle name="標準 12 4 3 2 2" xfId="1637" xr:uid="{00000000-0005-0000-0000-000013050000}"/>
    <cellStyle name="標準 12 4 3 3" xfId="1747" xr:uid="{00000000-0005-0000-0000-000014050000}"/>
    <cellStyle name="標準 12 4 3 4" xfId="1857" xr:uid="{00000000-0005-0000-0000-000015050000}"/>
    <cellStyle name="標準 12 4 3 5" xfId="1239" xr:uid="{00000000-0005-0000-0000-000016050000}"/>
    <cellStyle name="標準 12 4 3 6" xfId="1164" xr:uid="{00000000-0005-0000-0000-000017050000}"/>
    <cellStyle name="標準 12 4 4" xfId="989" xr:uid="{00000000-0005-0000-0000-000018050000}"/>
    <cellStyle name="標準 12 4 4 2" xfId="1405" xr:uid="{00000000-0005-0000-0000-000019050000}"/>
    <cellStyle name="標準 12 4 5" xfId="1682" xr:uid="{00000000-0005-0000-0000-00001A050000}"/>
    <cellStyle name="標準 12 4 6" xfId="1792" xr:uid="{00000000-0005-0000-0000-00001B050000}"/>
    <cellStyle name="標準 12 4 7" xfId="1197" xr:uid="{00000000-0005-0000-0000-00001C050000}"/>
    <cellStyle name="標準 12 4 8" xfId="1099" xr:uid="{00000000-0005-0000-0000-00001D050000}"/>
    <cellStyle name="標準 12 5" xfId="572" xr:uid="{00000000-0005-0000-0000-00001E050000}"/>
    <cellStyle name="標準 12 5 2" xfId="973" xr:uid="{00000000-0005-0000-0000-00001F050000}"/>
    <cellStyle name="標準 12 5 2 2" xfId="1370" xr:uid="{00000000-0005-0000-0000-000020050000}"/>
    <cellStyle name="標準 12 5 3" xfId="1666" xr:uid="{00000000-0005-0000-0000-000021050000}"/>
    <cellStyle name="標準 12 5 4" xfId="1776" xr:uid="{00000000-0005-0000-0000-000022050000}"/>
    <cellStyle name="標準 12 5 5" xfId="1240" xr:uid="{00000000-0005-0000-0000-000023050000}"/>
    <cellStyle name="標準 12 5 6" xfId="1083" xr:uid="{00000000-0005-0000-0000-000024050000}"/>
    <cellStyle name="標準 12 6" xfId="894" xr:uid="{00000000-0005-0000-0000-000025050000}"/>
    <cellStyle name="標準 12 6 2" xfId="1005" xr:uid="{00000000-0005-0000-0000-000026050000}"/>
    <cellStyle name="標準 12 6 2 2" xfId="1588" xr:uid="{00000000-0005-0000-0000-000027050000}"/>
    <cellStyle name="標準 12 6 3" xfId="1698" xr:uid="{00000000-0005-0000-0000-000028050000}"/>
    <cellStyle name="標準 12 6 4" xfId="1808" xr:uid="{00000000-0005-0000-0000-000029050000}"/>
    <cellStyle name="標準 12 6 5" xfId="1241" xr:uid="{00000000-0005-0000-0000-00002A050000}"/>
    <cellStyle name="標準 12 6 6" xfId="1115" xr:uid="{00000000-0005-0000-0000-00002B050000}"/>
    <cellStyle name="標準 12 7" xfId="939" xr:uid="{00000000-0005-0000-0000-00002C050000}"/>
    <cellStyle name="標準 12 7 2" xfId="1038" xr:uid="{00000000-0005-0000-0000-00002D050000}"/>
    <cellStyle name="標準 12 7 2 2" xfId="1621" xr:uid="{00000000-0005-0000-0000-00002E050000}"/>
    <cellStyle name="標準 12 7 3" xfId="1731" xr:uid="{00000000-0005-0000-0000-00002F050000}"/>
    <cellStyle name="標準 12 7 4" xfId="1841" xr:uid="{00000000-0005-0000-0000-000030050000}"/>
    <cellStyle name="標準 12 7 5" xfId="1242" xr:uid="{00000000-0005-0000-0000-000031050000}"/>
    <cellStyle name="標準 12 7 6" xfId="1148" xr:uid="{00000000-0005-0000-0000-000032050000}"/>
    <cellStyle name="標準 12 8" xfId="963" xr:uid="{00000000-0005-0000-0000-000033050000}"/>
    <cellStyle name="標準 12 8 2" xfId="1360" xr:uid="{00000000-0005-0000-0000-000034050000}"/>
    <cellStyle name="標準 12 9" xfId="1656" xr:uid="{00000000-0005-0000-0000-000035050000}"/>
    <cellStyle name="標準 13" xfId="484" xr:uid="{00000000-0005-0000-0000-000036050000}"/>
    <cellStyle name="標準 14" xfId="535" xr:uid="{00000000-0005-0000-0000-000037050000}"/>
    <cellStyle name="標準 14 10" xfId="1082" xr:uid="{00000000-0005-0000-0000-000038050000}"/>
    <cellStyle name="標準 14 2" xfId="886" xr:uid="{00000000-0005-0000-0000-000039050000}"/>
    <cellStyle name="標準 14 2 2" xfId="919" xr:uid="{00000000-0005-0000-0000-00003A050000}"/>
    <cellStyle name="標準 14 2 2 2" xfId="1030" xr:uid="{00000000-0005-0000-0000-00003B050000}"/>
    <cellStyle name="標準 14 2 2 2 2" xfId="1613" xr:uid="{00000000-0005-0000-0000-00003C050000}"/>
    <cellStyle name="標準 14 2 2 3" xfId="1723" xr:uid="{00000000-0005-0000-0000-00003D050000}"/>
    <cellStyle name="標準 14 2 2 4" xfId="1833" xr:uid="{00000000-0005-0000-0000-00003E050000}"/>
    <cellStyle name="標準 14 2 2 5" xfId="1243" xr:uid="{00000000-0005-0000-0000-00003F050000}"/>
    <cellStyle name="標準 14 2 2 6" xfId="1140" xr:uid="{00000000-0005-0000-0000-000040050000}"/>
    <cellStyle name="標準 14 2 3" xfId="940" xr:uid="{00000000-0005-0000-0000-000041050000}"/>
    <cellStyle name="標準 14 2 3 2" xfId="1063" xr:uid="{00000000-0005-0000-0000-000042050000}"/>
    <cellStyle name="標準 14 2 3 2 2" xfId="1646" xr:uid="{00000000-0005-0000-0000-000043050000}"/>
    <cellStyle name="標準 14 2 3 3" xfId="1756" xr:uid="{00000000-0005-0000-0000-000044050000}"/>
    <cellStyle name="標準 14 2 3 4" xfId="1866" xr:uid="{00000000-0005-0000-0000-000045050000}"/>
    <cellStyle name="標準 14 2 3 5" xfId="1244" xr:uid="{00000000-0005-0000-0000-000046050000}"/>
    <cellStyle name="標準 14 2 3 6" xfId="1173" xr:uid="{00000000-0005-0000-0000-000047050000}"/>
    <cellStyle name="標準 14 2 4" xfId="998" xr:uid="{00000000-0005-0000-0000-000048050000}"/>
    <cellStyle name="標準 14 2 4 2" xfId="1581" xr:uid="{00000000-0005-0000-0000-000049050000}"/>
    <cellStyle name="標準 14 2 5" xfId="1691" xr:uid="{00000000-0005-0000-0000-00004A050000}"/>
    <cellStyle name="標準 14 2 6" xfId="1801" xr:uid="{00000000-0005-0000-0000-00004B050000}"/>
    <cellStyle name="標準 14 2 7" xfId="1206" xr:uid="{00000000-0005-0000-0000-00004C050000}"/>
    <cellStyle name="標準 14 2 8" xfId="1108" xr:uid="{00000000-0005-0000-0000-00004D050000}"/>
    <cellStyle name="標準 14 3" xfId="671" xr:uid="{00000000-0005-0000-0000-00004E050000}"/>
    <cellStyle name="標準 14 3 2" xfId="982" xr:uid="{00000000-0005-0000-0000-00004F050000}"/>
    <cellStyle name="標準 14 3 2 2" xfId="1393" xr:uid="{00000000-0005-0000-0000-000050050000}"/>
    <cellStyle name="標準 14 3 3" xfId="1675" xr:uid="{00000000-0005-0000-0000-000051050000}"/>
    <cellStyle name="標準 14 3 4" xfId="1785" xr:uid="{00000000-0005-0000-0000-000052050000}"/>
    <cellStyle name="標準 14 3 5" xfId="1245" xr:uid="{00000000-0005-0000-0000-000053050000}"/>
    <cellStyle name="標準 14 3 6" xfId="1092" xr:uid="{00000000-0005-0000-0000-000054050000}"/>
    <cellStyle name="標準 14 4" xfId="903" xr:uid="{00000000-0005-0000-0000-000055050000}"/>
    <cellStyle name="標準 14 4 2" xfId="1014" xr:uid="{00000000-0005-0000-0000-000056050000}"/>
    <cellStyle name="標準 14 4 2 2" xfId="1597" xr:uid="{00000000-0005-0000-0000-000057050000}"/>
    <cellStyle name="標準 14 4 3" xfId="1707" xr:uid="{00000000-0005-0000-0000-000058050000}"/>
    <cellStyle name="標準 14 4 4" xfId="1817" xr:uid="{00000000-0005-0000-0000-000059050000}"/>
    <cellStyle name="標準 14 4 5" xfId="1246" xr:uid="{00000000-0005-0000-0000-00005A050000}"/>
    <cellStyle name="標準 14 4 6" xfId="1124" xr:uid="{00000000-0005-0000-0000-00005B050000}"/>
    <cellStyle name="標準 14 5" xfId="941" xr:uid="{00000000-0005-0000-0000-00005C050000}"/>
    <cellStyle name="標準 14 5 2" xfId="1047" xr:uid="{00000000-0005-0000-0000-00005D050000}"/>
    <cellStyle name="標準 14 5 2 2" xfId="1630" xr:uid="{00000000-0005-0000-0000-00005E050000}"/>
    <cellStyle name="標準 14 5 3" xfId="1740" xr:uid="{00000000-0005-0000-0000-00005F050000}"/>
    <cellStyle name="標準 14 5 4" xfId="1850" xr:uid="{00000000-0005-0000-0000-000060050000}"/>
    <cellStyle name="標準 14 5 5" xfId="1247" xr:uid="{00000000-0005-0000-0000-000061050000}"/>
    <cellStyle name="標準 14 5 6" xfId="1157" xr:uid="{00000000-0005-0000-0000-000062050000}"/>
    <cellStyle name="標準 14 6" xfId="972" xr:uid="{00000000-0005-0000-0000-000063050000}"/>
    <cellStyle name="標準 14 6 2" xfId="1369" xr:uid="{00000000-0005-0000-0000-000064050000}"/>
    <cellStyle name="標準 14 7" xfId="1665" xr:uid="{00000000-0005-0000-0000-000065050000}"/>
    <cellStyle name="標準 14 8" xfId="1775" xr:uid="{00000000-0005-0000-0000-000066050000}"/>
    <cellStyle name="標準 14 9" xfId="1190" xr:uid="{00000000-0005-0000-0000-000067050000}"/>
    <cellStyle name="標準 15" xfId="926" xr:uid="{00000000-0005-0000-0000-000068050000}"/>
    <cellStyle name="標準 15 2" xfId="942" xr:uid="{00000000-0005-0000-0000-000069050000}"/>
    <cellStyle name="標準 15 2 2" xfId="1070" xr:uid="{00000000-0005-0000-0000-00006A050000}"/>
    <cellStyle name="標準 15 2 2 2" xfId="1653" xr:uid="{00000000-0005-0000-0000-00006B050000}"/>
    <cellStyle name="標準 15 2 3" xfId="1763" xr:uid="{00000000-0005-0000-0000-00006C050000}"/>
    <cellStyle name="標準 15 2 4" xfId="1873" xr:uid="{00000000-0005-0000-0000-00006D050000}"/>
    <cellStyle name="標準 15 2 5" xfId="1248" xr:uid="{00000000-0005-0000-0000-00006E050000}"/>
    <cellStyle name="標準 15 2 6" xfId="1180" xr:uid="{00000000-0005-0000-0000-00006F050000}"/>
    <cellStyle name="標準 15 3" xfId="1037" xr:uid="{00000000-0005-0000-0000-000070050000}"/>
    <cellStyle name="標準 15 3 2" xfId="1620" xr:uid="{00000000-0005-0000-0000-000071050000}"/>
    <cellStyle name="標準 15 4" xfId="1730" xr:uid="{00000000-0005-0000-0000-000072050000}"/>
    <cellStyle name="標準 15 5" xfId="1840" xr:uid="{00000000-0005-0000-0000-000073050000}"/>
    <cellStyle name="標準 15 6" xfId="1213" xr:uid="{00000000-0005-0000-0000-000074050000}"/>
    <cellStyle name="標準 15 7" xfId="1147" xr:uid="{00000000-0005-0000-0000-000075050000}"/>
    <cellStyle name="標準 16" xfId="1875" xr:uid="{00000000-0005-0000-0000-000076050000}"/>
    <cellStyle name="標準 17" xfId="1877" xr:uid="{00000000-0005-0000-0000-000077050000}"/>
    <cellStyle name="標準 17 2" xfId="1878" xr:uid="{00000000-0005-0000-0000-000078050000}"/>
    <cellStyle name="標準 18" xfId="1874" xr:uid="{00000000-0005-0000-0000-000079050000}"/>
    <cellStyle name="標準 19" xfId="1876" xr:uid="{00000000-0005-0000-0000-00007A050000}"/>
    <cellStyle name="標準 2" xfId="485" xr:uid="{00000000-0005-0000-0000-00007B050000}"/>
    <cellStyle name="標準 2 2" xfId="486" xr:uid="{00000000-0005-0000-0000-00007C050000}"/>
    <cellStyle name="標準 2 2 2" xfId="487" xr:uid="{00000000-0005-0000-0000-00007D050000}"/>
    <cellStyle name="標準 2 2 3" xfId="488" xr:uid="{00000000-0005-0000-0000-00007E050000}"/>
    <cellStyle name="標準 2 2 3 10" xfId="1768" xr:uid="{00000000-0005-0000-0000-00007F050000}"/>
    <cellStyle name="標準 2 2 3 11" xfId="1185" xr:uid="{00000000-0005-0000-0000-000080050000}"/>
    <cellStyle name="標準 2 2 3 12" xfId="1075" xr:uid="{00000000-0005-0000-0000-000081050000}"/>
    <cellStyle name="標準 2 2 3 2" xfId="489" xr:uid="{00000000-0005-0000-0000-000082050000}"/>
    <cellStyle name="標準 2 2 3 2 10" xfId="1076" xr:uid="{00000000-0005-0000-0000-000083050000}"/>
    <cellStyle name="標準 2 2 3 2 2" xfId="887" xr:uid="{00000000-0005-0000-0000-000084050000}"/>
    <cellStyle name="標準 2 2 3 2 2 2" xfId="920" xr:uid="{00000000-0005-0000-0000-000085050000}"/>
    <cellStyle name="標準 2 2 3 2 2 2 2" xfId="1031" xr:uid="{00000000-0005-0000-0000-000086050000}"/>
    <cellStyle name="標準 2 2 3 2 2 2 2 2" xfId="1614" xr:uid="{00000000-0005-0000-0000-000087050000}"/>
    <cellStyle name="標準 2 2 3 2 2 2 3" xfId="1724" xr:uid="{00000000-0005-0000-0000-000088050000}"/>
    <cellStyle name="標準 2 2 3 2 2 2 4" xfId="1834" xr:uid="{00000000-0005-0000-0000-000089050000}"/>
    <cellStyle name="標準 2 2 3 2 2 2 5" xfId="1249" xr:uid="{00000000-0005-0000-0000-00008A050000}"/>
    <cellStyle name="標準 2 2 3 2 2 2 6" xfId="1141" xr:uid="{00000000-0005-0000-0000-00008B050000}"/>
    <cellStyle name="標準 2 2 3 2 2 3" xfId="943" xr:uid="{00000000-0005-0000-0000-00008C050000}"/>
    <cellStyle name="標準 2 2 3 2 2 3 2" xfId="1064" xr:uid="{00000000-0005-0000-0000-00008D050000}"/>
    <cellStyle name="標準 2 2 3 2 2 3 2 2" xfId="1647" xr:uid="{00000000-0005-0000-0000-00008E050000}"/>
    <cellStyle name="標準 2 2 3 2 2 3 3" xfId="1757" xr:uid="{00000000-0005-0000-0000-00008F050000}"/>
    <cellStyle name="標準 2 2 3 2 2 3 4" xfId="1867" xr:uid="{00000000-0005-0000-0000-000090050000}"/>
    <cellStyle name="標準 2 2 3 2 2 3 5" xfId="1250" xr:uid="{00000000-0005-0000-0000-000091050000}"/>
    <cellStyle name="標準 2 2 3 2 2 3 6" xfId="1174" xr:uid="{00000000-0005-0000-0000-000092050000}"/>
    <cellStyle name="標準 2 2 3 2 2 4" xfId="999" xr:uid="{00000000-0005-0000-0000-000093050000}"/>
    <cellStyle name="標準 2 2 3 2 2 4 2" xfId="1582" xr:uid="{00000000-0005-0000-0000-000094050000}"/>
    <cellStyle name="標準 2 2 3 2 2 5" xfId="1692" xr:uid="{00000000-0005-0000-0000-000095050000}"/>
    <cellStyle name="標準 2 2 3 2 2 6" xfId="1802" xr:uid="{00000000-0005-0000-0000-000096050000}"/>
    <cellStyle name="標準 2 2 3 2 2 7" xfId="1207" xr:uid="{00000000-0005-0000-0000-000097050000}"/>
    <cellStyle name="標準 2 2 3 2 2 8" xfId="1109" xr:uid="{00000000-0005-0000-0000-000098050000}"/>
    <cellStyle name="標準 2 2 3 2 3" xfId="672" xr:uid="{00000000-0005-0000-0000-000099050000}"/>
    <cellStyle name="標準 2 2 3 2 3 2" xfId="983" xr:uid="{00000000-0005-0000-0000-00009A050000}"/>
    <cellStyle name="標準 2 2 3 2 3 2 2" xfId="1394" xr:uid="{00000000-0005-0000-0000-00009B050000}"/>
    <cellStyle name="標準 2 2 3 2 3 3" xfId="1676" xr:uid="{00000000-0005-0000-0000-00009C050000}"/>
    <cellStyle name="標準 2 2 3 2 3 4" xfId="1786" xr:uid="{00000000-0005-0000-0000-00009D050000}"/>
    <cellStyle name="標準 2 2 3 2 3 5" xfId="1251" xr:uid="{00000000-0005-0000-0000-00009E050000}"/>
    <cellStyle name="標準 2 2 3 2 3 6" xfId="1093" xr:uid="{00000000-0005-0000-0000-00009F050000}"/>
    <cellStyle name="標準 2 2 3 2 4" xfId="904" xr:uid="{00000000-0005-0000-0000-0000A0050000}"/>
    <cellStyle name="標準 2 2 3 2 4 2" xfId="1015" xr:uid="{00000000-0005-0000-0000-0000A1050000}"/>
    <cellStyle name="標準 2 2 3 2 4 2 2" xfId="1598" xr:uid="{00000000-0005-0000-0000-0000A2050000}"/>
    <cellStyle name="標準 2 2 3 2 4 3" xfId="1708" xr:uid="{00000000-0005-0000-0000-0000A3050000}"/>
    <cellStyle name="標準 2 2 3 2 4 4" xfId="1818" xr:uid="{00000000-0005-0000-0000-0000A4050000}"/>
    <cellStyle name="標準 2 2 3 2 4 5" xfId="1252" xr:uid="{00000000-0005-0000-0000-0000A5050000}"/>
    <cellStyle name="標準 2 2 3 2 4 6" xfId="1125" xr:uid="{00000000-0005-0000-0000-0000A6050000}"/>
    <cellStyle name="標準 2 2 3 2 5" xfId="944" xr:uid="{00000000-0005-0000-0000-0000A7050000}"/>
    <cellStyle name="標準 2 2 3 2 5 2" xfId="1048" xr:uid="{00000000-0005-0000-0000-0000A8050000}"/>
    <cellStyle name="標準 2 2 3 2 5 2 2" xfId="1631" xr:uid="{00000000-0005-0000-0000-0000A9050000}"/>
    <cellStyle name="標準 2 2 3 2 5 3" xfId="1741" xr:uid="{00000000-0005-0000-0000-0000AA050000}"/>
    <cellStyle name="標準 2 2 3 2 5 4" xfId="1851" xr:uid="{00000000-0005-0000-0000-0000AB050000}"/>
    <cellStyle name="標準 2 2 3 2 5 5" xfId="1253" xr:uid="{00000000-0005-0000-0000-0000AC050000}"/>
    <cellStyle name="標準 2 2 3 2 5 6" xfId="1158" xr:uid="{00000000-0005-0000-0000-0000AD050000}"/>
    <cellStyle name="標準 2 2 3 2 6" xfId="966" xr:uid="{00000000-0005-0000-0000-0000AE050000}"/>
    <cellStyle name="標準 2 2 3 2 6 2" xfId="1363" xr:uid="{00000000-0005-0000-0000-0000AF050000}"/>
    <cellStyle name="標準 2 2 3 2 7" xfId="1659" xr:uid="{00000000-0005-0000-0000-0000B0050000}"/>
    <cellStyle name="標準 2 2 3 2 8" xfId="1769" xr:uid="{00000000-0005-0000-0000-0000B1050000}"/>
    <cellStyle name="標準 2 2 3 2 9" xfId="1191" xr:uid="{00000000-0005-0000-0000-0000B2050000}"/>
    <cellStyle name="標準 2 2 3 3" xfId="673" xr:uid="{00000000-0005-0000-0000-0000B3050000}"/>
    <cellStyle name="標準 2 2 3 3 2" xfId="888" xr:uid="{00000000-0005-0000-0000-0000B4050000}"/>
    <cellStyle name="標準 2 2 3 3 2 2" xfId="921" xr:uid="{00000000-0005-0000-0000-0000B5050000}"/>
    <cellStyle name="標準 2 2 3 3 2 2 2" xfId="1032" xr:uid="{00000000-0005-0000-0000-0000B6050000}"/>
    <cellStyle name="標準 2 2 3 3 2 2 2 2" xfId="1615" xr:uid="{00000000-0005-0000-0000-0000B7050000}"/>
    <cellStyle name="標準 2 2 3 3 2 2 3" xfId="1725" xr:uid="{00000000-0005-0000-0000-0000B8050000}"/>
    <cellStyle name="標準 2 2 3 3 2 2 4" xfId="1835" xr:uid="{00000000-0005-0000-0000-0000B9050000}"/>
    <cellStyle name="標準 2 2 3 3 2 2 5" xfId="1254" xr:uid="{00000000-0005-0000-0000-0000BA050000}"/>
    <cellStyle name="標準 2 2 3 3 2 2 6" xfId="1142" xr:uid="{00000000-0005-0000-0000-0000BB050000}"/>
    <cellStyle name="標準 2 2 3 3 2 3" xfId="945" xr:uid="{00000000-0005-0000-0000-0000BC050000}"/>
    <cellStyle name="標準 2 2 3 3 2 3 2" xfId="1065" xr:uid="{00000000-0005-0000-0000-0000BD050000}"/>
    <cellStyle name="標準 2 2 3 3 2 3 2 2" xfId="1648" xr:uid="{00000000-0005-0000-0000-0000BE050000}"/>
    <cellStyle name="標準 2 2 3 3 2 3 3" xfId="1758" xr:uid="{00000000-0005-0000-0000-0000BF050000}"/>
    <cellStyle name="標準 2 2 3 3 2 3 4" xfId="1868" xr:uid="{00000000-0005-0000-0000-0000C0050000}"/>
    <cellStyle name="標準 2 2 3 3 2 3 5" xfId="1255" xr:uid="{00000000-0005-0000-0000-0000C1050000}"/>
    <cellStyle name="標準 2 2 3 3 2 3 6" xfId="1175" xr:uid="{00000000-0005-0000-0000-0000C2050000}"/>
    <cellStyle name="標準 2 2 3 3 2 4" xfId="1000" xr:uid="{00000000-0005-0000-0000-0000C3050000}"/>
    <cellStyle name="標準 2 2 3 3 2 4 2" xfId="1583" xr:uid="{00000000-0005-0000-0000-0000C4050000}"/>
    <cellStyle name="標準 2 2 3 3 2 5" xfId="1693" xr:uid="{00000000-0005-0000-0000-0000C5050000}"/>
    <cellStyle name="標準 2 2 3 3 2 6" xfId="1803" xr:uid="{00000000-0005-0000-0000-0000C6050000}"/>
    <cellStyle name="標準 2 2 3 3 2 7" xfId="1208" xr:uid="{00000000-0005-0000-0000-0000C7050000}"/>
    <cellStyle name="標準 2 2 3 3 2 8" xfId="1110" xr:uid="{00000000-0005-0000-0000-0000C8050000}"/>
    <cellStyle name="標準 2 2 3 3 3" xfId="905" xr:uid="{00000000-0005-0000-0000-0000C9050000}"/>
    <cellStyle name="標準 2 2 3 3 3 2" xfId="1016" xr:uid="{00000000-0005-0000-0000-0000CA050000}"/>
    <cellStyle name="標準 2 2 3 3 3 2 2" xfId="1599" xr:uid="{00000000-0005-0000-0000-0000CB050000}"/>
    <cellStyle name="標準 2 2 3 3 3 3" xfId="1709" xr:uid="{00000000-0005-0000-0000-0000CC050000}"/>
    <cellStyle name="標準 2 2 3 3 3 4" xfId="1819" xr:uid="{00000000-0005-0000-0000-0000CD050000}"/>
    <cellStyle name="標準 2 2 3 3 3 5" xfId="1256" xr:uid="{00000000-0005-0000-0000-0000CE050000}"/>
    <cellStyle name="標準 2 2 3 3 3 6" xfId="1126" xr:uid="{00000000-0005-0000-0000-0000CF050000}"/>
    <cellStyle name="標準 2 2 3 3 4" xfId="946" xr:uid="{00000000-0005-0000-0000-0000D0050000}"/>
    <cellStyle name="標準 2 2 3 3 4 2" xfId="1049" xr:uid="{00000000-0005-0000-0000-0000D1050000}"/>
    <cellStyle name="標準 2 2 3 3 4 2 2" xfId="1632" xr:uid="{00000000-0005-0000-0000-0000D2050000}"/>
    <cellStyle name="標準 2 2 3 3 4 3" xfId="1742" xr:uid="{00000000-0005-0000-0000-0000D3050000}"/>
    <cellStyle name="標準 2 2 3 3 4 4" xfId="1852" xr:uid="{00000000-0005-0000-0000-0000D4050000}"/>
    <cellStyle name="標準 2 2 3 3 4 5" xfId="1257" xr:uid="{00000000-0005-0000-0000-0000D5050000}"/>
    <cellStyle name="標準 2 2 3 3 4 6" xfId="1159" xr:uid="{00000000-0005-0000-0000-0000D6050000}"/>
    <cellStyle name="標準 2 2 3 3 5" xfId="984" xr:uid="{00000000-0005-0000-0000-0000D7050000}"/>
    <cellStyle name="標準 2 2 3 3 5 2" xfId="1395" xr:uid="{00000000-0005-0000-0000-0000D8050000}"/>
    <cellStyle name="標準 2 2 3 3 6" xfId="1677" xr:uid="{00000000-0005-0000-0000-0000D9050000}"/>
    <cellStyle name="標準 2 2 3 3 7" xfId="1787" xr:uid="{00000000-0005-0000-0000-0000DA050000}"/>
    <cellStyle name="標準 2 2 3 3 8" xfId="1192" xr:uid="{00000000-0005-0000-0000-0000DB050000}"/>
    <cellStyle name="標準 2 2 3 3 9" xfId="1094" xr:uid="{00000000-0005-0000-0000-0000DC050000}"/>
    <cellStyle name="標準 2 2 3 4" xfId="724" xr:uid="{00000000-0005-0000-0000-0000DD050000}"/>
    <cellStyle name="標準 2 2 3 4 2" xfId="914" xr:uid="{00000000-0005-0000-0000-0000DE050000}"/>
    <cellStyle name="標準 2 2 3 4 2 2" xfId="1025" xr:uid="{00000000-0005-0000-0000-0000DF050000}"/>
    <cellStyle name="標準 2 2 3 4 2 2 2" xfId="1608" xr:uid="{00000000-0005-0000-0000-0000E0050000}"/>
    <cellStyle name="標準 2 2 3 4 2 3" xfId="1718" xr:uid="{00000000-0005-0000-0000-0000E1050000}"/>
    <cellStyle name="標準 2 2 3 4 2 4" xfId="1828" xr:uid="{00000000-0005-0000-0000-0000E2050000}"/>
    <cellStyle name="標準 2 2 3 4 2 5" xfId="1258" xr:uid="{00000000-0005-0000-0000-0000E3050000}"/>
    <cellStyle name="標準 2 2 3 4 2 6" xfId="1135" xr:uid="{00000000-0005-0000-0000-0000E4050000}"/>
    <cellStyle name="標準 2 2 3 4 3" xfId="947" xr:uid="{00000000-0005-0000-0000-0000E5050000}"/>
    <cellStyle name="標準 2 2 3 4 3 2" xfId="1058" xr:uid="{00000000-0005-0000-0000-0000E6050000}"/>
    <cellStyle name="標準 2 2 3 4 3 2 2" xfId="1641" xr:uid="{00000000-0005-0000-0000-0000E7050000}"/>
    <cellStyle name="標準 2 2 3 4 3 3" xfId="1751" xr:uid="{00000000-0005-0000-0000-0000E8050000}"/>
    <cellStyle name="標準 2 2 3 4 3 4" xfId="1861" xr:uid="{00000000-0005-0000-0000-0000E9050000}"/>
    <cellStyle name="標準 2 2 3 4 3 5" xfId="1259" xr:uid="{00000000-0005-0000-0000-0000EA050000}"/>
    <cellStyle name="標準 2 2 3 4 3 6" xfId="1168" xr:uid="{00000000-0005-0000-0000-0000EB050000}"/>
    <cellStyle name="標準 2 2 3 4 4" xfId="993" xr:uid="{00000000-0005-0000-0000-0000EC050000}"/>
    <cellStyle name="標準 2 2 3 4 4 2" xfId="1426" xr:uid="{00000000-0005-0000-0000-0000ED050000}"/>
    <cellStyle name="標準 2 2 3 4 5" xfId="1686" xr:uid="{00000000-0005-0000-0000-0000EE050000}"/>
    <cellStyle name="標準 2 2 3 4 6" xfId="1796" xr:uid="{00000000-0005-0000-0000-0000EF050000}"/>
    <cellStyle name="標準 2 2 3 4 7" xfId="1201" xr:uid="{00000000-0005-0000-0000-0000F0050000}"/>
    <cellStyle name="標準 2 2 3 4 8" xfId="1103" xr:uid="{00000000-0005-0000-0000-0000F1050000}"/>
    <cellStyle name="標準 2 2 3 5" xfId="576" xr:uid="{00000000-0005-0000-0000-0000F2050000}"/>
    <cellStyle name="標準 2 2 3 5 2" xfId="977" xr:uid="{00000000-0005-0000-0000-0000F3050000}"/>
    <cellStyle name="標準 2 2 3 5 2 2" xfId="1374" xr:uid="{00000000-0005-0000-0000-0000F4050000}"/>
    <cellStyle name="標準 2 2 3 5 3" xfId="1670" xr:uid="{00000000-0005-0000-0000-0000F5050000}"/>
    <cellStyle name="標準 2 2 3 5 4" xfId="1780" xr:uid="{00000000-0005-0000-0000-0000F6050000}"/>
    <cellStyle name="標準 2 2 3 5 5" xfId="1260" xr:uid="{00000000-0005-0000-0000-0000F7050000}"/>
    <cellStyle name="標準 2 2 3 5 6" xfId="1087" xr:uid="{00000000-0005-0000-0000-0000F8050000}"/>
    <cellStyle name="標準 2 2 3 6" xfId="898" xr:uid="{00000000-0005-0000-0000-0000F9050000}"/>
    <cellStyle name="標準 2 2 3 6 2" xfId="1009" xr:uid="{00000000-0005-0000-0000-0000FA050000}"/>
    <cellStyle name="標準 2 2 3 6 2 2" xfId="1592" xr:uid="{00000000-0005-0000-0000-0000FB050000}"/>
    <cellStyle name="標準 2 2 3 6 3" xfId="1702" xr:uid="{00000000-0005-0000-0000-0000FC050000}"/>
    <cellStyle name="標準 2 2 3 6 4" xfId="1812" xr:uid="{00000000-0005-0000-0000-0000FD050000}"/>
    <cellStyle name="標準 2 2 3 6 5" xfId="1261" xr:uid="{00000000-0005-0000-0000-0000FE050000}"/>
    <cellStyle name="標準 2 2 3 6 6" xfId="1119" xr:uid="{00000000-0005-0000-0000-0000FF050000}"/>
    <cellStyle name="標準 2 2 3 7" xfId="948" xr:uid="{00000000-0005-0000-0000-000000060000}"/>
    <cellStyle name="標準 2 2 3 7 2" xfId="1042" xr:uid="{00000000-0005-0000-0000-000001060000}"/>
    <cellStyle name="標準 2 2 3 7 2 2" xfId="1625" xr:uid="{00000000-0005-0000-0000-000002060000}"/>
    <cellStyle name="標準 2 2 3 7 3" xfId="1735" xr:uid="{00000000-0005-0000-0000-000003060000}"/>
    <cellStyle name="標準 2 2 3 7 4" xfId="1845" xr:uid="{00000000-0005-0000-0000-000004060000}"/>
    <cellStyle name="標準 2 2 3 7 5" xfId="1262" xr:uid="{00000000-0005-0000-0000-000005060000}"/>
    <cellStyle name="標準 2 2 3 7 6" xfId="1152" xr:uid="{00000000-0005-0000-0000-000006060000}"/>
    <cellStyle name="標準 2 2 3 8" xfId="965" xr:uid="{00000000-0005-0000-0000-000007060000}"/>
    <cellStyle name="標準 2 2 3 8 2" xfId="1362" xr:uid="{00000000-0005-0000-0000-000008060000}"/>
    <cellStyle name="標準 2 2 3 9" xfId="1658" xr:uid="{00000000-0005-0000-0000-000009060000}"/>
    <cellStyle name="標準 2 3" xfId="490" xr:uid="{00000000-0005-0000-0000-00000A060000}"/>
    <cellStyle name="標準 2 3 2" xfId="491" xr:uid="{00000000-0005-0000-0000-00000B060000}"/>
    <cellStyle name="標準 2 4" xfId="492" xr:uid="{00000000-0005-0000-0000-00000C060000}"/>
    <cellStyle name="標準 2 5" xfId="493" xr:uid="{00000000-0005-0000-0000-00000D060000}"/>
    <cellStyle name="標準 2 6" xfId="494" xr:uid="{00000000-0005-0000-0000-00000E060000}"/>
    <cellStyle name="標準 2 7" xfId="495" xr:uid="{00000000-0005-0000-0000-00000F060000}"/>
    <cellStyle name="標準 2 8" xfId="496" xr:uid="{00000000-0005-0000-0000-000010060000}"/>
    <cellStyle name="標準 2_【テスト仕様書】Template" xfId="497" xr:uid="{00000000-0005-0000-0000-000011060000}"/>
    <cellStyle name="標準 20" xfId="1879" xr:uid="{00000000-0005-0000-0000-000012060000}"/>
    <cellStyle name="標準 21" xfId="1880" xr:uid="{4E9B3F93-ED73-4E05-8A01-F2116AE2EBAD}"/>
    <cellStyle name="標準 3" xfId="498" xr:uid="{00000000-0005-0000-0000-000013060000}"/>
    <cellStyle name="標準 3 2" xfId="499" xr:uid="{00000000-0005-0000-0000-000014060000}"/>
    <cellStyle name="標準 3 2 2" xfId="500" xr:uid="{00000000-0005-0000-0000-000015060000}"/>
    <cellStyle name="標準 3 2 3" xfId="674" xr:uid="{00000000-0005-0000-0000-000016060000}"/>
    <cellStyle name="標準 3 3" xfId="501" xr:uid="{00000000-0005-0000-0000-000017060000}"/>
    <cellStyle name="標準 3 3 2" xfId="502" xr:uid="{00000000-0005-0000-0000-000018060000}"/>
    <cellStyle name="標準 3 3 3" xfId="675" xr:uid="{00000000-0005-0000-0000-000019060000}"/>
    <cellStyle name="標準 3 4" xfId="503" xr:uid="{00000000-0005-0000-0000-00001A060000}"/>
    <cellStyle name="標準 3 5" xfId="504" xr:uid="{00000000-0005-0000-0000-00001B060000}"/>
    <cellStyle name="標準 3 6" xfId="505" xr:uid="{00000000-0005-0000-0000-00001C060000}"/>
    <cellStyle name="標準 3 6 10" xfId="1770" xr:uid="{00000000-0005-0000-0000-00001D060000}"/>
    <cellStyle name="標準 3 6 11" xfId="1182" xr:uid="{00000000-0005-0000-0000-00001E060000}"/>
    <cellStyle name="標準 3 6 12" xfId="1077" xr:uid="{00000000-0005-0000-0000-00001F060000}"/>
    <cellStyle name="標準 3 6 2" xfId="506" xr:uid="{00000000-0005-0000-0000-000020060000}"/>
    <cellStyle name="標準 3 6 2 10" xfId="1078" xr:uid="{00000000-0005-0000-0000-000021060000}"/>
    <cellStyle name="標準 3 6 2 2" xfId="889" xr:uid="{00000000-0005-0000-0000-000022060000}"/>
    <cellStyle name="標準 3 6 2 2 2" xfId="922" xr:uid="{00000000-0005-0000-0000-000023060000}"/>
    <cellStyle name="標準 3 6 2 2 2 2" xfId="1033" xr:uid="{00000000-0005-0000-0000-000024060000}"/>
    <cellStyle name="標準 3 6 2 2 2 2 2" xfId="1616" xr:uid="{00000000-0005-0000-0000-000025060000}"/>
    <cellStyle name="標準 3 6 2 2 2 3" xfId="1726" xr:uid="{00000000-0005-0000-0000-000026060000}"/>
    <cellStyle name="標準 3 6 2 2 2 4" xfId="1836" xr:uid="{00000000-0005-0000-0000-000027060000}"/>
    <cellStyle name="標準 3 6 2 2 2 5" xfId="1263" xr:uid="{00000000-0005-0000-0000-000028060000}"/>
    <cellStyle name="標準 3 6 2 2 2 6" xfId="1143" xr:uid="{00000000-0005-0000-0000-000029060000}"/>
    <cellStyle name="標準 3 6 2 2 3" xfId="949" xr:uid="{00000000-0005-0000-0000-00002A060000}"/>
    <cellStyle name="標準 3 6 2 2 3 2" xfId="1066" xr:uid="{00000000-0005-0000-0000-00002B060000}"/>
    <cellStyle name="標準 3 6 2 2 3 2 2" xfId="1649" xr:uid="{00000000-0005-0000-0000-00002C060000}"/>
    <cellStyle name="標準 3 6 2 2 3 3" xfId="1759" xr:uid="{00000000-0005-0000-0000-00002D060000}"/>
    <cellStyle name="標準 3 6 2 2 3 4" xfId="1869" xr:uid="{00000000-0005-0000-0000-00002E060000}"/>
    <cellStyle name="標準 3 6 2 2 3 5" xfId="1264" xr:uid="{00000000-0005-0000-0000-00002F060000}"/>
    <cellStyle name="標準 3 6 2 2 3 6" xfId="1176" xr:uid="{00000000-0005-0000-0000-000030060000}"/>
    <cellStyle name="標準 3 6 2 2 4" xfId="1001" xr:uid="{00000000-0005-0000-0000-000031060000}"/>
    <cellStyle name="標準 3 6 2 2 4 2" xfId="1584" xr:uid="{00000000-0005-0000-0000-000032060000}"/>
    <cellStyle name="標準 3 6 2 2 5" xfId="1694" xr:uid="{00000000-0005-0000-0000-000033060000}"/>
    <cellStyle name="標準 3 6 2 2 6" xfId="1804" xr:uid="{00000000-0005-0000-0000-000034060000}"/>
    <cellStyle name="標準 3 6 2 2 7" xfId="1209" xr:uid="{00000000-0005-0000-0000-000035060000}"/>
    <cellStyle name="標準 3 6 2 2 8" xfId="1111" xr:uid="{00000000-0005-0000-0000-000036060000}"/>
    <cellStyle name="標準 3 6 2 3" xfId="676" xr:uid="{00000000-0005-0000-0000-000037060000}"/>
    <cellStyle name="標準 3 6 2 3 2" xfId="985" xr:uid="{00000000-0005-0000-0000-000038060000}"/>
    <cellStyle name="標準 3 6 2 3 2 2" xfId="1396" xr:uid="{00000000-0005-0000-0000-000039060000}"/>
    <cellStyle name="標準 3 6 2 3 3" xfId="1678" xr:uid="{00000000-0005-0000-0000-00003A060000}"/>
    <cellStyle name="標準 3 6 2 3 4" xfId="1788" xr:uid="{00000000-0005-0000-0000-00003B060000}"/>
    <cellStyle name="標準 3 6 2 3 5" xfId="1265" xr:uid="{00000000-0005-0000-0000-00003C060000}"/>
    <cellStyle name="標準 3 6 2 3 6" xfId="1095" xr:uid="{00000000-0005-0000-0000-00003D060000}"/>
    <cellStyle name="標準 3 6 2 4" xfId="906" xr:uid="{00000000-0005-0000-0000-00003E060000}"/>
    <cellStyle name="標準 3 6 2 4 2" xfId="1017" xr:uid="{00000000-0005-0000-0000-00003F060000}"/>
    <cellStyle name="標準 3 6 2 4 2 2" xfId="1600" xr:uid="{00000000-0005-0000-0000-000040060000}"/>
    <cellStyle name="標準 3 6 2 4 3" xfId="1710" xr:uid="{00000000-0005-0000-0000-000041060000}"/>
    <cellStyle name="標準 3 6 2 4 4" xfId="1820" xr:uid="{00000000-0005-0000-0000-000042060000}"/>
    <cellStyle name="標準 3 6 2 4 5" xfId="1266" xr:uid="{00000000-0005-0000-0000-000043060000}"/>
    <cellStyle name="標準 3 6 2 4 6" xfId="1127" xr:uid="{00000000-0005-0000-0000-000044060000}"/>
    <cellStyle name="標準 3 6 2 5" xfId="950" xr:uid="{00000000-0005-0000-0000-000045060000}"/>
    <cellStyle name="標準 3 6 2 5 2" xfId="1050" xr:uid="{00000000-0005-0000-0000-000046060000}"/>
    <cellStyle name="標準 3 6 2 5 2 2" xfId="1633" xr:uid="{00000000-0005-0000-0000-000047060000}"/>
    <cellStyle name="標準 3 6 2 5 3" xfId="1743" xr:uid="{00000000-0005-0000-0000-000048060000}"/>
    <cellStyle name="標準 3 6 2 5 4" xfId="1853" xr:uid="{00000000-0005-0000-0000-000049060000}"/>
    <cellStyle name="標準 3 6 2 5 5" xfId="1267" xr:uid="{00000000-0005-0000-0000-00004A060000}"/>
    <cellStyle name="標準 3 6 2 5 6" xfId="1160" xr:uid="{00000000-0005-0000-0000-00004B060000}"/>
    <cellStyle name="標準 3 6 2 6" xfId="968" xr:uid="{00000000-0005-0000-0000-00004C060000}"/>
    <cellStyle name="標準 3 6 2 6 2" xfId="1365" xr:uid="{00000000-0005-0000-0000-00004D060000}"/>
    <cellStyle name="標準 3 6 2 7" xfId="1661" xr:uid="{00000000-0005-0000-0000-00004E060000}"/>
    <cellStyle name="標準 3 6 2 8" xfId="1771" xr:uid="{00000000-0005-0000-0000-00004F060000}"/>
    <cellStyle name="標準 3 6 2 9" xfId="1193" xr:uid="{00000000-0005-0000-0000-000050060000}"/>
    <cellStyle name="標準 3 6 3" xfId="677" xr:uid="{00000000-0005-0000-0000-000051060000}"/>
    <cellStyle name="標準 3 6 3 2" xfId="890" xr:uid="{00000000-0005-0000-0000-000052060000}"/>
    <cellStyle name="標準 3 6 3 2 2" xfId="923" xr:uid="{00000000-0005-0000-0000-000053060000}"/>
    <cellStyle name="標準 3 6 3 2 2 2" xfId="1034" xr:uid="{00000000-0005-0000-0000-000054060000}"/>
    <cellStyle name="標準 3 6 3 2 2 2 2" xfId="1617" xr:uid="{00000000-0005-0000-0000-000055060000}"/>
    <cellStyle name="標準 3 6 3 2 2 3" xfId="1727" xr:uid="{00000000-0005-0000-0000-000056060000}"/>
    <cellStyle name="標準 3 6 3 2 2 4" xfId="1837" xr:uid="{00000000-0005-0000-0000-000057060000}"/>
    <cellStyle name="標準 3 6 3 2 2 5" xfId="1268" xr:uid="{00000000-0005-0000-0000-000058060000}"/>
    <cellStyle name="標準 3 6 3 2 2 6" xfId="1144" xr:uid="{00000000-0005-0000-0000-000059060000}"/>
    <cellStyle name="標準 3 6 3 2 3" xfId="951" xr:uid="{00000000-0005-0000-0000-00005A060000}"/>
    <cellStyle name="標準 3 6 3 2 3 2" xfId="1067" xr:uid="{00000000-0005-0000-0000-00005B060000}"/>
    <cellStyle name="標準 3 6 3 2 3 2 2" xfId="1650" xr:uid="{00000000-0005-0000-0000-00005C060000}"/>
    <cellStyle name="標準 3 6 3 2 3 3" xfId="1760" xr:uid="{00000000-0005-0000-0000-00005D060000}"/>
    <cellStyle name="標準 3 6 3 2 3 4" xfId="1870" xr:uid="{00000000-0005-0000-0000-00005E060000}"/>
    <cellStyle name="標準 3 6 3 2 3 5" xfId="1269" xr:uid="{00000000-0005-0000-0000-00005F060000}"/>
    <cellStyle name="標準 3 6 3 2 3 6" xfId="1177" xr:uid="{00000000-0005-0000-0000-000060060000}"/>
    <cellStyle name="標準 3 6 3 2 4" xfId="1002" xr:uid="{00000000-0005-0000-0000-000061060000}"/>
    <cellStyle name="標準 3 6 3 2 4 2" xfId="1585" xr:uid="{00000000-0005-0000-0000-000062060000}"/>
    <cellStyle name="標準 3 6 3 2 5" xfId="1695" xr:uid="{00000000-0005-0000-0000-000063060000}"/>
    <cellStyle name="標準 3 6 3 2 6" xfId="1805" xr:uid="{00000000-0005-0000-0000-000064060000}"/>
    <cellStyle name="標準 3 6 3 2 7" xfId="1210" xr:uid="{00000000-0005-0000-0000-000065060000}"/>
    <cellStyle name="標準 3 6 3 2 8" xfId="1112" xr:uid="{00000000-0005-0000-0000-000066060000}"/>
    <cellStyle name="標準 3 6 3 3" xfId="907" xr:uid="{00000000-0005-0000-0000-000067060000}"/>
    <cellStyle name="標準 3 6 3 3 2" xfId="1018" xr:uid="{00000000-0005-0000-0000-000068060000}"/>
    <cellStyle name="標準 3 6 3 3 2 2" xfId="1601" xr:uid="{00000000-0005-0000-0000-000069060000}"/>
    <cellStyle name="標準 3 6 3 3 3" xfId="1711" xr:uid="{00000000-0005-0000-0000-00006A060000}"/>
    <cellStyle name="標準 3 6 3 3 4" xfId="1821" xr:uid="{00000000-0005-0000-0000-00006B060000}"/>
    <cellStyle name="標準 3 6 3 3 5" xfId="1270" xr:uid="{00000000-0005-0000-0000-00006C060000}"/>
    <cellStyle name="標準 3 6 3 3 6" xfId="1128" xr:uid="{00000000-0005-0000-0000-00006D060000}"/>
    <cellStyle name="標準 3 6 3 4" xfId="952" xr:uid="{00000000-0005-0000-0000-00006E060000}"/>
    <cellStyle name="標準 3 6 3 4 2" xfId="1051" xr:uid="{00000000-0005-0000-0000-00006F060000}"/>
    <cellStyle name="標準 3 6 3 4 2 2" xfId="1634" xr:uid="{00000000-0005-0000-0000-000070060000}"/>
    <cellStyle name="標準 3 6 3 4 3" xfId="1744" xr:uid="{00000000-0005-0000-0000-000071060000}"/>
    <cellStyle name="標準 3 6 3 4 4" xfId="1854" xr:uid="{00000000-0005-0000-0000-000072060000}"/>
    <cellStyle name="標準 3 6 3 4 5" xfId="1271" xr:uid="{00000000-0005-0000-0000-000073060000}"/>
    <cellStyle name="標準 3 6 3 4 6" xfId="1161" xr:uid="{00000000-0005-0000-0000-000074060000}"/>
    <cellStyle name="標準 3 6 3 5" xfId="986" xr:uid="{00000000-0005-0000-0000-000075060000}"/>
    <cellStyle name="標準 3 6 3 5 2" xfId="1397" xr:uid="{00000000-0005-0000-0000-000076060000}"/>
    <cellStyle name="標準 3 6 3 6" xfId="1679" xr:uid="{00000000-0005-0000-0000-000077060000}"/>
    <cellStyle name="標準 3 6 3 7" xfId="1789" xr:uid="{00000000-0005-0000-0000-000078060000}"/>
    <cellStyle name="標準 3 6 3 8" xfId="1194" xr:uid="{00000000-0005-0000-0000-000079060000}"/>
    <cellStyle name="標準 3 6 3 9" xfId="1096" xr:uid="{00000000-0005-0000-0000-00007A060000}"/>
    <cellStyle name="標準 3 6 4" xfId="706" xr:uid="{00000000-0005-0000-0000-00007B060000}"/>
    <cellStyle name="標準 3 6 4 2" xfId="911" xr:uid="{00000000-0005-0000-0000-00007C060000}"/>
    <cellStyle name="標準 3 6 4 2 2" xfId="1022" xr:uid="{00000000-0005-0000-0000-00007D060000}"/>
    <cellStyle name="標準 3 6 4 2 2 2" xfId="1605" xr:uid="{00000000-0005-0000-0000-00007E060000}"/>
    <cellStyle name="標準 3 6 4 2 3" xfId="1715" xr:uid="{00000000-0005-0000-0000-00007F060000}"/>
    <cellStyle name="標準 3 6 4 2 4" xfId="1825" xr:uid="{00000000-0005-0000-0000-000080060000}"/>
    <cellStyle name="標準 3 6 4 2 5" xfId="1272" xr:uid="{00000000-0005-0000-0000-000081060000}"/>
    <cellStyle name="標準 3 6 4 2 6" xfId="1132" xr:uid="{00000000-0005-0000-0000-000082060000}"/>
    <cellStyle name="標準 3 6 4 3" xfId="953" xr:uid="{00000000-0005-0000-0000-000083060000}"/>
    <cellStyle name="標準 3 6 4 3 2" xfId="1055" xr:uid="{00000000-0005-0000-0000-000084060000}"/>
    <cellStyle name="標準 3 6 4 3 2 2" xfId="1638" xr:uid="{00000000-0005-0000-0000-000085060000}"/>
    <cellStyle name="標準 3 6 4 3 3" xfId="1748" xr:uid="{00000000-0005-0000-0000-000086060000}"/>
    <cellStyle name="標準 3 6 4 3 4" xfId="1858" xr:uid="{00000000-0005-0000-0000-000087060000}"/>
    <cellStyle name="標準 3 6 4 3 5" xfId="1273" xr:uid="{00000000-0005-0000-0000-000088060000}"/>
    <cellStyle name="標準 3 6 4 3 6" xfId="1165" xr:uid="{00000000-0005-0000-0000-000089060000}"/>
    <cellStyle name="標準 3 6 4 4" xfId="990" xr:uid="{00000000-0005-0000-0000-00008A060000}"/>
    <cellStyle name="標準 3 6 4 4 2" xfId="1412" xr:uid="{00000000-0005-0000-0000-00008B060000}"/>
    <cellStyle name="標準 3 6 4 5" xfId="1683" xr:uid="{00000000-0005-0000-0000-00008C060000}"/>
    <cellStyle name="標準 3 6 4 6" xfId="1793" xr:uid="{00000000-0005-0000-0000-00008D060000}"/>
    <cellStyle name="標準 3 6 4 7" xfId="1198" xr:uid="{00000000-0005-0000-0000-00008E060000}"/>
    <cellStyle name="標準 3 6 4 8" xfId="1100" xr:uid="{00000000-0005-0000-0000-00008F060000}"/>
    <cellStyle name="標準 3 6 5" xfId="573" xr:uid="{00000000-0005-0000-0000-000090060000}"/>
    <cellStyle name="標準 3 6 5 2" xfId="974" xr:uid="{00000000-0005-0000-0000-000091060000}"/>
    <cellStyle name="標準 3 6 5 2 2" xfId="1371" xr:uid="{00000000-0005-0000-0000-000092060000}"/>
    <cellStyle name="標準 3 6 5 3" xfId="1667" xr:uid="{00000000-0005-0000-0000-000093060000}"/>
    <cellStyle name="標準 3 6 5 4" xfId="1777" xr:uid="{00000000-0005-0000-0000-000094060000}"/>
    <cellStyle name="標準 3 6 5 5" xfId="1274" xr:uid="{00000000-0005-0000-0000-000095060000}"/>
    <cellStyle name="標準 3 6 5 6" xfId="1084" xr:uid="{00000000-0005-0000-0000-000096060000}"/>
    <cellStyle name="標準 3 6 6" xfId="895" xr:uid="{00000000-0005-0000-0000-000097060000}"/>
    <cellStyle name="標準 3 6 6 2" xfId="1006" xr:uid="{00000000-0005-0000-0000-000098060000}"/>
    <cellStyle name="標準 3 6 6 2 2" xfId="1589" xr:uid="{00000000-0005-0000-0000-000099060000}"/>
    <cellStyle name="標準 3 6 6 3" xfId="1699" xr:uid="{00000000-0005-0000-0000-00009A060000}"/>
    <cellStyle name="標準 3 6 6 4" xfId="1809" xr:uid="{00000000-0005-0000-0000-00009B060000}"/>
    <cellStyle name="標準 3 6 6 5" xfId="1275" xr:uid="{00000000-0005-0000-0000-00009C060000}"/>
    <cellStyle name="標準 3 6 6 6" xfId="1116" xr:uid="{00000000-0005-0000-0000-00009D060000}"/>
    <cellStyle name="標準 3 6 7" xfId="954" xr:uid="{00000000-0005-0000-0000-00009E060000}"/>
    <cellStyle name="標準 3 6 7 2" xfId="1039" xr:uid="{00000000-0005-0000-0000-00009F060000}"/>
    <cellStyle name="標準 3 6 7 2 2" xfId="1622" xr:uid="{00000000-0005-0000-0000-0000A0060000}"/>
    <cellStyle name="標準 3 6 7 3" xfId="1732" xr:uid="{00000000-0005-0000-0000-0000A1060000}"/>
    <cellStyle name="標準 3 6 7 4" xfId="1842" xr:uid="{00000000-0005-0000-0000-0000A2060000}"/>
    <cellStyle name="標準 3 6 7 5" xfId="1276" xr:uid="{00000000-0005-0000-0000-0000A3060000}"/>
    <cellStyle name="標準 3 6 7 6" xfId="1149" xr:uid="{00000000-0005-0000-0000-0000A4060000}"/>
    <cellStyle name="標準 3 6 8" xfId="967" xr:uid="{00000000-0005-0000-0000-0000A5060000}"/>
    <cellStyle name="標準 3 6 8 2" xfId="1364" xr:uid="{00000000-0005-0000-0000-0000A6060000}"/>
    <cellStyle name="標準 3 6 9" xfId="1660" xr:uid="{00000000-0005-0000-0000-0000A7060000}"/>
    <cellStyle name="標準 3 7" xfId="1881" xr:uid="{1913ED77-32BC-4424-9293-2362FE0C8E80}"/>
    <cellStyle name="標準 3_【テスト仕様書】Template" xfId="507" xr:uid="{00000000-0005-0000-0000-0000A8060000}"/>
    <cellStyle name="標準 4" xfId="508" xr:uid="{00000000-0005-0000-0000-0000A9060000}"/>
    <cellStyle name="標準 4 2" xfId="509" xr:uid="{00000000-0005-0000-0000-0000AA060000}"/>
    <cellStyle name="標準 4 2 2" xfId="678" xr:uid="{00000000-0005-0000-0000-0000AB060000}"/>
    <cellStyle name="標準 4 3" xfId="510" xr:uid="{00000000-0005-0000-0000-0000AC060000}"/>
    <cellStyle name="標準 4 3 10" xfId="1772" xr:uid="{00000000-0005-0000-0000-0000AD060000}"/>
    <cellStyle name="標準 4 3 11" xfId="1183" xr:uid="{00000000-0005-0000-0000-0000AE060000}"/>
    <cellStyle name="標準 4 3 12" xfId="1079" xr:uid="{00000000-0005-0000-0000-0000AF060000}"/>
    <cellStyle name="標準 4 3 2" xfId="511" xr:uid="{00000000-0005-0000-0000-0000B0060000}"/>
    <cellStyle name="標準 4 3 2 10" xfId="1080" xr:uid="{00000000-0005-0000-0000-0000B1060000}"/>
    <cellStyle name="標準 4 3 2 2" xfId="891" xr:uid="{00000000-0005-0000-0000-0000B2060000}"/>
    <cellStyle name="標準 4 3 2 2 2" xfId="924" xr:uid="{00000000-0005-0000-0000-0000B3060000}"/>
    <cellStyle name="標準 4 3 2 2 2 2" xfId="1035" xr:uid="{00000000-0005-0000-0000-0000B4060000}"/>
    <cellStyle name="標準 4 3 2 2 2 2 2" xfId="1618" xr:uid="{00000000-0005-0000-0000-0000B5060000}"/>
    <cellStyle name="標準 4 3 2 2 2 3" xfId="1728" xr:uid="{00000000-0005-0000-0000-0000B6060000}"/>
    <cellStyle name="標準 4 3 2 2 2 4" xfId="1838" xr:uid="{00000000-0005-0000-0000-0000B7060000}"/>
    <cellStyle name="標準 4 3 2 2 2 5" xfId="1277" xr:uid="{00000000-0005-0000-0000-0000B8060000}"/>
    <cellStyle name="標準 4 3 2 2 2 6" xfId="1145" xr:uid="{00000000-0005-0000-0000-0000B9060000}"/>
    <cellStyle name="標準 4 3 2 2 3" xfId="955" xr:uid="{00000000-0005-0000-0000-0000BA060000}"/>
    <cellStyle name="標準 4 3 2 2 3 2" xfId="1068" xr:uid="{00000000-0005-0000-0000-0000BB060000}"/>
    <cellStyle name="標準 4 3 2 2 3 2 2" xfId="1651" xr:uid="{00000000-0005-0000-0000-0000BC060000}"/>
    <cellStyle name="標準 4 3 2 2 3 3" xfId="1761" xr:uid="{00000000-0005-0000-0000-0000BD060000}"/>
    <cellStyle name="標準 4 3 2 2 3 4" xfId="1871" xr:uid="{00000000-0005-0000-0000-0000BE060000}"/>
    <cellStyle name="標準 4 3 2 2 3 5" xfId="1278" xr:uid="{00000000-0005-0000-0000-0000BF060000}"/>
    <cellStyle name="標準 4 3 2 2 3 6" xfId="1178" xr:uid="{00000000-0005-0000-0000-0000C0060000}"/>
    <cellStyle name="標準 4 3 2 2 4" xfId="1003" xr:uid="{00000000-0005-0000-0000-0000C1060000}"/>
    <cellStyle name="標準 4 3 2 2 4 2" xfId="1586" xr:uid="{00000000-0005-0000-0000-0000C2060000}"/>
    <cellStyle name="標準 4 3 2 2 5" xfId="1696" xr:uid="{00000000-0005-0000-0000-0000C3060000}"/>
    <cellStyle name="標準 4 3 2 2 6" xfId="1806" xr:uid="{00000000-0005-0000-0000-0000C4060000}"/>
    <cellStyle name="標準 4 3 2 2 7" xfId="1211" xr:uid="{00000000-0005-0000-0000-0000C5060000}"/>
    <cellStyle name="標準 4 3 2 2 8" xfId="1113" xr:uid="{00000000-0005-0000-0000-0000C6060000}"/>
    <cellStyle name="標準 4 3 2 3" xfId="679" xr:uid="{00000000-0005-0000-0000-0000C7060000}"/>
    <cellStyle name="標準 4 3 2 3 2" xfId="987" xr:uid="{00000000-0005-0000-0000-0000C8060000}"/>
    <cellStyle name="標準 4 3 2 3 2 2" xfId="1398" xr:uid="{00000000-0005-0000-0000-0000C9060000}"/>
    <cellStyle name="標準 4 3 2 3 3" xfId="1680" xr:uid="{00000000-0005-0000-0000-0000CA060000}"/>
    <cellStyle name="標準 4 3 2 3 4" xfId="1790" xr:uid="{00000000-0005-0000-0000-0000CB060000}"/>
    <cellStyle name="標準 4 3 2 3 5" xfId="1279" xr:uid="{00000000-0005-0000-0000-0000CC060000}"/>
    <cellStyle name="標準 4 3 2 3 6" xfId="1097" xr:uid="{00000000-0005-0000-0000-0000CD060000}"/>
    <cellStyle name="標準 4 3 2 4" xfId="908" xr:uid="{00000000-0005-0000-0000-0000CE060000}"/>
    <cellStyle name="標準 4 3 2 4 2" xfId="1019" xr:uid="{00000000-0005-0000-0000-0000CF060000}"/>
    <cellStyle name="標準 4 3 2 4 2 2" xfId="1602" xr:uid="{00000000-0005-0000-0000-0000D0060000}"/>
    <cellStyle name="標準 4 3 2 4 3" xfId="1712" xr:uid="{00000000-0005-0000-0000-0000D1060000}"/>
    <cellStyle name="標準 4 3 2 4 4" xfId="1822" xr:uid="{00000000-0005-0000-0000-0000D2060000}"/>
    <cellStyle name="標準 4 3 2 4 5" xfId="1280" xr:uid="{00000000-0005-0000-0000-0000D3060000}"/>
    <cellStyle name="標準 4 3 2 4 6" xfId="1129" xr:uid="{00000000-0005-0000-0000-0000D4060000}"/>
    <cellStyle name="標準 4 3 2 5" xfId="956" xr:uid="{00000000-0005-0000-0000-0000D5060000}"/>
    <cellStyle name="標準 4 3 2 5 2" xfId="1052" xr:uid="{00000000-0005-0000-0000-0000D6060000}"/>
    <cellStyle name="標準 4 3 2 5 2 2" xfId="1635" xr:uid="{00000000-0005-0000-0000-0000D7060000}"/>
    <cellStyle name="標準 4 3 2 5 3" xfId="1745" xr:uid="{00000000-0005-0000-0000-0000D8060000}"/>
    <cellStyle name="標準 4 3 2 5 4" xfId="1855" xr:uid="{00000000-0005-0000-0000-0000D9060000}"/>
    <cellStyle name="標準 4 3 2 5 5" xfId="1281" xr:uid="{00000000-0005-0000-0000-0000DA060000}"/>
    <cellStyle name="標準 4 3 2 5 6" xfId="1162" xr:uid="{00000000-0005-0000-0000-0000DB060000}"/>
    <cellStyle name="標準 4 3 2 6" xfId="970" xr:uid="{00000000-0005-0000-0000-0000DC060000}"/>
    <cellStyle name="標準 4 3 2 6 2" xfId="1367" xr:uid="{00000000-0005-0000-0000-0000DD060000}"/>
    <cellStyle name="標準 4 3 2 7" xfId="1663" xr:uid="{00000000-0005-0000-0000-0000DE060000}"/>
    <cellStyle name="標準 4 3 2 8" xfId="1773" xr:uid="{00000000-0005-0000-0000-0000DF060000}"/>
    <cellStyle name="標準 4 3 2 9" xfId="1195" xr:uid="{00000000-0005-0000-0000-0000E0060000}"/>
    <cellStyle name="標準 4 3 3" xfId="680" xr:uid="{00000000-0005-0000-0000-0000E1060000}"/>
    <cellStyle name="標準 4 3 3 2" xfId="892" xr:uid="{00000000-0005-0000-0000-0000E2060000}"/>
    <cellStyle name="標準 4 3 3 2 2" xfId="925" xr:uid="{00000000-0005-0000-0000-0000E3060000}"/>
    <cellStyle name="標準 4 3 3 2 2 2" xfId="1036" xr:uid="{00000000-0005-0000-0000-0000E4060000}"/>
    <cellStyle name="標準 4 3 3 2 2 2 2" xfId="1619" xr:uid="{00000000-0005-0000-0000-0000E5060000}"/>
    <cellStyle name="標準 4 3 3 2 2 3" xfId="1729" xr:uid="{00000000-0005-0000-0000-0000E6060000}"/>
    <cellStyle name="標準 4 3 3 2 2 4" xfId="1839" xr:uid="{00000000-0005-0000-0000-0000E7060000}"/>
    <cellStyle name="標準 4 3 3 2 2 5" xfId="1282" xr:uid="{00000000-0005-0000-0000-0000E8060000}"/>
    <cellStyle name="標準 4 3 3 2 2 6" xfId="1146" xr:uid="{00000000-0005-0000-0000-0000E9060000}"/>
    <cellStyle name="標準 4 3 3 2 3" xfId="957" xr:uid="{00000000-0005-0000-0000-0000EA060000}"/>
    <cellStyle name="標準 4 3 3 2 3 2" xfId="1069" xr:uid="{00000000-0005-0000-0000-0000EB060000}"/>
    <cellStyle name="標準 4 3 3 2 3 2 2" xfId="1652" xr:uid="{00000000-0005-0000-0000-0000EC060000}"/>
    <cellStyle name="標準 4 3 3 2 3 3" xfId="1762" xr:uid="{00000000-0005-0000-0000-0000ED060000}"/>
    <cellStyle name="標準 4 3 3 2 3 4" xfId="1872" xr:uid="{00000000-0005-0000-0000-0000EE060000}"/>
    <cellStyle name="標準 4 3 3 2 3 5" xfId="1283" xr:uid="{00000000-0005-0000-0000-0000EF060000}"/>
    <cellStyle name="標準 4 3 3 2 3 6" xfId="1179" xr:uid="{00000000-0005-0000-0000-0000F0060000}"/>
    <cellStyle name="標準 4 3 3 2 4" xfId="1004" xr:uid="{00000000-0005-0000-0000-0000F1060000}"/>
    <cellStyle name="標準 4 3 3 2 4 2" xfId="1587" xr:uid="{00000000-0005-0000-0000-0000F2060000}"/>
    <cellStyle name="標準 4 3 3 2 5" xfId="1697" xr:uid="{00000000-0005-0000-0000-0000F3060000}"/>
    <cellStyle name="標準 4 3 3 2 6" xfId="1807" xr:uid="{00000000-0005-0000-0000-0000F4060000}"/>
    <cellStyle name="標準 4 3 3 2 7" xfId="1212" xr:uid="{00000000-0005-0000-0000-0000F5060000}"/>
    <cellStyle name="標準 4 3 3 2 8" xfId="1114" xr:uid="{00000000-0005-0000-0000-0000F6060000}"/>
    <cellStyle name="標準 4 3 3 3" xfId="909" xr:uid="{00000000-0005-0000-0000-0000F7060000}"/>
    <cellStyle name="標準 4 3 3 3 2" xfId="1020" xr:uid="{00000000-0005-0000-0000-0000F8060000}"/>
    <cellStyle name="標準 4 3 3 3 2 2" xfId="1603" xr:uid="{00000000-0005-0000-0000-0000F9060000}"/>
    <cellStyle name="標準 4 3 3 3 3" xfId="1713" xr:uid="{00000000-0005-0000-0000-0000FA060000}"/>
    <cellStyle name="標準 4 3 3 3 4" xfId="1823" xr:uid="{00000000-0005-0000-0000-0000FB060000}"/>
    <cellStyle name="標準 4 3 3 3 5" xfId="1284" xr:uid="{00000000-0005-0000-0000-0000FC060000}"/>
    <cellStyle name="標準 4 3 3 3 6" xfId="1130" xr:uid="{00000000-0005-0000-0000-0000FD060000}"/>
    <cellStyle name="標準 4 3 3 4" xfId="958" xr:uid="{00000000-0005-0000-0000-0000FE060000}"/>
    <cellStyle name="標準 4 3 3 4 2" xfId="1053" xr:uid="{00000000-0005-0000-0000-0000FF060000}"/>
    <cellStyle name="標準 4 3 3 4 2 2" xfId="1636" xr:uid="{00000000-0005-0000-0000-000000070000}"/>
    <cellStyle name="標準 4 3 3 4 3" xfId="1746" xr:uid="{00000000-0005-0000-0000-000001070000}"/>
    <cellStyle name="標準 4 3 3 4 4" xfId="1856" xr:uid="{00000000-0005-0000-0000-000002070000}"/>
    <cellStyle name="標準 4 3 3 4 5" xfId="1285" xr:uid="{00000000-0005-0000-0000-000003070000}"/>
    <cellStyle name="標準 4 3 3 4 6" xfId="1163" xr:uid="{00000000-0005-0000-0000-000004070000}"/>
    <cellStyle name="標準 4 3 3 5" xfId="988" xr:uid="{00000000-0005-0000-0000-000005070000}"/>
    <cellStyle name="標準 4 3 3 5 2" xfId="1399" xr:uid="{00000000-0005-0000-0000-000006070000}"/>
    <cellStyle name="標準 4 3 3 6" xfId="1681" xr:uid="{00000000-0005-0000-0000-000007070000}"/>
    <cellStyle name="標準 4 3 3 7" xfId="1791" xr:uid="{00000000-0005-0000-0000-000008070000}"/>
    <cellStyle name="標準 4 3 3 8" xfId="1196" xr:uid="{00000000-0005-0000-0000-000009070000}"/>
    <cellStyle name="標準 4 3 3 9" xfId="1098" xr:uid="{00000000-0005-0000-0000-00000A070000}"/>
    <cellStyle name="標準 4 3 4" xfId="707" xr:uid="{00000000-0005-0000-0000-00000B070000}"/>
    <cellStyle name="標準 4 3 4 2" xfId="912" xr:uid="{00000000-0005-0000-0000-00000C070000}"/>
    <cellStyle name="標準 4 3 4 2 2" xfId="1023" xr:uid="{00000000-0005-0000-0000-00000D070000}"/>
    <cellStyle name="標準 4 3 4 2 2 2" xfId="1606" xr:uid="{00000000-0005-0000-0000-00000E070000}"/>
    <cellStyle name="標準 4 3 4 2 3" xfId="1716" xr:uid="{00000000-0005-0000-0000-00000F070000}"/>
    <cellStyle name="標準 4 3 4 2 4" xfId="1826" xr:uid="{00000000-0005-0000-0000-000010070000}"/>
    <cellStyle name="標準 4 3 4 2 5" xfId="1286" xr:uid="{00000000-0005-0000-0000-000011070000}"/>
    <cellStyle name="標準 4 3 4 2 6" xfId="1133" xr:uid="{00000000-0005-0000-0000-000012070000}"/>
    <cellStyle name="標準 4 3 4 3" xfId="959" xr:uid="{00000000-0005-0000-0000-000013070000}"/>
    <cellStyle name="標準 4 3 4 3 2" xfId="1056" xr:uid="{00000000-0005-0000-0000-000014070000}"/>
    <cellStyle name="標準 4 3 4 3 2 2" xfId="1639" xr:uid="{00000000-0005-0000-0000-000015070000}"/>
    <cellStyle name="標準 4 3 4 3 3" xfId="1749" xr:uid="{00000000-0005-0000-0000-000016070000}"/>
    <cellStyle name="標準 4 3 4 3 4" xfId="1859" xr:uid="{00000000-0005-0000-0000-000017070000}"/>
    <cellStyle name="標準 4 3 4 3 5" xfId="1287" xr:uid="{00000000-0005-0000-0000-000018070000}"/>
    <cellStyle name="標準 4 3 4 3 6" xfId="1166" xr:uid="{00000000-0005-0000-0000-000019070000}"/>
    <cellStyle name="標準 4 3 4 4" xfId="991" xr:uid="{00000000-0005-0000-0000-00001A070000}"/>
    <cellStyle name="標準 4 3 4 4 2" xfId="1413" xr:uid="{00000000-0005-0000-0000-00001B070000}"/>
    <cellStyle name="標準 4 3 4 5" xfId="1684" xr:uid="{00000000-0005-0000-0000-00001C070000}"/>
    <cellStyle name="標準 4 3 4 6" xfId="1794" xr:uid="{00000000-0005-0000-0000-00001D070000}"/>
    <cellStyle name="標準 4 3 4 7" xfId="1199" xr:uid="{00000000-0005-0000-0000-00001E070000}"/>
    <cellStyle name="標準 4 3 4 8" xfId="1101" xr:uid="{00000000-0005-0000-0000-00001F070000}"/>
    <cellStyle name="標準 4 3 5" xfId="574" xr:uid="{00000000-0005-0000-0000-000020070000}"/>
    <cellStyle name="標準 4 3 5 2" xfId="975" xr:uid="{00000000-0005-0000-0000-000021070000}"/>
    <cellStyle name="標準 4 3 5 2 2" xfId="1372" xr:uid="{00000000-0005-0000-0000-000022070000}"/>
    <cellStyle name="標準 4 3 5 3" xfId="1668" xr:uid="{00000000-0005-0000-0000-000023070000}"/>
    <cellStyle name="標準 4 3 5 4" xfId="1778" xr:uid="{00000000-0005-0000-0000-000024070000}"/>
    <cellStyle name="標準 4 3 5 5" xfId="1288" xr:uid="{00000000-0005-0000-0000-000025070000}"/>
    <cellStyle name="標準 4 3 5 6" xfId="1085" xr:uid="{00000000-0005-0000-0000-000026070000}"/>
    <cellStyle name="標準 4 3 6" xfId="896" xr:uid="{00000000-0005-0000-0000-000027070000}"/>
    <cellStyle name="標準 4 3 6 2" xfId="1007" xr:uid="{00000000-0005-0000-0000-000028070000}"/>
    <cellStyle name="標準 4 3 6 2 2" xfId="1590" xr:uid="{00000000-0005-0000-0000-000029070000}"/>
    <cellStyle name="標準 4 3 6 3" xfId="1700" xr:uid="{00000000-0005-0000-0000-00002A070000}"/>
    <cellStyle name="標準 4 3 6 4" xfId="1810" xr:uid="{00000000-0005-0000-0000-00002B070000}"/>
    <cellStyle name="標準 4 3 6 5" xfId="1289" xr:uid="{00000000-0005-0000-0000-00002C070000}"/>
    <cellStyle name="標準 4 3 6 6" xfId="1117" xr:uid="{00000000-0005-0000-0000-00002D070000}"/>
    <cellStyle name="標準 4 3 7" xfId="960" xr:uid="{00000000-0005-0000-0000-00002E070000}"/>
    <cellStyle name="標準 4 3 7 2" xfId="1040" xr:uid="{00000000-0005-0000-0000-00002F070000}"/>
    <cellStyle name="標準 4 3 7 2 2" xfId="1623" xr:uid="{00000000-0005-0000-0000-000030070000}"/>
    <cellStyle name="標準 4 3 7 3" xfId="1733" xr:uid="{00000000-0005-0000-0000-000031070000}"/>
    <cellStyle name="標準 4 3 7 4" xfId="1843" xr:uid="{00000000-0005-0000-0000-000032070000}"/>
    <cellStyle name="標準 4 3 7 5" xfId="1290" xr:uid="{00000000-0005-0000-0000-000033070000}"/>
    <cellStyle name="標準 4 3 7 6" xfId="1150" xr:uid="{00000000-0005-0000-0000-000034070000}"/>
    <cellStyle name="標準 4 3 8" xfId="969" xr:uid="{00000000-0005-0000-0000-000035070000}"/>
    <cellStyle name="標準 4 3 8 2" xfId="1366" xr:uid="{00000000-0005-0000-0000-000036070000}"/>
    <cellStyle name="標準 4 3 9" xfId="1662" xr:uid="{00000000-0005-0000-0000-000037070000}"/>
    <cellStyle name="標準 4 4" xfId="681" xr:uid="{00000000-0005-0000-0000-000038070000}"/>
    <cellStyle name="標準 4_FTPﾌｧｲﾙ転送仕様書v20" xfId="682" xr:uid="{00000000-0005-0000-0000-000039070000}"/>
    <cellStyle name="標準 5" xfId="512" xr:uid="{00000000-0005-0000-0000-00003A070000}"/>
    <cellStyle name="標準 5 2" xfId="513" xr:uid="{00000000-0005-0000-0000-00003B070000}"/>
    <cellStyle name="標準 5 3" xfId="683" xr:uid="{00000000-0005-0000-0000-00003C070000}"/>
    <cellStyle name="標準 6" xfId="514" xr:uid="{00000000-0005-0000-0000-00003D070000}"/>
    <cellStyle name="標準 6 2" xfId="515" xr:uid="{00000000-0005-0000-0000-00003E070000}"/>
    <cellStyle name="標準 6 3" xfId="684" xr:uid="{00000000-0005-0000-0000-00003F070000}"/>
    <cellStyle name="標準 7" xfId="516" xr:uid="{00000000-0005-0000-0000-000040070000}"/>
    <cellStyle name="標準 7 2" xfId="517" xr:uid="{00000000-0005-0000-0000-000041070000}"/>
    <cellStyle name="標準 7 3" xfId="685" xr:uid="{00000000-0005-0000-0000-000042070000}"/>
    <cellStyle name="標準 8" xfId="518" xr:uid="{00000000-0005-0000-0000-000043070000}"/>
    <cellStyle name="標準 8 2" xfId="2" xr:uid="{00000000-0005-0000-0000-000044070000}"/>
    <cellStyle name="標準 8 3" xfId="519" xr:uid="{00000000-0005-0000-0000-000045070000}"/>
    <cellStyle name="標準 9" xfId="520" xr:uid="{00000000-0005-0000-0000-000046070000}"/>
    <cellStyle name="標準 9 2" xfId="521" xr:uid="{00000000-0005-0000-0000-000047070000}"/>
    <cellStyle name="標準_●国内統合確認テスト_国内WEB(ユーザ変更)_福山" xfId="1" xr:uid="{00000000-0005-0000-0000-000048070000}"/>
    <cellStyle name="標準2" xfId="522" xr:uid="{00000000-0005-0000-0000-00004A070000}"/>
    <cellStyle name="標準２" xfId="523" xr:uid="{00000000-0005-0000-0000-00004B070000}"/>
    <cellStyle name="標準3" xfId="524" xr:uid="{00000000-0005-0000-0000-00004C070000}"/>
    <cellStyle name="標準Ａ" xfId="525" xr:uid="{00000000-0005-0000-0000-00004D070000}"/>
    <cellStyle name="標準-UENO" xfId="526" xr:uid="{00000000-0005-0000-0000-00004E070000}"/>
    <cellStyle name="表旨巧・・ハイパーリンク" xfId="527" xr:uid="{00000000-0005-0000-0000-00004F070000}"/>
    <cellStyle name="未定義" xfId="528" xr:uid="{00000000-0005-0000-0000-000050070000}"/>
    <cellStyle name="良い 2" xfId="529" xr:uid="{00000000-0005-0000-0000-000051070000}"/>
    <cellStyle name="良い 2 2" xfId="530" xr:uid="{00000000-0005-0000-0000-000052070000}"/>
    <cellStyle name="良い 2 3" xfId="686" xr:uid="{00000000-0005-0000-0000-000053070000}"/>
    <cellStyle name="良い 3" xfId="531" xr:uid="{00000000-0005-0000-0000-000054070000}"/>
    <cellStyle name="良い 3 2" xfId="532" xr:uid="{00000000-0005-0000-0000-000055070000}"/>
    <cellStyle name="良い 3 3" xfId="687" xr:uid="{00000000-0005-0000-0000-000056070000}"/>
    <cellStyle name="良い 4" xfId="570" xr:uid="{00000000-0005-0000-0000-000057070000}"/>
    <cellStyle name="樃準_台帳 (2)_1_展開図 (2)" xfId="533" xr:uid="{00000000-0005-0000-0000-00005807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3"/>
  <sheetViews>
    <sheetView zoomScaleNormal="100" zoomScaleSheetLayoutView="85" workbookViewId="0"/>
  </sheetViews>
  <sheetFormatPr defaultColWidth="9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16384" width="9" style="3"/>
  </cols>
  <sheetData>
    <row r="1" spans="1:5">
      <c r="A1" s="1" t="s">
        <v>30</v>
      </c>
    </row>
    <row r="2" spans="1:5">
      <c r="A2" s="4" t="s">
        <v>9</v>
      </c>
      <c r="B2" s="4" t="s">
        <v>29</v>
      </c>
      <c r="C2" s="5" t="s">
        <v>10</v>
      </c>
      <c r="D2" s="5" t="s">
        <v>11</v>
      </c>
      <c r="E2" s="5" t="s">
        <v>12</v>
      </c>
    </row>
    <row r="3" spans="1:5">
      <c r="A3" s="6">
        <v>44579</v>
      </c>
      <c r="B3" s="7" t="s">
        <v>31</v>
      </c>
      <c r="C3" s="8" t="s">
        <v>15</v>
      </c>
      <c r="D3" s="8" t="s">
        <v>32</v>
      </c>
      <c r="E3" s="8" t="s">
        <v>33</v>
      </c>
    </row>
    <row r="4" spans="1:5">
      <c r="A4" s="6"/>
      <c r="B4" s="7"/>
      <c r="C4" s="9"/>
      <c r="D4" s="10"/>
      <c r="E4" s="8"/>
    </row>
    <row r="5" spans="1:5">
      <c r="A5" s="6"/>
      <c r="B5" s="7"/>
      <c r="C5" s="9"/>
      <c r="D5" s="9"/>
      <c r="E5" s="8"/>
    </row>
    <row r="6" spans="1:5">
      <c r="A6" s="6"/>
      <c r="B6" s="7"/>
      <c r="C6" s="8"/>
      <c r="D6" s="8"/>
      <c r="E6" s="8"/>
    </row>
    <row r="7" spans="1:5">
      <c r="A7" s="6"/>
      <c r="B7" s="7"/>
      <c r="C7" s="8"/>
      <c r="D7" s="9"/>
      <c r="E7" s="8"/>
    </row>
    <row r="8" spans="1:5">
      <c r="A8" s="6"/>
      <c r="B8" s="7"/>
      <c r="C8" s="9"/>
      <c r="D8" s="9"/>
      <c r="E8" s="8"/>
    </row>
    <row r="9" spans="1:5">
      <c r="A9" s="6"/>
      <c r="B9" s="7"/>
      <c r="C9" s="9"/>
      <c r="D9" s="9"/>
      <c r="E9" s="8"/>
    </row>
    <row r="10" spans="1:5">
      <c r="A10" s="6"/>
      <c r="B10" s="7"/>
      <c r="C10" s="8"/>
      <c r="D10" s="9"/>
      <c r="E10" s="8"/>
    </row>
    <row r="11" spans="1:5">
      <c r="A11" s="6"/>
      <c r="B11" s="7"/>
      <c r="C11" s="8"/>
      <c r="D11" s="8"/>
      <c r="E11" s="8"/>
    </row>
    <row r="12" spans="1:5">
      <c r="A12" s="6"/>
      <c r="B12" s="7"/>
      <c r="C12" s="8"/>
      <c r="D12" s="8"/>
      <c r="E12" s="8"/>
    </row>
    <row r="13" spans="1:5">
      <c r="A13" s="6"/>
      <c r="B13" s="7"/>
      <c r="C13" s="8"/>
      <c r="D13" s="8"/>
      <c r="E13" s="8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S78"/>
  <sheetViews>
    <sheetView tabSelected="1" zoomScale="60" zoomScaleNormal="70" workbookViewId="0">
      <pane ySplit="3" topLeftCell="A25" activePane="bottomLeft" state="frozen"/>
      <selection pane="bottomLeft" activeCell="D77" sqref="D77"/>
    </sheetView>
  </sheetViews>
  <sheetFormatPr defaultColWidth="6.875" defaultRowHeight="18.75"/>
  <cols>
    <col min="1" max="1" width="12.5" style="16" bestFit="1" customWidth="1"/>
    <col min="2" max="2" width="20.625" style="12" customWidth="1"/>
    <col min="3" max="3" width="30.625" style="12" customWidth="1"/>
    <col min="4" max="4" width="50.625" style="12" customWidth="1"/>
    <col min="5" max="5" width="50.625" style="22" customWidth="1"/>
    <col min="6" max="14" width="9.625" style="12" customWidth="1"/>
    <col min="15" max="15" width="50.625" style="12" customWidth="1"/>
    <col min="16" max="16" width="6.875" style="40" customWidth="1"/>
    <col min="17" max="18" width="6.875" style="12" customWidth="1"/>
    <col min="19" max="19" width="13" style="41" hidden="1" customWidth="1"/>
    <col min="20" max="16384" width="6.875" style="12"/>
  </cols>
  <sheetData>
    <row r="1" spans="1:19">
      <c r="A1" s="43" t="s">
        <v>25</v>
      </c>
      <c r="B1" s="43"/>
      <c r="C1" s="11"/>
      <c r="E1" s="12"/>
      <c r="F1" s="13" t="s">
        <v>0</v>
      </c>
      <c r="G1" s="14" t="s">
        <v>23</v>
      </c>
      <c r="H1" s="14" t="s">
        <v>1</v>
      </c>
      <c r="I1" s="14" t="s">
        <v>19</v>
      </c>
      <c r="J1" s="14" t="s">
        <v>22</v>
      </c>
      <c r="K1" s="14" t="s">
        <v>21</v>
      </c>
      <c r="L1" s="14" t="s">
        <v>20</v>
      </c>
      <c r="N1" s="15"/>
      <c r="P1" s="12"/>
      <c r="S1" s="12"/>
    </row>
    <row r="2" spans="1:19">
      <c r="E2" s="12"/>
      <c r="F2" s="17">
        <f>COUNTIF(A26:A78,"*-*")</f>
        <v>43</v>
      </c>
      <c r="G2" s="18">
        <f>F2-SUM(H2:K2)</f>
        <v>43</v>
      </c>
      <c r="H2" s="19">
        <f>COUNTIF($S:$S,"*OK")</f>
        <v>0</v>
      </c>
      <c r="I2" s="20">
        <f>COUNTIF($S:$S,"*NG")</f>
        <v>0</v>
      </c>
      <c r="J2" s="20">
        <f>COUNTIF($S:$S,"*NT")</f>
        <v>0</v>
      </c>
      <c r="K2" s="20">
        <f>COUNTIF($S:$S,"*保留")</f>
        <v>0</v>
      </c>
      <c r="L2" s="20">
        <f>COUNTIF($S:$S,"*NGOK")</f>
        <v>0</v>
      </c>
      <c r="N2" s="21"/>
      <c r="P2" s="12"/>
      <c r="S2" s="12"/>
    </row>
    <row r="3" spans="1:19">
      <c r="A3" s="15"/>
      <c r="P3" s="12"/>
      <c r="S3" s="12"/>
    </row>
    <row r="4" spans="1:19">
      <c r="A4" s="23" t="s">
        <v>17</v>
      </c>
      <c r="B4" s="23" t="s">
        <v>93</v>
      </c>
      <c r="C4" s="24"/>
      <c r="D4" s="24"/>
      <c r="E4" s="25"/>
      <c r="F4" s="26"/>
      <c r="G4" s="27" t="s">
        <v>34</v>
      </c>
      <c r="H4" s="28"/>
      <c r="I4" s="26"/>
      <c r="J4" s="27" t="s">
        <v>35</v>
      </c>
      <c r="K4" s="28"/>
      <c r="L4" s="26"/>
      <c r="M4" s="27" t="s">
        <v>36</v>
      </c>
      <c r="N4" s="28"/>
      <c r="O4" s="29" t="s">
        <v>16</v>
      </c>
      <c r="P4" s="29"/>
      <c r="Q4" s="29"/>
      <c r="R4" s="29"/>
      <c r="S4" s="30" t="str">
        <f>CONCATENATE(F4,I4,L4)</f>
        <v/>
      </c>
    </row>
    <row r="5" spans="1:19">
      <c r="A5" s="31" t="s">
        <v>2</v>
      </c>
      <c r="B5" s="32" t="s">
        <v>3</v>
      </c>
      <c r="C5" s="32" t="s">
        <v>13</v>
      </c>
      <c r="D5" s="32" t="s">
        <v>104</v>
      </c>
      <c r="E5" s="29" t="s">
        <v>5</v>
      </c>
      <c r="F5" s="32" t="s">
        <v>6</v>
      </c>
      <c r="G5" s="32" t="s">
        <v>7</v>
      </c>
      <c r="H5" s="32" t="s">
        <v>8</v>
      </c>
      <c r="I5" s="32" t="s">
        <v>6</v>
      </c>
      <c r="J5" s="32" t="s">
        <v>7</v>
      </c>
      <c r="K5" s="32" t="s">
        <v>8</v>
      </c>
      <c r="L5" s="32" t="s">
        <v>6</v>
      </c>
      <c r="M5" s="32" t="s">
        <v>7</v>
      </c>
      <c r="N5" s="32" t="s">
        <v>8</v>
      </c>
      <c r="O5" s="32"/>
      <c r="P5" s="32"/>
      <c r="Q5" s="32"/>
      <c r="R5" s="32"/>
      <c r="S5" s="30" t="str">
        <f>CONCATENATE(F5,I5,L5)</f>
        <v>判定判定判定</v>
      </c>
    </row>
    <row r="6" spans="1:19" ht="37.5">
      <c r="A6" s="33" t="str">
        <f>MID($A$4,5,1)&amp;"-"&amp;COUNTA($E6:E$6)</f>
        <v>1-1</v>
      </c>
      <c r="B6" s="34" t="s">
        <v>102</v>
      </c>
      <c r="C6" s="34" t="s">
        <v>103</v>
      </c>
      <c r="D6" s="34" t="s">
        <v>105</v>
      </c>
      <c r="E6" s="39" t="s">
        <v>101</v>
      </c>
      <c r="F6" s="35"/>
      <c r="G6" s="36"/>
      <c r="H6" s="37"/>
      <c r="I6" s="35"/>
      <c r="J6" s="36"/>
      <c r="K6" s="37"/>
      <c r="L6" s="35"/>
      <c r="M6" s="36"/>
      <c r="N6" s="37"/>
      <c r="O6" s="38"/>
      <c r="P6" s="38"/>
      <c r="Q6" s="38"/>
      <c r="R6" s="38"/>
      <c r="S6" s="30" t="str">
        <f t="shared" ref="S6:S14" si="0">CONCATENATE(F6,I6,L6)</f>
        <v/>
      </c>
    </row>
    <row r="7" spans="1:19">
      <c r="A7" s="33" t="str">
        <f>MID($A$4,5,1)&amp;"-"&amp;COUNTA($E$6:E7)</f>
        <v>1-2</v>
      </c>
      <c r="B7" s="34"/>
      <c r="C7" s="34" t="s">
        <v>123</v>
      </c>
      <c r="D7" s="34" t="s">
        <v>124</v>
      </c>
      <c r="E7" s="39" t="s">
        <v>125</v>
      </c>
      <c r="F7" s="35"/>
      <c r="G7" s="36"/>
      <c r="H7" s="37"/>
      <c r="I7" s="35"/>
      <c r="J7" s="36"/>
      <c r="K7" s="37"/>
      <c r="L7" s="35"/>
      <c r="M7" s="36"/>
      <c r="N7" s="37"/>
      <c r="O7" s="38"/>
      <c r="P7" s="38"/>
      <c r="Q7" s="38"/>
      <c r="R7" s="38"/>
      <c r="S7" s="30" t="str">
        <f t="shared" ref="S7" si="1">CONCATENATE(F7,I7,L7)</f>
        <v/>
      </c>
    </row>
    <row r="8" spans="1:19" ht="56.25">
      <c r="A8" s="33" t="str">
        <f>MID($A$4,5,1)&amp;"-"&amp;COUNTA($E$6:E8)</f>
        <v>1-3</v>
      </c>
      <c r="B8" s="34" t="s">
        <v>106</v>
      </c>
      <c r="C8" s="34" t="s">
        <v>69</v>
      </c>
      <c r="D8" s="34" t="s">
        <v>107</v>
      </c>
      <c r="E8" s="39" t="s">
        <v>112</v>
      </c>
      <c r="F8" s="35"/>
      <c r="G8" s="36"/>
      <c r="H8" s="37"/>
      <c r="I8" s="35"/>
      <c r="J8" s="36"/>
      <c r="K8" s="37"/>
      <c r="L8" s="35"/>
      <c r="M8" s="36"/>
      <c r="N8" s="37"/>
      <c r="O8" s="38"/>
      <c r="P8" s="38"/>
      <c r="Q8" s="38"/>
      <c r="R8" s="38"/>
      <c r="S8" s="30"/>
    </row>
    <row r="9" spans="1:19">
      <c r="A9" s="33" t="str">
        <f>MID($A$4,5,1)&amp;"-"&amp;COUNTA($E$6:E9)</f>
        <v>1-4</v>
      </c>
      <c r="B9" s="34"/>
      <c r="C9" s="34"/>
      <c r="D9" s="34" t="s">
        <v>111</v>
      </c>
      <c r="E9" s="34" t="s">
        <v>84</v>
      </c>
      <c r="F9" s="35"/>
      <c r="G9" s="36"/>
      <c r="H9" s="37"/>
      <c r="I9" s="35"/>
      <c r="J9" s="36"/>
      <c r="K9" s="37"/>
      <c r="L9" s="35"/>
      <c r="M9" s="36"/>
      <c r="N9" s="37"/>
      <c r="O9" s="38"/>
      <c r="P9" s="38"/>
      <c r="Q9" s="38"/>
      <c r="R9" s="38"/>
      <c r="S9" s="30"/>
    </row>
    <row r="10" spans="1:19">
      <c r="A10" s="33" t="str">
        <f>MID($A$4,5,1)&amp;"-"&amp;COUNTA($E$6:E10)</f>
        <v>1-5</v>
      </c>
      <c r="B10" s="34"/>
      <c r="C10" s="34"/>
      <c r="D10" s="34" t="s">
        <v>63</v>
      </c>
      <c r="E10" s="34" t="s">
        <v>64</v>
      </c>
      <c r="F10" s="35"/>
      <c r="G10" s="36"/>
      <c r="H10" s="37"/>
      <c r="I10" s="35"/>
      <c r="J10" s="36"/>
      <c r="K10" s="37"/>
      <c r="L10" s="35"/>
      <c r="M10" s="36"/>
      <c r="N10" s="37"/>
      <c r="O10" s="38"/>
      <c r="P10" s="38"/>
      <c r="Q10" s="38"/>
      <c r="R10" s="38"/>
      <c r="S10" s="30"/>
    </row>
    <row r="11" spans="1:19">
      <c r="A11" s="33" t="str">
        <f>MID($A$4,5,1)&amp;"-"&amp;COUNTA($E$6:E11)</f>
        <v>1-6</v>
      </c>
      <c r="B11" s="34"/>
      <c r="C11" s="34"/>
      <c r="D11" s="34" t="s">
        <v>65</v>
      </c>
      <c r="E11" s="34" t="s">
        <v>66</v>
      </c>
      <c r="F11" s="35"/>
      <c r="G11" s="36"/>
      <c r="H11" s="37"/>
      <c r="I11" s="35"/>
      <c r="J11" s="36"/>
      <c r="K11" s="37"/>
      <c r="L11" s="35"/>
      <c r="M11" s="36"/>
      <c r="N11" s="37"/>
      <c r="O11" s="38"/>
      <c r="P11" s="38"/>
      <c r="Q11" s="38"/>
      <c r="R11" s="38"/>
      <c r="S11" s="30"/>
    </row>
    <row r="12" spans="1:19">
      <c r="A12" s="33" t="str">
        <f>MID($A$4,5,1)&amp;"-"&amp;COUNTA($E$6:E12)</f>
        <v>1-7</v>
      </c>
      <c r="B12" s="34"/>
      <c r="C12" s="34"/>
      <c r="D12" s="34" t="s">
        <v>67</v>
      </c>
      <c r="E12" s="34" t="s">
        <v>68</v>
      </c>
      <c r="F12" s="35"/>
      <c r="G12" s="36"/>
      <c r="H12" s="37"/>
      <c r="I12" s="35"/>
      <c r="J12" s="36"/>
      <c r="K12" s="37"/>
      <c r="L12" s="35"/>
      <c r="M12" s="36"/>
      <c r="N12" s="37"/>
      <c r="O12" s="38"/>
      <c r="P12" s="38"/>
      <c r="Q12" s="38"/>
      <c r="R12" s="38"/>
      <c r="S12" s="30"/>
    </row>
    <row r="13" spans="1:19">
      <c r="A13" s="33" t="str">
        <f>MID($A$4,5,1)&amp;"-"&amp;COUNTA($E$6:E13)</f>
        <v>1-8</v>
      </c>
      <c r="B13" s="34" t="s">
        <v>69</v>
      </c>
      <c r="C13" s="34" t="s">
        <v>70</v>
      </c>
      <c r="D13" s="34" t="s">
        <v>72</v>
      </c>
      <c r="E13" s="39" t="s">
        <v>74</v>
      </c>
      <c r="F13" s="35"/>
      <c r="G13" s="36"/>
      <c r="H13" s="37"/>
      <c r="I13" s="35"/>
      <c r="J13" s="36"/>
      <c r="K13" s="37"/>
      <c r="L13" s="35"/>
      <c r="M13" s="36"/>
      <c r="N13" s="37"/>
      <c r="O13" s="38"/>
      <c r="P13" s="38"/>
      <c r="Q13" s="38"/>
      <c r="R13" s="38"/>
      <c r="S13" s="30" t="str">
        <f t="shared" si="0"/>
        <v/>
      </c>
    </row>
    <row r="14" spans="1:19">
      <c r="A14" s="33" t="str">
        <f>MID($A$4,5,1)&amp;"-"&amp;COUNTA($E$6:E14)</f>
        <v>1-9</v>
      </c>
      <c r="B14" s="34"/>
      <c r="C14" s="34" t="s">
        <v>71</v>
      </c>
      <c r="D14" s="34" t="s">
        <v>73</v>
      </c>
      <c r="E14" s="39" t="s">
        <v>74</v>
      </c>
      <c r="F14" s="35"/>
      <c r="G14" s="36"/>
      <c r="H14" s="37"/>
      <c r="I14" s="35"/>
      <c r="J14" s="36"/>
      <c r="K14" s="37"/>
      <c r="L14" s="35"/>
      <c r="M14" s="36"/>
      <c r="N14" s="37"/>
      <c r="O14" s="38"/>
      <c r="P14" s="38"/>
      <c r="Q14" s="38"/>
      <c r="R14" s="38"/>
      <c r="S14" s="30" t="str">
        <f t="shared" si="0"/>
        <v/>
      </c>
    </row>
    <row r="15" spans="1:19" ht="37.5">
      <c r="A15" s="33" t="str">
        <f>MID($A$4,5,1)&amp;"-"&amp;COUNTA($E$6:E15)</f>
        <v>1-10</v>
      </c>
      <c r="B15" s="34"/>
      <c r="C15" s="34" t="s">
        <v>75</v>
      </c>
      <c r="D15" s="34" t="s">
        <v>76</v>
      </c>
      <c r="E15" s="39" t="s">
        <v>79</v>
      </c>
      <c r="F15" s="35"/>
      <c r="G15" s="36"/>
      <c r="H15" s="37"/>
      <c r="I15" s="35"/>
      <c r="J15" s="36"/>
      <c r="K15" s="37"/>
      <c r="L15" s="35"/>
      <c r="M15" s="36"/>
      <c r="N15" s="37"/>
      <c r="O15" s="38"/>
      <c r="P15" s="38"/>
      <c r="Q15" s="38"/>
      <c r="R15" s="38"/>
      <c r="S15" s="30"/>
    </row>
    <row r="16" spans="1:19">
      <c r="A16" s="33" t="str">
        <f>MID($A$4,5,1)&amp;"-"&amp;COUNTA($E$6:E16)</f>
        <v>1-11</v>
      </c>
      <c r="B16" s="34"/>
      <c r="C16" s="34" t="s">
        <v>77</v>
      </c>
      <c r="D16" s="34" t="s">
        <v>78</v>
      </c>
      <c r="E16" s="39" t="s">
        <v>80</v>
      </c>
      <c r="F16" s="35"/>
      <c r="G16" s="36"/>
      <c r="H16" s="37"/>
      <c r="I16" s="35"/>
      <c r="J16" s="36"/>
      <c r="K16" s="37"/>
      <c r="L16" s="35"/>
      <c r="M16" s="36"/>
      <c r="N16" s="37"/>
      <c r="O16" s="38"/>
      <c r="P16" s="38"/>
      <c r="Q16" s="38"/>
      <c r="R16" s="38"/>
      <c r="S16" s="30"/>
    </row>
    <row r="17" spans="1:19">
      <c r="A17" s="33" t="str">
        <f>MID($A$4,5,1)&amp;"-"&amp;COUNTA($E$6:E17)</f>
        <v>1-12</v>
      </c>
      <c r="B17" s="34"/>
      <c r="C17" s="34" t="s">
        <v>82</v>
      </c>
      <c r="D17" s="34" t="s">
        <v>81</v>
      </c>
      <c r="E17" s="39" t="s">
        <v>83</v>
      </c>
      <c r="F17" s="35"/>
      <c r="G17" s="36"/>
      <c r="H17" s="37"/>
      <c r="I17" s="35"/>
      <c r="J17" s="36"/>
      <c r="K17" s="37"/>
      <c r="L17" s="35"/>
      <c r="M17" s="36"/>
      <c r="N17" s="37"/>
      <c r="O17" s="38"/>
      <c r="P17" s="38"/>
      <c r="Q17" s="38"/>
      <c r="R17" s="38"/>
      <c r="S17" s="30"/>
    </row>
    <row r="18" spans="1:19">
      <c r="A18" s="33" t="str">
        <f>MID($A$4,5,1)&amp;"-"&amp;COUNTA($E$6:E18)</f>
        <v>1-13</v>
      </c>
      <c r="B18" s="34" t="s">
        <v>85</v>
      </c>
      <c r="C18" s="34" t="s">
        <v>86</v>
      </c>
      <c r="D18" s="34" t="s">
        <v>87</v>
      </c>
      <c r="E18" s="39" t="s">
        <v>88</v>
      </c>
      <c r="F18" s="35"/>
      <c r="G18" s="36"/>
      <c r="H18" s="37"/>
      <c r="I18" s="35"/>
      <c r="J18" s="36"/>
      <c r="K18" s="37"/>
      <c r="L18" s="35"/>
      <c r="M18" s="36"/>
      <c r="N18" s="37"/>
      <c r="O18" s="38"/>
      <c r="P18" s="38"/>
      <c r="Q18" s="38"/>
      <c r="R18" s="38"/>
      <c r="S18" s="30"/>
    </row>
    <row r="19" spans="1:19" ht="56.25">
      <c r="A19" s="33" t="str">
        <f>MID($A$4,5,1)&amp;"-"&amp;COUNTA($E$6:E19)</f>
        <v>1-14</v>
      </c>
      <c r="B19" s="34"/>
      <c r="C19" s="34" t="s">
        <v>89</v>
      </c>
      <c r="D19" s="34" t="s">
        <v>90</v>
      </c>
      <c r="E19" s="39" t="s">
        <v>91</v>
      </c>
      <c r="F19" s="35"/>
      <c r="G19" s="36"/>
      <c r="H19" s="37"/>
      <c r="I19" s="35"/>
      <c r="J19" s="36"/>
      <c r="K19" s="37"/>
      <c r="L19" s="35"/>
      <c r="M19" s="36"/>
      <c r="N19" s="37"/>
      <c r="O19" s="38"/>
      <c r="P19" s="38"/>
      <c r="Q19" s="38"/>
      <c r="R19" s="38"/>
      <c r="S19" s="30"/>
    </row>
    <row r="20" spans="1:19" ht="37.5">
      <c r="A20" s="33" t="str">
        <f>MID($A$4,5,1)&amp;"-"&amp;COUNTA($E$6:E20)</f>
        <v>1-15</v>
      </c>
      <c r="B20" s="34" t="s">
        <v>97</v>
      </c>
      <c r="C20" s="34" t="s">
        <v>98</v>
      </c>
      <c r="D20" s="34" t="s">
        <v>99</v>
      </c>
      <c r="E20" s="39" t="s">
        <v>100</v>
      </c>
      <c r="F20" s="35"/>
      <c r="G20" s="36"/>
      <c r="H20" s="37"/>
      <c r="I20" s="35"/>
      <c r="J20" s="36"/>
      <c r="K20" s="37"/>
      <c r="L20" s="35"/>
      <c r="M20" s="36"/>
      <c r="N20" s="37"/>
      <c r="O20" s="38"/>
      <c r="P20" s="38"/>
      <c r="Q20" s="38"/>
      <c r="R20" s="38"/>
      <c r="S20" s="30"/>
    </row>
    <row r="21" spans="1:19" ht="37.5">
      <c r="A21" s="33" t="str">
        <f>MID($A$4,5,1)&amp;"-"&amp;COUNTA($E$6:E21)</f>
        <v>1-16</v>
      </c>
      <c r="B21" s="34" t="s">
        <v>113</v>
      </c>
      <c r="C21" s="34" t="s">
        <v>114</v>
      </c>
      <c r="D21" s="34" t="s">
        <v>115</v>
      </c>
      <c r="E21" s="39" t="s">
        <v>116</v>
      </c>
      <c r="F21" s="35"/>
      <c r="G21" s="36"/>
      <c r="H21" s="37"/>
      <c r="I21" s="35"/>
      <c r="J21" s="36"/>
      <c r="K21" s="37"/>
      <c r="L21" s="35"/>
      <c r="M21" s="36"/>
      <c r="N21" s="37"/>
      <c r="O21" s="38"/>
      <c r="P21" s="38"/>
      <c r="Q21" s="38"/>
      <c r="R21" s="38"/>
      <c r="S21" s="30"/>
    </row>
    <row r="22" spans="1:19">
      <c r="A22" s="33" t="str">
        <f>MID($A$4,5,1)&amp;"-"&amp;COUNTA($E$6:E22)</f>
        <v>1-17</v>
      </c>
      <c r="B22" s="34"/>
      <c r="C22" s="34" t="s">
        <v>118</v>
      </c>
      <c r="D22" s="34" t="s">
        <v>119</v>
      </c>
      <c r="E22" s="39" t="s">
        <v>117</v>
      </c>
      <c r="F22" s="35"/>
      <c r="G22" s="36"/>
      <c r="H22" s="37"/>
      <c r="I22" s="35"/>
      <c r="J22" s="36"/>
      <c r="K22" s="37"/>
      <c r="L22" s="35"/>
      <c r="M22" s="36"/>
      <c r="N22" s="37"/>
      <c r="O22" s="38"/>
      <c r="P22" s="38"/>
      <c r="Q22" s="38"/>
      <c r="R22" s="38"/>
      <c r="S22" s="30"/>
    </row>
    <row r="23" spans="1:19">
      <c r="A23" s="33" t="str">
        <f>MID($A$4,5,1)&amp;"-"&amp;COUNTA($E$6:E23)</f>
        <v>1-18</v>
      </c>
      <c r="B23" s="34"/>
      <c r="C23" s="34" t="s">
        <v>121</v>
      </c>
      <c r="D23" s="34" t="s">
        <v>122</v>
      </c>
      <c r="E23" s="39" t="s">
        <v>120</v>
      </c>
      <c r="F23" s="35"/>
      <c r="G23" s="36"/>
      <c r="H23" s="37"/>
      <c r="I23" s="35"/>
      <c r="J23" s="36"/>
      <c r="K23" s="37"/>
      <c r="L23" s="35"/>
      <c r="M23" s="36"/>
      <c r="N23" s="37"/>
      <c r="O23" s="38"/>
      <c r="P23" s="38"/>
      <c r="Q23" s="38"/>
      <c r="R23" s="38"/>
      <c r="S23" s="30"/>
    </row>
    <row r="24" spans="1:19">
      <c r="A24" s="23" t="s">
        <v>14</v>
      </c>
      <c r="B24" s="23" t="s">
        <v>57</v>
      </c>
      <c r="C24" s="24"/>
      <c r="D24" s="24"/>
      <c r="E24" s="25"/>
      <c r="F24" s="26"/>
      <c r="G24" s="27" t="s">
        <v>34</v>
      </c>
      <c r="H24" s="28"/>
      <c r="I24" s="26"/>
      <c r="J24" s="27" t="s">
        <v>35</v>
      </c>
      <c r="K24" s="28"/>
      <c r="L24" s="26"/>
      <c r="M24" s="27" t="s">
        <v>36</v>
      </c>
      <c r="N24" s="28"/>
      <c r="O24" s="29" t="s">
        <v>16</v>
      </c>
      <c r="P24" s="29" t="s">
        <v>26</v>
      </c>
      <c r="Q24" s="29" t="s">
        <v>27</v>
      </c>
      <c r="R24" s="29" t="s">
        <v>28</v>
      </c>
      <c r="S24" s="30" t="str">
        <f t="shared" ref="S24:S37" si="2">CONCATENATE(F24,I24,L24)</f>
        <v/>
      </c>
    </row>
    <row r="25" spans="1:19">
      <c r="A25" s="31" t="s">
        <v>2</v>
      </c>
      <c r="B25" s="32" t="s">
        <v>3</v>
      </c>
      <c r="C25" s="32" t="s">
        <v>13</v>
      </c>
      <c r="D25" s="32" t="s">
        <v>4</v>
      </c>
      <c r="E25" s="29" t="s">
        <v>38</v>
      </c>
      <c r="F25" s="32" t="s">
        <v>6</v>
      </c>
      <c r="G25" s="32" t="s">
        <v>7</v>
      </c>
      <c r="H25" s="32" t="s">
        <v>8</v>
      </c>
      <c r="I25" s="32" t="s">
        <v>6</v>
      </c>
      <c r="J25" s="32" t="s">
        <v>7</v>
      </c>
      <c r="K25" s="32" t="s">
        <v>8</v>
      </c>
      <c r="L25" s="32" t="s">
        <v>6</v>
      </c>
      <c r="M25" s="32" t="s">
        <v>7</v>
      </c>
      <c r="N25" s="32" t="s">
        <v>8</v>
      </c>
      <c r="O25" s="32"/>
      <c r="P25" s="32"/>
      <c r="Q25" s="32"/>
      <c r="R25" s="32"/>
      <c r="S25" s="30" t="str">
        <f t="shared" si="2"/>
        <v>判定判定判定</v>
      </c>
    </row>
    <row r="26" spans="1:19" ht="168.75">
      <c r="A26" s="33" t="str">
        <f>MID($A$24,5,1)&amp;"-"&amp;COUNTA($E$26:E26)</f>
        <v>2-1</v>
      </c>
      <c r="B26" s="34" t="s">
        <v>37</v>
      </c>
      <c r="C26" s="34" t="s">
        <v>58</v>
      </c>
      <c r="D26" s="34" t="s">
        <v>108</v>
      </c>
      <c r="E26" s="34" t="s">
        <v>149</v>
      </c>
      <c r="F26" s="35"/>
      <c r="G26" s="36"/>
      <c r="H26" s="37"/>
      <c r="I26" s="35"/>
      <c r="J26" s="36"/>
      <c r="K26" s="37"/>
      <c r="L26" s="35"/>
      <c r="M26" s="36"/>
      <c r="N26" s="37"/>
      <c r="O26" s="38"/>
      <c r="P26" s="38"/>
      <c r="Q26" s="38"/>
      <c r="R26" s="38"/>
      <c r="S26" s="30" t="str">
        <f t="shared" si="2"/>
        <v/>
      </c>
    </row>
    <row r="27" spans="1:19" ht="37.5">
      <c r="A27" s="33" t="str">
        <f>MID($A$24,5,1)&amp;"-"&amp;COUNTA($E$26:E27)</f>
        <v>2-2</v>
      </c>
      <c r="B27" s="34"/>
      <c r="C27" s="34"/>
      <c r="D27" s="34" t="s">
        <v>152</v>
      </c>
      <c r="E27" s="34" t="s">
        <v>151</v>
      </c>
      <c r="F27" s="35"/>
      <c r="G27" s="36"/>
      <c r="H27" s="37"/>
      <c r="I27" s="35"/>
      <c r="J27" s="36"/>
      <c r="K27" s="37"/>
      <c r="L27" s="35"/>
      <c r="M27" s="36"/>
      <c r="N27" s="37"/>
      <c r="O27" s="38"/>
      <c r="P27" s="38"/>
      <c r="Q27" s="38"/>
      <c r="R27" s="38"/>
      <c r="S27" s="30"/>
    </row>
    <row r="28" spans="1:19" ht="93.75">
      <c r="A28" s="33" t="str">
        <f>MID($A$24,5,1)&amp;"-"&amp;COUNTA($E$26:E28)</f>
        <v>2-3</v>
      </c>
      <c r="B28" s="34"/>
      <c r="C28" s="34" t="s">
        <v>48</v>
      </c>
      <c r="D28" s="34" t="s">
        <v>109</v>
      </c>
      <c r="E28" s="34" t="s">
        <v>126</v>
      </c>
      <c r="F28" s="35"/>
      <c r="G28" s="36"/>
      <c r="H28" s="37"/>
      <c r="I28" s="35"/>
      <c r="J28" s="36"/>
      <c r="K28" s="37"/>
      <c r="L28" s="35"/>
      <c r="M28" s="36"/>
      <c r="N28" s="37"/>
      <c r="O28" s="38"/>
      <c r="P28" s="38"/>
      <c r="Q28" s="38"/>
      <c r="R28" s="38"/>
      <c r="S28" s="30" t="str">
        <f t="shared" si="2"/>
        <v/>
      </c>
    </row>
    <row r="29" spans="1:19" ht="75">
      <c r="A29" s="33" t="str">
        <f>MID($A$24,5,1)&amp;"-"&amp;COUNTA($E$26:E29)</f>
        <v>2-4</v>
      </c>
      <c r="B29" s="34"/>
      <c r="C29" s="34" t="s">
        <v>59</v>
      </c>
      <c r="D29" s="34" t="s">
        <v>110</v>
      </c>
      <c r="E29" s="34" t="s">
        <v>127</v>
      </c>
      <c r="F29" s="35"/>
      <c r="G29" s="36"/>
      <c r="H29" s="37"/>
      <c r="I29" s="35"/>
      <c r="J29" s="36"/>
      <c r="K29" s="37"/>
      <c r="L29" s="35"/>
      <c r="M29" s="36"/>
      <c r="N29" s="37"/>
      <c r="O29" s="38"/>
      <c r="P29" s="38"/>
      <c r="Q29" s="38"/>
      <c r="R29" s="38"/>
      <c r="S29" s="30" t="str">
        <f t="shared" si="2"/>
        <v/>
      </c>
    </row>
    <row r="30" spans="1:19">
      <c r="A30" s="23" t="s">
        <v>18</v>
      </c>
      <c r="B30" s="23" t="s">
        <v>56</v>
      </c>
      <c r="C30" s="24"/>
      <c r="D30" s="24"/>
      <c r="E30" s="25"/>
      <c r="F30" s="26"/>
      <c r="G30" s="27" t="s">
        <v>34</v>
      </c>
      <c r="H30" s="28"/>
      <c r="I30" s="26"/>
      <c r="J30" s="27" t="s">
        <v>35</v>
      </c>
      <c r="K30" s="28"/>
      <c r="L30" s="26"/>
      <c r="M30" s="27" t="s">
        <v>36</v>
      </c>
      <c r="N30" s="28"/>
      <c r="O30" s="29" t="s">
        <v>16</v>
      </c>
      <c r="P30" s="29"/>
      <c r="Q30" s="29"/>
      <c r="R30" s="29"/>
      <c r="S30" s="30" t="str">
        <f>CONCATENATE(F30,I30,L30)</f>
        <v/>
      </c>
    </row>
    <row r="31" spans="1:19">
      <c r="A31" s="31" t="s">
        <v>2</v>
      </c>
      <c r="B31" s="32" t="s">
        <v>3</v>
      </c>
      <c r="C31" s="32" t="s">
        <v>13</v>
      </c>
      <c r="D31" s="32" t="s">
        <v>4</v>
      </c>
      <c r="E31" s="29" t="s">
        <v>5</v>
      </c>
      <c r="F31" s="32" t="s">
        <v>6</v>
      </c>
      <c r="G31" s="32" t="s">
        <v>7</v>
      </c>
      <c r="H31" s="32" t="s">
        <v>8</v>
      </c>
      <c r="I31" s="32" t="s">
        <v>6</v>
      </c>
      <c r="J31" s="32" t="s">
        <v>7</v>
      </c>
      <c r="K31" s="32" t="s">
        <v>8</v>
      </c>
      <c r="L31" s="32" t="s">
        <v>6</v>
      </c>
      <c r="M31" s="32" t="s">
        <v>7</v>
      </c>
      <c r="N31" s="32" t="s">
        <v>8</v>
      </c>
      <c r="O31" s="32"/>
      <c r="P31" s="32"/>
      <c r="Q31" s="32"/>
      <c r="R31" s="32"/>
      <c r="S31" s="30" t="str">
        <f>CONCATENATE(F31,I31,L31)</f>
        <v>判定判定判定</v>
      </c>
    </row>
    <row r="32" spans="1:19">
      <c r="A32" s="33" t="str">
        <f>MID($A$30,5,1)&amp;"-"&amp;COUNTA($E$32:E32)</f>
        <v>3-1</v>
      </c>
      <c r="B32" s="34" t="s">
        <v>44</v>
      </c>
      <c r="C32" s="34" t="s">
        <v>39</v>
      </c>
      <c r="D32" s="34" t="s">
        <v>40</v>
      </c>
      <c r="E32" s="34" t="s">
        <v>41</v>
      </c>
      <c r="F32" s="35"/>
      <c r="G32" s="36"/>
      <c r="H32" s="37"/>
      <c r="I32" s="35"/>
      <c r="J32" s="36"/>
      <c r="K32" s="37"/>
      <c r="L32" s="35"/>
      <c r="M32" s="36"/>
      <c r="N32" s="37"/>
      <c r="O32" s="38"/>
      <c r="P32" s="38"/>
      <c r="Q32" s="38"/>
      <c r="R32" s="38"/>
      <c r="S32" s="30" t="str">
        <f t="shared" si="2"/>
        <v/>
      </c>
    </row>
    <row r="33" spans="1:19">
      <c r="A33" s="33" t="str">
        <f>MID($A$30,5,1)&amp;"-"&amp;COUNTA($E$32:E33)</f>
        <v>3-2</v>
      </c>
      <c r="B33" s="34"/>
      <c r="C33" s="34"/>
      <c r="D33" s="34" t="s">
        <v>42</v>
      </c>
      <c r="E33" s="34" t="s">
        <v>43</v>
      </c>
      <c r="F33" s="35"/>
      <c r="G33" s="36"/>
      <c r="H33" s="37"/>
      <c r="I33" s="35"/>
      <c r="J33" s="36"/>
      <c r="K33" s="37"/>
      <c r="L33" s="35"/>
      <c r="M33" s="36"/>
      <c r="N33" s="37"/>
      <c r="O33" s="38"/>
      <c r="P33" s="38"/>
      <c r="Q33" s="38"/>
      <c r="R33" s="38"/>
      <c r="S33" s="30" t="str">
        <f t="shared" si="2"/>
        <v/>
      </c>
    </row>
    <row r="34" spans="1:19">
      <c r="A34" s="33" t="str">
        <f>MID($A$30,5,1)&amp;"-"&amp;COUNTA($E$32:E34)</f>
        <v>3-3</v>
      </c>
      <c r="B34" s="34"/>
      <c r="C34" s="34" t="s">
        <v>128</v>
      </c>
      <c r="D34" s="34" t="s">
        <v>46</v>
      </c>
      <c r="E34" s="39" t="s">
        <v>138</v>
      </c>
      <c r="F34" s="35"/>
      <c r="G34" s="36"/>
      <c r="H34" s="37"/>
      <c r="I34" s="35"/>
      <c r="J34" s="36"/>
      <c r="K34" s="37"/>
      <c r="L34" s="35"/>
      <c r="M34" s="36"/>
      <c r="N34" s="37"/>
      <c r="O34" s="38"/>
      <c r="P34" s="38"/>
      <c r="Q34" s="38"/>
      <c r="R34" s="38"/>
      <c r="S34" s="30" t="str">
        <f t="shared" si="2"/>
        <v/>
      </c>
    </row>
    <row r="35" spans="1:19">
      <c r="A35" s="33" t="str">
        <f>MID($A$30,5,1)&amp;"-"&amp;COUNTA($E$32:E35)</f>
        <v>3-4</v>
      </c>
      <c r="B35" s="34"/>
      <c r="C35" s="34" t="s">
        <v>133</v>
      </c>
      <c r="D35" s="34" t="s">
        <v>46</v>
      </c>
      <c r="E35" s="39" t="s">
        <v>139</v>
      </c>
      <c r="F35" s="35"/>
      <c r="G35" s="36"/>
      <c r="H35" s="37"/>
      <c r="I35" s="35"/>
      <c r="J35" s="36"/>
      <c r="K35" s="37"/>
      <c r="L35" s="35"/>
      <c r="M35" s="36"/>
      <c r="N35" s="37"/>
      <c r="O35" s="38"/>
      <c r="P35" s="38"/>
      <c r="Q35" s="38"/>
      <c r="R35" s="38"/>
      <c r="S35" s="30" t="str">
        <f t="shared" ref="S35" si="3">CONCATENATE(F35,I35,L35)</f>
        <v/>
      </c>
    </row>
    <row r="36" spans="1:19">
      <c r="A36" s="33" t="str">
        <f>MID($A$30,5,1)&amp;"-"&amp;COUNTA($E$32:E36)</f>
        <v>3-5</v>
      </c>
      <c r="B36" s="34"/>
      <c r="C36" s="34" t="s">
        <v>129</v>
      </c>
      <c r="D36" s="34" t="s">
        <v>46</v>
      </c>
      <c r="E36" s="39" t="s">
        <v>140</v>
      </c>
      <c r="F36" s="35"/>
      <c r="G36" s="36"/>
      <c r="H36" s="37"/>
      <c r="I36" s="35"/>
      <c r="J36" s="36"/>
      <c r="K36" s="37"/>
      <c r="L36" s="35"/>
      <c r="M36" s="36"/>
      <c r="N36" s="37"/>
      <c r="O36" s="38"/>
      <c r="P36" s="38"/>
      <c r="Q36" s="38"/>
      <c r="R36" s="38"/>
      <c r="S36" s="30" t="str">
        <f t="shared" si="2"/>
        <v/>
      </c>
    </row>
    <row r="37" spans="1:19">
      <c r="A37" s="33" t="str">
        <f>MID($A$30,5,1)&amp;"-"&amp;COUNTA($E$32:E37)</f>
        <v>3-6</v>
      </c>
      <c r="B37" s="34"/>
      <c r="C37" s="34" t="s">
        <v>130</v>
      </c>
      <c r="D37" s="34" t="s">
        <v>45</v>
      </c>
      <c r="E37" s="39" t="s">
        <v>141</v>
      </c>
      <c r="F37" s="35"/>
      <c r="G37" s="36"/>
      <c r="H37" s="37"/>
      <c r="I37" s="35"/>
      <c r="J37" s="36"/>
      <c r="K37" s="37"/>
      <c r="L37" s="35"/>
      <c r="M37" s="36"/>
      <c r="N37" s="37"/>
      <c r="O37" s="38"/>
      <c r="P37" s="38"/>
      <c r="Q37" s="38"/>
      <c r="R37" s="38"/>
      <c r="S37" s="30" t="str">
        <f t="shared" si="2"/>
        <v/>
      </c>
    </row>
    <row r="38" spans="1:19">
      <c r="A38" s="33" t="str">
        <f>MID($A$30,5,1)&amp;"-"&amp;COUNTA($E$32:E38)</f>
        <v>3-7</v>
      </c>
      <c r="B38" s="34"/>
      <c r="C38" s="34" t="s">
        <v>134</v>
      </c>
      <c r="D38" s="34" t="s">
        <v>45</v>
      </c>
      <c r="E38" s="39" t="s">
        <v>143</v>
      </c>
      <c r="F38" s="35"/>
      <c r="G38" s="36"/>
      <c r="H38" s="37"/>
      <c r="I38" s="35"/>
      <c r="J38" s="36"/>
      <c r="K38" s="37"/>
      <c r="L38" s="35"/>
      <c r="M38" s="36"/>
      <c r="N38" s="37"/>
      <c r="O38" s="38"/>
      <c r="P38" s="38"/>
      <c r="Q38" s="38"/>
      <c r="R38" s="38"/>
      <c r="S38" s="30" t="str">
        <f t="shared" ref="S38" si="4">CONCATENATE(F38,I38,L38)</f>
        <v/>
      </c>
    </row>
    <row r="39" spans="1:19">
      <c r="A39" s="33" t="str">
        <f>MID($A$30,5,1)&amp;"-"&amp;COUNTA($E$32:E39)</f>
        <v>3-8</v>
      </c>
      <c r="B39" s="34"/>
      <c r="C39" s="34" t="s">
        <v>131</v>
      </c>
      <c r="D39" s="34" t="s">
        <v>45</v>
      </c>
      <c r="E39" s="39" t="s">
        <v>144</v>
      </c>
      <c r="F39" s="35"/>
      <c r="G39" s="36"/>
      <c r="H39" s="37"/>
      <c r="I39" s="35"/>
      <c r="J39" s="36"/>
      <c r="K39" s="37"/>
      <c r="L39" s="35"/>
      <c r="M39" s="36"/>
      <c r="N39" s="37"/>
      <c r="O39" s="38"/>
      <c r="P39" s="38"/>
      <c r="Q39" s="38"/>
      <c r="R39" s="38"/>
      <c r="S39" s="30"/>
    </row>
    <row r="40" spans="1:19">
      <c r="A40" s="33" t="str">
        <f>MID($A$30,5,1)&amp;"-"&amp;COUNTA($E$32:E40)</f>
        <v>3-9</v>
      </c>
      <c r="B40" s="34"/>
      <c r="C40" s="34" t="s">
        <v>132</v>
      </c>
      <c r="D40" s="34" t="s">
        <v>45</v>
      </c>
      <c r="E40" s="39" t="s">
        <v>145</v>
      </c>
      <c r="F40" s="35"/>
      <c r="G40" s="36"/>
      <c r="H40" s="37"/>
      <c r="I40" s="35"/>
      <c r="J40" s="36"/>
      <c r="K40" s="37"/>
      <c r="L40" s="35"/>
      <c r="M40" s="36"/>
      <c r="N40" s="37"/>
      <c r="O40" s="38"/>
      <c r="P40" s="38"/>
      <c r="Q40" s="38"/>
      <c r="R40" s="38"/>
      <c r="S40" s="30"/>
    </row>
    <row r="41" spans="1:19">
      <c r="A41" s="33" t="str">
        <f>MID($A$30,5,1)&amp;"-"&amp;COUNTA($E$32:E41)</f>
        <v>3-10</v>
      </c>
      <c r="B41" s="34"/>
      <c r="C41" s="34" t="s">
        <v>135</v>
      </c>
      <c r="D41" s="34" t="s">
        <v>142</v>
      </c>
      <c r="E41" s="39" t="s">
        <v>146</v>
      </c>
      <c r="F41" s="35"/>
      <c r="G41" s="36"/>
      <c r="H41" s="37"/>
      <c r="I41" s="35"/>
      <c r="J41" s="36"/>
      <c r="K41" s="37"/>
      <c r="L41" s="35"/>
      <c r="M41" s="36"/>
      <c r="N41" s="37"/>
      <c r="O41" s="38"/>
      <c r="P41" s="38"/>
      <c r="Q41" s="38"/>
      <c r="R41" s="38"/>
      <c r="S41" s="30"/>
    </row>
    <row r="42" spans="1:19" ht="75">
      <c r="A42" s="33" t="str">
        <f>MID($A$30,5,1)&amp;"-"&amp;COUNTA($E$32:E42)</f>
        <v>3-11</v>
      </c>
      <c r="B42" s="34"/>
      <c r="C42" s="34"/>
      <c r="D42" s="34"/>
      <c r="E42" s="39" t="s">
        <v>150</v>
      </c>
      <c r="F42" s="35"/>
      <c r="G42" s="36"/>
      <c r="H42" s="37"/>
      <c r="I42" s="35"/>
      <c r="J42" s="36"/>
      <c r="K42" s="37"/>
      <c r="L42" s="35"/>
      <c r="M42" s="36"/>
      <c r="N42" s="37"/>
      <c r="O42" s="38"/>
      <c r="P42" s="38"/>
      <c r="Q42" s="38"/>
      <c r="R42" s="38"/>
      <c r="S42" s="30"/>
    </row>
    <row r="43" spans="1:19">
      <c r="A43" s="33" t="str">
        <f>MID($A$30,5,1)&amp;"-"&amp;COUNTA($E$32:E43)</f>
        <v>3-12</v>
      </c>
      <c r="B43" s="34"/>
      <c r="C43" s="34" t="s">
        <v>136</v>
      </c>
      <c r="D43" s="34" t="s">
        <v>45</v>
      </c>
      <c r="E43" s="39" t="s">
        <v>147</v>
      </c>
      <c r="F43" s="35"/>
      <c r="G43" s="36"/>
      <c r="H43" s="37"/>
      <c r="I43" s="35"/>
      <c r="J43" s="36"/>
      <c r="K43" s="37"/>
      <c r="L43" s="35"/>
      <c r="M43" s="36"/>
      <c r="N43" s="37"/>
      <c r="O43" s="38"/>
      <c r="P43" s="38"/>
      <c r="Q43" s="38"/>
      <c r="R43" s="38"/>
      <c r="S43" s="30"/>
    </row>
    <row r="44" spans="1:19">
      <c r="A44" s="33" t="str">
        <f>MID($A$30,5,1)&amp;"-"&amp;COUNTA($E$32:E44)</f>
        <v>3-13</v>
      </c>
      <c r="B44" s="34"/>
      <c r="C44" s="34" t="s">
        <v>137</v>
      </c>
      <c r="D44" s="34" t="s">
        <v>45</v>
      </c>
      <c r="E44" s="39" t="s">
        <v>148</v>
      </c>
      <c r="F44" s="35"/>
      <c r="G44" s="36"/>
      <c r="H44" s="37"/>
      <c r="I44" s="35"/>
      <c r="J44" s="36"/>
      <c r="K44" s="37"/>
      <c r="L44" s="35"/>
      <c r="M44" s="36"/>
      <c r="N44" s="37"/>
      <c r="O44" s="38"/>
      <c r="P44" s="38"/>
      <c r="Q44" s="38"/>
      <c r="R44" s="38"/>
      <c r="S44" s="30"/>
    </row>
    <row r="45" spans="1:19">
      <c r="A45" s="33" t="str">
        <f>MID($A$30,5,1)&amp;"-"&amp;COUNTA($E$32:E45)</f>
        <v>3-14</v>
      </c>
      <c r="B45" s="34" t="s">
        <v>154</v>
      </c>
      <c r="C45" s="34" t="s">
        <v>154</v>
      </c>
      <c r="D45" s="34" t="s">
        <v>154</v>
      </c>
      <c r="E45" s="39" t="s">
        <v>156</v>
      </c>
      <c r="F45" s="35"/>
      <c r="G45" s="36"/>
      <c r="H45" s="37"/>
      <c r="I45" s="35"/>
      <c r="J45" s="36"/>
      <c r="K45" s="37"/>
      <c r="L45" s="35"/>
      <c r="M45" s="36"/>
      <c r="N45" s="37"/>
      <c r="O45" s="38"/>
      <c r="P45" s="38"/>
      <c r="Q45" s="38"/>
      <c r="R45" s="38"/>
      <c r="S45" s="30"/>
    </row>
    <row r="46" spans="1:19" ht="37.5">
      <c r="A46" s="33" t="str">
        <f>MID($A$30,5,1)&amp;"-"&amp;COUNTA($E$32:E46)</f>
        <v>3-15</v>
      </c>
      <c r="B46" s="34" t="s">
        <v>155</v>
      </c>
      <c r="C46" s="34" t="s">
        <v>153</v>
      </c>
      <c r="D46" s="34" t="s">
        <v>153</v>
      </c>
      <c r="E46" s="39" t="s">
        <v>176</v>
      </c>
      <c r="F46" s="35"/>
      <c r="G46" s="36"/>
      <c r="H46" s="37"/>
      <c r="I46" s="35"/>
      <c r="J46" s="36"/>
      <c r="K46" s="37"/>
      <c r="L46" s="35"/>
      <c r="M46" s="36"/>
      <c r="N46" s="37"/>
      <c r="O46" s="38"/>
      <c r="P46" s="38"/>
      <c r="Q46" s="38"/>
      <c r="R46" s="38"/>
      <c r="S46" s="30"/>
    </row>
    <row r="47" spans="1:19" ht="37.5">
      <c r="A47" s="33" t="str">
        <f>MID($A$30,5,1)&amp;"-"&amp;COUNTA($E$32:E47)</f>
        <v>3-16</v>
      </c>
      <c r="B47" s="34" t="s">
        <v>157</v>
      </c>
      <c r="C47" s="34" t="s">
        <v>158</v>
      </c>
      <c r="D47" s="34" t="s">
        <v>159</v>
      </c>
      <c r="E47" s="39" t="s">
        <v>160</v>
      </c>
      <c r="F47" s="35"/>
      <c r="G47" s="36"/>
      <c r="H47" s="37"/>
      <c r="I47" s="35"/>
      <c r="J47" s="36"/>
      <c r="K47" s="37"/>
      <c r="L47" s="35"/>
      <c r="M47" s="36"/>
      <c r="N47" s="37"/>
      <c r="O47" s="38"/>
      <c r="P47" s="38"/>
      <c r="Q47" s="38"/>
      <c r="R47" s="38"/>
      <c r="S47" s="30"/>
    </row>
    <row r="48" spans="1:19" ht="56.25">
      <c r="A48" s="33" t="str">
        <f>MID($A$30,5,1)&amp;"-"&amp;COUNTA($E$32:E48)</f>
        <v>3-17</v>
      </c>
      <c r="B48" s="34" t="s">
        <v>47</v>
      </c>
      <c r="C48" s="34" t="s">
        <v>48</v>
      </c>
      <c r="D48" s="34" t="s">
        <v>49</v>
      </c>
      <c r="E48" s="34" t="s">
        <v>177</v>
      </c>
      <c r="F48" s="35"/>
      <c r="G48" s="36"/>
      <c r="H48" s="37"/>
      <c r="I48" s="35"/>
      <c r="J48" s="36"/>
      <c r="K48" s="37"/>
      <c r="L48" s="35"/>
      <c r="M48" s="36"/>
      <c r="N48" s="37"/>
      <c r="O48" s="38"/>
      <c r="P48" s="38"/>
      <c r="Q48" s="38"/>
      <c r="R48" s="38"/>
      <c r="S48" s="30"/>
    </row>
    <row r="49" spans="1:19" ht="56.25">
      <c r="A49" s="33" t="str">
        <f>MID($A$30,5,1)&amp;"-"&amp;COUNTA($E$32:E49)</f>
        <v>3-18</v>
      </c>
      <c r="B49" s="34"/>
      <c r="C49" s="34" t="s">
        <v>50</v>
      </c>
      <c r="D49" s="34" t="s">
        <v>51</v>
      </c>
      <c r="E49" s="34" t="s">
        <v>178</v>
      </c>
      <c r="F49" s="35"/>
      <c r="G49" s="36"/>
      <c r="H49" s="37"/>
      <c r="I49" s="35"/>
      <c r="J49" s="36"/>
      <c r="K49" s="37"/>
      <c r="L49" s="35"/>
      <c r="M49" s="36"/>
      <c r="N49" s="37"/>
      <c r="O49" s="38"/>
      <c r="P49" s="38"/>
      <c r="Q49" s="38"/>
      <c r="R49" s="38"/>
      <c r="S49" s="30"/>
    </row>
    <row r="50" spans="1:19" ht="37.5">
      <c r="A50" s="33" t="str">
        <f>MID($A$30,5,1)&amp;"-"&amp;COUNTA($E$32:E50)</f>
        <v>3-19</v>
      </c>
      <c r="B50" s="34"/>
      <c r="C50" s="42" t="s">
        <v>52</v>
      </c>
      <c r="D50" s="34" t="s">
        <v>51</v>
      </c>
      <c r="E50" s="34" t="s">
        <v>179</v>
      </c>
      <c r="F50" s="35"/>
      <c r="G50" s="36"/>
      <c r="H50" s="37"/>
      <c r="I50" s="35"/>
      <c r="J50" s="36"/>
      <c r="K50" s="37"/>
      <c r="L50" s="35"/>
      <c r="M50" s="36"/>
      <c r="N50" s="37"/>
      <c r="O50" s="38"/>
      <c r="P50" s="38"/>
      <c r="Q50" s="38"/>
      <c r="R50" s="38"/>
      <c r="S50" s="30"/>
    </row>
    <row r="51" spans="1:19" ht="37.5">
      <c r="A51" s="33" t="str">
        <f>MID($A$30,5,1)&amp;"-"&amp;COUNTA($E$32:E51)</f>
        <v>3-20</v>
      </c>
      <c r="B51" s="34"/>
      <c r="C51" s="12" t="s">
        <v>53</v>
      </c>
      <c r="D51" s="34" t="s">
        <v>51</v>
      </c>
      <c r="E51" s="34" t="s">
        <v>180</v>
      </c>
      <c r="F51" s="35"/>
      <c r="G51" s="36"/>
      <c r="H51" s="37"/>
      <c r="I51" s="35"/>
      <c r="J51" s="36"/>
      <c r="K51" s="37"/>
      <c r="L51" s="35"/>
      <c r="M51" s="36"/>
      <c r="N51" s="37"/>
      <c r="O51" s="38"/>
      <c r="P51" s="38"/>
      <c r="Q51" s="38"/>
      <c r="R51" s="38"/>
      <c r="S51" s="30"/>
    </row>
    <row r="52" spans="1:19">
      <c r="A52" s="33" t="str">
        <f>MID($A$30,5,1)&amp;"-"&amp;COUNTA($E$32:E52)</f>
        <v>3-21</v>
      </c>
      <c r="B52" s="34"/>
      <c r="C52" s="34" t="s">
        <v>161</v>
      </c>
      <c r="D52" s="34" t="s">
        <v>162</v>
      </c>
      <c r="E52" s="34" t="s">
        <v>163</v>
      </c>
      <c r="F52" s="35"/>
      <c r="G52" s="36"/>
      <c r="H52" s="37"/>
      <c r="I52" s="35"/>
      <c r="J52" s="36"/>
      <c r="K52" s="37"/>
      <c r="L52" s="35"/>
      <c r="M52" s="36"/>
      <c r="N52" s="37"/>
      <c r="O52" s="38"/>
      <c r="P52" s="38"/>
      <c r="Q52" s="38"/>
      <c r="R52" s="38"/>
      <c r="S52" s="30"/>
    </row>
    <row r="53" spans="1:19">
      <c r="A53" s="33" t="str">
        <f>MID($A$30,5,1)&amp;"-"&amp;COUNTA($E$32:E53)</f>
        <v>3-22</v>
      </c>
      <c r="B53" s="34"/>
      <c r="C53" s="34" t="s">
        <v>164</v>
      </c>
      <c r="D53" s="34" t="s">
        <v>165</v>
      </c>
      <c r="E53" s="34" t="s">
        <v>166</v>
      </c>
      <c r="F53" s="35"/>
      <c r="G53" s="36"/>
      <c r="H53" s="37"/>
      <c r="I53" s="35"/>
      <c r="J53" s="36"/>
      <c r="K53" s="37"/>
      <c r="L53" s="35"/>
      <c r="M53" s="36"/>
      <c r="N53" s="37"/>
      <c r="O53" s="38"/>
      <c r="P53" s="38"/>
      <c r="Q53" s="38"/>
      <c r="R53" s="38"/>
      <c r="S53" s="30"/>
    </row>
    <row r="54" spans="1:19">
      <c r="A54" s="33" t="str">
        <f>MID($A$30,5,1)&amp;"-"&amp;COUNTA($E$32:E54)</f>
        <v>3-23</v>
      </c>
      <c r="B54" s="34" t="s">
        <v>55</v>
      </c>
      <c r="C54" s="34" t="s">
        <v>167</v>
      </c>
      <c r="D54" s="34" t="s">
        <v>60</v>
      </c>
      <c r="E54" s="34" t="s">
        <v>168</v>
      </c>
      <c r="F54" s="35"/>
      <c r="G54" s="36"/>
      <c r="H54" s="37"/>
      <c r="I54" s="35"/>
      <c r="J54" s="36"/>
      <c r="K54" s="37"/>
      <c r="L54" s="35"/>
      <c r="M54" s="36"/>
      <c r="N54" s="37"/>
      <c r="O54" s="38"/>
      <c r="P54" s="38"/>
      <c r="Q54" s="38"/>
      <c r="R54" s="38"/>
      <c r="S54" s="30"/>
    </row>
    <row r="55" spans="1:19" ht="56.25">
      <c r="A55" s="33" t="str">
        <f>MID($A$30,5,1)&amp;"-"&amp;COUNTA($E$32:E55)</f>
        <v>3-24</v>
      </c>
      <c r="B55" s="34"/>
      <c r="C55" s="34" t="s">
        <v>128</v>
      </c>
      <c r="D55" s="34" t="s">
        <v>54</v>
      </c>
      <c r="E55" s="34" t="s">
        <v>175</v>
      </c>
      <c r="F55" s="35"/>
      <c r="G55" s="36"/>
      <c r="H55" s="37"/>
      <c r="I55" s="35"/>
      <c r="J55" s="36"/>
      <c r="K55" s="37"/>
      <c r="L55" s="35"/>
      <c r="M55" s="36"/>
      <c r="N55" s="37"/>
      <c r="O55" s="38"/>
      <c r="P55" s="38"/>
      <c r="Q55" s="38"/>
      <c r="R55" s="38"/>
      <c r="S55" s="30"/>
    </row>
    <row r="56" spans="1:19" ht="56.25">
      <c r="A56" s="33" t="str">
        <f>MID($A$30,5,1)&amp;"-"&amp;COUNTA($E$32:E56)</f>
        <v>3-25</v>
      </c>
      <c r="B56" s="34"/>
      <c r="C56" s="34" t="s">
        <v>133</v>
      </c>
      <c r="D56" s="34" t="s">
        <v>54</v>
      </c>
      <c r="E56" s="34" t="s">
        <v>175</v>
      </c>
      <c r="F56" s="35"/>
      <c r="G56" s="36"/>
      <c r="H56" s="37"/>
      <c r="I56" s="35"/>
      <c r="J56" s="36"/>
      <c r="K56" s="37"/>
      <c r="L56" s="35"/>
      <c r="M56" s="36"/>
      <c r="N56" s="37"/>
      <c r="O56" s="38"/>
      <c r="P56" s="38"/>
      <c r="Q56" s="38"/>
      <c r="R56" s="38"/>
      <c r="S56" s="30"/>
    </row>
    <row r="57" spans="1:19" ht="56.25">
      <c r="A57" s="33" t="str">
        <f>MID($A$30,5,1)&amp;"-"&amp;COUNTA($E$32:E57)</f>
        <v>3-26</v>
      </c>
      <c r="B57" s="34"/>
      <c r="C57" s="34" t="s">
        <v>129</v>
      </c>
      <c r="D57" s="34" t="s">
        <v>54</v>
      </c>
      <c r="E57" s="34" t="s">
        <v>175</v>
      </c>
      <c r="F57" s="35"/>
      <c r="G57" s="36"/>
      <c r="H57" s="37"/>
      <c r="I57" s="35"/>
      <c r="J57" s="36"/>
      <c r="K57" s="37"/>
      <c r="L57" s="35"/>
      <c r="M57" s="36"/>
      <c r="N57" s="37"/>
      <c r="O57" s="38"/>
      <c r="P57" s="38"/>
      <c r="Q57" s="38"/>
      <c r="R57" s="38"/>
      <c r="S57" s="30"/>
    </row>
    <row r="58" spans="1:19" ht="56.25">
      <c r="A58" s="33" t="str">
        <f>MID($A$30,5,1)&amp;"-"&amp;COUNTA($E$32:E58)</f>
        <v>3-27</v>
      </c>
      <c r="B58" s="34"/>
      <c r="C58" s="34" t="s">
        <v>130</v>
      </c>
      <c r="D58" s="34" t="s">
        <v>54</v>
      </c>
      <c r="E58" s="34" t="s">
        <v>175</v>
      </c>
      <c r="F58" s="35"/>
      <c r="G58" s="36"/>
      <c r="H58" s="37"/>
      <c r="I58" s="35"/>
      <c r="J58" s="36"/>
      <c r="K58" s="37"/>
      <c r="L58" s="35"/>
      <c r="M58" s="36"/>
      <c r="N58" s="37"/>
      <c r="O58" s="38"/>
      <c r="P58" s="38"/>
      <c r="Q58" s="38"/>
      <c r="R58" s="38"/>
      <c r="S58" s="30"/>
    </row>
    <row r="59" spans="1:19" ht="56.25">
      <c r="A59" s="33" t="str">
        <f>MID($A$30,5,1)&amp;"-"&amp;COUNTA($E$32:E59)</f>
        <v>3-28</v>
      </c>
      <c r="B59" s="34"/>
      <c r="C59" s="34" t="s">
        <v>134</v>
      </c>
      <c r="D59" s="34" t="s">
        <v>54</v>
      </c>
      <c r="E59" s="34" t="s">
        <v>175</v>
      </c>
      <c r="F59" s="35"/>
      <c r="G59" s="36"/>
      <c r="H59" s="37"/>
      <c r="I59" s="35"/>
      <c r="J59" s="36"/>
      <c r="K59" s="37"/>
      <c r="L59" s="35"/>
      <c r="M59" s="36"/>
      <c r="N59" s="37"/>
      <c r="O59" s="38"/>
      <c r="P59" s="38"/>
      <c r="Q59" s="38"/>
      <c r="R59" s="38"/>
      <c r="S59" s="30"/>
    </row>
    <row r="60" spans="1:19" ht="56.25">
      <c r="A60" s="33" t="str">
        <f>MID($A$30,5,1)&amp;"-"&amp;COUNTA($E$32:E60)</f>
        <v>3-29</v>
      </c>
      <c r="B60" s="34"/>
      <c r="C60" s="34" t="s">
        <v>131</v>
      </c>
      <c r="D60" s="34" t="s">
        <v>54</v>
      </c>
      <c r="E60" s="34" t="s">
        <v>175</v>
      </c>
      <c r="F60" s="35"/>
      <c r="G60" s="36"/>
      <c r="H60" s="37"/>
      <c r="I60" s="35"/>
      <c r="J60" s="36"/>
      <c r="K60" s="37"/>
      <c r="L60" s="35"/>
      <c r="M60" s="36"/>
      <c r="N60" s="37"/>
      <c r="O60" s="38"/>
      <c r="P60" s="38"/>
      <c r="Q60" s="38"/>
      <c r="R60" s="38"/>
      <c r="S60" s="30"/>
    </row>
    <row r="61" spans="1:19" ht="56.25">
      <c r="A61" s="33" t="str">
        <f>MID($A$30,5,1)&amp;"-"&amp;COUNTA($E$32:E61)</f>
        <v>3-30</v>
      </c>
      <c r="B61" s="34"/>
      <c r="C61" s="34" t="s">
        <v>132</v>
      </c>
      <c r="D61" s="34" t="s">
        <v>54</v>
      </c>
      <c r="E61" s="34" t="s">
        <v>175</v>
      </c>
      <c r="F61" s="35"/>
      <c r="G61" s="36"/>
      <c r="H61" s="37"/>
      <c r="I61" s="35"/>
      <c r="J61" s="36"/>
      <c r="K61" s="37"/>
      <c r="L61" s="35"/>
      <c r="M61" s="36"/>
      <c r="N61" s="37"/>
      <c r="O61" s="38"/>
      <c r="P61" s="38"/>
      <c r="Q61" s="38"/>
      <c r="R61" s="38"/>
      <c r="S61" s="30"/>
    </row>
    <row r="62" spans="1:19">
      <c r="A62" s="33" t="str">
        <f>MID($A$30,5,1)&amp;"-"&amp;COUNTA($E$32:E62)</f>
        <v>3-31</v>
      </c>
      <c r="B62" s="34" t="s">
        <v>169</v>
      </c>
      <c r="C62" s="34" t="s">
        <v>170</v>
      </c>
      <c r="D62" s="34" t="s">
        <v>172</v>
      </c>
      <c r="E62" s="34" t="s">
        <v>173</v>
      </c>
      <c r="F62" s="35"/>
      <c r="G62" s="36"/>
      <c r="H62" s="37"/>
      <c r="I62" s="35"/>
      <c r="J62" s="36"/>
      <c r="K62" s="37"/>
      <c r="L62" s="35"/>
      <c r="M62" s="36"/>
      <c r="N62" s="37"/>
      <c r="O62" s="38"/>
      <c r="P62" s="38"/>
      <c r="Q62" s="38"/>
      <c r="R62" s="38"/>
      <c r="S62" s="30"/>
    </row>
    <row r="63" spans="1:19">
      <c r="A63" s="33" t="str">
        <f>MID($A$30,5,1)&amp;"-"&amp;COUNTA($E$32:E63)</f>
        <v>3-32</v>
      </c>
      <c r="B63" s="34"/>
      <c r="C63" s="34"/>
      <c r="D63" s="34" t="s">
        <v>171</v>
      </c>
      <c r="E63" s="34" t="s">
        <v>174</v>
      </c>
      <c r="F63" s="35"/>
      <c r="G63" s="36"/>
      <c r="H63" s="37"/>
      <c r="I63" s="35"/>
      <c r="J63" s="36"/>
      <c r="K63" s="37"/>
      <c r="L63" s="35"/>
      <c r="M63" s="36"/>
      <c r="N63" s="37"/>
      <c r="O63" s="38"/>
      <c r="P63" s="38"/>
      <c r="Q63" s="38"/>
      <c r="R63" s="38"/>
      <c r="S63" s="30"/>
    </row>
    <row r="64" spans="1:19">
      <c r="A64" s="33" t="str">
        <f>MID($A$30,5,1)&amp;"-"&amp;COUNTA($E$32:E64)</f>
        <v>3-33</v>
      </c>
      <c r="B64" s="34" t="s">
        <v>94</v>
      </c>
      <c r="C64" s="34" t="s">
        <v>95</v>
      </c>
      <c r="D64" s="34" t="s">
        <v>95</v>
      </c>
      <c r="E64" s="34" t="s">
        <v>96</v>
      </c>
      <c r="F64" s="35"/>
      <c r="G64" s="36"/>
      <c r="H64" s="37"/>
      <c r="I64" s="35"/>
      <c r="J64" s="36"/>
      <c r="K64" s="37"/>
      <c r="L64" s="35"/>
      <c r="M64" s="36"/>
      <c r="N64" s="37"/>
      <c r="O64" s="38"/>
      <c r="P64" s="38"/>
      <c r="Q64" s="38"/>
      <c r="R64" s="38"/>
      <c r="S64" s="30"/>
    </row>
    <row r="65" spans="1:19">
      <c r="A65" s="23" t="s">
        <v>24</v>
      </c>
      <c r="B65" s="23" t="s">
        <v>181</v>
      </c>
      <c r="C65" s="24"/>
      <c r="D65" s="24"/>
      <c r="E65" s="25"/>
      <c r="F65" s="26"/>
      <c r="G65" s="27" t="s">
        <v>34</v>
      </c>
      <c r="H65" s="28"/>
      <c r="I65" s="26"/>
      <c r="J65" s="27" t="s">
        <v>35</v>
      </c>
      <c r="K65" s="28"/>
      <c r="L65" s="26"/>
      <c r="M65" s="27" t="s">
        <v>36</v>
      </c>
      <c r="N65" s="28"/>
      <c r="O65" s="29" t="s">
        <v>16</v>
      </c>
      <c r="P65" s="29"/>
      <c r="Q65" s="29"/>
      <c r="R65" s="29"/>
      <c r="S65" s="30" t="str">
        <f t="shared" ref="S65:S66" si="5">CONCATENATE(F65,I65,L65)</f>
        <v/>
      </c>
    </row>
    <row r="66" spans="1:19">
      <c r="A66" s="31" t="s">
        <v>2</v>
      </c>
      <c r="B66" s="32" t="s">
        <v>3</v>
      </c>
      <c r="C66" s="32" t="s">
        <v>13</v>
      </c>
      <c r="D66" s="32" t="s">
        <v>4</v>
      </c>
      <c r="E66" s="29" t="s">
        <v>5</v>
      </c>
      <c r="F66" s="32" t="s">
        <v>6</v>
      </c>
      <c r="G66" s="32" t="s">
        <v>7</v>
      </c>
      <c r="H66" s="32" t="s">
        <v>8</v>
      </c>
      <c r="I66" s="32" t="s">
        <v>6</v>
      </c>
      <c r="J66" s="32" t="s">
        <v>7</v>
      </c>
      <c r="K66" s="32" t="s">
        <v>8</v>
      </c>
      <c r="L66" s="32" t="s">
        <v>6</v>
      </c>
      <c r="M66" s="32" t="s">
        <v>7</v>
      </c>
      <c r="N66" s="32" t="s">
        <v>8</v>
      </c>
      <c r="O66" s="32"/>
      <c r="P66" s="32"/>
      <c r="Q66" s="32"/>
      <c r="R66" s="32"/>
      <c r="S66" s="30" t="str">
        <f t="shared" si="5"/>
        <v>判定判定判定</v>
      </c>
    </row>
    <row r="67" spans="1:19" ht="56.25">
      <c r="A67" s="33" t="str">
        <f>MID($A$65,5,1)&amp;"-"&amp;COUNTA($E67:E$67)</f>
        <v>4-1</v>
      </c>
      <c r="B67" s="34" t="s">
        <v>37</v>
      </c>
      <c r="C67" s="34" t="s">
        <v>37</v>
      </c>
      <c r="D67" s="34" t="s">
        <v>182</v>
      </c>
      <c r="E67" s="34" t="s">
        <v>183</v>
      </c>
      <c r="F67" s="35"/>
      <c r="G67" s="36"/>
      <c r="H67" s="37"/>
      <c r="I67" s="35"/>
      <c r="J67" s="36"/>
      <c r="K67" s="37"/>
      <c r="L67" s="35"/>
      <c r="M67" s="36"/>
      <c r="N67" s="37"/>
      <c r="O67" s="38"/>
      <c r="P67" s="38"/>
      <c r="Q67" s="38"/>
      <c r="R67" s="38"/>
      <c r="S67" s="30"/>
    </row>
    <row r="68" spans="1:19">
      <c r="A68" s="23" t="s">
        <v>92</v>
      </c>
      <c r="B68" s="23" t="s">
        <v>184</v>
      </c>
      <c r="C68" s="24"/>
      <c r="D68" s="24"/>
      <c r="E68" s="25"/>
      <c r="F68" s="26"/>
      <c r="G68" s="27" t="s">
        <v>34</v>
      </c>
      <c r="H68" s="28"/>
      <c r="I68" s="26"/>
      <c r="J68" s="27" t="s">
        <v>35</v>
      </c>
      <c r="K68" s="28"/>
      <c r="L68" s="26"/>
      <c r="M68" s="27" t="s">
        <v>36</v>
      </c>
      <c r="N68" s="28"/>
      <c r="O68" s="29" t="s">
        <v>16</v>
      </c>
      <c r="P68" s="29"/>
      <c r="Q68" s="29"/>
      <c r="R68" s="29"/>
      <c r="S68" s="30" t="str">
        <f>CONCATENATE(F68,I68,L68)</f>
        <v/>
      </c>
    </row>
    <row r="69" spans="1:19">
      <c r="A69" s="31" t="s">
        <v>2</v>
      </c>
      <c r="B69" s="32" t="s">
        <v>3</v>
      </c>
      <c r="C69" s="32" t="s">
        <v>13</v>
      </c>
      <c r="D69" s="32" t="s">
        <v>4</v>
      </c>
      <c r="E69" s="29" t="s">
        <v>5</v>
      </c>
      <c r="F69" s="32" t="s">
        <v>6</v>
      </c>
      <c r="G69" s="32" t="s">
        <v>7</v>
      </c>
      <c r="H69" s="32" t="s">
        <v>8</v>
      </c>
      <c r="I69" s="32" t="s">
        <v>6</v>
      </c>
      <c r="J69" s="32" t="s">
        <v>7</v>
      </c>
      <c r="K69" s="32" t="s">
        <v>8</v>
      </c>
      <c r="L69" s="32" t="s">
        <v>6</v>
      </c>
      <c r="M69" s="32" t="s">
        <v>7</v>
      </c>
      <c r="N69" s="32" t="s">
        <v>8</v>
      </c>
      <c r="O69" s="32"/>
      <c r="P69" s="32"/>
      <c r="Q69" s="32"/>
      <c r="R69" s="32"/>
      <c r="S69" s="30" t="str">
        <f>CONCATENATE(F69,I69,L69)</f>
        <v>判定判定判定</v>
      </c>
    </row>
    <row r="70" spans="1:19">
      <c r="A70" s="33" t="str">
        <f>MID($A$68,5,1)&amp;"-"&amp;COUNTA($E$70:E70)</f>
        <v>5-1</v>
      </c>
      <c r="B70" s="34" t="s">
        <v>182</v>
      </c>
      <c r="C70" s="34" t="s">
        <v>185</v>
      </c>
      <c r="D70" s="34" t="s">
        <v>185</v>
      </c>
      <c r="E70" s="39" t="s">
        <v>186</v>
      </c>
      <c r="F70" s="35"/>
      <c r="G70" s="36"/>
      <c r="H70" s="37"/>
      <c r="I70" s="35"/>
      <c r="J70" s="36"/>
      <c r="K70" s="37"/>
      <c r="L70" s="35"/>
      <c r="M70" s="36"/>
      <c r="N70" s="37"/>
      <c r="O70" s="38"/>
      <c r="P70" s="38"/>
      <c r="Q70" s="38"/>
      <c r="R70" s="38"/>
      <c r="S70" s="30"/>
    </row>
    <row r="71" spans="1:19" ht="37.5">
      <c r="A71" s="33" t="str">
        <f>MID($A$68,5,1)&amp;"-"&amp;COUNTA($E$70:E71)</f>
        <v>5-2</v>
      </c>
      <c r="B71" s="34"/>
      <c r="C71" s="34" t="s">
        <v>62</v>
      </c>
      <c r="D71" s="34" t="s">
        <v>62</v>
      </c>
      <c r="E71" s="34" t="s">
        <v>187</v>
      </c>
      <c r="F71" s="35"/>
      <c r="G71" s="36"/>
      <c r="H71" s="37"/>
      <c r="I71" s="35"/>
      <c r="J71" s="36"/>
      <c r="K71" s="37"/>
      <c r="L71" s="35"/>
      <c r="M71" s="36"/>
      <c r="N71" s="37"/>
      <c r="O71" s="38"/>
      <c r="P71" s="38"/>
      <c r="Q71" s="38"/>
      <c r="R71" s="38"/>
      <c r="S71" s="30"/>
    </row>
    <row r="72" spans="1:19">
      <c r="A72" s="23" t="s">
        <v>188</v>
      </c>
      <c r="B72" s="23" t="s">
        <v>190</v>
      </c>
      <c r="C72" s="24"/>
      <c r="D72" s="24"/>
      <c r="E72" s="25"/>
      <c r="F72" s="26"/>
      <c r="G72" s="27" t="s">
        <v>34</v>
      </c>
      <c r="H72" s="28"/>
      <c r="I72" s="26"/>
      <c r="J72" s="27" t="s">
        <v>35</v>
      </c>
      <c r="K72" s="28"/>
      <c r="L72" s="26"/>
      <c r="M72" s="27" t="s">
        <v>36</v>
      </c>
      <c r="N72" s="28"/>
      <c r="O72" s="29" t="s">
        <v>16</v>
      </c>
      <c r="P72" s="29"/>
      <c r="Q72" s="29"/>
      <c r="R72" s="29"/>
      <c r="S72" s="30" t="str">
        <f t="shared" ref="S72:S73" si="6">CONCATENATE(F72,I72,L72)</f>
        <v/>
      </c>
    </row>
    <row r="73" spans="1:19">
      <c r="A73" s="31" t="s">
        <v>2</v>
      </c>
      <c r="B73" s="32" t="s">
        <v>3</v>
      </c>
      <c r="C73" s="32" t="s">
        <v>13</v>
      </c>
      <c r="D73" s="32" t="s">
        <v>4</v>
      </c>
      <c r="E73" s="29" t="s">
        <v>5</v>
      </c>
      <c r="F73" s="32" t="s">
        <v>6</v>
      </c>
      <c r="G73" s="32" t="s">
        <v>7</v>
      </c>
      <c r="H73" s="32" t="s">
        <v>8</v>
      </c>
      <c r="I73" s="32" t="s">
        <v>6</v>
      </c>
      <c r="J73" s="32" t="s">
        <v>7</v>
      </c>
      <c r="K73" s="32" t="s">
        <v>8</v>
      </c>
      <c r="L73" s="32" t="s">
        <v>6</v>
      </c>
      <c r="M73" s="32" t="s">
        <v>7</v>
      </c>
      <c r="N73" s="32" t="s">
        <v>8</v>
      </c>
      <c r="O73" s="32"/>
      <c r="P73" s="32"/>
      <c r="Q73" s="32"/>
      <c r="R73" s="32"/>
      <c r="S73" s="30" t="str">
        <f t="shared" si="6"/>
        <v>判定判定判定</v>
      </c>
    </row>
    <row r="74" spans="1:19" ht="56.25">
      <c r="A74" s="33" t="str">
        <f>MID($A$72,5,1)&amp;"-"&amp;COUNTA($E$74:E74)</f>
        <v>6-1</v>
      </c>
      <c r="B74" s="34" t="s">
        <v>37</v>
      </c>
      <c r="C74" s="34" t="s">
        <v>37</v>
      </c>
      <c r="D74" s="34" t="s">
        <v>192</v>
      </c>
      <c r="E74" s="34" t="s">
        <v>193</v>
      </c>
      <c r="F74" s="35"/>
      <c r="G74" s="36"/>
      <c r="H74" s="37"/>
      <c r="I74" s="35"/>
      <c r="J74" s="36"/>
      <c r="K74" s="37"/>
      <c r="L74" s="35"/>
      <c r="M74" s="36"/>
      <c r="N74" s="37"/>
      <c r="O74" s="38"/>
      <c r="P74" s="38"/>
      <c r="Q74" s="38"/>
      <c r="R74" s="38"/>
      <c r="S74" s="30"/>
    </row>
    <row r="75" spans="1:19">
      <c r="A75" s="23" t="s">
        <v>189</v>
      </c>
      <c r="B75" s="23" t="s">
        <v>191</v>
      </c>
      <c r="C75" s="24"/>
      <c r="D75" s="24"/>
      <c r="E75" s="25"/>
      <c r="F75" s="26"/>
      <c r="G75" s="27" t="s">
        <v>34</v>
      </c>
      <c r="H75" s="28"/>
      <c r="I75" s="26"/>
      <c r="J75" s="27" t="s">
        <v>35</v>
      </c>
      <c r="K75" s="28"/>
      <c r="L75" s="26"/>
      <c r="M75" s="27" t="s">
        <v>36</v>
      </c>
      <c r="N75" s="28"/>
      <c r="O75" s="29" t="s">
        <v>16</v>
      </c>
      <c r="P75" s="29"/>
      <c r="Q75" s="29"/>
      <c r="R75" s="29"/>
      <c r="S75" s="30" t="str">
        <f>CONCATENATE(F75,I75,L75)</f>
        <v/>
      </c>
    </row>
    <row r="76" spans="1:19">
      <c r="A76" s="31" t="s">
        <v>2</v>
      </c>
      <c r="B76" s="32" t="s">
        <v>3</v>
      </c>
      <c r="C76" s="32" t="s">
        <v>13</v>
      </c>
      <c r="D76" s="32" t="s">
        <v>4</v>
      </c>
      <c r="E76" s="29" t="s">
        <v>5</v>
      </c>
      <c r="F76" s="32" t="s">
        <v>6</v>
      </c>
      <c r="G76" s="32" t="s">
        <v>7</v>
      </c>
      <c r="H76" s="32" t="s">
        <v>8</v>
      </c>
      <c r="I76" s="32" t="s">
        <v>6</v>
      </c>
      <c r="J76" s="32" t="s">
        <v>7</v>
      </c>
      <c r="K76" s="32" t="s">
        <v>8</v>
      </c>
      <c r="L76" s="32" t="s">
        <v>6</v>
      </c>
      <c r="M76" s="32" t="s">
        <v>7</v>
      </c>
      <c r="N76" s="32" t="s">
        <v>8</v>
      </c>
      <c r="O76" s="32"/>
      <c r="P76" s="32"/>
      <c r="Q76" s="32"/>
      <c r="R76" s="32"/>
      <c r="S76" s="30" t="str">
        <f>CONCATENATE(F76,I76,L76)</f>
        <v>判定判定判定</v>
      </c>
    </row>
    <row r="77" spans="1:19" ht="37.5">
      <c r="A77" s="33" t="str">
        <f>MID($A$75,5,1)&amp;"-"&amp;COUNTA($E$77:E77)</f>
        <v>7-1</v>
      </c>
      <c r="B77" s="34" t="s">
        <v>192</v>
      </c>
      <c r="C77" s="34" t="s">
        <v>61</v>
      </c>
      <c r="D77" s="34" t="s">
        <v>61</v>
      </c>
      <c r="E77" s="39" t="s">
        <v>194</v>
      </c>
      <c r="F77" s="35"/>
      <c r="G77" s="36"/>
      <c r="H77" s="37"/>
      <c r="I77" s="35"/>
      <c r="J77" s="36"/>
      <c r="K77" s="37"/>
      <c r="L77" s="35"/>
      <c r="M77" s="36"/>
      <c r="N77" s="37"/>
      <c r="O77" s="38"/>
      <c r="P77" s="38"/>
      <c r="Q77" s="38"/>
      <c r="R77" s="38"/>
      <c r="S77" s="30"/>
    </row>
    <row r="78" spans="1:19" ht="37.5">
      <c r="A78" s="33" t="str">
        <f>MID($A$75,5,1)&amp;"-"&amp;COUNTA($E$77:E78)</f>
        <v>7-2</v>
      </c>
      <c r="B78" s="34"/>
      <c r="C78" s="34" t="s">
        <v>62</v>
      </c>
      <c r="D78" s="34" t="s">
        <v>62</v>
      </c>
      <c r="E78" s="34" t="s">
        <v>195</v>
      </c>
      <c r="F78" s="35"/>
      <c r="G78" s="36"/>
      <c r="H78" s="37"/>
      <c r="I78" s="35"/>
      <c r="J78" s="36"/>
      <c r="K78" s="37"/>
      <c r="L78" s="35"/>
      <c r="M78" s="36"/>
      <c r="N78" s="37"/>
      <c r="O78" s="38"/>
      <c r="P78" s="38"/>
      <c r="Q78" s="38"/>
      <c r="R78" s="38"/>
      <c r="S78" s="30"/>
    </row>
  </sheetData>
  <mergeCells count="1">
    <mergeCell ref="A1:B1"/>
  </mergeCells>
  <phoneticPr fontId="16"/>
  <dataValidations count="1">
    <dataValidation type="list" allowBlank="1" showInputMessage="1" showErrorMessage="1" sqref="L67:L71 F67:F71 L26:L64 F4:F23 L4:L23 I4:I23 F26:F64 I26:I64 I67:I71 L74:L78 F74:F78 I74:I78" xr:uid="{F26DF64A-6241-43FE-9972-7D7282BD8111}">
      <formula1>$H$1:$K$1</formula1>
    </dataValidation>
  </dataValidations>
  <pageMargins left="0.39370078740157483" right="0.39370078740157483" top="0.39370078740157483" bottom="0.39370078740157483" header="0.31496062992125984" footer="0.11811023622047245"/>
  <pageSetup paperSize="9" scale="43" fitToHeight="0" orientation="landscape" r:id="rId1"/>
  <headerFooter>
    <oddFooter>&amp;C&amp;P / &amp;N&amp;R&amp;F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テストケース</vt:lpstr>
      <vt:lpstr>テストケース!Print_Titles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中村 将人</cp:lastModifiedBy>
  <cp:lastPrinted>2022-01-18T05:45:09Z</cp:lastPrinted>
  <dcterms:created xsi:type="dcterms:W3CDTF">2015-12-21T00:28:50Z</dcterms:created>
  <dcterms:modified xsi:type="dcterms:W3CDTF">2022-04-12T08:58:16Z</dcterms:modified>
</cp:coreProperties>
</file>